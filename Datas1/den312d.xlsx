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0" windowHeight="7580"/>
  </bookViews>
  <sheets>
    <sheet name="20_100" sheetId="1" r:id="rId1"/>
    <sheet name="40_100" sheetId="2" r:id="rId2"/>
    <sheet name="60_100" sheetId="3" r:id="rId3"/>
    <sheet name="80_100" sheetId="4" r:id="rId4"/>
    <sheet name="100_100" sheetId="5" r:id="rId5"/>
    <sheet name="120_100" sheetId="6" r:id="rId6"/>
    <sheet name="Sheet1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<sst xmlns="http://schemas.openxmlformats.org/spreadsheetml/2006/main" count="370" uniqueCount="57">
  <si>
    <t>scen</t>
  </si>
  <si>
    <t>L1_T</t>
  </si>
  <si>
    <t>L1_C</t>
  </si>
  <si>
    <t>L2_T</t>
  </si>
  <si>
    <t>L2_C</t>
  </si>
  <si>
    <t>P_T</t>
  </si>
  <si>
    <t>P_C</t>
  </si>
  <si>
    <t>E_T</t>
  </si>
  <si>
    <t>E_C</t>
  </si>
  <si>
    <t>random-1</t>
  </si>
  <si>
    <t>random-2</t>
  </si>
  <si>
    <t>random-3</t>
  </si>
  <si>
    <t>random-4</t>
  </si>
  <si>
    <t>random-5</t>
  </si>
  <si>
    <t>random-6</t>
  </si>
  <si>
    <t>random-7</t>
  </si>
  <si>
    <t>random-8</t>
  </si>
  <si>
    <t>random-9</t>
  </si>
  <si>
    <t>random-10</t>
  </si>
  <si>
    <t>random-11</t>
  </si>
  <si>
    <t>random-12</t>
  </si>
  <si>
    <t>random-13</t>
  </si>
  <si>
    <t>random-14</t>
  </si>
  <si>
    <t>random-15</t>
  </si>
  <si>
    <t>random-16</t>
  </si>
  <si>
    <t>random-17</t>
  </si>
  <si>
    <t>random-18</t>
  </si>
  <si>
    <t>random-19</t>
  </si>
  <si>
    <t>random-20</t>
  </si>
  <si>
    <t>lacam1_r</t>
  </si>
  <si>
    <t>lacam0_r</t>
  </si>
  <si>
    <t>pibt_r</t>
  </si>
  <si>
    <t>eecbs_r</t>
  </si>
  <si>
    <t>lacam1_s</t>
  </si>
  <si>
    <t>lacam0_s</t>
  </si>
  <si>
    <t>pibt_s</t>
  </si>
  <si>
    <t>eecbs_s</t>
  </si>
  <si>
    <t>lacam1_r_uper</t>
  </si>
  <si>
    <t>lacam0_r_uper</t>
  </si>
  <si>
    <t>PIBT_r_uper</t>
  </si>
  <si>
    <t>eecbs_r_uper</t>
  </si>
  <si>
    <t>lacam1_r_lower</t>
  </si>
  <si>
    <t>lacam0_r_lower</t>
  </si>
  <si>
    <t>PIBT_r_lower</t>
  </si>
  <si>
    <t>eecbs_r_lower</t>
  </si>
  <si>
    <t>lacam1_s_uper</t>
  </si>
  <si>
    <t>lacam0_s_uper</t>
  </si>
  <si>
    <t>PIBT_s_uper</t>
  </si>
  <si>
    <t>eecbs_s_uper</t>
  </si>
  <si>
    <t>lacam1_s_lower</t>
  </si>
  <si>
    <t>lacam0_s_lower</t>
  </si>
  <si>
    <t>PIBT_s_lower</t>
  </si>
  <si>
    <t>eecbs_s_lower</t>
  </si>
  <si>
    <t>lacam1_sr</t>
  </si>
  <si>
    <t>lacam0_sr</t>
  </si>
  <si>
    <t>pibt_sr</t>
  </si>
  <si>
    <t>eecbs_sr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</si>
</sst>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3C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76" fontId="0" fillId="2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tabSelected="1" topLeftCell="A4" workbookViewId="0">
      <selection activeCell="G14" sqref="G14"/>
    </sheetView>
  </sheetViews>
  <sheetFormatPr defaultColWidth="9" defaultRowHeight="14"/>
  <cols>
    <col min="1" max="1" width="11.1818181818182" customWidth="1"/>
    <col min="7" max="8" width="10.6363636363636"/>
    <col min="19" max="19" width="11.4545454545455" customWidth="1"/>
    <col min="20" max="20" width="12.4545454545455" customWidth="1"/>
    <col min="24" max="24" width="13.090909090909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79.66</v>
      </c>
      <c r="C2">
        <v>9281.51</v>
      </c>
      <c r="D2">
        <v>79.7</v>
      </c>
      <c r="E2">
        <v>9281.51</v>
      </c>
      <c r="F2">
        <v>79.41</v>
      </c>
      <c r="G2">
        <v>10832.71</v>
      </c>
      <c r="H2">
        <v>-1</v>
      </c>
      <c r="I2">
        <v>5112.41</v>
      </c>
    </row>
    <row r="3" spans="1:9">
      <c r="A3" t="s">
        <v>10</v>
      </c>
      <c r="B3">
        <v>82.66</v>
      </c>
      <c r="C3">
        <v>9719.94</v>
      </c>
      <c r="D3">
        <v>82.69</v>
      </c>
      <c r="E3">
        <v>9719.94</v>
      </c>
      <c r="F3">
        <v>82.46</v>
      </c>
      <c r="G3">
        <v>11283.67</v>
      </c>
      <c r="H3">
        <v>97.9</v>
      </c>
      <c r="I3">
        <v>10885.6</v>
      </c>
    </row>
    <row r="4" spans="1:9">
      <c r="A4" t="s">
        <v>11</v>
      </c>
      <c r="B4">
        <v>97.89</v>
      </c>
      <c r="C4">
        <v>9228.71</v>
      </c>
      <c r="D4">
        <v>97.92</v>
      </c>
      <c r="E4">
        <v>9228.71</v>
      </c>
      <c r="F4">
        <v>97.45</v>
      </c>
      <c r="G4">
        <v>10699.59</v>
      </c>
      <c r="H4">
        <v>115.89</v>
      </c>
      <c r="I4">
        <v>10351.83</v>
      </c>
    </row>
    <row r="5" spans="1:9">
      <c r="A5" t="s">
        <v>12</v>
      </c>
      <c r="B5">
        <v>101.24</v>
      </c>
      <c r="C5">
        <v>9468.04</v>
      </c>
      <c r="D5">
        <v>101.27</v>
      </c>
      <c r="E5">
        <v>9468.04</v>
      </c>
      <c r="F5">
        <v>101</v>
      </c>
      <c r="G5">
        <v>11022.88</v>
      </c>
      <c r="H5">
        <v>-1</v>
      </c>
      <c r="I5">
        <v>3767.55</v>
      </c>
    </row>
    <row r="6" spans="1:9">
      <c r="A6" t="s">
        <v>13</v>
      </c>
      <c r="B6">
        <v>115.36</v>
      </c>
      <c r="C6">
        <v>9541.89</v>
      </c>
      <c r="D6">
        <v>115.45</v>
      </c>
      <c r="E6">
        <v>9541.89</v>
      </c>
      <c r="F6">
        <v>114.98</v>
      </c>
      <c r="G6">
        <v>11220.16</v>
      </c>
      <c r="H6">
        <v>131.29</v>
      </c>
      <c r="I6">
        <v>10792.24</v>
      </c>
    </row>
    <row r="7" spans="1:9">
      <c r="A7" t="s">
        <v>14</v>
      </c>
      <c r="B7">
        <v>129.58</v>
      </c>
      <c r="C7">
        <v>9678.5</v>
      </c>
      <c r="D7">
        <v>129.47</v>
      </c>
      <c r="E7">
        <v>9678.5</v>
      </c>
      <c r="F7">
        <v>129.22</v>
      </c>
      <c r="G7">
        <v>11192.12</v>
      </c>
      <c r="H7">
        <v>155.05</v>
      </c>
      <c r="I7">
        <v>10821.38</v>
      </c>
    </row>
    <row r="8" spans="1:9">
      <c r="A8" t="s">
        <v>15</v>
      </c>
      <c r="B8">
        <v>122.79</v>
      </c>
      <c r="C8">
        <v>8551.43</v>
      </c>
      <c r="D8">
        <v>122.89</v>
      </c>
      <c r="E8">
        <v>8551.43</v>
      </c>
      <c r="F8">
        <v>122.51</v>
      </c>
      <c r="G8">
        <v>9919.27</v>
      </c>
      <c r="H8">
        <v>-1</v>
      </c>
      <c r="I8">
        <v>2409.5</v>
      </c>
    </row>
    <row r="9" spans="1:9">
      <c r="A9" t="s">
        <v>16</v>
      </c>
      <c r="B9">
        <v>92.24</v>
      </c>
      <c r="C9">
        <v>9799.9</v>
      </c>
      <c r="D9">
        <v>92.76</v>
      </c>
      <c r="E9">
        <v>9799.9</v>
      </c>
      <c r="F9">
        <v>92.13</v>
      </c>
      <c r="G9">
        <v>11475.66</v>
      </c>
      <c r="H9">
        <v>105.35</v>
      </c>
      <c r="I9">
        <v>11079.95</v>
      </c>
    </row>
    <row r="10" spans="1:9">
      <c r="A10" t="s">
        <v>17</v>
      </c>
      <c r="B10">
        <v>104.76</v>
      </c>
      <c r="C10">
        <v>9820.5</v>
      </c>
      <c r="D10">
        <v>104.72</v>
      </c>
      <c r="E10">
        <v>9820.5</v>
      </c>
      <c r="F10">
        <v>104.49</v>
      </c>
      <c r="G10">
        <v>11357.96</v>
      </c>
      <c r="H10">
        <v>132.17</v>
      </c>
      <c r="I10">
        <v>11115.32</v>
      </c>
    </row>
    <row r="11" spans="1:9">
      <c r="A11" t="s">
        <v>18</v>
      </c>
      <c r="B11">
        <v>113.52</v>
      </c>
      <c r="C11">
        <v>9894.71</v>
      </c>
      <c r="D11">
        <v>113.41</v>
      </c>
      <c r="E11">
        <v>9894.71</v>
      </c>
      <c r="F11">
        <v>113.04</v>
      </c>
      <c r="G11">
        <v>11528.88</v>
      </c>
      <c r="H11">
        <v>-1</v>
      </c>
      <c r="I11">
        <v>6148.5</v>
      </c>
    </row>
    <row r="12" spans="1:9">
      <c r="A12" t="s">
        <v>19</v>
      </c>
      <c r="B12">
        <v>100.96</v>
      </c>
      <c r="C12">
        <v>9011.76</v>
      </c>
      <c r="D12">
        <v>101.01</v>
      </c>
      <c r="E12">
        <v>9011.76</v>
      </c>
      <c r="F12">
        <v>100.7</v>
      </c>
      <c r="G12">
        <v>10466.03</v>
      </c>
      <c r="H12">
        <v>-1</v>
      </c>
      <c r="I12">
        <v>8403.3</v>
      </c>
    </row>
    <row r="13" spans="1:9">
      <c r="A13" t="s">
        <v>20</v>
      </c>
      <c r="B13">
        <v>124.77</v>
      </c>
      <c r="C13">
        <v>9862.73</v>
      </c>
      <c r="D13">
        <v>124.84</v>
      </c>
      <c r="E13">
        <v>9862.73</v>
      </c>
      <c r="F13">
        <v>124.3</v>
      </c>
      <c r="G13">
        <v>11472.3</v>
      </c>
      <c r="H13">
        <v>-1</v>
      </c>
      <c r="I13">
        <v>0</v>
      </c>
    </row>
    <row r="14" spans="1:9">
      <c r="A14" t="s">
        <v>21</v>
      </c>
      <c r="B14">
        <v>120.18</v>
      </c>
      <c r="C14">
        <v>9304.69</v>
      </c>
      <c r="D14">
        <v>120.46</v>
      </c>
      <c r="E14">
        <v>9304.69</v>
      </c>
      <c r="F14">
        <v>119.98</v>
      </c>
      <c r="G14">
        <v>10733.31</v>
      </c>
      <c r="H14">
        <v>138.99</v>
      </c>
      <c r="I14">
        <v>10450.19</v>
      </c>
    </row>
    <row r="15" spans="1:9">
      <c r="A15" t="s">
        <v>22</v>
      </c>
      <c r="B15">
        <v>120.84</v>
      </c>
      <c r="C15">
        <v>9099.69</v>
      </c>
      <c r="D15">
        <v>121.32</v>
      </c>
      <c r="E15">
        <v>9099.69</v>
      </c>
      <c r="F15">
        <v>120.94</v>
      </c>
      <c r="G15">
        <v>10457.54</v>
      </c>
      <c r="H15">
        <v>-1</v>
      </c>
      <c r="I15">
        <v>9312.53</v>
      </c>
    </row>
    <row r="16" spans="1:9">
      <c r="A16" t="s">
        <v>23</v>
      </c>
      <c r="B16">
        <v>120.5</v>
      </c>
      <c r="C16">
        <v>9399.31</v>
      </c>
      <c r="D16">
        <v>120.48</v>
      </c>
      <c r="E16">
        <v>9399.31</v>
      </c>
      <c r="F16">
        <v>120.24</v>
      </c>
      <c r="G16">
        <v>10895.85</v>
      </c>
      <c r="H16">
        <v>-1</v>
      </c>
      <c r="I16">
        <v>9975.97</v>
      </c>
    </row>
    <row r="17" spans="1:9">
      <c r="A17" t="s">
        <v>24</v>
      </c>
      <c r="B17">
        <v>101.06</v>
      </c>
      <c r="C17">
        <v>9340.46</v>
      </c>
      <c r="D17">
        <v>101.3</v>
      </c>
      <c r="E17">
        <v>9340.46</v>
      </c>
      <c r="F17">
        <v>100.56</v>
      </c>
      <c r="G17">
        <v>10806.62</v>
      </c>
      <c r="H17">
        <v>125.67</v>
      </c>
      <c r="I17">
        <v>10377.14</v>
      </c>
    </row>
    <row r="18" spans="1:9">
      <c r="A18" t="s">
        <v>25</v>
      </c>
      <c r="B18">
        <v>118.92</v>
      </c>
      <c r="C18">
        <v>9408.16</v>
      </c>
      <c r="D18">
        <v>119.04</v>
      </c>
      <c r="E18">
        <v>9408.16</v>
      </c>
      <c r="F18">
        <v>118.73</v>
      </c>
      <c r="G18">
        <v>10784.65</v>
      </c>
      <c r="H18">
        <v>-1</v>
      </c>
      <c r="I18">
        <v>3146.63</v>
      </c>
    </row>
    <row r="19" spans="1:9">
      <c r="A19" t="s">
        <v>26</v>
      </c>
      <c r="B19">
        <v>90.66</v>
      </c>
      <c r="C19">
        <v>9640.39</v>
      </c>
      <c r="D19">
        <v>90.68</v>
      </c>
      <c r="E19">
        <v>9640.39</v>
      </c>
      <c r="F19">
        <v>90.39</v>
      </c>
      <c r="G19">
        <v>11288</v>
      </c>
      <c r="H19">
        <v>106.77</v>
      </c>
      <c r="I19">
        <v>10846.58</v>
      </c>
    </row>
    <row r="20" spans="1:9">
      <c r="A20" t="s">
        <v>27</v>
      </c>
      <c r="B20">
        <v>93.43</v>
      </c>
      <c r="C20">
        <v>9136.24</v>
      </c>
      <c r="D20">
        <v>93.47</v>
      </c>
      <c r="E20">
        <v>9136.24</v>
      </c>
      <c r="F20">
        <v>93.17</v>
      </c>
      <c r="G20">
        <v>10363.52</v>
      </c>
      <c r="H20">
        <v>112.16</v>
      </c>
      <c r="I20">
        <v>10160.76</v>
      </c>
    </row>
    <row r="21" spans="1:9">
      <c r="A21" t="s">
        <v>28</v>
      </c>
      <c r="B21">
        <v>100.11</v>
      </c>
      <c r="C21">
        <v>9567.68</v>
      </c>
      <c r="D21">
        <v>99.93</v>
      </c>
      <c r="E21">
        <v>9567.68</v>
      </c>
      <c r="F21">
        <v>99.38</v>
      </c>
      <c r="G21">
        <v>11096.85</v>
      </c>
      <c r="H21">
        <v>124.6</v>
      </c>
      <c r="I21">
        <v>10763.87</v>
      </c>
    </row>
    <row r="24" spans="1:28">
      <c r="A24" s="2" t="s">
        <v>29</v>
      </c>
      <c r="B24" s="2" t="s">
        <v>30</v>
      </c>
      <c r="C24" s="2" t="s">
        <v>31</v>
      </c>
      <c r="D24" s="3" t="s">
        <v>32</v>
      </c>
      <c r="E24" s="2" t="s">
        <v>33</v>
      </c>
      <c r="F24" s="2" t="s">
        <v>34</v>
      </c>
      <c r="G24" s="2" t="s">
        <v>35</v>
      </c>
      <c r="H24" s="3" t="s">
        <v>36</v>
      </c>
      <c r="I24" s="2" t="s">
        <v>37</v>
      </c>
      <c r="J24" s="2" t="s">
        <v>38</v>
      </c>
      <c r="K24" s="2" t="s">
        <v>39</v>
      </c>
      <c r="L24" s="3" t="s">
        <v>40</v>
      </c>
      <c r="M24" s="2" t="s">
        <v>41</v>
      </c>
      <c r="N24" s="2" t="s">
        <v>42</v>
      </c>
      <c r="O24" s="2" t="s">
        <v>43</v>
      </c>
      <c r="P24" s="3" t="s">
        <v>44</v>
      </c>
      <c r="Q24" s="2" t="s">
        <v>45</v>
      </c>
      <c r="R24" s="2" t="s">
        <v>46</v>
      </c>
      <c r="S24" s="2" t="s">
        <v>47</v>
      </c>
      <c r="T24" s="3" t="s">
        <v>48</v>
      </c>
      <c r="U24" s="2" t="s">
        <v>49</v>
      </c>
      <c r="V24" s="2" t="s">
        <v>50</v>
      </c>
      <c r="W24" s="2" t="s">
        <v>51</v>
      </c>
      <c r="X24" s="3" t="s">
        <v>52</v>
      </c>
      <c r="Y24" s="3" t="s">
        <v>53</v>
      </c>
      <c r="Z24" s="3" t="s">
        <v>54</v>
      </c>
      <c r="AA24" s="3" t="s">
        <v>55</v>
      </c>
      <c r="AB24" s="3" t="s">
        <v>56</v>
      </c>
    </row>
    <row r="25" spans="1:28">
      <c r="A25" s="4">
        <f>AVERAGE($B$2:$B$21)</f>
        <v>106.5565</v>
      </c>
      <c r="B25" s="4">
        <f>AVERAGE($D$2:$D$21)</f>
        <v>106.6405</v>
      </c>
      <c r="C25" s="4">
        <f>AVERAGE($F$2:$F$21)</f>
        <v>106.254</v>
      </c>
      <c r="D25" s="4">
        <f>IFERROR(AVERAGEIF($H$2:$H$21,"&lt;&gt;-1"),0)</f>
        <v>122.349090909091</v>
      </c>
      <c r="E25" s="4">
        <f>AVERAGE($C$2:$C$21)</f>
        <v>9437.812</v>
      </c>
      <c r="F25" s="4">
        <f>AVERAGE($E$2:$E$21)</f>
        <v>9437.812</v>
      </c>
      <c r="G25" s="4">
        <f>AVERAGE($G$2:$G$21)</f>
        <v>10944.8785</v>
      </c>
      <c r="H25" s="4">
        <f>IFERROR(AVERAGEIFS($I$2:$I$21,$H$2:$H$21,"&lt;&gt; -1"),0)</f>
        <v>10694.9872727273</v>
      </c>
      <c r="I25" s="4">
        <f>MAX($B$2:$B$21)</f>
        <v>129.58</v>
      </c>
      <c r="J25" s="4">
        <f>MAX($D$2:$D$21)</f>
        <v>129.47</v>
      </c>
      <c r="K25" s="4">
        <f>MAX($F$2:$F$21)</f>
        <v>129.22</v>
      </c>
      <c r="L25" s="4">
        <f>_xlfn.MAXIFS($H$2:$H$21,$H$2:$H$21,"&lt;&gt; -1")</f>
        <v>155.05</v>
      </c>
      <c r="M25" s="4">
        <f>MIN($B$2:$B$21)</f>
        <v>79.66</v>
      </c>
      <c r="N25" s="4">
        <f>MIN($D$2:$D$21)</f>
        <v>79.7</v>
      </c>
      <c r="O25" s="4">
        <f>MIN($F$2:$F$21)</f>
        <v>79.41</v>
      </c>
      <c r="P25" s="4">
        <f>_xlfn.MINIFS($H$2:$H$21,$H$2:$H$21,"&lt;&gt; -1")</f>
        <v>97.9</v>
      </c>
      <c r="Q25" s="4">
        <f>MAX($C$2:$C$21)</f>
        <v>9894.71</v>
      </c>
      <c r="R25" s="4">
        <f>MAX($E$2:$E$21)</f>
        <v>9894.71</v>
      </c>
      <c r="S25" s="4">
        <f>MAX($G$2:$G$21)</f>
        <v>11528.88</v>
      </c>
      <c r="T25" s="4">
        <f>_xlfn.MAXIFS($I$2:$I$21,$H$2:$H$21,"&lt;&gt; -1")</f>
        <v>11115.32</v>
      </c>
      <c r="U25" s="4">
        <f>MIN($C$2:$C$21)</f>
        <v>8551.43</v>
      </c>
      <c r="V25" s="4">
        <f>MIN($E$2:$E$21)</f>
        <v>8551.43</v>
      </c>
      <c r="W25" s="4">
        <f>MIN($G$2:$G$21)</f>
        <v>9919.27</v>
      </c>
      <c r="X25" s="4">
        <f>_xlfn.MINIFS($I$2:$I$21,$H$2:$H$21,"&lt;&gt; -1")</f>
        <v>10160.76</v>
      </c>
      <c r="Y25" s="4">
        <f>(COUNTIFS($B$2:$B$21,"&gt;0.0",$B$2:$B$21,"&lt;200.0"))/20</f>
        <v>1</v>
      </c>
      <c r="Z25" s="4">
        <f>(COUNTIFS($D$2:$D$21,"&gt;0.0",$D$2:$D$21,"&lt;200.0"))/20</f>
        <v>1</v>
      </c>
      <c r="AA25" s="4">
        <f>(COUNTIFS($F$2:$F$21,"&gt;0.0",$F$2:$F$21,"&lt;200.0"))/20</f>
        <v>1</v>
      </c>
      <c r="AB25" s="4">
        <f>(COUNTIFS($H$2:$H$21,"&gt;0.0",$H$2:$H$21,"&lt;200.0"))/20</f>
        <v>0.55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cols>
    <col min="7" max="7" width="12" customWidth="1"/>
    <col min="17" max="17" width="11" customWidth="1"/>
    <col min="18" max="18" width="10.2727272727273" customWidth="1"/>
    <col min="19" max="19" width="11" customWidth="1"/>
    <col min="23" max="23" width="1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139.25</v>
      </c>
      <c r="C2">
        <v>9529.66</v>
      </c>
      <c r="D2">
        <v>139.62</v>
      </c>
      <c r="E2">
        <v>9529.66</v>
      </c>
      <c r="F2">
        <v>138.98</v>
      </c>
      <c r="G2">
        <v>11141.91</v>
      </c>
      <c r="H2">
        <v>-1</v>
      </c>
      <c r="I2">
        <v>3625.31</v>
      </c>
    </row>
    <row r="3" spans="1:9">
      <c r="A3" t="s">
        <v>10</v>
      </c>
      <c r="B3">
        <v>137.04</v>
      </c>
      <c r="C3">
        <v>9606.49</v>
      </c>
      <c r="D3">
        <v>137.08</v>
      </c>
      <c r="E3">
        <v>9606.49</v>
      </c>
      <c r="F3">
        <v>136.62</v>
      </c>
      <c r="G3">
        <v>11126.27</v>
      </c>
      <c r="H3">
        <v>-1</v>
      </c>
      <c r="I3">
        <v>6386.77</v>
      </c>
    </row>
    <row r="4" spans="1:9">
      <c r="A4" t="s">
        <v>11</v>
      </c>
      <c r="B4">
        <v>138.24</v>
      </c>
      <c r="C4">
        <v>9805.96</v>
      </c>
      <c r="D4">
        <v>138.36</v>
      </c>
      <c r="E4">
        <v>9805.96</v>
      </c>
      <c r="F4">
        <v>137.91</v>
      </c>
      <c r="G4">
        <v>11409.79</v>
      </c>
      <c r="H4">
        <v>-1</v>
      </c>
      <c r="I4">
        <v>0</v>
      </c>
    </row>
    <row r="5" spans="1:9">
      <c r="A5" t="s">
        <v>12</v>
      </c>
      <c r="B5">
        <v>141.78</v>
      </c>
      <c r="C5">
        <v>9629.58</v>
      </c>
      <c r="D5">
        <v>142.04</v>
      </c>
      <c r="E5">
        <v>9629.58</v>
      </c>
      <c r="F5">
        <v>140.95</v>
      </c>
      <c r="G5">
        <v>11152.92</v>
      </c>
      <c r="H5">
        <v>-1</v>
      </c>
      <c r="I5">
        <v>9358.37</v>
      </c>
    </row>
    <row r="6" spans="1:9">
      <c r="A6" t="s">
        <v>13</v>
      </c>
      <c r="B6">
        <v>140.15</v>
      </c>
      <c r="C6">
        <v>9565.1</v>
      </c>
      <c r="D6">
        <v>140.38</v>
      </c>
      <c r="E6">
        <v>9565.1</v>
      </c>
      <c r="F6">
        <v>139.38</v>
      </c>
      <c r="G6">
        <v>11198.24</v>
      </c>
      <c r="H6">
        <v>-1</v>
      </c>
      <c r="I6">
        <v>3915.61</v>
      </c>
    </row>
    <row r="7" spans="1:9">
      <c r="A7" t="s">
        <v>14</v>
      </c>
      <c r="B7">
        <v>148.47</v>
      </c>
      <c r="C7">
        <v>9773.43</v>
      </c>
      <c r="D7">
        <v>148.28</v>
      </c>
      <c r="E7">
        <v>9773.43</v>
      </c>
      <c r="F7">
        <v>147.65</v>
      </c>
      <c r="G7">
        <v>11283.43</v>
      </c>
      <c r="H7">
        <v>-1</v>
      </c>
      <c r="I7">
        <v>1905.17</v>
      </c>
    </row>
    <row r="8" spans="1:9">
      <c r="A8" t="s">
        <v>15</v>
      </c>
      <c r="B8">
        <v>132.14</v>
      </c>
      <c r="C8">
        <v>9075.85</v>
      </c>
      <c r="D8">
        <v>132.22</v>
      </c>
      <c r="E8">
        <v>9075.85</v>
      </c>
      <c r="F8">
        <v>131.73</v>
      </c>
      <c r="G8">
        <v>10471.61</v>
      </c>
      <c r="H8">
        <v>-1</v>
      </c>
      <c r="I8">
        <v>0</v>
      </c>
    </row>
    <row r="9" spans="1:9">
      <c r="A9" t="s">
        <v>16</v>
      </c>
      <c r="B9">
        <v>137.55</v>
      </c>
      <c r="C9">
        <v>9869.11</v>
      </c>
      <c r="D9">
        <v>137.72</v>
      </c>
      <c r="E9">
        <v>9869.11</v>
      </c>
      <c r="F9">
        <v>137.37</v>
      </c>
      <c r="G9">
        <v>11547.04</v>
      </c>
      <c r="H9">
        <v>-1</v>
      </c>
      <c r="I9">
        <v>0</v>
      </c>
    </row>
    <row r="10" spans="1:9">
      <c r="A10" t="s">
        <v>17</v>
      </c>
      <c r="B10">
        <v>138.84</v>
      </c>
      <c r="C10">
        <v>9311</v>
      </c>
      <c r="D10">
        <v>138.98</v>
      </c>
      <c r="E10">
        <v>9311</v>
      </c>
      <c r="F10">
        <v>138.31</v>
      </c>
      <c r="G10">
        <v>10724.58</v>
      </c>
      <c r="H10">
        <v>-1</v>
      </c>
      <c r="I10">
        <v>0</v>
      </c>
    </row>
    <row r="11" spans="1:9">
      <c r="A11" t="s">
        <v>18</v>
      </c>
      <c r="B11">
        <v>147.36</v>
      </c>
      <c r="C11">
        <v>10104.73</v>
      </c>
      <c r="D11">
        <v>147.49</v>
      </c>
      <c r="E11">
        <v>10104.73</v>
      </c>
      <c r="F11">
        <v>146.92</v>
      </c>
      <c r="G11">
        <v>11874.22</v>
      </c>
      <c r="H11">
        <v>-1</v>
      </c>
      <c r="I11">
        <v>1847.73</v>
      </c>
    </row>
    <row r="12" spans="1:9">
      <c r="A12" t="s">
        <v>19</v>
      </c>
      <c r="B12">
        <v>134.97</v>
      </c>
      <c r="C12">
        <v>9046.91</v>
      </c>
      <c r="D12">
        <v>134.83</v>
      </c>
      <c r="E12">
        <v>9046.91</v>
      </c>
      <c r="F12">
        <v>134.48</v>
      </c>
      <c r="G12">
        <v>10453.95</v>
      </c>
      <c r="H12">
        <v>-1</v>
      </c>
      <c r="I12">
        <v>1682.54</v>
      </c>
    </row>
    <row r="13" spans="1:9">
      <c r="A13" t="s">
        <v>20</v>
      </c>
      <c r="B13">
        <v>142.51</v>
      </c>
      <c r="C13">
        <v>9924.02</v>
      </c>
      <c r="D13">
        <v>142.84</v>
      </c>
      <c r="E13">
        <v>9924.02</v>
      </c>
      <c r="F13">
        <v>142.39</v>
      </c>
      <c r="G13">
        <v>11535.39</v>
      </c>
      <c r="H13">
        <v>-1</v>
      </c>
      <c r="I13">
        <v>0</v>
      </c>
    </row>
    <row r="14" spans="1:9">
      <c r="A14" t="s">
        <v>21</v>
      </c>
      <c r="B14">
        <v>145.82</v>
      </c>
      <c r="C14">
        <v>9993.11</v>
      </c>
      <c r="D14">
        <v>146.35</v>
      </c>
      <c r="E14">
        <v>9993.11</v>
      </c>
      <c r="F14">
        <v>145.22</v>
      </c>
      <c r="G14">
        <v>11480.97</v>
      </c>
      <c r="H14">
        <v>-1</v>
      </c>
      <c r="I14">
        <v>1818.27</v>
      </c>
    </row>
    <row r="15" spans="1:9">
      <c r="A15" t="s">
        <v>22</v>
      </c>
      <c r="B15">
        <v>137.45</v>
      </c>
      <c r="C15">
        <v>9050.7</v>
      </c>
      <c r="D15">
        <v>137.49</v>
      </c>
      <c r="E15">
        <v>9050.7</v>
      </c>
      <c r="F15">
        <v>136.41</v>
      </c>
      <c r="G15">
        <v>10518.85</v>
      </c>
      <c r="H15">
        <v>-1</v>
      </c>
      <c r="I15">
        <v>1513.99</v>
      </c>
    </row>
    <row r="16" spans="1:9">
      <c r="A16" t="s">
        <v>23</v>
      </c>
      <c r="B16">
        <v>139.68</v>
      </c>
      <c r="C16">
        <v>9369.08</v>
      </c>
      <c r="D16">
        <v>139.47</v>
      </c>
      <c r="E16">
        <v>9369.08</v>
      </c>
      <c r="F16">
        <v>138.67</v>
      </c>
      <c r="G16">
        <v>10903.22</v>
      </c>
      <c r="H16">
        <v>-1</v>
      </c>
      <c r="I16">
        <v>0</v>
      </c>
    </row>
    <row r="17" spans="1:9">
      <c r="A17" t="s">
        <v>24</v>
      </c>
      <c r="B17">
        <v>139.87</v>
      </c>
      <c r="C17">
        <v>9624.55</v>
      </c>
      <c r="D17">
        <v>140.07</v>
      </c>
      <c r="E17">
        <v>9624.55</v>
      </c>
      <c r="F17">
        <v>139.32</v>
      </c>
      <c r="G17">
        <v>11150.44</v>
      </c>
      <c r="H17">
        <v>-1</v>
      </c>
      <c r="I17">
        <v>0</v>
      </c>
    </row>
    <row r="18" spans="1:9">
      <c r="A18" t="s">
        <v>25</v>
      </c>
      <c r="B18">
        <v>140.93</v>
      </c>
      <c r="C18">
        <v>9672.95</v>
      </c>
      <c r="D18">
        <v>141.13</v>
      </c>
      <c r="E18">
        <v>9672.95</v>
      </c>
      <c r="F18">
        <v>140.49</v>
      </c>
      <c r="G18">
        <v>11235.92</v>
      </c>
      <c r="H18">
        <v>-1</v>
      </c>
      <c r="I18">
        <v>1875.09</v>
      </c>
    </row>
    <row r="19" spans="1:9">
      <c r="A19" t="s">
        <v>26</v>
      </c>
      <c r="B19">
        <v>139.68</v>
      </c>
      <c r="C19">
        <v>9376.5</v>
      </c>
      <c r="D19">
        <v>139.51</v>
      </c>
      <c r="E19">
        <v>9376.5</v>
      </c>
      <c r="F19">
        <v>139.27</v>
      </c>
      <c r="G19">
        <v>10967.98</v>
      </c>
      <c r="H19">
        <v>-1</v>
      </c>
      <c r="I19">
        <v>0</v>
      </c>
    </row>
    <row r="20" spans="1:9">
      <c r="A20" t="s">
        <v>27</v>
      </c>
      <c r="B20">
        <v>144.48</v>
      </c>
      <c r="C20">
        <v>9703.86</v>
      </c>
      <c r="D20">
        <v>144.8</v>
      </c>
      <c r="E20">
        <v>9703.86</v>
      </c>
      <c r="F20">
        <v>144.06</v>
      </c>
      <c r="G20">
        <v>11198.17</v>
      </c>
      <c r="H20">
        <v>-1</v>
      </c>
      <c r="I20">
        <v>0</v>
      </c>
    </row>
    <row r="21" spans="1:9">
      <c r="A21" t="s">
        <v>28</v>
      </c>
      <c r="B21">
        <v>138.49</v>
      </c>
      <c r="C21">
        <v>9397.63</v>
      </c>
      <c r="D21">
        <v>138.37</v>
      </c>
      <c r="E21">
        <v>9397.63</v>
      </c>
      <c r="F21">
        <v>137.63</v>
      </c>
      <c r="G21">
        <v>10848.15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="5" customFormat="1" spans="1:28">
      <c r="A24" s="4">
        <f>AVERAGE($B$2:$B$21)</f>
        <v>140.235</v>
      </c>
      <c r="B24" s="4">
        <f>AVERAGE($D$2:$D$21)</f>
        <v>140.3515</v>
      </c>
      <c r="C24" s="4">
        <f>AVERAGE($F$2:$F$21)</f>
        <v>139.688</v>
      </c>
      <c r="D24" s="4">
        <f>IFERROR(AVERAGEIF($H$2:$H$21,"&lt;&gt;-1"),0)</f>
        <v>0</v>
      </c>
      <c r="E24" s="4">
        <f>AVERAGE($C$2:$C$21)</f>
        <v>9571.511</v>
      </c>
      <c r="F24" s="4">
        <f>AVERAGE($E$2:$E$21)</f>
        <v>9571.511</v>
      </c>
      <c r="G24" s="4">
        <f>AVERAGE($G$2:$G$21)</f>
        <v>11111.1525</v>
      </c>
      <c r="H24" s="4">
        <f>IFERROR(AVERAGEIFS($I$2:$I$21,$H$2:$H$21,"&lt;&gt; -1"),0)</f>
        <v>0</v>
      </c>
      <c r="I24" s="4">
        <f>MAX($B$2:$B$21)</f>
        <v>148.47</v>
      </c>
      <c r="J24" s="4">
        <f>MAX($D$2:$D$21)</f>
        <v>148.28</v>
      </c>
      <c r="K24" s="4">
        <f>MAX($F$2:$F$21)</f>
        <v>147.65</v>
      </c>
      <c r="L24" s="4">
        <f>_xlfn.MAXIFS($H$2:$H$21,$H$2:$H$21,"&lt;&gt; -1")</f>
        <v>0</v>
      </c>
      <c r="M24" s="4">
        <f>MIN($B$2:$B$21)</f>
        <v>132.14</v>
      </c>
      <c r="N24" s="4">
        <f>MIN($D$2:$D$21)</f>
        <v>132.22</v>
      </c>
      <c r="O24" s="4">
        <f>MIN($F$2:$F$21)</f>
        <v>131.73</v>
      </c>
      <c r="P24" s="4">
        <f>_xlfn.MINIFS($H$2:$H$21,$H$2:$H$21,"&lt;&gt; -1")</f>
        <v>0</v>
      </c>
      <c r="Q24" s="4">
        <f>MAX($C$2:$C$21)</f>
        <v>10104.73</v>
      </c>
      <c r="R24" s="4">
        <f>MAX($E$2:$E$21)</f>
        <v>10104.73</v>
      </c>
      <c r="S24" s="4">
        <f>MAX($G$2:$G$21)</f>
        <v>11874.22</v>
      </c>
      <c r="T24" s="4">
        <f>_xlfn.MAXIFS($I$2:$I$21,$H$2:$H$21,"&lt;&gt; -1")</f>
        <v>0</v>
      </c>
      <c r="U24" s="4">
        <f>MIN($C$2:$C$21)</f>
        <v>9046.91</v>
      </c>
      <c r="V24" s="4">
        <f>MIN($E$2:$E$21)</f>
        <v>9046.91</v>
      </c>
      <c r="W24" s="4">
        <f>MIN($G$2:$G$21)</f>
        <v>10453.95</v>
      </c>
      <c r="X24" s="4">
        <f>_xlfn.MINIFS($I$2:$I$21,$H$2:$H$21,"&lt;&gt; -1")</f>
        <v>0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cols>
    <col min="7" max="7" width="10.9090909090909" customWidth="1"/>
    <col min="17" max="17" width="11.5454545454545" customWidth="1"/>
    <col min="18" max="19" width="11.6363636363636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158.58</v>
      </c>
      <c r="C2">
        <v>9692.39</v>
      </c>
      <c r="D2">
        <v>158.44</v>
      </c>
      <c r="E2">
        <v>9692.39</v>
      </c>
      <c r="F2">
        <v>157.7</v>
      </c>
      <c r="G2">
        <v>11265.26</v>
      </c>
      <c r="H2">
        <v>-1</v>
      </c>
      <c r="I2">
        <v>0</v>
      </c>
    </row>
    <row r="3" spans="1:9">
      <c r="A3" t="s">
        <v>10</v>
      </c>
      <c r="B3">
        <v>156.11</v>
      </c>
      <c r="C3">
        <v>9792.65</v>
      </c>
      <c r="D3">
        <v>155.94</v>
      </c>
      <c r="E3">
        <v>9792.65</v>
      </c>
      <c r="F3">
        <v>155.51</v>
      </c>
      <c r="G3">
        <v>11310.19</v>
      </c>
      <c r="H3">
        <v>-1</v>
      </c>
      <c r="I3">
        <v>0</v>
      </c>
    </row>
    <row r="4" spans="1:9">
      <c r="A4" t="s">
        <v>11</v>
      </c>
      <c r="B4">
        <v>159.17</v>
      </c>
      <c r="C4">
        <v>9890.49</v>
      </c>
      <c r="D4">
        <v>159.49</v>
      </c>
      <c r="E4">
        <v>9890.49</v>
      </c>
      <c r="F4">
        <v>158.51</v>
      </c>
      <c r="G4">
        <v>11478.13</v>
      </c>
      <c r="H4">
        <v>-1</v>
      </c>
      <c r="I4">
        <v>0</v>
      </c>
    </row>
    <row r="5" spans="1:9">
      <c r="A5" t="s">
        <v>12</v>
      </c>
      <c r="B5">
        <v>157.84</v>
      </c>
      <c r="C5">
        <v>9787.53</v>
      </c>
      <c r="D5">
        <v>158.08</v>
      </c>
      <c r="E5">
        <v>9787.53</v>
      </c>
      <c r="F5">
        <v>157.57</v>
      </c>
      <c r="G5">
        <v>11337.09</v>
      </c>
      <c r="H5">
        <v>-1</v>
      </c>
      <c r="I5">
        <v>2348.11</v>
      </c>
    </row>
    <row r="6" spans="1:9">
      <c r="A6" t="s">
        <v>13</v>
      </c>
      <c r="B6">
        <v>158.92</v>
      </c>
      <c r="C6">
        <v>9904.38</v>
      </c>
      <c r="D6">
        <v>159.36</v>
      </c>
      <c r="E6">
        <v>9904.38</v>
      </c>
      <c r="F6">
        <v>158.51</v>
      </c>
      <c r="G6">
        <v>11639.56</v>
      </c>
      <c r="H6">
        <v>-1</v>
      </c>
      <c r="I6">
        <v>0</v>
      </c>
    </row>
    <row r="7" spans="1:9">
      <c r="A7" t="s">
        <v>14</v>
      </c>
      <c r="B7">
        <v>163.2</v>
      </c>
      <c r="C7">
        <v>10108.38</v>
      </c>
      <c r="D7">
        <v>163.22</v>
      </c>
      <c r="E7">
        <v>10108.38</v>
      </c>
      <c r="F7">
        <v>162.95</v>
      </c>
      <c r="G7">
        <v>11688.27</v>
      </c>
      <c r="H7">
        <v>-1</v>
      </c>
      <c r="I7">
        <v>0</v>
      </c>
    </row>
    <row r="8" spans="1:9">
      <c r="A8" t="s">
        <v>15</v>
      </c>
      <c r="B8">
        <v>150.77</v>
      </c>
      <c r="C8">
        <v>9285.08</v>
      </c>
      <c r="D8">
        <v>150.82</v>
      </c>
      <c r="E8">
        <v>9285.08</v>
      </c>
      <c r="F8">
        <v>149.95</v>
      </c>
      <c r="G8">
        <v>10656.63</v>
      </c>
      <c r="H8">
        <v>-1</v>
      </c>
      <c r="I8">
        <v>0</v>
      </c>
    </row>
    <row r="9" spans="1:9">
      <c r="A9" t="s">
        <v>16</v>
      </c>
      <c r="B9">
        <v>156</v>
      </c>
      <c r="C9">
        <v>9582.52</v>
      </c>
      <c r="D9">
        <v>156.35</v>
      </c>
      <c r="E9">
        <v>9582.52</v>
      </c>
      <c r="F9">
        <v>155.35</v>
      </c>
      <c r="G9">
        <v>11174.98</v>
      </c>
      <c r="H9">
        <v>-1</v>
      </c>
      <c r="I9">
        <v>0</v>
      </c>
    </row>
    <row r="10" spans="1:9">
      <c r="A10" t="s">
        <v>17</v>
      </c>
      <c r="B10">
        <v>156.09</v>
      </c>
      <c r="C10">
        <v>9892.94</v>
      </c>
      <c r="D10">
        <v>156.32</v>
      </c>
      <c r="E10">
        <v>9892.94</v>
      </c>
      <c r="F10">
        <v>155.1</v>
      </c>
      <c r="G10">
        <v>11555.21</v>
      </c>
      <c r="H10">
        <v>-1</v>
      </c>
      <c r="I10">
        <v>0</v>
      </c>
    </row>
    <row r="11" spans="1:9">
      <c r="A11" t="s">
        <v>18</v>
      </c>
      <c r="B11">
        <v>176.88</v>
      </c>
      <c r="C11">
        <v>10298.6</v>
      </c>
      <c r="D11">
        <v>176.75</v>
      </c>
      <c r="E11">
        <v>10298.6</v>
      </c>
      <c r="F11">
        <v>175.42</v>
      </c>
      <c r="G11">
        <v>11974.41</v>
      </c>
      <c r="H11">
        <v>-1</v>
      </c>
      <c r="I11">
        <v>0</v>
      </c>
    </row>
    <row r="12" spans="1:9">
      <c r="A12" t="s">
        <v>19</v>
      </c>
      <c r="B12">
        <v>153.89</v>
      </c>
      <c r="C12">
        <v>9120.07</v>
      </c>
      <c r="D12">
        <v>153.65</v>
      </c>
      <c r="E12">
        <v>9120.07</v>
      </c>
      <c r="F12">
        <v>152.98</v>
      </c>
      <c r="G12">
        <v>10582.2</v>
      </c>
      <c r="H12">
        <v>-1</v>
      </c>
      <c r="I12">
        <v>0</v>
      </c>
    </row>
    <row r="13" spans="1:9">
      <c r="A13" t="s">
        <v>20</v>
      </c>
      <c r="B13">
        <v>165.08</v>
      </c>
      <c r="C13">
        <v>9662.08</v>
      </c>
      <c r="D13">
        <v>165.33</v>
      </c>
      <c r="E13">
        <v>9662.08</v>
      </c>
      <c r="F13">
        <v>164.92</v>
      </c>
      <c r="G13">
        <v>11161.65</v>
      </c>
      <c r="H13">
        <v>-1</v>
      </c>
      <c r="I13">
        <v>0</v>
      </c>
    </row>
    <row r="14" spans="1:9">
      <c r="A14" t="s">
        <v>21</v>
      </c>
      <c r="B14">
        <v>165.36</v>
      </c>
      <c r="C14">
        <v>9852.2</v>
      </c>
      <c r="D14">
        <v>165.41</v>
      </c>
      <c r="E14">
        <v>9852.2</v>
      </c>
      <c r="F14">
        <v>164.57</v>
      </c>
      <c r="G14">
        <v>11248.98</v>
      </c>
      <c r="H14">
        <v>-1</v>
      </c>
      <c r="I14">
        <v>0</v>
      </c>
    </row>
    <row r="15" spans="1:9">
      <c r="A15" t="s">
        <v>22</v>
      </c>
      <c r="B15">
        <v>156.78</v>
      </c>
      <c r="C15">
        <v>9810.22</v>
      </c>
      <c r="D15">
        <v>156.74</v>
      </c>
      <c r="E15">
        <v>9810.22</v>
      </c>
      <c r="F15">
        <v>156.21</v>
      </c>
      <c r="G15">
        <v>11347.37</v>
      </c>
      <c r="H15">
        <v>-1</v>
      </c>
      <c r="I15">
        <v>0</v>
      </c>
    </row>
    <row r="16" spans="1:9">
      <c r="A16" t="s">
        <v>23</v>
      </c>
      <c r="B16">
        <v>159.34</v>
      </c>
      <c r="C16">
        <v>9652.89</v>
      </c>
      <c r="D16">
        <v>159.49</v>
      </c>
      <c r="E16">
        <v>9652.89</v>
      </c>
      <c r="F16">
        <v>158.92</v>
      </c>
      <c r="G16">
        <v>11212.52</v>
      </c>
      <c r="H16">
        <v>-1</v>
      </c>
      <c r="I16">
        <v>0</v>
      </c>
    </row>
    <row r="17" spans="1:9">
      <c r="A17" t="s">
        <v>24</v>
      </c>
      <c r="B17">
        <v>155.63</v>
      </c>
      <c r="C17">
        <v>9326.49</v>
      </c>
      <c r="D17">
        <v>155.63</v>
      </c>
      <c r="E17">
        <v>9408.67</v>
      </c>
      <c r="F17">
        <v>154.85</v>
      </c>
      <c r="G17">
        <v>10674.51</v>
      </c>
      <c r="H17">
        <v>-1</v>
      </c>
      <c r="I17">
        <v>0</v>
      </c>
    </row>
    <row r="18" spans="1:9">
      <c r="A18" t="s">
        <v>25</v>
      </c>
      <c r="B18">
        <v>156.96</v>
      </c>
      <c r="C18">
        <v>9649.69</v>
      </c>
      <c r="D18">
        <v>157.07</v>
      </c>
      <c r="E18">
        <v>9649.69</v>
      </c>
      <c r="F18">
        <v>156.74</v>
      </c>
      <c r="G18">
        <v>11116.9</v>
      </c>
      <c r="H18">
        <v>-1</v>
      </c>
      <c r="I18">
        <v>0</v>
      </c>
    </row>
    <row r="19" spans="1:9">
      <c r="A19" t="s">
        <v>26</v>
      </c>
      <c r="B19">
        <v>159.1</v>
      </c>
      <c r="C19">
        <v>9105.06</v>
      </c>
      <c r="D19">
        <v>158.75</v>
      </c>
      <c r="E19">
        <v>9105.06</v>
      </c>
      <c r="F19">
        <v>158.17</v>
      </c>
      <c r="G19">
        <v>10596.5</v>
      </c>
      <c r="H19">
        <v>-1</v>
      </c>
      <c r="I19">
        <v>0</v>
      </c>
    </row>
    <row r="20" spans="1:9">
      <c r="A20" t="s">
        <v>27</v>
      </c>
      <c r="B20">
        <v>161.1</v>
      </c>
      <c r="C20">
        <v>9740.51</v>
      </c>
      <c r="D20">
        <v>161.11</v>
      </c>
      <c r="E20">
        <v>9740.51</v>
      </c>
      <c r="F20">
        <v>160.66</v>
      </c>
      <c r="G20">
        <v>11282.6</v>
      </c>
      <c r="H20">
        <v>-1</v>
      </c>
      <c r="I20">
        <v>0</v>
      </c>
    </row>
    <row r="21" spans="1:9">
      <c r="A21" t="s">
        <v>28</v>
      </c>
      <c r="B21">
        <v>162.84</v>
      </c>
      <c r="C21">
        <v>9804.75</v>
      </c>
      <c r="D21">
        <v>162.95</v>
      </c>
      <c r="E21">
        <v>9804.75</v>
      </c>
      <c r="F21">
        <v>162.47</v>
      </c>
      <c r="G21">
        <v>11256.99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159.482</v>
      </c>
      <c r="B24" s="4">
        <f>AVERAGE($D$2:$D$21)</f>
        <v>159.545</v>
      </c>
      <c r="C24" s="4">
        <f>AVERAGE($F$2:$F$21)</f>
        <v>158.853</v>
      </c>
      <c r="D24" s="4">
        <f>IFERROR(AVERAGEIF($H$2:$H$21,"&lt;&gt;-1"),0)</f>
        <v>0</v>
      </c>
      <c r="E24" s="4">
        <f>AVERAGE($C$2:$C$21)</f>
        <v>9697.946</v>
      </c>
      <c r="F24" s="4">
        <f>AVERAGE($E$2:$E$21)</f>
        <v>9702.055</v>
      </c>
      <c r="G24" s="4">
        <f>AVERAGE($G$2:$G$21)</f>
        <v>11227.9975</v>
      </c>
      <c r="H24" s="4">
        <f>IFERROR(AVERAGEIFS($I$2:$I$21,$H$2:$H$21,"&lt;&gt; -1"),0)</f>
        <v>0</v>
      </c>
      <c r="I24" s="4">
        <f>MAX($B$2:$B$21)</f>
        <v>176.88</v>
      </c>
      <c r="J24" s="4">
        <f>MAX($D$2:$D$21)</f>
        <v>176.75</v>
      </c>
      <c r="K24" s="4">
        <f>MAX($F$2:$F$21)</f>
        <v>175.42</v>
      </c>
      <c r="L24" s="4">
        <f>_xlfn.MAXIFS($H$2:$H$21,$H$2:$H$21,"&lt;&gt; -1")</f>
        <v>0</v>
      </c>
      <c r="M24" s="4">
        <f>MIN($B$2:$B$21)</f>
        <v>150.77</v>
      </c>
      <c r="N24" s="4">
        <f>MIN($D$2:$D$21)</f>
        <v>150.82</v>
      </c>
      <c r="O24" s="4">
        <f>MIN($F$2:$F$21)</f>
        <v>149.95</v>
      </c>
      <c r="P24" s="4">
        <f>_xlfn.MINIFS($H$2:$H$21,$H$2:$H$21,"&lt;&gt; -1")</f>
        <v>0</v>
      </c>
      <c r="Q24" s="4">
        <f>MAX($C$2:$C$21)</f>
        <v>10298.6</v>
      </c>
      <c r="R24" s="4">
        <f>MAX($E$2:$E$21)</f>
        <v>10298.6</v>
      </c>
      <c r="S24" s="4">
        <f>MAX($G$2:$G$21)</f>
        <v>11974.41</v>
      </c>
      <c r="T24" s="4">
        <f>_xlfn.MAXIFS($I$2:$I$21,$H$2:$H$21,"&lt;&gt; -1")</f>
        <v>0</v>
      </c>
      <c r="U24" s="4">
        <f>MIN($C$2:$C$21)</f>
        <v>9105.06</v>
      </c>
      <c r="V24" s="4">
        <f>MIN($E$2:$E$21)</f>
        <v>9105.06</v>
      </c>
      <c r="W24" s="4">
        <f>MIN($G$2:$G$21)</f>
        <v>10582.2</v>
      </c>
      <c r="X24" s="4">
        <f>_xlfn.MINIFS($I$2:$I$21,$H$2:$H$21,"&lt;&gt; -1")</f>
        <v>0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workbookViewId="0">
      <selection activeCell="A24" sqref="$A24:$XFD24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184.74</v>
      </c>
      <c r="C2">
        <v>9425.83</v>
      </c>
      <c r="D2">
        <v>184.76</v>
      </c>
      <c r="E2">
        <v>9425.83</v>
      </c>
      <c r="F2">
        <v>184.4</v>
      </c>
      <c r="G2">
        <v>10944.96</v>
      </c>
      <c r="H2">
        <v>-1</v>
      </c>
      <c r="I2">
        <v>0</v>
      </c>
    </row>
    <row r="3" spans="1:9">
      <c r="A3" t="s">
        <v>10</v>
      </c>
      <c r="B3">
        <v>172.99</v>
      </c>
      <c r="C3">
        <v>9201.07</v>
      </c>
      <c r="D3">
        <v>173.36</v>
      </c>
      <c r="E3">
        <v>9201.07</v>
      </c>
      <c r="F3">
        <v>172.47</v>
      </c>
      <c r="G3">
        <v>10660.19</v>
      </c>
      <c r="H3">
        <v>-1</v>
      </c>
      <c r="I3">
        <v>0</v>
      </c>
    </row>
    <row r="4" spans="1:9">
      <c r="A4" t="s">
        <v>11</v>
      </c>
      <c r="B4">
        <v>176.57</v>
      </c>
      <c r="C4">
        <v>9169.26</v>
      </c>
      <c r="D4">
        <v>176.53</v>
      </c>
      <c r="E4">
        <v>9169.26</v>
      </c>
      <c r="F4">
        <v>176.09</v>
      </c>
      <c r="G4">
        <v>10543.34</v>
      </c>
      <c r="H4">
        <v>-1</v>
      </c>
      <c r="I4">
        <v>0</v>
      </c>
    </row>
    <row r="5" spans="1:9">
      <c r="A5" t="s">
        <v>12</v>
      </c>
      <c r="B5">
        <v>134.08</v>
      </c>
      <c r="C5">
        <v>9624.85</v>
      </c>
      <c r="D5">
        <v>134.12</v>
      </c>
      <c r="E5">
        <v>9624.85</v>
      </c>
      <c r="F5">
        <v>133.61</v>
      </c>
      <c r="G5">
        <v>11209.71</v>
      </c>
      <c r="H5">
        <v>-1</v>
      </c>
      <c r="I5">
        <v>0</v>
      </c>
    </row>
    <row r="6" spans="1:9">
      <c r="A6" t="s">
        <v>13</v>
      </c>
      <c r="B6">
        <v>132.76</v>
      </c>
      <c r="C6">
        <v>9819.81</v>
      </c>
      <c r="D6">
        <v>132.8</v>
      </c>
      <c r="E6">
        <v>9819.81</v>
      </c>
      <c r="F6">
        <v>132.31</v>
      </c>
      <c r="G6">
        <v>11439.96</v>
      </c>
      <c r="H6">
        <v>-1</v>
      </c>
      <c r="I6">
        <v>0</v>
      </c>
    </row>
    <row r="7" spans="1:9">
      <c r="A7" t="s">
        <v>14</v>
      </c>
      <c r="B7">
        <v>129.88</v>
      </c>
      <c r="C7">
        <v>9494.32</v>
      </c>
      <c r="D7">
        <v>129.92</v>
      </c>
      <c r="E7">
        <v>9494.32</v>
      </c>
      <c r="F7">
        <v>129.49</v>
      </c>
      <c r="G7">
        <v>10972.86</v>
      </c>
      <c r="H7">
        <v>-1</v>
      </c>
      <c r="I7">
        <v>0</v>
      </c>
    </row>
    <row r="8" spans="1:9">
      <c r="A8" t="s">
        <v>15</v>
      </c>
      <c r="B8">
        <v>121.17</v>
      </c>
      <c r="C8">
        <v>9004.18</v>
      </c>
      <c r="D8">
        <v>121.18</v>
      </c>
      <c r="E8">
        <v>9004.18</v>
      </c>
      <c r="F8">
        <v>120.79</v>
      </c>
      <c r="G8">
        <v>10446.67</v>
      </c>
      <c r="H8">
        <v>-1</v>
      </c>
      <c r="I8">
        <v>0</v>
      </c>
    </row>
    <row r="9" spans="1:9">
      <c r="A9" t="s">
        <v>16</v>
      </c>
      <c r="B9">
        <v>127.61</v>
      </c>
      <c r="C9">
        <v>10020.66</v>
      </c>
      <c r="D9">
        <v>127.67</v>
      </c>
      <c r="E9">
        <v>10020.66</v>
      </c>
      <c r="F9">
        <v>127.23</v>
      </c>
      <c r="G9">
        <v>11706.97</v>
      </c>
      <c r="H9">
        <v>-1</v>
      </c>
      <c r="I9">
        <v>0</v>
      </c>
    </row>
    <row r="10" spans="1:9">
      <c r="A10" t="s">
        <v>17</v>
      </c>
      <c r="B10">
        <v>124.53</v>
      </c>
      <c r="C10">
        <v>9327.32</v>
      </c>
      <c r="D10">
        <v>124.51</v>
      </c>
      <c r="E10">
        <v>9327.32</v>
      </c>
      <c r="F10">
        <v>123.94</v>
      </c>
      <c r="G10">
        <v>10814.04</v>
      </c>
      <c r="H10">
        <v>-1</v>
      </c>
      <c r="I10">
        <v>0</v>
      </c>
    </row>
    <row r="11" spans="1:9">
      <c r="A11" t="s">
        <v>18</v>
      </c>
      <c r="B11">
        <v>137.2</v>
      </c>
      <c r="C11">
        <v>10527.92</v>
      </c>
      <c r="D11">
        <v>137.26</v>
      </c>
      <c r="E11">
        <v>10527.92</v>
      </c>
      <c r="F11">
        <v>136.76</v>
      </c>
      <c r="G11">
        <v>12206.84</v>
      </c>
      <c r="H11">
        <v>-1</v>
      </c>
      <c r="I11">
        <v>0</v>
      </c>
    </row>
    <row r="12" spans="1:9">
      <c r="A12" t="s">
        <v>19</v>
      </c>
      <c r="B12">
        <v>123.93</v>
      </c>
      <c r="C12">
        <v>8985.51</v>
      </c>
      <c r="D12">
        <v>124.01</v>
      </c>
      <c r="E12">
        <v>8985.51</v>
      </c>
      <c r="F12">
        <v>123.57</v>
      </c>
      <c r="G12">
        <v>10384.48</v>
      </c>
      <c r="H12">
        <v>-1</v>
      </c>
      <c r="I12">
        <v>0</v>
      </c>
    </row>
    <row r="13" spans="1:9">
      <c r="A13" t="s">
        <v>20</v>
      </c>
      <c r="B13">
        <v>129.72</v>
      </c>
      <c r="C13">
        <v>9354.3</v>
      </c>
      <c r="D13">
        <v>129.72</v>
      </c>
      <c r="E13">
        <v>9354.3</v>
      </c>
      <c r="F13">
        <v>129.34</v>
      </c>
      <c r="G13">
        <v>10787.04</v>
      </c>
      <c r="H13">
        <v>-1</v>
      </c>
      <c r="I13">
        <v>0</v>
      </c>
    </row>
    <row r="14" spans="1:9">
      <c r="A14" t="s">
        <v>21</v>
      </c>
      <c r="B14">
        <v>128.95</v>
      </c>
      <c r="C14">
        <v>10133.12</v>
      </c>
      <c r="D14">
        <v>128.87</v>
      </c>
      <c r="E14">
        <v>10133.12</v>
      </c>
      <c r="F14">
        <v>128.46</v>
      </c>
      <c r="G14">
        <v>11616.47</v>
      </c>
      <c r="H14">
        <v>-1</v>
      </c>
      <c r="I14">
        <v>0</v>
      </c>
    </row>
    <row r="15" spans="1:9">
      <c r="A15" t="s">
        <v>22</v>
      </c>
      <c r="B15">
        <v>122.57</v>
      </c>
      <c r="C15">
        <v>9380.44</v>
      </c>
      <c r="D15">
        <v>122.49</v>
      </c>
      <c r="E15">
        <v>9380.44</v>
      </c>
      <c r="F15">
        <v>122.16</v>
      </c>
      <c r="G15">
        <v>10913.88</v>
      </c>
      <c r="H15">
        <v>-1</v>
      </c>
      <c r="I15">
        <v>0</v>
      </c>
    </row>
    <row r="16" spans="1:9">
      <c r="A16" t="s">
        <v>23</v>
      </c>
      <c r="B16">
        <v>126.86</v>
      </c>
      <c r="C16">
        <v>9617.76</v>
      </c>
      <c r="D16">
        <v>126.77</v>
      </c>
      <c r="E16">
        <v>9617.76</v>
      </c>
      <c r="F16">
        <v>126.37</v>
      </c>
      <c r="G16">
        <v>11205.22</v>
      </c>
      <c r="H16">
        <v>-1</v>
      </c>
      <c r="I16">
        <v>0</v>
      </c>
    </row>
    <row r="17" spans="1:9">
      <c r="A17" t="s">
        <v>24</v>
      </c>
      <c r="B17">
        <v>126.62</v>
      </c>
      <c r="C17">
        <v>9823.56</v>
      </c>
      <c r="D17">
        <v>126.61</v>
      </c>
      <c r="E17">
        <v>9828.39</v>
      </c>
      <c r="F17">
        <v>126.11</v>
      </c>
      <c r="G17">
        <v>11144.05</v>
      </c>
      <c r="H17">
        <v>-1</v>
      </c>
      <c r="I17">
        <v>0</v>
      </c>
    </row>
    <row r="18" spans="1:9">
      <c r="A18" t="s">
        <v>25</v>
      </c>
      <c r="B18">
        <v>127.49</v>
      </c>
      <c r="C18">
        <v>9415.73</v>
      </c>
      <c r="D18">
        <v>127.49</v>
      </c>
      <c r="E18">
        <v>9415.73</v>
      </c>
      <c r="F18">
        <v>127.09</v>
      </c>
      <c r="G18">
        <v>10875.78</v>
      </c>
      <c r="H18">
        <v>-1</v>
      </c>
      <c r="I18">
        <v>0</v>
      </c>
    </row>
    <row r="19" spans="1:9">
      <c r="A19" t="s">
        <v>26</v>
      </c>
      <c r="B19">
        <v>125.25</v>
      </c>
      <c r="C19">
        <v>9439.16</v>
      </c>
      <c r="D19">
        <v>125.17</v>
      </c>
      <c r="E19">
        <v>9439.16</v>
      </c>
      <c r="F19">
        <v>124.73</v>
      </c>
      <c r="G19">
        <v>10993.63</v>
      </c>
      <c r="H19">
        <v>-1</v>
      </c>
      <c r="I19">
        <v>0</v>
      </c>
    </row>
    <row r="20" spans="1:9">
      <c r="A20" t="s">
        <v>27</v>
      </c>
      <c r="B20">
        <v>146.09</v>
      </c>
      <c r="C20">
        <v>9403.26</v>
      </c>
      <c r="D20">
        <v>146.15</v>
      </c>
      <c r="E20">
        <v>9403.26</v>
      </c>
      <c r="F20">
        <v>145.73</v>
      </c>
      <c r="G20">
        <v>10866.29</v>
      </c>
      <c r="H20">
        <v>-1</v>
      </c>
      <c r="I20">
        <v>0</v>
      </c>
    </row>
    <row r="21" spans="1:9">
      <c r="A21" t="s">
        <v>28</v>
      </c>
      <c r="B21">
        <v>127.04</v>
      </c>
      <c r="C21">
        <v>9530.19</v>
      </c>
      <c r="D21">
        <v>127.12</v>
      </c>
      <c r="E21">
        <v>9530.19</v>
      </c>
      <c r="F21">
        <v>126.62</v>
      </c>
      <c r="G21">
        <v>10936.48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136.3025</v>
      </c>
      <c r="B24" s="4">
        <f>AVERAGE($D$2:$D$21)</f>
        <v>136.3255</v>
      </c>
      <c r="C24" s="4">
        <f>AVERAGE($F$2:$F$21)</f>
        <v>135.8635</v>
      </c>
      <c r="D24" s="4">
        <f>IFERROR(AVERAGEIF($H$2:$H$21,"&lt;&gt;-1"),0)</f>
        <v>0</v>
      </c>
      <c r="E24" s="4">
        <f>AVERAGE($C$2:$C$21)</f>
        <v>9534.9125</v>
      </c>
      <c r="F24" s="4">
        <f>AVERAGE($E$2:$E$21)</f>
        <v>9535.154</v>
      </c>
      <c r="G24" s="4">
        <f>AVERAGE($G$2:$G$21)</f>
        <v>11033.443</v>
      </c>
      <c r="H24" s="4">
        <f>IFERROR(AVERAGEIFS($I$2:$I$21,$H$2:$H$21,"&lt;&gt; -1"),0)</f>
        <v>0</v>
      </c>
      <c r="I24" s="4">
        <f>MAX($B$2:$B$21)</f>
        <v>184.74</v>
      </c>
      <c r="J24" s="4">
        <f>MAX($D$2:$D$21)</f>
        <v>184.76</v>
      </c>
      <c r="K24" s="4">
        <f>MAX($F$2:$F$21)</f>
        <v>184.4</v>
      </c>
      <c r="L24" s="4">
        <f>_xlfn.MAXIFS($H$2:$H$21,$H$2:$H$21,"&lt;&gt; -1")</f>
        <v>0</v>
      </c>
      <c r="M24" s="4">
        <f>MIN($B$2:$B$21)</f>
        <v>121.17</v>
      </c>
      <c r="N24" s="4">
        <f>MIN($D$2:$D$21)</f>
        <v>121.18</v>
      </c>
      <c r="O24" s="4">
        <f>MIN($F$2:$F$21)</f>
        <v>120.79</v>
      </c>
      <c r="P24" s="4">
        <f>_xlfn.MINIFS($H$2:$H$21,$H$2:$H$21,"&lt;&gt; -1")</f>
        <v>0</v>
      </c>
      <c r="Q24" s="4">
        <f>MAX($C$2:$C$21)</f>
        <v>10527.92</v>
      </c>
      <c r="R24" s="4">
        <f>MAX($E$2:$E$21)</f>
        <v>10527.92</v>
      </c>
      <c r="S24" s="4">
        <f>MAX($G$2:$G$21)</f>
        <v>12206.84</v>
      </c>
      <c r="T24" s="4">
        <f>_xlfn.MAXIFS($I$2:$I$21,$H$2:$H$21,"&lt;&gt; -1")</f>
        <v>0</v>
      </c>
      <c r="U24" s="4">
        <f>MIN($C$2:$C$21)</f>
        <v>8985.51</v>
      </c>
      <c r="V24" s="4">
        <f>MIN($E$2:$E$21)</f>
        <v>8985.51</v>
      </c>
      <c r="W24" s="4">
        <f>MIN($G$2:$G$21)</f>
        <v>10384.48</v>
      </c>
      <c r="X24" s="4">
        <f>_xlfn.MINIFS($I$2:$I$21,$H$2:$H$21,"&lt;&gt; -1")</f>
        <v>0</v>
      </c>
      <c r="Y24" s="4">
        <f>(COUNTIFS($B$2:$B$21,"&gt;0.0",$B$2:$B$21,"&lt;200.0"))/20</f>
        <v>1</v>
      </c>
      <c r="Z24" s="4">
        <f>(COUNTIFS($D$2:$D$21,"&gt;0.0",$D$2:$D$21,"&lt;200.0"))/20</f>
        <v>1</v>
      </c>
      <c r="AA24" s="4">
        <f>(COUNTIFS($F$2:$F$21,"&gt;0.0",$F$2:$F$21,"&lt;200.0"))/20</f>
        <v>1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topLeftCell="A4" workbookViewId="0">
      <selection activeCell="A25" sqref="$A25:$XFD25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141.35</v>
      </c>
      <c r="C2">
        <v>9152.51</v>
      </c>
      <c r="D2">
        <v>141.28</v>
      </c>
      <c r="E2">
        <v>9152.51</v>
      </c>
      <c r="F2">
        <v>141</v>
      </c>
      <c r="G2">
        <v>10700.89</v>
      </c>
      <c r="H2">
        <v>-1</v>
      </c>
      <c r="I2">
        <v>0</v>
      </c>
    </row>
    <row r="3" spans="1:9">
      <c r="A3" t="s">
        <v>10</v>
      </c>
      <c r="B3">
        <v>142.85</v>
      </c>
      <c r="C3">
        <v>9390.65</v>
      </c>
      <c r="D3">
        <v>142.83</v>
      </c>
      <c r="E3">
        <v>9390.65</v>
      </c>
      <c r="F3">
        <v>142.47</v>
      </c>
      <c r="G3">
        <v>10863.21</v>
      </c>
      <c r="H3">
        <v>-1</v>
      </c>
      <c r="I3">
        <v>0</v>
      </c>
    </row>
    <row r="4" spans="1:9">
      <c r="A4" t="s">
        <v>11</v>
      </c>
      <c r="B4">
        <v>139.99</v>
      </c>
      <c r="C4">
        <v>9480.43</v>
      </c>
      <c r="D4">
        <v>139.94</v>
      </c>
      <c r="E4">
        <v>9480.43</v>
      </c>
      <c r="F4">
        <v>139.59</v>
      </c>
      <c r="G4">
        <v>10896.55</v>
      </c>
      <c r="H4">
        <v>-1</v>
      </c>
      <c r="I4">
        <v>7045.6</v>
      </c>
    </row>
    <row r="5" spans="1:9">
      <c r="A5" t="s">
        <v>12</v>
      </c>
      <c r="B5">
        <v>142.58</v>
      </c>
      <c r="C5">
        <v>9562.98</v>
      </c>
      <c r="D5">
        <v>142.64</v>
      </c>
      <c r="E5">
        <v>9562.98</v>
      </c>
      <c r="F5">
        <v>142.19</v>
      </c>
      <c r="G5">
        <v>11046.35</v>
      </c>
      <c r="H5">
        <v>-1</v>
      </c>
      <c r="I5">
        <v>0</v>
      </c>
    </row>
    <row r="6" spans="1:9">
      <c r="A6" t="s">
        <v>13</v>
      </c>
      <c r="B6">
        <v>202.7</v>
      </c>
      <c r="C6">
        <v>9727.19</v>
      </c>
      <c r="D6">
        <v>202.59</v>
      </c>
      <c r="E6">
        <v>9727.19</v>
      </c>
      <c r="F6">
        <v>202</v>
      </c>
      <c r="G6">
        <v>11260.35</v>
      </c>
      <c r="H6">
        <v>-1</v>
      </c>
      <c r="I6">
        <v>0</v>
      </c>
    </row>
    <row r="7" spans="1:9">
      <c r="A7" t="s">
        <v>14</v>
      </c>
      <c r="B7">
        <v>208.9</v>
      </c>
      <c r="C7">
        <v>9890.95</v>
      </c>
      <c r="D7">
        <v>209.1</v>
      </c>
      <c r="E7">
        <v>9890.95</v>
      </c>
      <c r="F7">
        <v>208.25</v>
      </c>
      <c r="G7">
        <v>11360.31</v>
      </c>
      <c r="H7">
        <v>-1</v>
      </c>
      <c r="I7">
        <v>0</v>
      </c>
    </row>
    <row r="8" spans="1:9">
      <c r="A8" t="s">
        <v>15</v>
      </c>
      <c r="B8">
        <v>183.94</v>
      </c>
      <c r="C8">
        <v>8874.29</v>
      </c>
      <c r="D8">
        <v>184.15</v>
      </c>
      <c r="E8">
        <v>8874.29</v>
      </c>
      <c r="F8">
        <v>183.56</v>
      </c>
      <c r="G8">
        <v>10168.91</v>
      </c>
      <c r="H8">
        <v>-1</v>
      </c>
      <c r="I8">
        <v>0</v>
      </c>
    </row>
    <row r="9" spans="1:9">
      <c r="A9" t="s">
        <v>16</v>
      </c>
      <c r="B9">
        <v>205.54</v>
      </c>
      <c r="C9">
        <v>9709.74</v>
      </c>
      <c r="D9">
        <v>205.45</v>
      </c>
      <c r="E9">
        <v>9709.74</v>
      </c>
      <c r="F9">
        <v>204.9</v>
      </c>
      <c r="G9">
        <v>11283.71</v>
      </c>
      <c r="H9">
        <v>-1</v>
      </c>
      <c r="I9">
        <v>0</v>
      </c>
    </row>
    <row r="10" spans="1:9">
      <c r="A10" t="s">
        <v>17</v>
      </c>
      <c r="B10">
        <v>198.6</v>
      </c>
      <c r="C10">
        <v>9247.33</v>
      </c>
      <c r="D10">
        <v>198.87</v>
      </c>
      <c r="E10">
        <v>9247.33</v>
      </c>
      <c r="F10">
        <v>198.51</v>
      </c>
      <c r="G10">
        <v>10711.64</v>
      </c>
      <c r="H10">
        <v>-1</v>
      </c>
      <c r="I10">
        <v>0</v>
      </c>
    </row>
    <row r="11" spans="1:9">
      <c r="A11" t="s">
        <v>18</v>
      </c>
      <c r="B11">
        <v>220.68</v>
      </c>
      <c r="C11">
        <v>10469.76</v>
      </c>
      <c r="D11">
        <v>220.43</v>
      </c>
      <c r="E11">
        <v>10469.76</v>
      </c>
      <c r="F11">
        <v>219.56</v>
      </c>
      <c r="G11">
        <v>12164.54</v>
      </c>
      <c r="H11">
        <v>-1</v>
      </c>
      <c r="I11">
        <v>0</v>
      </c>
    </row>
    <row r="12" spans="1:9">
      <c r="A12" t="s">
        <v>19</v>
      </c>
      <c r="B12">
        <v>196.83</v>
      </c>
      <c r="C12">
        <v>9609.69</v>
      </c>
      <c r="D12">
        <v>196.32</v>
      </c>
      <c r="E12">
        <v>9609.69</v>
      </c>
      <c r="F12">
        <v>196.32</v>
      </c>
      <c r="G12">
        <v>11042.87</v>
      </c>
      <c r="H12">
        <v>-1</v>
      </c>
      <c r="I12">
        <v>0</v>
      </c>
    </row>
    <row r="13" spans="1:9">
      <c r="A13" t="s">
        <v>20</v>
      </c>
      <c r="B13">
        <v>202.23</v>
      </c>
      <c r="C13">
        <v>9955.86</v>
      </c>
      <c r="D13">
        <v>202.75</v>
      </c>
      <c r="E13">
        <v>9955.86</v>
      </c>
      <c r="F13">
        <v>201.69</v>
      </c>
      <c r="G13">
        <v>11507.57</v>
      </c>
      <c r="H13">
        <v>-1</v>
      </c>
      <c r="I13">
        <v>0</v>
      </c>
    </row>
    <row r="14" spans="1:9">
      <c r="A14" t="s">
        <v>21</v>
      </c>
      <c r="B14">
        <v>202.17</v>
      </c>
      <c r="C14">
        <v>9611</v>
      </c>
      <c r="D14">
        <v>202.28</v>
      </c>
      <c r="E14">
        <v>9611</v>
      </c>
      <c r="F14">
        <v>201.63</v>
      </c>
      <c r="G14">
        <v>11035.77</v>
      </c>
      <c r="H14">
        <v>-1</v>
      </c>
      <c r="I14">
        <v>0</v>
      </c>
    </row>
    <row r="15" spans="1:9">
      <c r="A15" t="s">
        <v>22</v>
      </c>
      <c r="B15">
        <v>174.27</v>
      </c>
      <c r="C15">
        <v>9267.36</v>
      </c>
      <c r="D15">
        <v>174.35</v>
      </c>
      <c r="E15">
        <v>9267.36</v>
      </c>
      <c r="F15">
        <v>173.91</v>
      </c>
      <c r="G15">
        <v>10693.15</v>
      </c>
      <c r="H15">
        <v>-1</v>
      </c>
      <c r="I15">
        <v>0</v>
      </c>
    </row>
    <row r="16" spans="1:9">
      <c r="A16" t="s">
        <v>23</v>
      </c>
      <c r="B16">
        <v>168.51</v>
      </c>
      <c r="C16">
        <v>9587.18</v>
      </c>
      <c r="D16">
        <v>168.52</v>
      </c>
      <c r="E16">
        <v>9587.18</v>
      </c>
      <c r="F16">
        <v>168.05</v>
      </c>
      <c r="G16">
        <v>11133.46</v>
      </c>
      <c r="H16">
        <v>-1</v>
      </c>
      <c r="I16">
        <v>1695.84</v>
      </c>
    </row>
    <row r="17" spans="1:9">
      <c r="A17" t="s">
        <v>24</v>
      </c>
      <c r="B17">
        <v>198.44</v>
      </c>
      <c r="C17">
        <v>10194.15</v>
      </c>
      <c r="D17">
        <v>198.44</v>
      </c>
      <c r="E17">
        <v>10194.15</v>
      </c>
      <c r="F17">
        <v>197.7</v>
      </c>
      <c r="G17">
        <v>11784.54</v>
      </c>
      <c r="H17">
        <v>-1</v>
      </c>
      <c r="I17">
        <v>0</v>
      </c>
    </row>
    <row r="18" spans="1:9">
      <c r="A18" t="s">
        <v>25</v>
      </c>
      <c r="B18">
        <v>152.49</v>
      </c>
      <c r="C18">
        <v>10019.04</v>
      </c>
      <c r="D18">
        <v>152.42</v>
      </c>
      <c r="E18">
        <v>10019.04</v>
      </c>
      <c r="F18">
        <v>151.98</v>
      </c>
      <c r="G18">
        <v>11537.14</v>
      </c>
      <c r="H18">
        <v>-1</v>
      </c>
      <c r="I18">
        <v>0</v>
      </c>
    </row>
    <row r="19" spans="1:9">
      <c r="A19" t="s">
        <v>26</v>
      </c>
      <c r="B19">
        <v>150.81</v>
      </c>
      <c r="C19">
        <v>9265.73</v>
      </c>
      <c r="D19">
        <v>150.73</v>
      </c>
      <c r="E19">
        <v>9265.73</v>
      </c>
      <c r="F19">
        <v>150.31</v>
      </c>
      <c r="G19">
        <v>10666.75</v>
      </c>
      <c r="H19">
        <v>-1</v>
      </c>
      <c r="I19">
        <v>0</v>
      </c>
    </row>
    <row r="20" spans="1:9">
      <c r="A20" t="s">
        <v>27</v>
      </c>
      <c r="B20">
        <v>156.05</v>
      </c>
      <c r="C20">
        <v>9408.67</v>
      </c>
      <c r="D20">
        <v>156.05</v>
      </c>
      <c r="E20">
        <v>9408.67</v>
      </c>
      <c r="F20">
        <v>155.69</v>
      </c>
      <c r="G20">
        <v>10896.66</v>
      </c>
      <c r="H20">
        <v>-1</v>
      </c>
      <c r="I20">
        <v>2092.79</v>
      </c>
    </row>
    <row r="21" spans="1:9">
      <c r="A21" t="s">
        <v>28</v>
      </c>
      <c r="B21">
        <v>155.85</v>
      </c>
      <c r="C21">
        <v>9384.2</v>
      </c>
      <c r="D21">
        <v>155.86</v>
      </c>
      <c r="E21">
        <v>9384.2</v>
      </c>
      <c r="F21">
        <v>155.36</v>
      </c>
      <c r="G21">
        <v>10736.92</v>
      </c>
      <c r="H21">
        <v>-1</v>
      </c>
      <c r="I21">
        <v>0</v>
      </c>
    </row>
    <row r="24" spans="1:28">
      <c r="A24" s="2" t="s">
        <v>29</v>
      </c>
      <c r="B24" s="2" t="s">
        <v>30</v>
      </c>
      <c r="C24" s="2" t="s">
        <v>31</v>
      </c>
      <c r="D24" s="3" t="s">
        <v>32</v>
      </c>
      <c r="E24" s="2" t="s">
        <v>33</v>
      </c>
      <c r="F24" s="2" t="s">
        <v>34</v>
      </c>
      <c r="G24" s="2" t="s">
        <v>35</v>
      </c>
      <c r="H24" s="3" t="s">
        <v>36</v>
      </c>
      <c r="I24" s="2" t="s">
        <v>37</v>
      </c>
      <c r="J24" s="2" t="s">
        <v>38</v>
      </c>
      <c r="K24" s="2" t="s">
        <v>39</v>
      </c>
      <c r="L24" s="3" t="s">
        <v>40</v>
      </c>
      <c r="M24" s="2" t="s">
        <v>41</v>
      </c>
      <c r="N24" s="2" t="s">
        <v>42</v>
      </c>
      <c r="O24" s="2" t="s">
        <v>43</v>
      </c>
      <c r="P24" s="3" t="s">
        <v>44</v>
      </c>
      <c r="Q24" s="2" t="s">
        <v>45</v>
      </c>
      <c r="R24" s="2" t="s">
        <v>46</v>
      </c>
      <c r="S24" s="2" t="s">
        <v>47</v>
      </c>
      <c r="T24" s="3" t="s">
        <v>48</v>
      </c>
      <c r="U24" s="2" t="s">
        <v>49</v>
      </c>
      <c r="V24" s="2" t="s">
        <v>50</v>
      </c>
      <c r="W24" s="2" t="s">
        <v>51</v>
      </c>
      <c r="X24" s="3" t="s">
        <v>52</v>
      </c>
      <c r="Y24" s="3" t="s">
        <v>53</v>
      </c>
      <c r="Z24" s="3" t="s">
        <v>54</v>
      </c>
      <c r="AA24" s="3" t="s">
        <v>55</v>
      </c>
      <c r="AB24" s="3" t="s">
        <v>56</v>
      </c>
    </row>
    <row r="25" spans="1:28">
      <c r="A25" s="4">
        <f>AVERAGE($B$2:$B$21)</f>
        <v>177.239</v>
      </c>
      <c r="B25" s="4">
        <f>AVERAGE($D$2:$D$21)</f>
        <v>177.25</v>
      </c>
      <c r="C25" s="4">
        <f>AVERAGE($F$2:$F$21)</f>
        <v>176.7335</v>
      </c>
      <c r="D25" s="4">
        <f>IFERROR(AVERAGEIF($H$2:$H$21,"&lt;&gt;-1"),0)</f>
        <v>0</v>
      </c>
      <c r="E25" s="4">
        <f>AVERAGE($C$2:$C$21)</f>
        <v>9590.4355</v>
      </c>
      <c r="F25" s="4">
        <f>AVERAGE($E$2:$E$21)</f>
        <v>9590.4355</v>
      </c>
      <c r="G25" s="4">
        <f>AVERAGE($G$2:$G$21)</f>
        <v>11074.5645</v>
      </c>
      <c r="H25" s="4">
        <f>IFERROR(AVERAGEIFS($I$2:$I$21,$H$2:$H$21,"&lt;&gt; -1"),0)</f>
        <v>0</v>
      </c>
      <c r="I25" s="4">
        <f>MAX($B$2:$B$21)</f>
        <v>220.68</v>
      </c>
      <c r="J25" s="4">
        <f>MAX($D$2:$D$21)</f>
        <v>220.43</v>
      </c>
      <c r="K25" s="4">
        <f>MAX($F$2:$F$21)</f>
        <v>219.56</v>
      </c>
      <c r="L25" s="4">
        <f>_xlfn.MAXIFS($H$2:$H$21,$H$2:$H$21,"&lt;&gt; -1")</f>
        <v>0</v>
      </c>
      <c r="M25" s="4">
        <f>MIN($B$2:$B$21)</f>
        <v>139.99</v>
      </c>
      <c r="N25" s="4">
        <f>MIN($D$2:$D$21)</f>
        <v>139.94</v>
      </c>
      <c r="O25" s="4">
        <f>MIN($F$2:$F$21)</f>
        <v>139.59</v>
      </c>
      <c r="P25" s="4">
        <f>_xlfn.MINIFS($H$2:$H$21,$H$2:$H$21,"&lt;&gt; -1")</f>
        <v>0</v>
      </c>
      <c r="Q25" s="4">
        <f>MAX($C$2:$C$21)</f>
        <v>10469.76</v>
      </c>
      <c r="R25" s="4">
        <f>MAX($E$2:$E$21)</f>
        <v>10469.76</v>
      </c>
      <c r="S25" s="4">
        <f>MAX($G$2:$G$21)</f>
        <v>12164.54</v>
      </c>
      <c r="T25" s="4">
        <f>_xlfn.MAXIFS($I$2:$I$21,$H$2:$H$21,"&lt;&gt; -1")</f>
        <v>0</v>
      </c>
      <c r="U25" s="4">
        <f>MIN($C$2:$C$21)</f>
        <v>8874.29</v>
      </c>
      <c r="V25" s="4">
        <f>MIN($E$2:$E$21)</f>
        <v>8874.29</v>
      </c>
      <c r="W25" s="4">
        <f>MIN($G$2:$G$21)</f>
        <v>10168.91</v>
      </c>
      <c r="X25" s="4">
        <f>_xlfn.MINIFS($I$2:$I$21,$H$2:$H$21,"&lt;&gt; -1")</f>
        <v>0</v>
      </c>
      <c r="Y25" s="4">
        <f>(COUNTIFS($B$2:$B$21,"&gt;0.0",$B$2:$B$21,"&lt;200.0"))/20</f>
        <v>0.7</v>
      </c>
      <c r="Z25" s="4">
        <f>(COUNTIFS($D$2:$D$21,"&gt;0.0",$D$2:$D$21,"&lt;200.0"))/20</f>
        <v>0.7</v>
      </c>
      <c r="AA25" s="4">
        <f>(COUNTIFS($F$2:$F$21,"&gt;0.0",$F$2:$F$21,"&lt;200.0"))/20</f>
        <v>0.7</v>
      </c>
      <c r="AB25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4"/>
  <sheetViews>
    <sheetView topLeftCell="B10" workbookViewId="0">
      <selection activeCell="I17" sqref="I17"/>
    </sheetView>
  </sheetViews>
  <sheetFormatPr defaultColWidth="9" defaultRowHeight="14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166.19</v>
      </c>
      <c r="C2">
        <v>9494.59</v>
      </c>
      <c r="D2">
        <v>166.14</v>
      </c>
      <c r="E2">
        <v>9494.59</v>
      </c>
      <c r="F2">
        <v>165.5</v>
      </c>
      <c r="G2">
        <v>11017.01</v>
      </c>
      <c r="H2">
        <v>-1</v>
      </c>
      <c r="I2">
        <v>0</v>
      </c>
    </row>
    <row r="3" spans="1:9">
      <c r="A3" t="s">
        <v>10</v>
      </c>
      <c r="B3">
        <v>158.59</v>
      </c>
      <c r="C3">
        <v>9463.16</v>
      </c>
      <c r="D3">
        <v>158.54</v>
      </c>
      <c r="E3">
        <v>9463.16</v>
      </c>
      <c r="F3">
        <v>157.85</v>
      </c>
      <c r="G3">
        <v>10971.13</v>
      </c>
      <c r="H3">
        <v>-1</v>
      </c>
      <c r="I3">
        <v>0</v>
      </c>
    </row>
    <row r="4" spans="1:9">
      <c r="A4" t="s">
        <v>11</v>
      </c>
      <c r="B4">
        <v>169.78</v>
      </c>
      <c r="C4">
        <v>9231.49</v>
      </c>
      <c r="D4">
        <v>169.78</v>
      </c>
      <c r="E4">
        <v>9231.49</v>
      </c>
      <c r="F4">
        <v>169.15</v>
      </c>
      <c r="G4">
        <v>10642.93</v>
      </c>
      <c r="H4">
        <v>-1</v>
      </c>
      <c r="I4">
        <v>0</v>
      </c>
    </row>
    <row r="5" spans="1:9">
      <c r="A5" t="s">
        <v>12</v>
      </c>
      <c r="B5">
        <v>164.37</v>
      </c>
      <c r="C5">
        <v>9477.13</v>
      </c>
      <c r="D5">
        <v>164.51</v>
      </c>
      <c r="E5">
        <v>9477.13</v>
      </c>
      <c r="F5">
        <v>163.27</v>
      </c>
      <c r="G5">
        <v>10950.38</v>
      </c>
      <c r="H5">
        <v>-1</v>
      </c>
      <c r="I5">
        <v>0</v>
      </c>
    </row>
    <row r="6" spans="1:9">
      <c r="A6" t="s">
        <v>13</v>
      </c>
      <c r="B6">
        <v>215.62</v>
      </c>
      <c r="C6">
        <v>9855.96</v>
      </c>
      <c r="D6">
        <v>215.69</v>
      </c>
      <c r="E6">
        <v>9855.96</v>
      </c>
      <c r="F6">
        <v>214.92</v>
      </c>
      <c r="G6">
        <v>11440.92</v>
      </c>
      <c r="H6">
        <v>-1</v>
      </c>
      <c r="I6">
        <v>0</v>
      </c>
    </row>
    <row r="7" spans="1:9">
      <c r="A7" t="s">
        <v>14</v>
      </c>
      <c r="B7">
        <v>215.94</v>
      </c>
      <c r="C7">
        <v>9936.12</v>
      </c>
      <c r="D7">
        <v>215.99</v>
      </c>
      <c r="E7">
        <v>9936.12</v>
      </c>
      <c r="F7">
        <v>215.06</v>
      </c>
      <c r="G7">
        <v>11276.09</v>
      </c>
      <c r="H7">
        <v>-1</v>
      </c>
      <c r="I7">
        <v>0</v>
      </c>
    </row>
    <row r="8" spans="1:9">
      <c r="A8" t="s">
        <v>15</v>
      </c>
      <c r="B8">
        <v>196.27</v>
      </c>
      <c r="C8">
        <v>8923.28</v>
      </c>
      <c r="D8">
        <v>196.27</v>
      </c>
      <c r="E8">
        <v>8923.28</v>
      </c>
      <c r="F8">
        <v>195.77</v>
      </c>
      <c r="G8">
        <v>10219.72</v>
      </c>
      <c r="H8">
        <v>-1</v>
      </c>
      <c r="I8">
        <v>0</v>
      </c>
    </row>
    <row r="9" spans="1:9">
      <c r="A9" t="s">
        <v>16</v>
      </c>
      <c r="B9">
        <v>159</v>
      </c>
      <c r="C9">
        <v>9451.64</v>
      </c>
      <c r="D9">
        <v>159.15</v>
      </c>
      <c r="E9">
        <v>9451.64</v>
      </c>
      <c r="F9">
        <v>158.77</v>
      </c>
      <c r="G9">
        <v>10919.54</v>
      </c>
      <c r="H9">
        <v>-1</v>
      </c>
      <c r="I9">
        <v>0</v>
      </c>
    </row>
    <row r="10" spans="1:9">
      <c r="A10" t="s">
        <v>17</v>
      </c>
      <c r="B10">
        <v>216.77</v>
      </c>
      <c r="C10">
        <v>9350.87</v>
      </c>
      <c r="D10">
        <v>216.54</v>
      </c>
      <c r="E10">
        <v>9350.87</v>
      </c>
      <c r="F10">
        <v>215.44</v>
      </c>
      <c r="G10">
        <v>10781.03</v>
      </c>
      <c r="H10">
        <v>-1</v>
      </c>
      <c r="I10">
        <v>0</v>
      </c>
    </row>
    <row r="11" spans="1:9">
      <c r="A11" t="s">
        <v>18</v>
      </c>
      <c r="B11">
        <v>232.5</v>
      </c>
      <c r="C11">
        <v>10124.24</v>
      </c>
      <c r="D11">
        <v>232.42</v>
      </c>
      <c r="E11">
        <v>10124.24</v>
      </c>
      <c r="F11">
        <v>231.1</v>
      </c>
      <c r="G11">
        <v>11750</v>
      </c>
      <c r="H11">
        <v>-1</v>
      </c>
      <c r="I11">
        <v>0</v>
      </c>
    </row>
    <row r="12" spans="1:9">
      <c r="A12" t="s">
        <v>19</v>
      </c>
      <c r="B12">
        <v>163.42</v>
      </c>
      <c r="C12">
        <v>9465.21</v>
      </c>
      <c r="D12">
        <v>163.35</v>
      </c>
      <c r="E12">
        <v>9465.21</v>
      </c>
      <c r="F12">
        <v>162.66</v>
      </c>
      <c r="G12">
        <v>10866.38</v>
      </c>
      <c r="H12">
        <v>-1</v>
      </c>
      <c r="I12">
        <v>0</v>
      </c>
    </row>
    <row r="13" spans="1:9">
      <c r="A13" t="s">
        <v>20</v>
      </c>
      <c r="B13">
        <v>174.23</v>
      </c>
      <c r="C13">
        <v>9573.73</v>
      </c>
      <c r="D13">
        <v>174.16</v>
      </c>
      <c r="E13">
        <v>9573.73</v>
      </c>
      <c r="F13">
        <v>173.58</v>
      </c>
      <c r="G13">
        <v>11065.42</v>
      </c>
      <c r="H13">
        <v>-1</v>
      </c>
      <c r="I13">
        <v>0</v>
      </c>
    </row>
    <row r="14" spans="1:9">
      <c r="A14" t="s">
        <v>21</v>
      </c>
      <c r="B14">
        <v>163.11</v>
      </c>
      <c r="C14">
        <v>9779.35</v>
      </c>
      <c r="D14">
        <v>163.02</v>
      </c>
      <c r="E14">
        <v>9779.35</v>
      </c>
      <c r="F14">
        <v>162.44</v>
      </c>
      <c r="G14">
        <v>11279.32</v>
      </c>
      <c r="H14">
        <v>-1</v>
      </c>
      <c r="I14">
        <v>0</v>
      </c>
    </row>
    <row r="15" spans="1:9">
      <c r="A15" t="s">
        <v>22</v>
      </c>
      <c r="B15">
        <v>165.35</v>
      </c>
      <c r="C15">
        <v>9596.5</v>
      </c>
      <c r="D15">
        <v>165.35</v>
      </c>
      <c r="E15">
        <v>9596.5</v>
      </c>
      <c r="F15">
        <v>164.78</v>
      </c>
      <c r="G15">
        <v>11091.62</v>
      </c>
      <c r="H15">
        <v>-1</v>
      </c>
      <c r="I15">
        <v>0</v>
      </c>
    </row>
    <row r="16" spans="1:9">
      <c r="A16" t="s">
        <v>23</v>
      </c>
      <c r="B16">
        <v>160.11</v>
      </c>
      <c r="C16">
        <v>9178.28</v>
      </c>
      <c r="D16">
        <v>160.19</v>
      </c>
      <c r="E16">
        <v>9178.28</v>
      </c>
      <c r="F16">
        <v>159.63</v>
      </c>
      <c r="G16">
        <v>10642.76</v>
      </c>
      <c r="H16">
        <v>-1</v>
      </c>
      <c r="I16">
        <v>0</v>
      </c>
    </row>
    <row r="17" spans="1:9">
      <c r="A17" t="s">
        <v>24</v>
      </c>
      <c r="B17">
        <v>182.52</v>
      </c>
      <c r="C17">
        <v>10251.26</v>
      </c>
      <c r="D17">
        <v>182.41</v>
      </c>
      <c r="E17">
        <v>10251.26</v>
      </c>
      <c r="F17">
        <v>181.24</v>
      </c>
      <c r="G17">
        <v>11783.14</v>
      </c>
      <c r="H17">
        <v>-1</v>
      </c>
      <c r="I17">
        <v>0</v>
      </c>
    </row>
    <row r="18" spans="1:9">
      <c r="A18" t="s">
        <v>25</v>
      </c>
      <c r="B18">
        <v>224.23</v>
      </c>
      <c r="C18">
        <v>9788</v>
      </c>
      <c r="D18">
        <v>223.94</v>
      </c>
      <c r="E18">
        <v>9788</v>
      </c>
      <c r="F18">
        <v>223.57</v>
      </c>
      <c r="G18">
        <v>11281.15</v>
      </c>
      <c r="H18">
        <v>-1</v>
      </c>
      <c r="I18">
        <v>0</v>
      </c>
    </row>
    <row r="19" spans="1:9">
      <c r="A19" t="s">
        <v>26</v>
      </c>
      <c r="B19">
        <v>208.66</v>
      </c>
      <c r="C19">
        <v>9031.24</v>
      </c>
      <c r="D19">
        <v>208.92</v>
      </c>
      <c r="E19">
        <v>9031.24</v>
      </c>
      <c r="F19">
        <v>207.93</v>
      </c>
      <c r="G19">
        <v>10413.39</v>
      </c>
      <c r="H19">
        <v>-1</v>
      </c>
      <c r="I19">
        <v>0</v>
      </c>
    </row>
    <row r="20" spans="1:9">
      <c r="A20" t="s">
        <v>27</v>
      </c>
      <c r="B20">
        <v>225.77</v>
      </c>
      <c r="C20">
        <v>9303.55</v>
      </c>
      <c r="D20">
        <v>225.38</v>
      </c>
      <c r="E20">
        <v>9303.55</v>
      </c>
      <c r="F20">
        <v>224.57</v>
      </c>
      <c r="G20">
        <v>10722.2</v>
      </c>
      <c r="H20">
        <v>-1</v>
      </c>
      <c r="I20">
        <v>0</v>
      </c>
    </row>
    <row r="21" spans="1:9">
      <c r="A21" t="s">
        <v>28</v>
      </c>
      <c r="B21">
        <v>215.84</v>
      </c>
      <c r="C21">
        <v>9218.73</v>
      </c>
      <c r="D21">
        <v>216.08</v>
      </c>
      <c r="E21">
        <v>9218.73</v>
      </c>
      <c r="F21">
        <v>215.06</v>
      </c>
      <c r="G21">
        <v>10562.18</v>
      </c>
      <c r="H21">
        <v>-1</v>
      </c>
      <c r="I21">
        <v>0</v>
      </c>
    </row>
    <row r="23" spans="1:28">
      <c r="A23" s="2" t="s">
        <v>29</v>
      </c>
      <c r="B23" s="2" t="s">
        <v>30</v>
      </c>
      <c r="C23" s="2" t="s">
        <v>31</v>
      </c>
      <c r="D23" s="3" t="s">
        <v>32</v>
      </c>
      <c r="E23" s="2" t="s">
        <v>33</v>
      </c>
      <c r="F23" s="2" t="s">
        <v>34</v>
      </c>
      <c r="G23" s="2" t="s">
        <v>35</v>
      </c>
      <c r="H23" s="3" t="s">
        <v>36</v>
      </c>
      <c r="I23" s="2" t="s">
        <v>37</v>
      </c>
      <c r="J23" s="2" t="s">
        <v>38</v>
      </c>
      <c r="K23" s="2" t="s">
        <v>39</v>
      </c>
      <c r="L23" s="3" t="s">
        <v>40</v>
      </c>
      <c r="M23" s="2" t="s">
        <v>41</v>
      </c>
      <c r="N23" s="2" t="s">
        <v>42</v>
      </c>
      <c r="O23" s="2" t="s">
        <v>43</v>
      </c>
      <c r="P23" s="3" t="s">
        <v>44</v>
      </c>
      <c r="Q23" s="2" t="s">
        <v>45</v>
      </c>
      <c r="R23" s="2" t="s">
        <v>46</v>
      </c>
      <c r="S23" s="2" t="s">
        <v>47</v>
      </c>
      <c r="T23" s="3" t="s">
        <v>48</v>
      </c>
      <c r="U23" s="2" t="s">
        <v>49</v>
      </c>
      <c r="V23" s="2" t="s">
        <v>50</v>
      </c>
      <c r="W23" s="2" t="s">
        <v>51</v>
      </c>
      <c r="X23" s="3" t="s">
        <v>52</v>
      </c>
      <c r="Y23" s="3" t="s">
        <v>53</v>
      </c>
      <c r="Z23" s="3" t="s">
        <v>54</v>
      </c>
      <c r="AA23" s="3" t="s">
        <v>55</v>
      </c>
      <c r="AB23" s="3" t="s">
        <v>56</v>
      </c>
    </row>
    <row r="24" spans="1:28">
      <c r="A24" s="4">
        <f>AVERAGE($B$2:$B$21)</f>
        <v>188.9135</v>
      </c>
      <c r="B24" s="4">
        <f>AVERAGE($D$2:$D$21)</f>
        <v>188.8915</v>
      </c>
      <c r="C24" s="4">
        <f>AVERAGE($F$2:$F$21)</f>
        <v>188.1145</v>
      </c>
      <c r="D24" s="4">
        <f>IFERROR(AVERAGEIF($H$2:$H$21,"&lt;&gt;-1"),0)</f>
        <v>0</v>
      </c>
      <c r="E24" s="4">
        <f>AVERAGE($C$2:$C$21)</f>
        <v>9524.7165</v>
      </c>
      <c r="F24" s="4">
        <f>AVERAGE($E$2:$E$21)</f>
        <v>9524.7165</v>
      </c>
      <c r="G24" s="4">
        <f>AVERAGE($G$2:$G$21)</f>
        <v>10983.8155</v>
      </c>
      <c r="H24" s="4">
        <f>IFERROR(AVERAGEIFS($I$2:$I$21,$H$2:$H$21,"&lt;&gt; -1"),0)</f>
        <v>0</v>
      </c>
      <c r="I24" s="4">
        <f>MAX($B$2:$B$21)</f>
        <v>232.5</v>
      </c>
      <c r="J24" s="4">
        <f>MAX($D$2:$D$21)</f>
        <v>232.42</v>
      </c>
      <c r="K24" s="4">
        <f>MAX($F$2:$F$21)</f>
        <v>231.1</v>
      </c>
      <c r="L24" s="4">
        <f>_xlfn.MAXIFS($H$2:$H$21,$H$2:$H$21,"&lt;&gt; -1")</f>
        <v>0</v>
      </c>
      <c r="M24" s="4">
        <f>MIN($B$2:$B$21)</f>
        <v>158.59</v>
      </c>
      <c r="N24" s="4">
        <f>MIN($D$2:$D$21)</f>
        <v>158.54</v>
      </c>
      <c r="O24" s="4">
        <f>MIN($F$2:$F$21)</f>
        <v>157.85</v>
      </c>
      <c r="P24" s="4">
        <f>_xlfn.MINIFS($H$2:$H$21,$H$2:$H$21,"&lt;&gt; -1")</f>
        <v>0</v>
      </c>
      <c r="Q24" s="4">
        <f>MAX($C$2:$C$21)</f>
        <v>10251.26</v>
      </c>
      <c r="R24" s="4">
        <f>MAX($E$2:$E$21)</f>
        <v>10251.26</v>
      </c>
      <c r="S24" s="4">
        <f>MAX($G$2:$G$21)</f>
        <v>11783.14</v>
      </c>
      <c r="T24" s="4">
        <f>_xlfn.MAXIFS($I$2:$I$21,$H$2:$H$21,"&lt;&gt; -1")</f>
        <v>0</v>
      </c>
      <c r="U24" s="4">
        <f>MIN($C$2:$C$21)</f>
        <v>8923.28</v>
      </c>
      <c r="V24" s="4">
        <f>MIN($E$2:$E$21)</f>
        <v>8923.28</v>
      </c>
      <c r="W24" s="4">
        <f>MIN($G$2:$G$21)</f>
        <v>10219.72</v>
      </c>
      <c r="X24" s="4">
        <f>_xlfn.MINIFS($I$2:$I$21,$H$2:$H$21,"&lt;&gt; -1")</f>
        <v>0</v>
      </c>
      <c r="Y24" s="4">
        <f>(COUNTIFS($B$2:$B$21,"&gt;0.0",$B$2:$B$21,"&lt;200.0"))/20</f>
        <v>0.6</v>
      </c>
      <c r="Z24" s="4">
        <f>(COUNTIFS($D$2:$D$21,"&gt;0.0",$D$2:$D$21,"&lt;200.0"))/20</f>
        <v>0.6</v>
      </c>
      <c r="AA24" s="4">
        <f>(COUNTIFS($F$2:$F$21,"&gt;0.0",$F$2:$F$21,"&lt;200.0"))/20</f>
        <v>0.6</v>
      </c>
      <c r="AB24" s="4">
        <f>(COUNTIFS($H$2:$H$21,"&gt;0.0",$H$2:$H$21,"&lt;200.0"))/20</f>
        <v>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7"/>
  <sheetViews>
    <sheetView workbookViewId="0">
      <selection activeCell="K15" sqref="K15"/>
    </sheetView>
  </sheetViews>
  <sheetFormatPr defaultColWidth="8.72727272727273" defaultRowHeight="14" outlineLevelRow="6"/>
  <sheetData>
    <row r="1" spans="1:28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48</v>
      </c>
      <c r="U1" t="s">
        <v>49</v>
      </c>
      <c r="V1" t="s">
        <v>50</v>
      </c>
      <c r="W1" t="s">
        <v>51</v>
      </c>
      <c r="X1" t="s">
        <v>52</v>
      </c>
      <c r="Y1" t="s">
        <v>53</v>
      </c>
      <c r="Z1" t="s">
        <v>54</v>
      </c>
      <c r="AA1" t="s">
        <v>55</v>
      </c>
      <c r="AB1" t="s">
        <v>56</v>
      </c>
    </row>
    <row r="2" spans="1:28">
      <c r="A2">
        <v>106.5565</v>
      </c>
      <c r="B2">
        <v>106.6405</v>
      </c>
      <c r="C2">
        <v>106.254</v>
      </c>
      <c r="D2">
        <v>122.349090909091</v>
      </c>
      <c r="E2">
        <v>9437.812</v>
      </c>
      <c r="F2">
        <v>9437.812</v>
      </c>
      <c r="G2">
        <v>10944.8785</v>
      </c>
      <c r="H2">
        <v>10694.9872727273</v>
      </c>
      <c r="I2">
        <v>129.58</v>
      </c>
      <c r="J2">
        <v>129.47</v>
      </c>
      <c r="K2">
        <v>129.22</v>
      </c>
      <c r="L2">
        <v>155.05</v>
      </c>
      <c r="M2">
        <v>79.66</v>
      </c>
      <c r="N2">
        <v>79.7</v>
      </c>
      <c r="O2">
        <v>79.41</v>
      </c>
      <c r="P2">
        <v>97.9</v>
      </c>
      <c r="Q2">
        <v>9894.71</v>
      </c>
      <c r="R2">
        <v>9894.71</v>
      </c>
      <c r="S2">
        <v>11528.88</v>
      </c>
      <c r="T2">
        <v>11115.32</v>
      </c>
      <c r="U2">
        <v>8551.43</v>
      </c>
      <c r="V2">
        <v>8551.43</v>
      </c>
      <c r="W2">
        <v>9919.27</v>
      </c>
      <c r="X2">
        <v>10160.76</v>
      </c>
      <c r="Y2">
        <v>1</v>
      </c>
      <c r="Z2">
        <v>1</v>
      </c>
      <c r="AA2">
        <v>1</v>
      </c>
      <c r="AB2">
        <v>0.55</v>
      </c>
    </row>
    <row r="3" spans="1:28">
      <c r="A3">
        <v>140.235</v>
      </c>
      <c r="B3">
        <v>140.3515</v>
      </c>
      <c r="C3">
        <v>139.688</v>
      </c>
      <c r="D3">
        <v>0</v>
      </c>
      <c r="E3">
        <v>9571.511</v>
      </c>
      <c r="F3">
        <v>9571.511</v>
      </c>
      <c r="G3">
        <v>11111.1525</v>
      </c>
      <c r="H3">
        <v>0</v>
      </c>
      <c r="I3">
        <v>148.47</v>
      </c>
      <c r="J3">
        <v>148.28</v>
      </c>
      <c r="K3">
        <v>147.65</v>
      </c>
      <c r="L3">
        <v>0</v>
      </c>
      <c r="M3">
        <v>132.14</v>
      </c>
      <c r="N3">
        <v>132.22</v>
      </c>
      <c r="O3">
        <v>131.73</v>
      </c>
      <c r="P3">
        <v>0</v>
      </c>
      <c r="Q3">
        <v>10104.73</v>
      </c>
      <c r="R3">
        <v>10104.73</v>
      </c>
      <c r="S3">
        <v>11874.22</v>
      </c>
      <c r="T3">
        <v>0</v>
      </c>
      <c r="U3">
        <v>9046.91</v>
      </c>
      <c r="V3">
        <v>9046.91</v>
      </c>
      <c r="W3">
        <v>10453.95</v>
      </c>
      <c r="X3">
        <v>0</v>
      </c>
      <c r="Y3">
        <v>1</v>
      </c>
      <c r="Z3">
        <v>1</v>
      </c>
      <c r="AA3">
        <v>1</v>
      </c>
      <c r="AB3">
        <v>0</v>
      </c>
    </row>
    <row r="4" spans="1:28">
      <c r="A4">
        <v>159.482</v>
      </c>
      <c r="B4">
        <v>159.545</v>
      </c>
      <c r="C4">
        <v>158.853</v>
      </c>
      <c r="D4">
        <v>0</v>
      </c>
      <c r="E4">
        <v>9697.946</v>
      </c>
      <c r="F4">
        <v>9702.055</v>
      </c>
      <c r="G4">
        <v>11227.9975</v>
      </c>
      <c r="H4">
        <v>0</v>
      </c>
      <c r="I4">
        <v>176.88</v>
      </c>
      <c r="J4">
        <v>176.75</v>
      </c>
      <c r="K4">
        <v>175.42</v>
      </c>
      <c r="L4">
        <v>0</v>
      </c>
      <c r="M4">
        <v>150.77</v>
      </c>
      <c r="N4">
        <v>150.82</v>
      </c>
      <c r="O4">
        <v>149.95</v>
      </c>
      <c r="P4">
        <v>0</v>
      </c>
      <c r="Q4">
        <v>10298.6</v>
      </c>
      <c r="R4">
        <v>10298.6</v>
      </c>
      <c r="S4">
        <v>11974.41</v>
      </c>
      <c r="T4">
        <v>0</v>
      </c>
      <c r="U4">
        <v>9105.06</v>
      </c>
      <c r="V4">
        <v>9105.06</v>
      </c>
      <c r="W4">
        <v>10582.2</v>
      </c>
      <c r="X4">
        <v>0</v>
      </c>
      <c r="Y4">
        <v>1</v>
      </c>
      <c r="Z4">
        <v>1</v>
      </c>
      <c r="AA4">
        <v>1</v>
      </c>
      <c r="AB4">
        <v>0</v>
      </c>
    </row>
    <row r="5" spans="1:28">
      <c r="A5">
        <v>136.3025</v>
      </c>
      <c r="B5">
        <v>136.3255</v>
      </c>
      <c r="C5">
        <v>135.8635</v>
      </c>
      <c r="D5">
        <v>0</v>
      </c>
      <c r="E5">
        <v>9534.9125</v>
      </c>
      <c r="F5">
        <v>9535.154</v>
      </c>
      <c r="G5">
        <v>11033.443</v>
      </c>
      <c r="H5">
        <v>0</v>
      </c>
      <c r="I5">
        <v>184.74</v>
      </c>
      <c r="J5">
        <v>184.76</v>
      </c>
      <c r="K5">
        <v>184.4</v>
      </c>
      <c r="L5">
        <v>0</v>
      </c>
      <c r="M5">
        <v>121.17</v>
      </c>
      <c r="N5">
        <v>121.18</v>
      </c>
      <c r="O5">
        <v>120.79</v>
      </c>
      <c r="P5">
        <v>0</v>
      </c>
      <c r="Q5">
        <v>10527.92</v>
      </c>
      <c r="R5">
        <v>10527.92</v>
      </c>
      <c r="S5">
        <v>12206.84</v>
      </c>
      <c r="T5">
        <v>0</v>
      </c>
      <c r="U5">
        <v>8985.51</v>
      </c>
      <c r="V5">
        <v>8985.51</v>
      </c>
      <c r="W5">
        <v>10384.48</v>
      </c>
      <c r="X5">
        <v>0</v>
      </c>
      <c r="Y5">
        <v>1</v>
      </c>
      <c r="Z5">
        <v>1</v>
      </c>
      <c r="AA5">
        <v>1</v>
      </c>
      <c r="AB5">
        <v>0</v>
      </c>
    </row>
    <row r="6" spans="1:28">
      <c r="A6">
        <v>177.239</v>
      </c>
      <c r="B6">
        <v>177.25</v>
      </c>
      <c r="C6">
        <v>176.7335</v>
      </c>
      <c r="D6">
        <v>0</v>
      </c>
      <c r="E6">
        <v>9590.4355</v>
      </c>
      <c r="F6">
        <v>9590.4355</v>
      </c>
      <c r="G6">
        <v>11074.5645</v>
      </c>
      <c r="H6">
        <v>0</v>
      </c>
      <c r="I6">
        <v>220.68</v>
      </c>
      <c r="J6">
        <v>220.43</v>
      </c>
      <c r="K6">
        <v>219.56</v>
      </c>
      <c r="L6">
        <v>0</v>
      </c>
      <c r="M6">
        <v>139.99</v>
      </c>
      <c r="N6">
        <v>139.94</v>
      </c>
      <c r="O6">
        <v>139.59</v>
      </c>
      <c r="P6">
        <v>0</v>
      </c>
      <c r="Q6">
        <v>10469.76</v>
      </c>
      <c r="R6">
        <v>10469.76</v>
      </c>
      <c r="S6">
        <v>12164.54</v>
      </c>
      <c r="T6">
        <v>0</v>
      </c>
      <c r="U6">
        <v>8874.29</v>
      </c>
      <c r="V6">
        <v>8874.29</v>
      </c>
      <c r="W6">
        <v>10168.91</v>
      </c>
      <c r="X6">
        <v>0</v>
      </c>
      <c r="Y6">
        <v>0.7</v>
      </c>
      <c r="Z6">
        <v>0.7</v>
      </c>
      <c r="AA6">
        <v>0.7</v>
      </c>
      <c r="AB6">
        <v>0</v>
      </c>
    </row>
    <row r="7" spans="1:28">
      <c r="A7">
        <v>188.9135</v>
      </c>
      <c r="B7">
        <v>188.8915</v>
      </c>
      <c r="C7">
        <v>188.1145</v>
      </c>
      <c r="D7">
        <v>0</v>
      </c>
      <c r="E7">
        <v>9524.7165</v>
      </c>
      <c r="F7">
        <v>9524.7165</v>
      </c>
      <c r="G7">
        <v>10983.8155</v>
      </c>
      <c r="H7">
        <v>0</v>
      </c>
      <c r="I7">
        <v>232.5</v>
      </c>
      <c r="J7">
        <v>232.42</v>
      </c>
      <c r="K7">
        <v>231.1</v>
      </c>
      <c r="L7">
        <v>0</v>
      </c>
      <c r="M7">
        <v>158.59</v>
      </c>
      <c r="N7">
        <v>158.54</v>
      </c>
      <c r="O7">
        <v>157.85</v>
      </c>
      <c r="P7">
        <v>0</v>
      </c>
      <c r="Q7">
        <v>10251.26</v>
      </c>
      <c r="R7">
        <v>10251.26</v>
      </c>
      <c r="S7">
        <v>11783.14</v>
      </c>
      <c r="T7">
        <v>0</v>
      </c>
      <c r="U7">
        <v>8923.28</v>
      </c>
      <c r="V7">
        <v>8923.28</v>
      </c>
      <c r="W7">
        <v>10219.72</v>
      </c>
      <c r="X7">
        <v>0</v>
      </c>
      <c r="Y7">
        <v>0.6</v>
      </c>
      <c r="Z7">
        <v>0.6</v>
      </c>
      <c r="AA7">
        <v>0.6</v>
      </c>
      <c r="AB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20_100</vt:lpstr>
      <vt:lpstr>40_100</vt:lpstr>
      <vt:lpstr>60_100</vt:lpstr>
      <vt:lpstr>80_100</vt:lpstr>
      <vt:lpstr>100_100</vt:lpstr>
      <vt:lpstr>120_100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傲雪剑豪</cp:lastModifiedBy>
  <dcterms:created xsi:type="dcterms:W3CDTF">2024-07-28T15:19:00Z</dcterms:created>
  <dcterms:modified xsi:type="dcterms:W3CDTF">2024-07-30T12:29:10Z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3715A61CBBC545189109CF8E27E64F26_12</vt:lpwstr>
  </property>
  <property fmtid="{D5CDD505-2E9C-101B-9397-08002B2CF9AE}" pid="3" name="KSOProductBuildVer">
    <vt:lpwstr>2052-12.1.0.17147</vt:lpwstr>
  </property>
</Properties>
</file>