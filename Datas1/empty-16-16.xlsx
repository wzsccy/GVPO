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92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<sst xmlns="http://schemas.openxmlformats.org/spreadsheetml/2006/main" count="370" uniqueCount="59">
  <si>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</si>
  <si>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</si>
  <si>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</si>
  <si>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</si>
  <si>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</si>
  <si>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</si>
  <si>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</si>
  <si>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</si>
  <si>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</si>
  <si>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</si>
  <si>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</si>
  <si>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</si>
  <si>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</si>
  <si>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</si>
  <si>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</si>
  <si>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</si>
  <si>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</si>
  <si>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</si>
  <si>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</si>
  <si>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</si>
  <si>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</si>
  <si>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</si>
  <si>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</si>
  <si>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</si>
  <si>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</si>
  <si>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</si>
  <si>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</si>
  <si>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</si>
  <si>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</si>
  <si>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</si>
  <si>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</si>
  <si>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</si>
  <si>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</si>
  <si>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</si>
  <si>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</si>
  <si>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</si>
  <si>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</si>
  <si>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</si>
  <si>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</si>
  <si>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</si>
  <si>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</si>
  <si>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</si>
  <si>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</si>
  <si>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</si>
  <si>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</si>
  <si>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</si>
  <si>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</si>
  <si>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</si>
  <si>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</si>
  <si>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</si>
  <si>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</si>
  <si>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</si>
  <si>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</si>
  <si>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</si>
  <si>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</si>
  <si>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pibt_st</t>
  </si>
  <si>
    <t>eecbs_st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</si>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</sst>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zoomScale="85" zoomScaleNormal="85" workbookViewId="0">
      <selection activeCell="A24" sqref="A24:AB25"/>
    </sheetView>
  </sheetViews>
  <sheetFormatPr defaultColWidth="9" defaultRowHeight="14"/>
  <cols>
    <col min="1" max="1" width="11.5454545454545" customWidth="1"/>
    <col min="2" max="2" width="9.54545454545454" customWidth="1"/>
    <col min="3" max="3" width="7.54545454545455" customWidth="1"/>
    <col min="4" max="4" width="8.54545454545454" customWidth="1"/>
    <col min="5" max="8" width="9.54545454545454" customWidth="1"/>
    <col min="9" max="10" width="15.1818181818182" customWidth="1"/>
    <col min="11" max="11" width="12.9090909090909" customWidth="1"/>
    <col min="12" max="12" width="14" customWidth="1"/>
    <col min="13" max="14" width="16.2727272727273" customWidth="1"/>
    <col min="15" max="15" width="14" customWidth="1"/>
    <col min="16" max="18" width="15.1818181818182" customWidth="1"/>
    <col min="19" max="19" width="12.9090909090909" customWidth="1"/>
    <col min="20" max="20" width="14" customWidth="1"/>
    <col min="21" max="22" width="16.2727272727273" customWidth="1"/>
    <col min="23" max="23" width="14" customWidth="1"/>
    <col min="24" max="24" width="15.181818181818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16.38</v>
      </c>
      <c r="C2">
        <v>1867.93</v>
      </c>
      <c r="D2">
        <v>16.43</v>
      </c>
      <c r="E2">
        <v>1867.93</v>
      </c>
      <c r="F2">
        <v>16.4</v>
      </c>
      <c r="G2">
        <v>2057.38</v>
      </c>
      <c r="H2">
        <v>17.29</v>
      </c>
      <c r="I2">
        <v>1947.41</v>
      </c>
    </row>
    <row r="3" spans="1:9">
      <c r="A3" t="s">
        <v>10</v>
      </c>
      <c r="B3">
        <v>11.46</v>
      </c>
      <c r="C3">
        <v>1919.61</v>
      </c>
      <c r="D3">
        <v>11.5</v>
      </c>
      <c r="E3">
        <v>1919.61</v>
      </c>
      <c r="F3">
        <v>11.47</v>
      </c>
      <c r="G3">
        <v>2071.13</v>
      </c>
      <c r="H3">
        <v>12.36</v>
      </c>
      <c r="I3">
        <v>2022.69</v>
      </c>
    </row>
    <row r="4" spans="1:9">
      <c r="A4" t="s">
        <v>11</v>
      </c>
      <c r="B4">
        <v>11.48</v>
      </c>
      <c r="C4">
        <v>1867.35</v>
      </c>
      <c r="D4">
        <v>11.54</v>
      </c>
      <c r="E4">
        <v>1867.35</v>
      </c>
      <c r="F4">
        <v>11.5</v>
      </c>
      <c r="G4">
        <v>2138.48</v>
      </c>
      <c r="H4">
        <v>17.6</v>
      </c>
      <c r="I4">
        <v>1977.66</v>
      </c>
    </row>
    <row r="5" spans="1:9">
      <c r="A5" t="s">
        <v>12</v>
      </c>
      <c r="B5">
        <v>11.64</v>
      </c>
      <c r="C5">
        <v>1905.27</v>
      </c>
      <c r="D5">
        <v>11.7</v>
      </c>
      <c r="E5">
        <v>1905.27</v>
      </c>
      <c r="F5">
        <v>11.66</v>
      </c>
      <c r="G5">
        <v>2160.1</v>
      </c>
      <c r="H5">
        <v>17.72</v>
      </c>
      <c r="I5">
        <v>2033.91</v>
      </c>
    </row>
    <row r="6" spans="1:9">
      <c r="A6" t="s">
        <v>13</v>
      </c>
      <c r="B6">
        <v>12.97</v>
      </c>
      <c r="C6">
        <v>1921.27</v>
      </c>
      <c r="D6">
        <v>13.03</v>
      </c>
      <c r="E6">
        <v>1921.27</v>
      </c>
      <c r="F6">
        <v>12.98</v>
      </c>
      <c r="G6">
        <v>2121.49</v>
      </c>
      <c r="H6">
        <v>13.98</v>
      </c>
      <c r="I6">
        <v>2002.01</v>
      </c>
    </row>
    <row r="7" spans="1:9">
      <c r="A7" t="s">
        <v>14</v>
      </c>
      <c r="B7">
        <v>12.03</v>
      </c>
      <c r="C7">
        <v>1852.78</v>
      </c>
      <c r="D7">
        <v>12.07</v>
      </c>
      <c r="E7">
        <v>1852.78</v>
      </c>
      <c r="F7">
        <v>12.04</v>
      </c>
      <c r="G7">
        <v>2068.17</v>
      </c>
      <c r="H7">
        <v>12.76</v>
      </c>
      <c r="I7">
        <v>1967.3</v>
      </c>
    </row>
    <row r="8" spans="1:9">
      <c r="A8" t="s">
        <v>15</v>
      </c>
      <c r="B8">
        <v>11.9</v>
      </c>
      <c r="C8">
        <v>1829.94</v>
      </c>
      <c r="D8">
        <v>11.94</v>
      </c>
      <c r="E8">
        <v>1829.94</v>
      </c>
      <c r="F8">
        <v>11.91</v>
      </c>
      <c r="G8">
        <v>2059.19</v>
      </c>
      <c r="H8">
        <v>17.75</v>
      </c>
      <c r="I8">
        <v>1914.36</v>
      </c>
    </row>
    <row r="9" spans="1:9">
      <c r="A9" t="s">
        <v>16</v>
      </c>
      <c r="B9">
        <v>11.34</v>
      </c>
      <c r="C9">
        <v>1819.58</v>
      </c>
      <c r="D9">
        <v>11.38</v>
      </c>
      <c r="E9">
        <v>1819.58</v>
      </c>
      <c r="F9">
        <v>11.34</v>
      </c>
      <c r="G9">
        <v>2045.33</v>
      </c>
      <c r="H9">
        <v>12.33</v>
      </c>
      <c r="I9">
        <v>1926.49</v>
      </c>
    </row>
    <row r="10" spans="1:9">
      <c r="A10" t="s">
        <v>17</v>
      </c>
      <c r="B10">
        <v>11.72</v>
      </c>
      <c r="C10">
        <v>1829.17</v>
      </c>
      <c r="D10">
        <v>11.75</v>
      </c>
      <c r="E10">
        <v>1829.17</v>
      </c>
      <c r="F10">
        <v>11.72</v>
      </c>
      <c r="G10">
        <v>2027.79</v>
      </c>
      <c r="H10">
        <v>12.5</v>
      </c>
      <c r="I10">
        <v>1952.39</v>
      </c>
    </row>
    <row r="11" spans="1:9">
      <c r="A11" t="s">
        <v>18</v>
      </c>
      <c r="B11">
        <v>12.52</v>
      </c>
      <c r="C11">
        <v>1970.11</v>
      </c>
      <c r="D11">
        <v>12.57</v>
      </c>
      <c r="E11">
        <v>1970.11</v>
      </c>
      <c r="F11">
        <v>12.53</v>
      </c>
      <c r="G11">
        <v>2188.27</v>
      </c>
      <c r="H11">
        <v>18.62</v>
      </c>
      <c r="I11">
        <v>2085.29</v>
      </c>
    </row>
    <row r="12" spans="1:9">
      <c r="A12" t="s">
        <v>19</v>
      </c>
      <c r="B12">
        <v>12.45</v>
      </c>
      <c r="C12">
        <v>1943.46</v>
      </c>
      <c r="D12">
        <v>12.5</v>
      </c>
      <c r="E12">
        <v>1943.46</v>
      </c>
      <c r="F12">
        <v>12.46</v>
      </c>
      <c r="G12">
        <v>2184.96</v>
      </c>
      <c r="H12">
        <v>13.63</v>
      </c>
      <c r="I12">
        <v>2076.85</v>
      </c>
    </row>
    <row r="13" spans="1:9">
      <c r="A13" t="s">
        <v>20</v>
      </c>
      <c r="B13">
        <v>13.9</v>
      </c>
      <c r="C13">
        <v>1945.55</v>
      </c>
      <c r="D13">
        <v>14.02</v>
      </c>
      <c r="E13">
        <v>1945.55</v>
      </c>
      <c r="F13">
        <v>13.89</v>
      </c>
      <c r="G13">
        <v>2153.23</v>
      </c>
      <c r="H13">
        <v>20.33</v>
      </c>
      <c r="I13">
        <v>2002.45</v>
      </c>
    </row>
    <row r="14" spans="1:9">
      <c r="A14" t="s">
        <v>21</v>
      </c>
      <c r="B14">
        <v>18.11</v>
      </c>
      <c r="C14">
        <v>1953.26</v>
      </c>
      <c r="D14">
        <v>18.13</v>
      </c>
      <c r="E14">
        <v>1953.26</v>
      </c>
      <c r="F14">
        <v>18.14</v>
      </c>
      <c r="G14">
        <v>2182.05</v>
      </c>
      <c r="H14">
        <v>24.57</v>
      </c>
      <c r="I14">
        <v>2057.63</v>
      </c>
    </row>
    <row r="15" spans="1:9">
      <c r="A15" t="s">
        <v>22</v>
      </c>
      <c r="B15">
        <v>17.21</v>
      </c>
      <c r="C15">
        <v>1777.8</v>
      </c>
      <c r="D15">
        <v>17.24</v>
      </c>
      <c r="E15">
        <v>1777.8</v>
      </c>
      <c r="F15">
        <v>17.17</v>
      </c>
      <c r="G15">
        <v>1997.09</v>
      </c>
      <c r="H15">
        <v>28.14</v>
      </c>
      <c r="I15">
        <v>1876.96</v>
      </c>
    </row>
    <row r="16" spans="1:9">
      <c r="A16" t="s">
        <v>23</v>
      </c>
      <c r="B16">
        <v>17.79</v>
      </c>
      <c r="C16">
        <v>1898.62</v>
      </c>
      <c r="D16">
        <v>17.8</v>
      </c>
      <c r="E16">
        <v>1898.62</v>
      </c>
      <c r="F16">
        <v>17.77</v>
      </c>
      <c r="G16">
        <v>2087.1</v>
      </c>
      <c r="H16">
        <v>18.9</v>
      </c>
      <c r="I16">
        <v>1980.46</v>
      </c>
    </row>
    <row r="17" spans="1:9">
      <c r="A17" t="s">
        <v>24</v>
      </c>
      <c r="B17">
        <v>17.29</v>
      </c>
      <c r="C17">
        <v>1933.62</v>
      </c>
      <c r="D17">
        <v>17.36</v>
      </c>
      <c r="E17">
        <v>1933.62</v>
      </c>
      <c r="F17">
        <v>17.29</v>
      </c>
      <c r="G17">
        <v>2185.52</v>
      </c>
      <c r="H17">
        <v>33.7</v>
      </c>
      <c r="I17">
        <v>2008.36</v>
      </c>
    </row>
    <row r="18" spans="1:9">
      <c r="A18" t="s">
        <v>25</v>
      </c>
      <c r="B18">
        <v>18.66</v>
      </c>
      <c r="C18">
        <v>2025.24</v>
      </c>
      <c r="D18">
        <v>18.68</v>
      </c>
      <c r="E18">
        <v>2025.24</v>
      </c>
      <c r="F18">
        <v>18.7</v>
      </c>
      <c r="G18">
        <v>2281.16</v>
      </c>
      <c r="H18">
        <v>25.4</v>
      </c>
      <c r="I18">
        <v>2085.84</v>
      </c>
    </row>
    <row r="19" spans="1:9">
      <c r="A19" t="s">
        <v>26</v>
      </c>
      <c r="B19">
        <v>17.11</v>
      </c>
      <c r="C19">
        <v>1886.72</v>
      </c>
      <c r="D19">
        <v>17.16</v>
      </c>
      <c r="E19">
        <v>1886.72</v>
      </c>
      <c r="F19">
        <v>17.15</v>
      </c>
      <c r="G19">
        <v>2098.26</v>
      </c>
      <c r="H19">
        <v>23.58</v>
      </c>
      <c r="I19">
        <v>1960.31</v>
      </c>
    </row>
    <row r="20" spans="1:9">
      <c r="A20" t="s">
        <v>27</v>
      </c>
      <c r="B20">
        <v>17.1</v>
      </c>
      <c r="C20">
        <v>1927.39</v>
      </c>
      <c r="D20">
        <v>17.15</v>
      </c>
      <c r="E20">
        <v>1927.39</v>
      </c>
      <c r="F20">
        <v>17.09</v>
      </c>
      <c r="G20">
        <v>2146.83</v>
      </c>
      <c r="H20">
        <v>18.49</v>
      </c>
      <c r="I20">
        <v>2002.69</v>
      </c>
    </row>
    <row r="21" spans="1:9">
      <c r="A21" t="s">
        <v>28</v>
      </c>
      <c r="B21">
        <v>17.88</v>
      </c>
      <c r="C21">
        <v>1837.71</v>
      </c>
      <c r="D21">
        <v>17.89</v>
      </c>
      <c r="E21">
        <v>1837.71</v>
      </c>
      <c r="F21">
        <v>17.84</v>
      </c>
      <c r="G21">
        <v>2074.6</v>
      </c>
      <c r="H21">
        <v>29.08</v>
      </c>
      <c r="I21">
        <v>1954.23</v>
      </c>
    </row>
    <row r="24" spans="1:28">
      <c r="A24" s="4" t="s">
        <v>29</v>
      </c>
      <c r="B24" s="4" t="s">
        <v>30</v>
      </c>
      <c r="C24" s="4" t="s">
        <v>31</v>
      </c>
      <c r="D24" s="5" t="s">
        <v>32</v>
      </c>
      <c r="E24" s="4" t="s">
        <v>33</v>
      </c>
      <c r="F24" s="4" t="s">
        <v>34</v>
      </c>
      <c r="G24" s="4" t="s">
        <v>35</v>
      </c>
      <c r="H24" s="5" t="s">
        <v>36</v>
      </c>
      <c r="I24" s="4" t="s">
        <v>37</v>
      </c>
      <c r="J24" s="4" t="s">
        <v>38</v>
      </c>
      <c r="K24" s="4" t="s">
        <v>39</v>
      </c>
      <c r="L24" s="5" t="s">
        <v>40</v>
      </c>
      <c r="M24" s="4" t="s">
        <v>41</v>
      </c>
      <c r="N24" s="4" t="s">
        <v>42</v>
      </c>
      <c r="O24" s="4" t="s">
        <v>43</v>
      </c>
      <c r="P24" s="5" t="s">
        <v>44</v>
      </c>
      <c r="Q24" s="4" t="s">
        <v>45</v>
      </c>
      <c r="R24" s="4" t="s">
        <v>46</v>
      </c>
      <c r="S24" s="4" t="s">
        <v>47</v>
      </c>
      <c r="T24" s="5" t="s">
        <v>48</v>
      </c>
      <c r="U24" s="4" t="s">
        <v>49</v>
      </c>
      <c r="V24" s="4" t="s">
        <v>50</v>
      </c>
      <c r="W24" s="4" t="s">
        <v>51</v>
      </c>
      <c r="X24" s="5" t="s">
        <v>52</v>
      </c>
      <c r="Y24" s="5" t="s">
        <v>53</v>
      </c>
      <c r="Z24" s="5" t="s">
        <v>54</v>
      </c>
      <c r="AA24" s="5" t="s">
        <v>55</v>
      </c>
      <c r="AB24" s="5" t="s">
        <v>56</v>
      </c>
    </row>
    <row r="25" spans="1:28">
      <c r="A25" s="6">
        <f>AVERAGE($B$2:$B$21)</f>
        <v>14.547</v>
      </c>
      <c r="B25" s="6">
        <f>AVERAGE($D$2:$D$21)</f>
        <v>14.592</v>
      </c>
      <c r="C25" s="6">
        <f>AVERAGE($F$2:$F$21)</f>
        <v>14.5525</v>
      </c>
      <c r="D25" s="6">
        <f>AVERAGEIF($H$2:$H$21,"&lt;&gt; -1")</f>
        <v>19.4365</v>
      </c>
      <c r="E25" s="6">
        <f>AVERAGE($C$2:$C$21)</f>
        <v>1895.619</v>
      </c>
      <c r="F25" s="6">
        <f>AVERAGE($E$2:$E$21)</f>
        <v>1895.619</v>
      </c>
      <c r="G25" s="6">
        <f>AVERAGE($G$2:$G$21)</f>
        <v>2116.4065</v>
      </c>
      <c r="H25" s="6">
        <f>AVERAGEIFS($I$2:$I$21,$H$2:$H$21,"&lt;&gt; -1")</f>
        <v>1991.7645</v>
      </c>
      <c r="I25" s="6">
        <f>MAX($B$2:$B$21)</f>
        <v>18.66</v>
      </c>
      <c r="J25" s="6">
        <f>MAX($D$2:$D$21)</f>
        <v>18.68</v>
      </c>
      <c r="K25" s="6">
        <f>MAX($F$2:$F$21)</f>
        <v>18.7</v>
      </c>
      <c r="L25" s="6">
        <f>_xlfn.MAXIFS($H$2:$H$21,$H$2:$H$21,"&lt;&gt; -1")</f>
        <v>33.7</v>
      </c>
      <c r="M25" s="6">
        <f>MIN($B$2:$B$21)</f>
        <v>11.34</v>
      </c>
      <c r="N25" s="6">
        <f>MIN($D$2:$D$21)</f>
        <v>11.38</v>
      </c>
      <c r="O25" s="6">
        <f>MIN($F$2:$F$21)</f>
        <v>11.34</v>
      </c>
      <c r="P25" s="6">
        <f>_xlfn.MINIFS($H$2:$H$21,$H$2:$H$21,"&lt;&gt; -1")</f>
        <v>12.33</v>
      </c>
      <c r="Q25" s="6">
        <f>MAX($C$2:$C$21)</f>
        <v>2025.24</v>
      </c>
      <c r="R25" s="6">
        <f>MAX($E$2:$E$21)</f>
        <v>2025.24</v>
      </c>
      <c r="S25" s="6">
        <f>MAX($G$2:$G$21)</f>
        <v>2281.16</v>
      </c>
      <c r="T25" s="6">
        <f>_xlfn.MAXIFS($I$2:$I$21,$H$2:$H$21,"&lt;&gt; -1")</f>
        <v>2085.84</v>
      </c>
      <c r="U25" s="6">
        <f>MIN($C$2:$C$21)</f>
        <v>1777.8</v>
      </c>
      <c r="V25" s="6">
        <f>MIN($E$2:$E$21)</f>
        <v>1777.8</v>
      </c>
      <c r="W25" s="6">
        <f>MIN($G$2:$G$21)</f>
        <v>1997.09</v>
      </c>
      <c r="X25" s="6">
        <f>_xlfn.MINIFS($I$2:$I$21,$H$2:$H$21,"&lt;&gt; -1")</f>
        <v>1876.96</v>
      </c>
      <c r="Y25" s="6">
        <f>(COUNTIFS($B$2:$B$21,"&gt;0.0",$B$2:$B$21,"&lt;100.0"))/20</f>
        <v>1</v>
      </c>
      <c r="Z25" s="6">
        <f>(COUNTIFS($D$2:$D$21,"&gt;0.0",$D$2:$D$21,"&lt;100.0"))/20</f>
        <v>1</v>
      </c>
      <c r="AA25" s="6">
        <f>(COUNTIFS($F$2:$F$21,"&gt;0.0",$F$2:$F$21,"&lt;100.0"))/20</f>
        <v>1</v>
      </c>
      <c r="AB25" s="6">
        <f>(COUNTIFS($H$2:$H$21,"&gt;0.0",$H$2:$H$21,"&lt;100.0"))/20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workbookViewId="0">
      <selection activeCell="A26" sqref="$A26:$XFD26"/>
    </sheetView>
  </sheetViews>
  <sheetFormatPr defaultColWidth="9" defaultRowHeight="14"/>
  <cols>
    <col min="1" max="2" width="9.54545454545454" customWidth="1"/>
    <col min="3" max="3" width="7.54545454545455" customWidth="1"/>
    <col min="4" max="4" width="8.54545454545454" customWidth="1"/>
    <col min="5" max="8" width="9.54545454545454" customWidth="1"/>
    <col min="9" max="10" width="15.1818181818182" customWidth="1"/>
    <col min="11" max="11" width="12.9090909090909" customWidth="1"/>
    <col min="12" max="12" width="14" customWidth="1"/>
    <col min="13" max="14" width="16.2727272727273" customWidth="1"/>
    <col min="15" max="15" width="14" customWidth="1"/>
    <col min="16" max="18" width="15.1818181818182" customWidth="1"/>
    <col min="19" max="19" width="12.9090909090909" customWidth="1"/>
    <col min="20" max="20" width="14" customWidth="1"/>
    <col min="21" max="22" width="16.2727272727273" customWidth="1"/>
    <col min="23" max="23" width="14" customWidth="1"/>
    <col min="24" max="24" width="15.181818181818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19.76</v>
      </c>
      <c r="C2">
        <v>1947.97</v>
      </c>
      <c r="D2">
        <v>19.79</v>
      </c>
      <c r="E2">
        <v>1947.97</v>
      </c>
      <c r="F2">
        <v>19.65</v>
      </c>
      <c r="G2">
        <v>2194.19</v>
      </c>
      <c r="H2">
        <v>-1</v>
      </c>
      <c r="I2">
        <v>1600.81</v>
      </c>
    </row>
    <row r="3" spans="1:9">
      <c r="A3" t="s">
        <v>10</v>
      </c>
      <c r="B3">
        <v>20.67</v>
      </c>
      <c r="C3">
        <v>2103.99</v>
      </c>
      <c r="D3">
        <v>20.68</v>
      </c>
      <c r="E3">
        <v>2103.99</v>
      </c>
      <c r="F3">
        <v>20.63</v>
      </c>
      <c r="G3">
        <v>2309.97</v>
      </c>
      <c r="H3">
        <v>-1</v>
      </c>
      <c r="I3">
        <v>2030.85</v>
      </c>
    </row>
    <row r="4" spans="1:9">
      <c r="A4" t="s">
        <v>11</v>
      </c>
      <c r="B4">
        <v>14.17</v>
      </c>
      <c r="C4">
        <v>1958.97</v>
      </c>
      <c r="D4">
        <v>14.2</v>
      </c>
      <c r="E4">
        <v>1958.97</v>
      </c>
      <c r="F4">
        <v>14.13</v>
      </c>
      <c r="G4">
        <v>2173.63</v>
      </c>
      <c r="H4">
        <v>-1</v>
      </c>
      <c r="I4">
        <v>1557.34</v>
      </c>
    </row>
    <row r="5" spans="1:9">
      <c r="A5" t="s">
        <v>12</v>
      </c>
      <c r="B5">
        <v>14.09</v>
      </c>
      <c r="C5">
        <v>2059.55</v>
      </c>
      <c r="D5">
        <v>14.12</v>
      </c>
      <c r="E5">
        <v>2059.55</v>
      </c>
      <c r="F5">
        <v>14.05</v>
      </c>
      <c r="G5">
        <v>2309.23</v>
      </c>
      <c r="H5">
        <v>-1</v>
      </c>
      <c r="I5">
        <v>1315.61</v>
      </c>
    </row>
    <row r="6" spans="1:9">
      <c r="A6" t="s">
        <v>13</v>
      </c>
      <c r="B6">
        <v>20.3</v>
      </c>
      <c r="C6">
        <v>2057.14</v>
      </c>
      <c r="D6">
        <v>20.33</v>
      </c>
      <c r="E6">
        <v>2057.14</v>
      </c>
      <c r="F6">
        <v>20.25</v>
      </c>
      <c r="G6">
        <v>2330.61</v>
      </c>
      <c r="H6">
        <v>38.45</v>
      </c>
      <c r="I6">
        <v>1989.75</v>
      </c>
    </row>
    <row r="7" spans="1:9">
      <c r="A7" t="s">
        <v>14</v>
      </c>
      <c r="B7">
        <v>19.76</v>
      </c>
      <c r="C7">
        <v>2060.51</v>
      </c>
      <c r="D7">
        <v>19.77</v>
      </c>
      <c r="E7">
        <v>2060.51</v>
      </c>
      <c r="F7">
        <v>19.71</v>
      </c>
      <c r="G7">
        <v>2279.07</v>
      </c>
      <c r="H7">
        <v>32.29</v>
      </c>
      <c r="I7">
        <v>2019.56</v>
      </c>
    </row>
    <row r="8" spans="1:9">
      <c r="A8" t="s">
        <v>15</v>
      </c>
      <c r="B8">
        <v>13.6</v>
      </c>
      <c r="C8">
        <v>1986.18</v>
      </c>
      <c r="D8">
        <v>13.62</v>
      </c>
      <c r="E8">
        <v>1986.18</v>
      </c>
      <c r="F8">
        <v>13.56</v>
      </c>
      <c r="G8">
        <v>2193.09</v>
      </c>
      <c r="H8">
        <v>25.58</v>
      </c>
      <c r="I8">
        <v>1998.33</v>
      </c>
    </row>
    <row r="9" spans="1:9">
      <c r="A9" t="s">
        <v>16</v>
      </c>
      <c r="B9">
        <v>17.14</v>
      </c>
      <c r="C9">
        <v>1994.02</v>
      </c>
      <c r="D9">
        <v>17.15</v>
      </c>
      <c r="E9">
        <v>1994.02</v>
      </c>
      <c r="F9">
        <v>17.06</v>
      </c>
      <c r="G9">
        <v>2212.16</v>
      </c>
      <c r="H9">
        <v>31.84</v>
      </c>
      <c r="I9">
        <v>1965.32</v>
      </c>
    </row>
    <row r="10" spans="1:9">
      <c r="A10" t="s">
        <v>17</v>
      </c>
      <c r="B10">
        <v>19.61</v>
      </c>
      <c r="C10">
        <v>2024.62</v>
      </c>
      <c r="D10">
        <v>19.65</v>
      </c>
      <c r="E10">
        <v>2024.62</v>
      </c>
      <c r="F10">
        <v>19.53</v>
      </c>
      <c r="G10">
        <v>2245.86</v>
      </c>
      <c r="H10">
        <v>-1</v>
      </c>
      <c r="I10">
        <v>1345.62</v>
      </c>
    </row>
    <row r="11" spans="1:9">
      <c r="A11" t="s">
        <v>18</v>
      </c>
      <c r="B11">
        <v>22.17</v>
      </c>
      <c r="C11">
        <v>2195</v>
      </c>
      <c r="D11">
        <v>22.25</v>
      </c>
      <c r="E11">
        <v>2195</v>
      </c>
      <c r="F11">
        <v>22.07</v>
      </c>
      <c r="G11">
        <v>2513.82</v>
      </c>
      <c r="H11">
        <v>-1</v>
      </c>
      <c r="I11">
        <v>2060.56</v>
      </c>
    </row>
    <row r="12" spans="1:9">
      <c r="A12" t="s">
        <v>19</v>
      </c>
      <c r="B12">
        <v>13.77</v>
      </c>
      <c r="C12">
        <v>2136.71</v>
      </c>
      <c r="D12">
        <v>13.79</v>
      </c>
      <c r="E12">
        <v>2136.71</v>
      </c>
      <c r="F12">
        <v>13.73</v>
      </c>
      <c r="G12">
        <v>2373.11</v>
      </c>
      <c r="H12">
        <v>-1</v>
      </c>
      <c r="I12">
        <v>1695.66</v>
      </c>
    </row>
    <row r="13" spans="1:9">
      <c r="A13" t="s">
        <v>20</v>
      </c>
      <c r="B13">
        <v>19.34</v>
      </c>
      <c r="C13">
        <v>2077.03</v>
      </c>
      <c r="D13">
        <v>19.41</v>
      </c>
      <c r="E13">
        <v>2077.03</v>
      </c>
      <c r="F13">
        <v>19.28</v>
      </c>
      <c r="G13">
        <v>2375.45</v>
      </c>
      <c r="H13">
        <v>22.86</v>
      </c>
      <c r="I13">
        <v>2009.97</v>
      </c>
    </row>
    <row r="14" spans="1:9">
      <c r="A14" t="s">
        <v>21</v>
      </c>
      <c r="B14">
        <v>18.84</v>
      </c>
      <c r="C14">
        <v>2112.95</v>
      </c>
      <c r="D14">
        <v>18.89</v>
      </c>
      <c r="E14">
        <v>2112.95</v>
      </c>
      <c r="F14">
        <v>18.78</v>
      </c>
      <c r="G14">
        <v>2402.02</v>
      </c>
      <c r="H14">
        <v>26.54</v>
      </c>
      <c r="I14">
        <v>2047.18</v>
      </c>
    </row>
    <row r="15" spans="1:9">
      <c r="A15" t="s">
        <v>22</v>
      </c>
      <c r="B15">
        <v>13.28</v>
      </c>
      <c r="C15">
        <v>1975.62</v>
      </c>
      <c r="D15">
        <v>13.31</v>
      </c>
      <c r="E15">
        <v>1975.62</v>
      </c>
      <c r="F15">
        <v>13.26</v>
      </c>
      <c r="G15">
        <v>2242.07</v>
      </c>
      <c r="H15">
        <v>14.69</v>
      </c>
      <c r="I15">
        <v>1994.32</v>
      </c>
    </row>
    <row r="16" spans="1:9">
      <c r="A16" t="s">
        <v>23</v>
      </c>
      <c r="B16">
        <v>13.75</v>
      </c>
      <c r="C16">
        <v>2077.19</v>
      </c>
      <c r="D16">
        <v>13.79</v>
      </c>
      <c r="E16">
        <v>2077.19</v>
      </c>
      <c r="F16">
        <v>13.7</v>
      </c>
      <c r="G16">
        <v>2368.71</v>
      </c>
      <c r="H16">
        <v>-1</v>
      </c>
      <c r="I16">
        <v>1367.97</v>
      </c>
    </row>
    <row r="17" spans="1:9">
      <c r="A17" t="s">
        <v>24</v>
      </c>
      <c r="B17">
        <v>13.62</v>
      </c>
      <c r="C17">
        <v>1976.68</v>
      </c>
      <c r="D17">
        <v>13.64</v>
      </c>
      <c r="E17">
        <v>1976.68</v>
      </c>
      <c r="F17">
        <v>13.57</v>
      </c>
      <c r="G17">
        <v>2234.78</v>
      </c>
      <c r="H17">
        <v>17.74</v>
      </c>
      <c r="I17">
        <v>1989</v>
      </c>
    </row>
    <row r="18" spans="1:9">
      <c r="A18" t="s">
        <v>25</v>
      </c>
      <c r="B18">
        <v>13.97</v>
      </c>
      <c r="C18">
        <v>2114.22</v>
      </c>
      <c r="D18">
        <v>14</v>
      </c>
      <c r="E18">
        <v>2114.22</v>
      </c>
      <c r="F18">
        <v>13.93</v>
      </c>
      <c r="G18">
        <v>2334.41</v>
      </c>
      <c r="H18">
        <v>-1</v>
      </c>
      <c r="I18">
        <v>2048.15</v>
      </c>
    </row>
    <row r="19" spans="1:9">
      <c r="A19" t="s">
        <v>26</v>
      </c>
      <c r="B19">
        <v>19.85</v>
      </c>
      <c r="C19">
        <v>2028.94</v>
      </c>
      <c r="D19">
        <v>19.84</v>
      </c>
      <c r="E19">
        <v>2028.94</v>
      </c>
      <c r="F19">
        <v>19.75</v>
      </c>
      <c r="G19">
        <v>2298.88</v>
      </c>
      <c r="H19">
        <v>22.61</v>
      </c>
      <c r="I19">
        <v>2018.2</v>
      </c>
    </row>
    <row r="20" spans="1:9">
      <c r="A20" t="s">
        <v>27</v>
      </c>
      <c r="B20">
        <v>17.99</v>
      </c>
      <c r="C20">
        <v>2043.69</v>
      </c>
      <c r="D20">
        <v>18.02</v>
      </c>
      <c r="E20">
        <v>2043.69</v>
      </c>
      <c r="F20">
        <v>17.94</v>
      </c>
      <c r="G20">
        <v>2244.47</v>
      </c>
      <c r="H20">
        <v>-1</v>
      </c>
      <c r="I20">
        <v>1632.69</v>
      </c>
    </row>
    <row r="21" spans="1:9">
      <c r="A21" t="s">
        <v>28</v>
      </c>
      <c r="B21">
        <v>13.87</v>
      </c>
      <c r="C21">
        <v>2135.36</v>
      </c>
      <c r="D21">
        <v>13.92</v>
      </c>
      <c r="E21">
        <v>2135.36</v>
      </c>
      <c r="F21">
        <v>13.82</v>
      </c>
      <c r="G21">
        <v>2417.69</v>
      </c>
      <c r="H21">
        <v>37.81</v>
      </c>
      <c r="I21">
        <v>2051.82</v>
      </c>
    </row>
    <row r="25" spans="1:28">
      <c r="A25" s="4" t="s">
        <v>29</v>
      </c>
      <c r="B25" s="4" t="s">
        <v>30</v>
      </c>
      <c r="C25" s="4" t="s">
        <v>31</v>
      </c>
      <c r="D25" s="5" t="s">
        <v>32</v>
      </c>
      <c r="E25" s="4" t="s">
        <v>33</v>
      </c>
      <c r="F25" s="4" t="s">
        <v>34</v>
      </c>
      <c r="G25" s="4" t="s">
        <v>35</v>
      </c>
      <c r="H25" s="5" t="s">
        <v>36</v>
      </c>
      <c r="I25" s="4" t="s">
        <v>37</v>
      </c>
      <c r="J25" s="4" t="s">
        <v>38</v>
      </c>
      <c r="K25" s="4" t="s">
        <v>39</v>
      </c>
      <c r="L25" s="5" t="s">
        <v>40</v>
      </c>
      <c r="M25" s="4" t="s">
        <v>41</v>
      </c>
      <c r="N25" s="4" t="s">
        <v>42</v>
      </c>
      <c r="O25" s="4" t="s">
        <v>43</v>
      </c>
      <c r="P25" s="5" t="s">
        <v>44</v>
      </c>
      <c r="Q25" s="4" t="s">
        <v>45</v>
      </c>
      <c r="R25" s="4" t="s">
        <v>46</v>
      </c>
      <c r="S25" s="4" t="s">
        <v>47</v>
      </c>
      <c r="T25" s="5" t="s">
        <v>48</v>
      </c>
      <c r="U25" s="4" t="s">
        <v>49</v>
      </c>
      <c r="V25" s="4" t="s">
        <v>50</v>
      </c>
      <c r="W25" s="4" t="s">
        <v>51</v>
      </c>
      <c r="X25" s="5" t="s">
        <v>52</v>
      </c>
      <c r="Y25" s="5" t="s">
        <v>53</v>
      </c>
      <c r="Z25" s="5" t="s">
        <v>54</v>
      </c>
      <c r="AA25" s="5" t="s">
        <v>55</v>
      </c>
      <c r="AB25" s="5" t="s">
        <v>56</v>
      </c>
    </row>
    <row r="26" spans="1:28">
      <c r="A26" s="6">
        <f>AVERAGE($B$2:$B$21)</f>
        <v>16.9775</v>
      </c>
      <c r="B26" s="6">
        <f>AVERAGE($D$2:$D$21)</f>
        <v>17.0085</v>
      </c>
      <c r="C26" s="6">
        <f>AVERAGE($F$2:$F$21)</f>
        <v>16.92</v>
      </c>
      <c r="D26" s="6">
        <f>AVERAGEIF($H$2:$H$21,"&lt;&gt; -1")</f>
        <v>27.041</v>
      </c>
      <c r="E26" s="6">
        <f>AVERAGE($C$2:$C$21)</f>
        <v>2053.317</v>
      </c>
      <c r="F26" s="6">
        <f>AVERAGE($E$2:$E$21)</f>
        <v>2053.317</v>
      </c>
      <c r="G26" s="6">
        <f>AVERAGE($G$2:$G$21)</f>
        <v>2302.661</v>
      </c>
      <c r="H26" s="6">
        <f>AVERAGEIFS($I$2:$I$21,$H$2:$H$21,"&lt;&gt; -1")</f>
        <v>2008.345</v>
      </c>
      <c r="I26" s="6">
        <f>MAX($B$2:$B$21)</f>
        <v>22.17</v>
      </c>
      <c r="J26" s="6">
        <f>MAX($D$2:$D$21)</f>
        <v>22.25</v>
      </c>
      <c r="K26" s="6">
        <f>MAX($F$2:$F$21)</f>
        <v>22.07</v>
      </c>
      <c r="L26" s="6">
        <f>_xlfn.MAXIFS($H$2:$H$21,$H$2:$H$21,"&lt;&gt; -1")</f>
        <v>38.45</v>
      </c>
      <c r="M26" s="6">
        <f>MIN($B$2:$B$21)</f>
        <v>13.28</v>
      </c>
      <c r="N26" s="6">
        <f>MIN($D$2:$D$21)</f>
        <v>13.31</v>
      </c>
      <c r="O26" s="6">
        <f>MIN($F$2:$F$21)</f>
        <v>13.26</v>
      </c>
      <c r="P26" s="6">
        <f>_xlfn.MINIFS($H$2:$H$21,$H$2:$H$21,"&lt;&gt; -1")</f>
        <v>14.69</v>
      </c>
      <c r="Q26" s="6">
        <f>MAX($C$2:$C$21)</f>
        <v>2195</v>
      </c>
      <c r="R26" s="6">
        <f>MAX($E$2:$E$21)</f>
        <v>2195</v>
      </c>
      <c r="S26" s="6">
        <f>MAX($G$2:$G$21)</f>
        <v>2513.82</v>
      </c>
      <c r="T26" s="6">
        <f>_xlfn.MAXIFS($I$2:$I$21,$H$2:$H$21,"&lt;&gt; -1")</f>
        <v>2051.82</v>
      </c>
      <c r="U26" s="6">
        <f>MIN($C$2:$C$21)</f>
        <v>1947.97</v>
      </c>
      <c r="V26" s="6">
        <f>MIN($E$2:$E$21)</f>
        <v>1947.97</v>
      </c>
      <c r="W26" s="6">
        <f>MIN($G$2:$G$21)</f>
        <v>2173.63</v>
      </c>
      <c r="X26" s="6">
        <f>_xlfn.MINIFS($I$2:$I$21,$H$2:$H$21,"&lt;&gt; -1")</f>
        <v>1965.32</v>
      </c>
      <c r="Y26" s="6">
        <f>(COUNTIFS($B$2:$B$21,"&gt;0.0",$B$2:$B$21,"&lt;100.0"))/20</f>
        <v>1</v>
      </c>
      <c r="Z26" s="6">
        <f>(COUNTIFS($D$2:$D$21,"&gt;0.0",$D$2:$D$21,"&lt;100.0"))/20</f>
        <v>1</v>
      </c>
      <c r="AA26" s="6">
        <f>(COUNTIFS($F$2:$F$21,"&gt;0.0",$F$2:$F$21,"&lt;100.0"))/20</f>
        <v>1</v>
      </c>
      <c r="AB26" s="6">
        <f>(COUNTIFS($H$2:$H$21,"&gt;0.0",$H$2:$H$21,"&lt;100.0"))/20</f>
        <v>0.5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20.13</v>
      </c>
      <c r="C2">
        <v>1804.85</v>
      </c>
      <c r="D2">
        <v>20.15</v>
      </c>
      <c r="E2">
        <v>1804.85</v>
      </c>
      <c r="F2">
        <v>20.12</v>
      </c>
      <c r="G2">
        <v>2012.85</v>
      </c>
      <c r="H2">
        <v>26.27</v>
      </c>
      <c r="I2">
        <v>1870.03</v>
      </c>
    </row>
    <row r="3" spans="1:9">
      <c r="A3" t="s">
        <v>10</v>
      </c>
      <c r="B3">
        <v>16.64</v>
      </c>
      <c r="C3">
        <v>2178.35</v>
      </c>
      <c r="D3">
        <v>16.64</v>
      </c>
      <c r="E3">
        <v>2178.35</v>
      </c>
      <c r="F3">
        <v>16.59</v>
      </c>
      <c r="G3">
        <v>2409.7</v>
      </c>
      <c r="H3">
        <v>-1</v>
      </c>
      <c r="I3">
        <v>864.95</v>
      </c>
    </row>
    <row r="4" spans="1:9">
      <c r="A4" t="s">
        <v>11</v>
      </c>
      <c r="B4">
        <v>27.65</v>
      </c>
      <c r="C4">
        <v>2075.36</v>
      </c>
      <c r="D4">
        <v>27.6</v>
      </c>
      <c r="E4">
        <v>2075.36</v>
      </c>
      <c r="F4">
        <v>27.55</v>
      </c>
      <c r="G4">
        <v>2358.71</v>
      </c>
      <c r="H4">
        <v>-1</v>
      </c>
      <c r="I4">
        <v>1906.64</v>
      </c>
    </row>
    <row r="5" spans="1:9">
      <c r="A5" t="s">
        <v>12</v>
      </c>
      <c r="B5">
        <v>14.24</v>
      </c>
      <c r="C5">
        <v>1880</v>
      </c>
      <c r="D5">
        <v>14.27</v>
      </c>
      <c r="E5">
        <v>1880</v>
      </c>
      <c r="F5">
        <v>14.23</v>
      </c>
      <c r="G5">
        <v>2127.55</v>
      </c>
      <c r="H5">
        <v>-1</v>
      </c>
      <c r="I5">
        <v>1448.14</v>
      </c>
    </row>
    <row r="6" spans="1:9">
      <c r="A6" t="s">
        <v>13</v>
      </c>
      <c r="B6">
        <v>15.03</v>
      </c>
      <c r="C6">
        <v>2019.55</v>
      </c>
      <c r="D6">
        <v>15.05</v>
      </c>
      <c r="E6">
        <v>2019.55</v>
      </c>
      <c r="F6">
        <v>14.95</v>
      </c>
      <c r="G6">
        <v>2254.84</v>
      </c>
      <c r="H6">
        <v>-1</v>
      </c>
      <c r="I6">
        <v>853.3</v>
      </c>
    </row>
    <row r="7" spans="1:9">
      <c r="A7" t="s">
        <v>14</v>
      </c>
      <c r="B7">
        <v>14.91</v>
      </c>
      <c r="C7">
        <v>2064.32</v>
      </c>
      <c r="D7">
        <v>14.92</v>
      </c>
      <c r="E7">
        <v>2064.32</v>
      </c>
      <c r="F7">
        <v>14.86</v>
      </c>
      <c r="G7">
        <v>2239.39</v>
      </c>
      <c r="H7">
        <v>-1</v>
      </c>
      <c r="I7">
        <v>1550.51</v>
      </c>
    </row>
    <row r="8" spans="1:9">
      <c r="A8" t="s">
        <v>15</v>
      </c>
      <c r="B8">
        <v>20.89</v>
      </c>
      <c r="C8">
        <v>1941.58</v>
      </c>
      <c r="D8">
        <v>20.92</v>
      </c>
      <c r="E8">
        <v>1941.58</v>
      </c>
      <c r="F8">
        <v>20.84</v>
      </c>
      <c r="G8">
        <v>2131.8</v>
      </c>
      <c r="H8">
        <v>33.55</v>
      </c>
      <c r="I8">
        <v>1932.38</v>
      </c>
    </row>
    <row r="9" spans="1:9">
      <c r="A9" t="s">
        <v>16</v>
      </c>
      <c r="B9">
        <v>21.44</v>
      </c>
      <c r="C9">
        <v>2053.59</v>
      </c>
      <c r="D9">
        <v>21.46</v>
      </c>
      <c r="E9">
        <v>2053.59</v>
      </c>
      <c r="F9">
        <v>21.3</v>
      </c>
      <c r="G9">
        <v>2219.99</v>
      </c>
      <c r="H9">
        <v>-1</v>
      </c>
      <c r="I9">
        <v>1412.74</v>
      </c>
    </row>
    <row r="10" spans="1:9">
      <c r="A10" t="s">
        <v>17</v>
      </c>
      <c r="B10">
        <v>19.97</v>
      </c>
      <c r="C10">
        <v>1969.69</v>
      </c>
      <c r="D10">
        <v>20</v>
      </c>
      <c r="E10">
        <v>1969.69</v>
      </c>
      <c r="F10">
        <v>19.89</v>
      </c>
      <c r="G10">
        <v>2127.65</v>
      </c>
      <c r="H10">
        <v>-1</v>
      </c>
      <c r="I10">
        <v>851.52</v>
      </c>
    </row>
    <row r="11" spans="1:9">
      <c r="A11" t="s">
        <v>18</v>
      </c>
      <c r="B11">
        <v>15.29</v>
      </c>
      <c r="C11">
        <v>2096.48</v>
      </c>
      <c r="D11">
        <v>15.31</v>
      </c>
      <c r="E11">
        <v>2096.48</v>
      </c>
      <c r="F11">
        <v>15.24</v>
      </c>
      <c r="G11">
        <v>2289.01</v>
      </c>
      <c r="H11">
        <v>-1</v>
      </c>
      <c r="I11">
        <v>1010.36</v>
      </c>
    </row>
    <row r="12" spans="1:9">
      <c r="A12" t="s">
        <v>19</v>
      </c>
      <c r="B12">
        <v>23.37</v>
      </c>
      <c r="C12">
        <v>2138.92</v>
      </c>
      <c r="D12">
        <v>23.45</v>
      </c>
      <c r="E12">
        <v>2138.92</v>
      </c>
      <c r="F12">
        <v>23.27</v>
      </c>
      <c r="G12">
        <v>2325.88</v>
      </c>
      <c r="H12">
        <v>-1</v>
      </c>
      <c r="I12">
        <v>1570.32</v>
      </c>
    </row>
    <row r="13" spans="1:9">
      <c r="A13" t="s">
        <v>20</v>
      </c>
      <c r="B13">
        <v>14.9</v>
      </c>
      <c r="C13">
        <v>2134.41</v>
      </c>
      <c r="D13">
        <v>15.08</v>
      </c>
      <c r="E13">
        <v>2134.41</v>
      </c>
      <c r="F13">
        <v>14.92</v>
      </c>
      <c r="G13">
        <v>2367.39</v>
      </c>
      <c r="H13">
        <v>-1</v>
      </c>
      <c r="I13">
        <v>1458.89</v>
      </c>
    </row>
    <row r="14" spans="1:9">
      <c r="A14" t="s">
        <v>21</v>
      </c>
      <c r="B14">
        <v>15.08</v>
      </c>
      <c r="C14">
        <v>2156.69</v>
      </c>
      <c r="D14">
        <v>15.1</v>
      </c>
      <c r="E14">
        <v>2156.69</v>
      </c>
      <c r="F14">
        <v>15.03</v>
      </c>
      <c r="G14">
        <v>2371.05</v>
      </c>
      <c r="H14">
        <v>-1</v>
      </c>
      <c r="I14">
        <v>1000.43</v>
      </c>
    </row>
    <row r="15" spans="1:9">
      <c r="A15" t="s">
        <v>22</v>
      </c>
      <c r="B15">
        <v>19.4</v>
      </c>
      <c r="C15">
        <v>2172.13</v>
      </c>
      <c r="D15">
        <v>19.4</v>
      </c>
      <c r="E15">
        <v>2172.13</v>
      </c>
      <c r="F15">
        <v>19.32</v>
      </c>
      <c r="G15">
        <v>2468.58</v>
      </c>
      <c r="H15">
        <v>-1</v>
      </c>
      <c r="I15">
        <v>1454.1</v>
      </c>
    </row>
    <row r="16" spans="1:9">
      <c r="A16" t="s">
        <v>23</v>
      </c>
      <c r="B16">
        <v>22.05</v>
      </c>
      <c r="C16">
        <v>1827.69</v>
      </c>
      <c r="D16">
        <v>22.1</v>
      </c>
      <c r="E16">
        <v>1827.69</v>
      </c>
      <c r="F16">
        <v>22.02</v>
      </c>
      <c r="G16">
        <v>2001.66</v>
      </c>
      <c r="H16">
        <v>29.73</v>
      </c>
      <c r="I16">
        <v>1841.88</v>
      </c>
    </row>
    <row r="17" spans="1:9">
      <c r="A17" t="s">
        <v>24</v>
      </c>
      <c r="B17">
        <v>21.72</v>
      </c>
      <c r="C17">
        <v>2032.77</v>
      </c>
      <c r="D17">
        <v>21.74</v>
      </c>
      <c r="E17">
        <v>2032.77</v>
      </c>
      <c r="F17">
        <v>21.63</v>
      </c>
      <c r="G17">
        <v>2332.24</v>
      </c>
      <c r="H17">
        <v>-1</v>
      </c>
      <c r="I17">
        <v>888.52</v>
      </c>
    </row>
    <row r="18" spans="1:9">
      <c r="A18" t="s">
        <v>25</v>
      </c>
      <c r="B18">
        <v>15.51</v>
      </c>
      <c r="C18">
        <v>2123.94</v>
      </c>
      <c r="D18">
        <v>15.53</v>
      </c>
      <c r="E18">
        <v>2123.94</v>
      </c>
      <c r="F18">
        <v>15.46</v>
      </c>
      <c r="G18">
        <v>2405.64</v>
      </c>
      <c r="H18">
        <v>-1</v>
      </c>
      <c r="I18">
        <v>1558.02</v>
      </c>
    </row>
    <row r="19" spans="1:9">
      <c r="A19" t="s">
        <v>26</v>
      </c>
      <c r="B19">
        <v>15.94</v>
      </c>
      <c r="C19">
        <v>2223.66</v>
      </c>
      <c r="D19">
        <v>15.96</v>
      </c>
      <c r="E19">
        <v>2223.66</v>
      </c>
      <c r="F19">
        <v>15.88</v>
      </c>
      <c r="G19">
        <v>2499.08</v>
      </c>
      <c r="H19">
        <v>-1</v>
      </c>
      <c r="I19">
        <v>1518.8</v>
      </c>
    </row>
    <row r="20" spans="1:9">
      <c r="A20" t="s">
        <v>27</v>
      </c>
      <c r="B20">
        <v>21.63</v>
      </c>
      <c r="C20">
        <v>2082.41</v>
      </c>
      <c r="D20">
        <v>21.65</v>
      </c>
      <c r="E20">
        <v>2082.41</v>
      </c>
      <c r="F20">
        <v>21.56</v>
      </c>
      <c r="G20">
        <v>2372.77</v>
      </c>
      <c r="H20">
        <v>-1</v>
      </c>
      <c r="I20">
        <v>1482.21</v>
      </c>
    </row>
    <row r="21" spans="1:9">
      <c r="A21" t="s">
        <v>28</v>
      </c>
      <c r="B21">
        <v>19.08</v>
      </c>
      <c r="C21">
        <v>2160.92</v>
      </c>
      <c r="D21">
        <v>19.09</v>
      </c>
      <c r="E21">
        <v>2160.92</v>
      </c>
      <c r="F21">
        <v>18.98</v>
      </c>
      <c r="G21">
        <v>2414.7</v>
      </c>
      <c r="H21">
        <v>-1</v>
      </c>
      <c r="I21">
        <v>850.54</v>
      </c>
    </row>
    <row r="23" spans="1:28">
      <c r="A23" s="4" t="s">
        <v>29</v>
      </c>
      <c r="B23" s="4" t="s">
        <v>30</v>
      </c>
      <c r="C23" s="4" t="s">
        <v>31</v>
      </c>
      <c r="D23" s="5" t="s">
        <v>32</v>
      </c>
      <c r="E23" s="4" t="s">
        <v>33</v>
      </c>
      <c r="F23" s="4" t="s">
        <v>34</v>
      </c>
      <c r="G23" s="4" t="s">
        <v>35</v>
      </c>
      <c r="H23" s="5" t="s">
        <v>36</v>
      </c>
      <c r="I23" s="4" t="s">
        <v>37</v>
      </c>
      <c r="J23" s="4" t="s">
        <v>38</v>
      </c>
      <c r="K23" s="4" t="s">
        <v>39</v>
      </c>
      <c r="L23" s="5" t="s">
        <v>40</v>
      </c>
      <c r="M23" s="4" t="s">
        <v>41</v>
      </c>
      <c r="N23" s="4" t="s">
        <v>42</v>
      </c>
      <c r="O23" s="4" t="s">
        <v>43</v>
      </c>
      <c r="P23" s="5" t="s">
        <v>44</v>
      </c>
      <c r="Q23" s="4" t="s">
        <v>45</v>
      </c>
      <c r="R23" s="4" t="s">
        <v>46</v>
      </c>
      <c r="S23" s="4" t="s">
        <v>47</v>
      </c>
      <c r="T23" s="5" t="s">
        <v>48</v>
      </c>
      <c r="U23" s="4" t="s">
        <v>49</v>
      </c>
      <c r="V23" s="4" t="s">
        <v>50</v>
      </c>
      <c r="W23" s="4" t="s">
        <v>51</v>
      </c>
      <c r="X23" s="5" t="s">
        <v>52</v>
      </c>
      <c r="Y23" s="5" t="s">
        <v>53</v>
      </c>
      <c r="Z23" s="5" t="s">
        <v>54</v>
      </c>
      <c r="AA23" s="5" t="s">
        <v>55</v>
      </c>
      <c r="AB23" s="5" t="s">
        <v>56</v>
      </c>
    </row>
    <row r="24" spans="1:28">
      <c r="A24" s="6">
        <f>AVERAGE($B$2:$B$21)</f>
        <v>18.7435</v>
      </c>
      <c r="B24" s="6">
        <f>AVERAGE($D$2:$D$21)</f>
        <v>18.771</v>
      </c>
      <c r="C24" s="6">
        <f>AVERAGE($F$2:$F$21)</f>
        <v>18.682</v>
      </c>
      <c r="D24" s="6">
        <f>AVERAGEIF($H$2:$H$21,"&lt;&gt; -1")</f>
        <v>29.85</v>
      </c>
      <c r="E24" s="6">
        <f>AVERAGE($C$2:$C$21)</f>
        <v>2056.8655</v>
      </c>
      <c r="F24" s="6">
        <f>AVERAGE($E$2:$E$21)</f>
        <v>2056.8655</v>
      </c>
      <c r="G24" s="6">
        <f>AVERAGE($G$2:$G$21)</f>
        <v>2286.524</v>
      </c>
      <c r="H24" s="6">
        <f>AVERAGEIFS($I$2:$I$21,$H$2:$H$21,"&lt;&gt; -1")</f>
        <v>1881.43</v>
      </c>
      <c r="I24" s="6">
        <f>MAX($B$2:$B$21)</f>
        <v>27.65</v>
      </c>
      <c r="J24" s="6">
        <f>MAX($D$2:$D$21)</f>
        <v>27.6</v>
      </c>
      <c r="K24" s="6">
        <f>MAX($F$2:$F$21)</f>
        <v>27.55</v>
      </c>
      <c r="L24" s="6">
        <f>_xlfn.MAXIFS($H$2:$H$21,$H$2:$H$21,"&lt;&gt; -1")</f>
        <v>33.55</v>
      </c>
      <c r="M24" s="6">
        <f>MIN($B$2:$B$21)</f>
        <v>14.24</v>
      </c>
      <c r="N24" s="6">
        <f>MIN($D$2:$D$21)</f>
        <v>14.27</v>
      </c>
      <c r="O24" s="6">
        <f>MIN($F$2:$F$21)</f>
        <v>14.23</v>
      </c>
      <c r="P24" s="6">
        <f>_xlfn.MINIFS($H$2:$H$21,$H$2:$H$21,"&lt;&gt; -1")</f>
        <v>26.27</v>
      </c>
      <c r="Q24" s="6">
        <f>MAX($C$2:$C$21)</f>
        <v>2223.66</v>
      </c>
      <c r="R24" s="6">
        <f>MAX($E$2:$E$21)</f>
        <v>2223.66</v>
      </c>
      <c r="S24" s="6">
        <f>MAX($G$2:$G$21)</f>
        <v>2499.08</v>
      </c>
      <c r="T24" s="6">
        <f>_xlfn.MAXIFS($I$2:$I$21,$H$2:$H$21,"&lt;&gt; -1")</f>
        <v>1932.38</v>
      </c>
      <c r="U24" s="6">
        <f>MIN($C$2:$C$21)</f>
        <v>1804.85</v>
      </c>
      <c r="V24" s="6">
        <f>MIN($E$2:$E$21)</f>
        <v>1804.85</v>
      </c>
      <c r="W24" s="6">
        <f>MIN($G$2:$G$21)</f>
        <v>2001.66</v>
      </c>
      <c r="X24" s="6">
        <f>_xlfn.MINIFS($I$2:$I$21,$H$2:$H$21,"&lt;&gt; -1")</f>
        <v>1841.88</v>
      </c>
      <c r="Y24" s="6">
        <f>(COUNTIFS($B$2:$B$21,"&gt;0.0",$B$2:$B$21,"&lt;100.0"))/20</f>
        <v>1</v>
      </c>
      <c r="Z24" s="6">
        <f>(COUNTIFS($D$2:$D$21,"&gt;0.0",$D$2:$D$21,"&lt;100.0"))/20</f>
        <v>1</v>
      </c>
      <c r="AA24" s="6">
        <f>(COUNTIFS($F$2:$F$21,"&gt;0.0",$F$2:$F$21,"&lt;100.0"))/20</f>
        <v>1</v>
      </c>
      <c r="AB24" s="6">
        <f>(COUNTIFS($H$2:$H$21,"&gt;0.0",$H$2:$H$21,"&lt;100.0"))/20</f>
        <v>0.15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topLeftCell="B1" workbookViewId="0">
      <selection activeCell="B24" sqref="$A24:$XFD24"/>
    </sheetView>
  </sheetViews>
  <sheetFormatPr defaultColWidth="9" defaultRowHeight="14"/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13.92</v>
      </c>
      <c r="C2">
        <v>1782.36</v>
      </c>
      <c r="D2">
        <v>13.93</v>
      </c>
      <c r="E2">
        <v>1782.36</v>
      </c>
      <c r="F2">
        <v>13.88</v>
      </c>
      <c r="G2">
        <v>1986.81</v>
      </c>
      <c r="H2">
        <v>-1</v>
      </c>
      <c r="I2">
        <v>615.59</v>
      </c>
    </row>
    <row r="3" spans="1:9">
      <c r="A3" t="s">
        <v>10</v>
      </c>
      <c r="B3">
        <v>16.91</v>
      </c>
      <c r="C3">
        <v>1853.9</v>
      </c>
      <c r="D3">
        <v>16.92</v>
      </c>
      <c r="E3">
        <v>1853.9</v>
      </c>
      <c r="F3">
        <v>16.86</v>
      </c>
      <c r="G3">
        <v>2088.69</v>
      </c>
      <c r="H3">
        <v>-1</v>
      </c>
      <c r="I3">
        <v>640.53</v>
      </c>
    </row>
    <row r="4" spans="1:9">
      <c r="A4" t="s">
        <v>11</v>
      </c>
      <c r="B4">
        <v>14.19</v>
      </c>
      <c r="C4">
        <v>1677.66</v>
      </c>
      <c r="D4">
        <v>14.2</v>
      </c>
      <c r="E4">
        <v>1677.66</v>
      </c>
      <c r="F4">
        <v>14.16</v>
      </c>
      <c r="G4">
        <v>1869</v>
      </c>
      <c r="H4">
        <v>-1</v>
      </c>
      <c r="I4">
        <v>1220.82</v>
      </c>
    </row>
    <row r="5" spans="1:9">
      <c r="A5" t="s">
        <v>12</v>
      </c>
      <c r="B5">
        <v>14.36</v>
      </c>
      <c r="C5">
        <v>1749.2</v>
      </c>
      <c r="D5">
        <v>14.39</v>
      </c>
      <c r="E5">
        <v>1749.2</v>
      </c>
      <c r="F5">
        <v>14.35</v>
      </c>
      <c r="G5">
        <v>1956.55</v>
      </c>
      <c r="H5">
        <v>-1</v>
      </c>
      <c r="I5">
        <v>1459.79</v>
      </c>
    </row>
    <row r="6" spans="1:9">
      <c r="A6" t="s">
        <v>13</v>
      </c>
      <c r="B6">
        <v>15.42</v>
      </c>
      <c r="C6">
        <v>1805.87</v>
      </c>
      <c r="D6">
        <v>15.43</v>
      </c>
      <c r="E6">
        <v>1805.87</v>
      </c>
      <c r="F6">
        <v>15.4</v>
      </c>
      <c r="G6">
        <v>1998.55</v>
      </c>
      <c r="H6">
        <v>35.32</v>
      </c>
      <c r="I6">
        <v>1773.37</v>
      </c>
    </row>
    <row r="7" spans="1:9">
      <c r="A7" t="s">
        <v>14</v>
      </c>
      <c r="B7">
        <v>18.51</v>
      </c>
      <c r="C7">
        <v>1836.23</v>
      </c>
      <c r="D7">
        <v>18.57</v>
      </c>
      <c r="E7">
        <v>1836.23</v>
      </c>
      <c r="F7">
        <v>18.46</v>
      </c>
      <c r="G7">
        <v>2040.56</v>
      </c>
      <c r="H7">
        <v>-1</v>
      </c>
      <c r="I7">
        <v>1343.09</v>
      </c>
    </row>
    <row r="8" spans="1:9">
      <c r="A8" t="s">
        <v>15</v>
      </c>
      <c r="B8">
        <v>14.92</v>
      </c>
      <c r="C8">
        <v>1747.93</v>
      </c>
      <c r="D8">
        <v>14.94</v>
      </c>
      <c r="E8">
        <v>1747.93</v>
      </c>
      <c r="F8">
        <v>14.9</v>
      </c>
      <c r="G8">
        <v>1959.2</v>
      </c>
      <c r="H8">
        <v>21.15</v>
      </c>
      <c r="I8">
        <v>1743.77</v>
      </c>
    </row>
    <row r="9" spans="1:9">
      <c r="A9" t="s">
        <v>16</v>
      </c>
      <c r="B9">
        <v>14.47</v>
      </c>
      <c r="C9">
        <v>1868.62</v>
      </c>
      <c r="D9">
        <v>14.49</v>
      </c>
      <c r="E9">
        <v>1868.62</v>
      </c>
      <c r="F9">
        <v>14.43</v>
      </c>
      <c r="G9">
        <v>2036.98</v>
      </c>
      <c r="H9">
        <v>-1</v>
      </c>
      <c r="I9">
        <v>981.68</v>
      </c>
    </row>
    <row r="10" spans="1:9">
      <c r="A10" t="s">
        <v>17</v>
      </c>
      <c r="B10">
        <v>14.52</v>
      </c>
      <c r="C10">
        <v>1806.26</v>
      </c>
      <c r="D10">
        <v>14.53</v>
      </c>
      <c r="E10">
        <v>1806.26</v>
      </c>
      <c r="F10">
        <v>14.46</v>
      </c>
      <c r="G10">
        <v>2054.29</v>
      </c>
      <c r="H10">
        <v>-1</v>
      </c>
      <c r="I10">
        <v>713.92</v>
      </c>
    </row>
    <row r="11" spans="1:9">
      <c r="A11" t="s">
        <v>18</v>
      </c>
      <c r="B11">
        <v>15.1</v>
      </c>
      <c r="C11">
        <v>1816.26</v>
      </c>
      <c r="D11">
        <v>15.11</v>
      </c>
      <c r="E11">
        <v>1816.26</v>
      </c>
      <c r="F11">
        <v>15.05</v>
      </c>
      <c r="G11">
        <v>1937.9</v>
      </c>
      <c r="H11">
        <v>-1</v>
      </c>
      <c r="I11">
        <v>1172.65</v>
      </c>
    </row>
    <row r="12" spans="1:9">
      <c r="A12" t="s">
        <v>19</v>
      </c>
      <c r="B12">
        <v>14.85</v>
      </c>
      <c r="C12">
        <v>1890.57</v>
      </c>
      <c r="D12">
        <v>14.86</v>
      </c>
      <c r="E12">
        <v>1890.57</v>
      </c>
      <c r="F12">
        <v>14.82</v>
      </c>
      <c r="G12">
        <v>2052.91</v>
      </c>
      <c r="H12">
        <v>40.14</v>
      </c>
      <c r="I12">
        <v>1808.53</v>
      </c>
    </row>
    <row r="13" spans="1:9">
      <c r="A13" t="s">
        <v>20</v>
      </c>
      <c r="B13">
        <v>14.91</v>
      </c>
      <c r="C13">
        <v>1903.7</v>
      </c>
      <c r="D13">
        <v>14.92</v>
      </c>
      <c r="E13">
        <v>1903.7</v>
      </c>
      <c r="F13">
        <v>14.86</v>
      </c>
      <c r="G13">
        <v>2140.12</v>
      </c>
      <c r="H13">
        <v>-1</v>
      </c>
      <c r="I13">
        <v>1334.36</v>
      </c>
    </row>
    <row r="14" spans="1:9">
      <c r="A14" t="s">
        <v>21</v>
      </c>
      <c r="B14">
        <v>15.17</v>
      </c>
      <c r="C14">
        <v>1755.84</v>
      </c>
      <c r="D14">
        <v>15.18</v>
      </c>
      <c r="E14">
        <v>1755.84</v>
      </c>
      <c r="F14">
        <v>15.15</v>
      </c>
      <c r="G14">
        <v>1988.66</v>
      </c>
      <c r="H14">
        <v>17.39</v>
      </c>
      <c r="I14">
        <v>1824.07</v>
      </c>
    </row>
    <row r="15" spans="1:9">
      <c r="A15" t="s">
        <v>22</v>
      </c>
      <c r="B15">
        <v>14.95</v>
      </c>
      <c r="C15">
        <v>1873.46</v>
      </c>
      <c r="D15">
        <v>14.89</v>
      </c>
      <c r="E15">
        <v>1873.46</v>
      </c>
      <c r="F15">
        <v>14.82</v>
      </c>
      <c r="G15">
        <v>2133.68</v>
      </c>
      <c r="H15">
        <v>-1</v>
      </c>
      <c r="I15">
        <v>1170.84</v>
      </c>
    </row>
    <row r="16" spans="1:9">
      <c r="A16" t="s">
        <v>23</v>
      </c>
      <c r="B16">
        <v>15.44</v>
      </c>
      <c r="C16">
        <v>1687.4</v>
      </c>
      <c r="D16">
        <v>15.46</v>
      </c>
      <c r="E16">
        <v>1687.4</v>
      </c>
      <c r="F16">
        <v>15.42</v>
      </c>
      <c r="G16">
        <v>1839.53</v>
      </c>
      <c r="H16">
        <v>-1</v>
      </c>
      <c r="I16">
        <v>1315.26</v>
      </c>
    </row>
    <row r="17" spans="1:9">
      <c r="A17" t="s">
        <v>24</v>
      </c>
      <c r="B17">
        <v>15.8</v>
      </c>
      <c r="C17">
        <v>1927.31</v>
      </c>
      <c r="D17">
        <v>15.81</v>
      </c>
      <c r="E17">
        <v>1927.31</v>
      </c>
      <c r="F17">
        <v>15.71</v>
      </c>
      <c r="G17">
        <v>2156.58</v>
      </c>
      <c r="H17">
        <v>-1</v>
      </c>
      <c r="I17">
        <v>673.82</v>
      </c>
    </row>
    <row r="18" spans="1:9">
      <c r="A18" t="s">
        <v>25</v>
      </c>
      <c r="B18">
        <v>14.28</v>
      </c>
      <c r="C18">
        <v>1810.7</v>
      </c>
      <c r="D18">
        <v>14.29</v>
      </c>
      <c r="E18">
        <v>1810.7</v>
      </c>
      <c r="F18">
        <v>14.24</v>
      </c>
      <c r="G18">
        <v>2019.22</v>
      </c>
      <c r="H18">
        <v>20.47</v>
      </c>
      <c r="I18">
        <v>1772.24</v>
      </c>
    </row>
    <row r="19" spans="1:9">
      <c r="A19" t="s">
        <v>26</v>
      </c>
      <c r="B19">
        <v>14.52</v>
      </c>
      <c r="C19">
        <v>1868.81</v>
      </c>
      <c r="D19">
        <v>14.55</v>
      </c>
      <c r="E19">
        <v>1868.81</v>
      </c>
      <c r="F19">
        <v>14.48</v>
      </c>
      <c r="G19">
        <v>2078.52</v>
      </c>
      <c r="H19">
        <v>-1</v>
      </c>
      <c r="I19">
        <v>941.79</v>
      </c>
    </row>
    <row r="20" spans="1:9">
      <c r="A20" t="s">
        <v>27</v>
      </c>
      <c r="B20">
        <v>13.95</v>
      </c>
      <c r="C20">
        <v>1822.85</v>
      </c>
      <c r="D20">
        <v>13.96</v>
      </c>
      <c r="E20">
        <v>1822.85</v>
      </c>
      <c r="F20">
        <v>13.91</v>
      </c>
      <c r="G20">
        <v>2012.24</v>
      </c>
      <c r="H20">
        <v>-1</v>
      </c>
      <c r="I20">
        <v>1801.63</v>
      </c>
    </row>
    <row r="21" spans="1:9">
      <c r="A21" t="s">
        <v>28</v>
      </c>
      <c r="B21">
        <v>22.08</v>
      </c>
      <c r="C21">
        <v>1912.44</v>
      </c>
      <c r="D21">
        <v>22.09</v>
      </c>
      <c r="E21">
        <v>1912.44</v>
      </c>
      <c r="F21">
        <v>22</v>
      </c>
      <c r="G21">
        <v>2195.93</v>
      </c>
      <c r="H21">
        <v>-1</v>
      </c>
      <c r="I21">
        <v>1423.97</v>
      </c>
    </row>
    <row r="23" spans="1:28">
      <c r="A23" s="4" t="s">
        <v>29</v>
      </c>
      <c r="B23" s="4" t="s">
        <v>30</v>
      </c>
      <c r="C23" s="4" t="s">
        <v>31</v>
      </c>
      <c r="D23" s="5" t="s">
        <v>32</v>
      </c>
      <c r="E23" s="4" t="s">
        <v>33</v>
      </c>
      <c r="F23" s="4" t="s">
        <v>34</v>
      </c>
      <c r="G23" s="4" t="s">
        <v>35</v>
      </c>
      <c r="H23" s="5" t="s">
        <v>36</v>
      </c>
      <c r="I23" s="4" t="s">
        <v>37</v>
      </c>
      <c r="J23" s="4" t="s">
        <v>38</v>
      </c>
      <c r="K23" s="4" t="s">
        <v>39</v>
      </c>
      <c r="L23" s="5" t="s">
        <v>40</v>
      </c>
      <c r="M23" s="4" t="s">
        <v>41</v>
      </c>
      <c r="N23" s="4" t="s">
        <v>42</v>
      </c>
      <c r="O23" s="4" t="s">
        <v>43</v>
      </c>
      <c r="P23" s="5" t="s">
        <v>44</v>
      </c>
      <c r="Q23" s="4" t="s">
        <v>45</v>
      </c>
      <c r="R23" s="4" t="s">
        <v>46</v>
      </c>
      <c r="S23" s="4" t="s">
        <v>47</v>
      </c>
      <c r="T23" s="5" t="s">
        <v>48</v>
      </c>
      <c r="U23" s="4" t="s">
        <v>49</v>
      </c>
      <c r="V23" s="4" t="s">
        <v>50</v>
      </c>
      <c r="W23" s="4" t="s">
        <v>51</v>
      </c>
      <c r="X23" s="5" t="s">
        <v>52</v>
      </c>
      <c r="Y23" s="5" t="s">
        <v>53</v>
      </c>
      <c r="Z23" s="5" t="s">
        <v>54</v>
      </c>
      <c r="AA23" s="5" t="s">
        <v>55</v>
      </c>
      <c r="AB23" s="5" t="s">
        <v>56</v>
      </c>
    </row>
    <row r="24" spans="1:28">
      <c r="A24" s="6">
        <f>AVERAGE($B$2:$B$21)</f>
        <v>15.4135</v>
      </c>
      <c r="B24" s="6">
        <f>AVERAGE($D$2:$D$21)</f>
        <v>15.426</v>
      </c>
      <c r="C24" s="6">
        <f>AVERAGE($F$2:$F$21)</f>
        <v>15.368</v>
      </c>
      <c r="D24" s="6">
        <f>AVERAGEIF($H$2:$H$21,"&lt;&gt; -1")</f>
        <v>26.894</v>
      </c>
      <c r="E24" s="6">
        <f>AVERAGE($C$2:$C$21)</f>
        <v>1819.8685</v>
      </c>
      <c r="F24" s="6">
        <f>AVERAGE($E$2:$E$21)</f>
        <v>1819.8685</v>
      </c>
      <c r="G24" s="6">
        <f>AVERAGE($G$2:$G$21)</f>
        <v>2027.296</v>
      </c>
      <c r="H24" s="6">
        <f>AVERAGEIFS($I$2:$I$21,$H$2:$H$21,"&lt;&gt; -1")</f>
        <v>1784.396</v>
      </c>
      <c r="I24" s="6">
        <f>MAX($B$2:$B$21)</f>
        <v>22.08</v>
      </c>
      <c r="J24" s="6">
        <f>MAX($D$2:$D$21)</f>
        <v>22.09</v>
      </c>
      <c r="K24" s="6">
        <f>MAX($F$2:$F$21)</f>
        <v>22</v>
      </c>
      <c r="L24" s="6">
        <f>_xlfn.MAXIFS($H$2:$H$21,$H$2:$H$21,"&lt;&gt; -1")</f>
        <v>40.14</v>
      </c>
      <c r="M24" s="6">
        <f>MIN($B$2:$B$21)</f>
        <v>13.92</v>
      </c>
      <c r="N24" s="6">
        <f>MIN($D$2:$D$21)</f>
        <v>13.93</v>
      </c>
      <c r="O24" s="6">
        <f>MIN($F$2:$F$21)</f>
        <v>13.88</v>
      </c>
      <c r="P24" s="6">
        <f>_xlfn.MINIFS($H$2:$H$21,$H$2:$H$21,"&lt;&gt; -1")</f>
        <v>17.39</v>
      </c>
      <c r="Q24" s="6">
        <f>MAX($C$2:$C$21)</f>
        <v>1927.31</v>
      </c>
      <c r="R24" s="6">
        <f>MAX($E$2:$E$21)</f>
        <v>1927.31</v>
      </c>
      <c r="S24" s="6">
        <f>MAX($G$2:$G$21)</f>
        <v>2195.93</v>
      </c>
      <c r="T24" s="6">
        <f>_xlfn.MAXIFS($I$2:$I$21,$H$2:$H$21,"&lt;&gt; -1")</f>
        <v>1824.07</v>
      </c>
      <c r="U24" s="6">
        <f>MIN($C$2:$C$21)</f>
        <v>1677.66</v>
      </c>
      <c r="V24" s="6">
        <f>MIN($E$2:$E$21)</f>
        <v>1677.66</v>
      </c>
      <c r="W24" s="6">
        <f>MIN($G$2:$G$21)</f>
        <v>1839.53</v>
      </c>
      <c r="X24" s="6">
        <f>_xlfn.MINIFS($I$2:$I$21,$H$2:$H$21,"&lt;&gt; -1")</f>
        <v>1743.77</v>
      </c>
      <c r="Y24" s="6">
        <f>(COUNTIFS($B$2:$B$21,"&gt;0.0",$B$2:$B$21,"&lt;100.0"))/20</f>
        <v>1</v>
      </c>
      <c r="Z24" s="6">
        <f>(COUNTIFS($D$2:$D$21,"&gt;0.0",$D$2:$D$21,"&lt;100.0"))/20</f>
        <v>1</v>
      </c>
      <c r="AA24" s="6">
        <f>(COUNTIFS($F$2:$F$21,"&gt;0.0",$F$2:$F$21,"&lt;100.0"))/20</f>
        <v>1</v>
      </c>
      <c r="AB24" s="6">
        <f>(COUNTIFS($H$2:$H$21,"&gt;0.0",$H$2:$H$21,"&lt;100.0"))/20</f>
        <v>0.25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13.3</v>
      </c>
      <c r="C2">
        <v>1576.19</v>
      </c>
      <c r="D2">
        <v>13.31</v>
      </c>
      <c r="E2">
        <v>1576.19</v>
      </c>
      <c r="F2">
        <v>13.27</v>
      </c>
      <c r="G2">
        <v>1718.7</v>
      </c>
      <c r="H2">
        <v>15.17</v>
      </c>
      <c r="I2">
        <v>1605.93</v>
      </c>
    </row>
    <row r="3" spans="1:9">
      <c r="A3" t="s">
        <v>10</v>
      </c>
      <c r="B3">
        <v>13.75</v>
      </c>
      <c r="C3">
        <v>1514.86</v>
      </c>
      <c r="D3">
        <v>13.77</v>
      </c>
      <c r="E3">
        <v>1514.86</v>
      </c>
      <c r="F3">
        <v>13.72</v>
      </c>
      <c r="G3">
        <v>1626.54</v>
      </c>
      <c r="H3">
        <v>-1</v>
      </c>
      <c r="I3">
        <v>1155</v>
      </c>
    </row>
    <row r="4" spans="1:9">
      <c r="A4" t="s">
        <v>11</v>
      </c>
      <c r="B4">
        <v>15.54</v>
      </c>
      <c r="C4">
        <v>1559.96</v>
      </c>
      <c r="D4">
        <v>15.55</v>
      </c>
      <c r="E4">
        <v>1559.96</v>
      </c>
      <c r="F4">
        <v>15.51</v>
      </c>
      <c r="G4">
        <v>1692.25</v>
      </c>
      <c r="H4">
        <v>25.66</v>
      </c>
      <c r="I4">
        <v>1526.77</v>
      </c>
    </row>
    <row r="5" spans="1:9">
      <c r="A5" t="s">
        <v>12</v>
      </c>
      <c r="B5">
        <v>13.19</v>
      </c>
      <c r="C5">
        <v>1490.69</v>
      </c>
      <c r="D5">
        <v>13.2</v>
      </c>
      <c r="E5">
        <v>1490.69</v>
      </c>
      <c r="F5">
        <v>13.17</v>
      </c>
      <c r="G5">
        <v>1647.45</v>
      </c>
      <c r="H5">
        <v>13.84</v>
      </c>
      <c r="I5">
        <v>1562.6</v>
      </c>
    </row>
    <row r="6" spans="1:9">
      <c r="A6" t="s">
        <v>13</v>
      </c>
      <c r="B6">
        <v>13.85</v>
      </c>
      <c r="C6">
        <v>1423.51</v>
      </c>
      <c r="D6">
        <v>13.87</v>
      </c>
      <c r="E6">
        <v>1423.51</v>
      </c>
      <c r="F6">
        <v>13.83</v>
      </c>
      <c r="G6">
        <v>1612.02</v>
      </c>
      <c r="H6">
        <v>19.95</v>
      </c>
      <c r="I6">
        <v>1467.53</v>
      </c>
    </row>
    <row r="7" spans="1:9">
      <c r="A7" t="s">
        <v>14</v>
      </c>
      <c r="B7">
        <v>20.46</v>
      </c>
      <c r="C7">
        <v>1504.78</v>
      </c>
      <c r="D7">
        <v>20.48</v>
      </c>
      <c r="E7">
        <v>1504.78</v>
      </c>
      <c r="F7">
        <v>20.44</v>
      </c>
      <c r="G7">
        <v>1648.62</v>
      </c>
      <c r="H7">
        <v>26.77</v>
      </c>
      <c r="I7">
        <v>1542.11</v>
      </c>
    </row>
    <row r="8" spans="1:9">
      <c r="A8" t="s">
        <v>15</v>
      </c>
      <c r="B8">
        <v>20.56</v>
      </c>
      <c r="C8">
        <v>1557.85</v>
      </c>
      <c r="D8">
        <v>20.6</v>
      </c>
      <c r="E8">
        <v>1557.85</v>
      </c>
      <c r="F8">
        <v>20.47</v>
      </c>
      <c r="G8">
        <v>1733.29</v>
      </c>
      <c r="H8">
        <v>-1</v>
      </c>
      <c r="I8">
        <v>1577.67</v>
      </c>
    </row>
    <row r="9" spans="1:9">
      <c r="A9" t="s">
        <v>16</v>
      </c>
      <c r="B9">
        <v>13.43</v>
      </c>
      <c r="C9">
        <v>1579.83</v>
      </c>
      <c r="D9">
        <v>13.44</v>
      </c>
      <c r="E9">
        <v>1579.83</v>
      </c>
      <c r="F9">
        <v>13.4</v>
      </c>
      <c r="G9">
        <v>1731.39</v>
      </c>
      <c r="H9">
        <v>-1</v>
      </c>
      <c r="I9">
        <v>1065.01</v>
      </c>
    </row>
    <row r="10" spans="1:9">
      <c r="A10" t="s">
        <v>17</v>
      </c>
      <c r="B10">
        <v>18.06</v>
      </c>
      <c r="C10">
        <v>1492.28</v>
      </c>
      <c r="D10">
        <v>18.06</v>
      </c>
      <c r="E10">
        <v>1492.28</v>
      </c>
      <c r="F10">
        <v>17.98</v>
      </c>
      <c r="G10">
        <v>1675.62</v>
      </c>
      <c r="H10">
        <v>-1</v>
      </c>
      <c r="I10">
        <v>1112.36</v>
      </c>
    </row>
    <row r="11" spans="1:9">
      <c r="A11" t="s">
        <v>18</v>
      </c>
      <c r="B11">
        <v>14.4</v>
      </c>
      <c r="C11">
        <v>1644.79</v>
      </c>
      <c r="D11">
        <v>14.4</v>
      </c>
      <c r="E11">
        <v>1644.79</v>
      </c>
      <c r="F11">
        <v>14.35</v>
      </c>
      <c r="G11">
        <v>1894.36</v>
      </c>
      <c r="H11">
        <v>-1</v>
      </c>
      <c r="I11">
        <v>1669.34</v>
      </c>
    </row>
    <row r="12" spans="1:9">
      <c r="A12" t="s">
        <v>19</v>
      </c>
      <c r="B12">
        <v>17.93</v>
      </c>
      <c r="C12">
        <v>1541.88</v>
      </c>
      <c r="D12">
        <v>17.94</v>
      </c>
      <c r="E12">
        <v>1541.88</v>
      </c>
      <c r="F12">
        <v>17.88</v>
      </c>
      <c r="G12">
        <v>1717.36</v>
      </c>
      <c r="H12">
        <v>-1</v>
      </c>
      <c r="I12">
        <v>1135.9</v>
      </c>
    </row>
    <row r="13" spans="1:9">
      <c r="A13" t="s">
        <v>20</v>
      </c>
      <c r="B13">
        <v>16.58</v>
      </c>
      <c r="C13">
        <v>1584.1</v>
      </c>
      <c r="D13">
        <v>16.58</v>
      </c>
      <c r="E13">
        <v>1584.1</v>
      </c>
      <c r="F13">
        <v>16.54</v>
      </c>
      <c r="G13">
        <v>1805.44</v>
      </c>
      <c r="H13">
        <v>-1</v>
      </c>
      <c r="I13">
        <v>1060.63</v>
      </c>
    </row>
    <row r="14" spans="1:9">
      <c r="A14" t="s">
        <v>21</v>
      </c>
      <c r="B14">
        <v>19.63</v>
      </c>
      <c r="C14">
        <v>1575.99</v>
      </c>
      <c r="D14">
        <v>19.64</v>
      </c>
      <c r="E14">
        <v>1575.99</v>
      </c>
      <c r="F14">
        <v>19.56</v>
      </c>
      <c r="G14">
        <v>1770.46</v>
      </c>
      <c r="H14">
        <v>24.04</v>
      </c>
      <c r="I14">
        <v>1584.94</v>
      </c>
    </row>
    <row r="15" spans="1:9">
      <c r="A15" t="s">
        <v>22</v>
      </c>
      <c r="B15">
        <v>18.14</v>
      </c>
      <c r="C15">
        <v>1647.95</v>
      </c>
      <c r="D15">
        <v>18.16</v>
      </c>
      <c r="E15">
        <v>1647.95</v>
      </c>
      <c r="F15">
        <v>18.11</v>
      </c>
      <c r="G15">
        <v>1811.96</v>
      </c>
      <c r="H15">
        <v>-1</v>
      </c>
      <c r="I15">
        <v>1149.4</v>
      </c>
    </row>
    <row r="16" spans="1:9">
      <c r="A16" t="s">
        <v>23</v>
      </c>
      <c r="B16">
        <v>12.98</v>
      </c>
      <c r="C16">
        <v>1605.42</v>
      </c>
      <c r="D16">
        <v>13.01</v>
      </c>
      <c r="E16">
        <v>1605.42</v>
      </c>
      <c r="F16">
        <v>12.96</v>
      </c>
      <c r="G16">
        <v>1761.75</v>
      </c>
      <c r="H16">
        <v>-1</v>
      </c>
      <c r="I16">
        <v>1218.18</v>
      </c>
    </row>
    <row r="17" spans="1:9">
      <c r="A17" t="s">
        <v>24</v>
      </c>
      <c r="B17">
        <v>20.54</v>
      </c>
      <c r="C17">
        <v>1569.03</v>
      </c>
      <c r="D17">
        <v>20.58</v>
      </c>
      <c r="E17">
        <v>1569.03</v>
      </c>
      <c r="F17">
        <v>20.53</v>
      </c>
      <c r="G17">
        <v>1733.69</v>
      </c>
      <c r="H17">
        <v>-1</v>
      </c>
      <c r="I17">
        <v>1290.16</v>
      </c>
    </row>
    <row r="18" spans="1:9">
      <c r="A18" t="s">
        <v>25</v>
      </c>
      <c r="B18">
        <v>13.3</v>
      </c>
      <c r="C18">
        <v>1564.6</v>
      </c>
      <c r="D18">
        <v>13.31</v>
      </c>
      <c r="E18">
        <v>1564.6</v>
      </c>
      <c r="F18">
        <v>13.27</v>
      </c>
      <c r="G18">
        <v>1786.07</v>
      </c>
      <c r="H18">
        <v>-1</v>
      </c>
      <c r="I18">
        <v>1597.48</v>
      </c>
    </row>
    <row r="19" spans="1:9">
      <c r="A19" t="s">
        <v>26</v>
      </c>
      <c r="B19">
        <v>14.3</v>
      </c>
      <c r="C19">
        <v>1519.5</v>
      </c>
      <c r="D19">
        <v>14.34</v>
      </c>
      <c r="E19">
        <v>1519.5</v>
      </c>
      <c r="F19">
        <v>14.27</v>
      </c>
      <c r="G19">
        <v>1696.52</v>
      </c>
      <c r="H19">
        <v>27.41</v>
      </c>
      <c r="I19">
        <v>1533.47</v>
      </c>
    </row>
    <row r="20" spans="1:9">
      <c r="A20" t="s">
        <v>27</v>
      </c>
      <c r="B20">
        <v>19.81</v>
      </c>
      <c r="C20">
        <v>1498.22</v>
      </c>
      <c r="D20">
        <v>19.83</v>
      </c>
      <c r="E20">
        <v>1498.22</v>
      </c>
      <c r="F20">
        <v>19.78</v>
      </c>
      <c r="G20">
        <v>1710.35</v>
      </c>
      <c r="H20">
        <v>22.31</v>
      </c>
      <c r="I20">
        <v>1544.18</v>
      </c>
    </row>
    <row r="21" spans="1:9">
      <c r="A21" t="s">
        <v>28</v>
      </c>
      <c r="B21">
        <v>19.96</v>
      </c>
      <c r="C21">
        <v>1595.57</v>
      </c>
      <c r="D21">
        <v>19.98</v>
      </c>
      <c r="E21">
        <v>1595.57</v>
      </c>
      <c r="F21">
        <v>19.93</v>
      </c>
      <c r="G21">
        <v>1829</v>
      </c>
      <c r="H21">
        <v>33.11</v>
      </c>
      <c r="I21">
        <v>1628.79</v>
      </c>
    </row>
    <row r="23" spans="1:28">
      <c r="A23" s="4" t="s">
        <v>29</v>
      </c>
      <c r="B23" s="4" t="s">
        <v>30</v>
      </c>
      <c r="C23" s="4" t="s">
        <v>31</v>
      </c>
      <c r="D23" s="5" t="s">
        <v>32</v>
      </c>
      <c r="E23" s="4" t="s">
        <v>33</v>
      </c>
      <c r="F23" s="4" t="s">
        <v>34</v>
      </c>
      <c r="G23" s="4" t="s">
        <v>35</v>
      </c>
      <c r="H23" s="5" t="s">
        <v>36</v>
      </c>
      <c r="I23" s="4" t="s">
        <v>37</v>
      </c>
      <c r="J23" s="4" t="s">
        <v>38</v>
      </c>
      <c r="K23" s="4" t="s">
        <v>39</v>
      </c>
      <c r="L23" s="5" t="s">
        <v>40</v>
      </c>
      <c r="M23" s="4" t="s">
        <v>41</v>
      </c>
      <c r="N23" s="4" t="s">
        <v>42</v>
      </c>
      <c r="O23" s="4" t="s">
        <v>43</v>
      </c>
      <c r="P23" s="5" t="s">
        <v>44</v>
      </c>
      <c r="Q23" s="4" t="s">
        <v>45</v>
      </c>
      <c r="R23" s="4" t="s">
        <v>46</v>
      </c>
      <c r="S23" s="4" t="s">
        <v>47</v>
      </c>
      <c r="T23" s="5" t="s">
        <v>48</v>
      </c>
      <c r="U23" s="4" t="s">
        <v>49</v>
      </c>
      <c r="V23" s="4" t="s">
        <v>50</v>
      </c>
      <c r="W23" s="4" t="s">
        <v>51</v>
      </c>
      <c r="X23" s="5" t="s">
        <v>52</v>
      </c>
      <c r="Y23" s="5" t="s">
        <v>53</v>
      </c>
      <c r="Z23" s="5" t="s">
        <v>54</v>
      </c>
      <c r="AA23" s="5" t="s">
        <v>55</v>
      </c>
      <c r="AB23" s="5" t="s">
        <v>56</v>
      </c>
    </row>
    <row r="24" spans="1:28">
      <c r="A24" s="6">
        <f>AVERAGE($B$2:$B$21)</f>
        <v>16.4855</v>
      </c>
      <c r="B24" s="6">
        <f>AVERAGE($D$2:$D$21)</f>
        <v>16.5025</v>
      </c>
      <c r="C24" s="6">
        <f>AVERAGE($F$2:$F$21)</f>
        <v>16.4485</v>
      </c>
      <c r="D24" s="6">
        <f>AVERAGEIF($H$2:$H$21,"&lt;&gt; -1")</f>
        <v>23.14</v>
      </c>
      <c r="E24" s="6">
        <f>AVERAGE($C$2:$C$21)</f>
        <v>1552.35</v>
      </c>
      <c r="F24" s="6">
        <f>AVERAGE($E$2:$E$21)</f>
        <v>1552.35</v>
      </c>
      <c r="G24" s="6">
        <f>AVERAGE($G$2:$G$21)</f>
        <v>1730.142</v>
      </c>
      <c r="H24" s="6">
        <f>AVERAGEIFS($I$2:$I$21,$H$2:$H$21,"&lt;&gt; -1")</f>
        <v>1555.14666666667</v>
      </c>
      <c r="I24" s="6">
        <f>MAX($B$2:$B$21)</f>
        <v>20.56</v>
      </c>
      <c r="J24" s="6">
        <f>MAX($D$2:$D$21)</f>
        <v>20.6</v>
      </c>
      <c r="K24" s="6">
        <f>MAX($F$2:$F$21)</f>
        <v>20.53</v>
      </c>
      <c r="L24" s="6">
        <f>_xlfn.MAXIFS($H$2:$H$21,$H$2:$H$21,"&lt;&gt; -1")</f>
        <v>33.11</v>
      </c>
      <c r="M24" s="6">
        <f>MIN($B$2:$B$21)</f>
        <v>12.98</v>
      </c>
      <c r="N24" s="6">
        <f>MIN($D$2:$D$21)</f>
        <v>13.01</v>
      </c>
      <c r="O24" s="6">
        <f>MIN($F$2:$F$21)</f>
        <v>12.96</v>
      </c>
      <c r="P24" s="6">
        <f>_xlfn.MINIFS($H$2:$H$21,$H$2:$H$21,"&lt;&gt; -1")</f>
        <v>13.84</v>
      </c>
      <c r="Q24" s="6">
        <f>MAX($C$2:$C$21)</f>
        <v>1647.95</v>
      </c>
      <c r="R24" s="6">
        <f>MAX($E$2:$E$21)</f>
        <v>1647.95</v>
      </c>
      <c r="S24" s="6">
        <f>MAX($G$2:$G$21)</f>
        <v>1894.36</v>
      </c>
      <c r="T24" s="6">
        <f>_xlfn.MAXIFS($I$2:$I$21,$H$2:$H$21,"&lt;&gt; -1")</f>
        <v>1628.79</v>
      </c>
      <c r="U24" s="6">
        <f>MIN($C$2:$C$21)</f>
        <v>1423.51</v>
      </c>
      <c r="V24" s="6">
        <f>MIN($E$2:$E$21)</f>
        <v>1423.51</v>
      </c>
      <c r="W24" s="6">
        <f>MIN($G$2:$G$21)</f>
        <v>1612.02</v>
      </c>
      <c r="X24" s="6">
        <f>_xlfn.MINIFS($I$2:$I$21,$H$2:$H$21,"&lt;&gt; -1")</f>
        <v>1467.53</v>
      </c>
      <c r="Y24" s="6">
        <f>(COUNTIFS($B$2:$B$21,"&gt;0.0",$B$2:$B$21,"&lt;100.0"))/20</f>
        <v>1</v>
      </c>
      <c r="Z24" s="6">
        <f>(COUNTIFS($D$2:$D$21,"&gt;0.0",$D$2:$D$21,"&lt;100.0"))/20</f>
        <v>1</v>
      </c>
      <c r="AA24" s="6">
        <f>(COUNTIFS($F$2:$F$21,"&gt;0.0",$F$2:$F$21,"&lt;100.0"))/20</f>
        <v>1</v>
      </c>
      <c r="AB24" s="6">
        <f>(COUNTIFS($H$2:$H$21,"&gt;0.0",$H$2:$H$21,"&lt;100.0"))/20</f>
        <v>0.45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topLeftCell="C1" workbookViewId="0">
      <selection activeCell="C24" sqref="$A24:$XFD24"/>
    </sheetView>
  </sheetViews>
  <sheetFormatPr defaultColWidth="9" defaultRowHeight="14"/>
  <cols>
    <col min="2" max="2" width="12.8181818181818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12.04</v>
      </c>
      <c r="C2">
        <v>1398.92</v>
      </c>
      <c r="D2">
        <v>12.05</v>
      </c>
      <c r="E2">
        <v>1398.92</v>
      </c>
      <c r="F2">
        <v>12.01</v>
      </c>
      <c r="G2">
        <v>1515.61</v>
      </c>
      <c r="H2">
        <v>28.58</v>
      </c>
      <c r="I2">
        <v>1372.46</v>
      </c>
    </row>
    <row r="3" spans="1:9">
      <c r="A3" t="s">
        <v>10</v>
      </c>
      <c r="B3">
        <v>12.59</v>
      </c>
      <c r="C3">
        <v>1395.11</v>
      </c>
      <c r="D3">
        <v>12.6</v>
      </c>
      <c r="E3">
        <v>1395.11</v>
      </c>
      <c r="F3">
        <v>12.56</v>
      </c>
      <c r="G3">
        <v>1526.44</v>
      </c>
      <c r="H3">
        <v>-1</v>
      </c>
      <c r="I3">
        <v>952.18</v>
      </c>
    </row>
    <row r="4" spans="1:9">
      <c r="A4" t="s">
        <v>11</v>
      </c>
      <c r="B4">
        <v>15.51</v>
      </c>
      <c r="C4">
        <v>1308.27</v>
      </c>
      <c r="D4">
        <v>15.53</v>
      </c>
      <c r="E4">
        <v>1308.27</v>
      </c>
      <c r="F4">
        <v>15.49</v>
      </c>
      <c r="G4">
        <v>1497.02</v>
      </c>
      <c r="H4">
        <v>-1</v>
      </c>
      <c r="I4">
        <v>829.64</v>
      </c>
    </row>
    <row r="5" spans="1:9">
      <c r="A5" t="s">
        <v>12</v>
      </c>
      <c r="B5">
        <v>15.05</v>
      </c>
      <c r="C5">
        <v>1401.65</v>
      </c>
      <c r="D5">
        <v>15.05</v>
      </c>
      <c r="E5">
        <v>1401.65</v>
      </c>
      <c r="F5">
        <v>15</v>
      </c>
      <c r="G5">
        <v>1583.05</v>
      </c>
      <c r="H5">
        <v>-1</v>
      </c>
      <c r="I5">
        <v>1408.4</v>
      </c>
    </row>
    <row r="6" spans="1:9">
      <c r="A6" t="s">
        <v>13</v>
      </c>
      <c r="B6">
        <v>12.81</v>
      </c>
      <c r="C6">
        <v>1459.09</v>
      </c>
      <c r="D6">
        <v>12.82</v>
      </c>
      <c r="E6">
        <v>1459.09</v>
      </c>
      <c r="F6">
        <v>12.76</v>
      </c>
      <c r="G6">
        <v>1629.63</v>
      </c>
      <c r="H6">
        <v>-1</v>
      </c>
      <c r="I6">
        <v>455.17</v>
      </c>
    </row>
    <row r="7" spans="1:9">
      <c r="A7" t="s">
        <v>14</v>
      </c>
      <c r="B7">
        <v>17.19</v>
      </c>
      <c r="C7">
        <v>1379.92</v>
      </c>
      <c r="D7">
        <v>17.21</v>
      </c>
      <c r="E7">
        <v>1379.92</v>
      </c>
      <c r="F7">
        <v>17.12</v>
      </c>
      <c r="G7">
        <v>1470.33</v>
      </c>
      <c r="H7">
        <v>-1</v>
      </c>
      <c r="I7">
        <v>422.03</v>
      </c>
    </row>
    <row r="8" spans="1:9">
      <c r="A8" t="s">
        <v>15</v>
      </c>
      <c r="B8">
        <v>12.49</v>
      </c>
      <c r="C8">
        <v>1388.04</v>
      </c>
      <c r="D8">
        <v>12.51</v>
      </c>
      <c r="E8">
        <v>1388.04</v>
      </c>
      <c r="F8">
        <v>12.45</v>
      </c>
      <c r="G8">
        <v>1549.51</v>
      </c>
      <c r="H8">
        <v>-1</v>
      </c>
      <c r="I8">
        <v>554.85</v>
      </c>
    </row>
    <row r="9" spans="1:9">
      <c r="A9" t="s">
        <v>16</v>
      </c>
      <c r="B9">
        <v>12.45</v>
      </c>
      <c r="C9">
        <v>1473.24</v>
      </c>
      <c r="D9">
        <v>12.45</v>
      </c>
      <c r="E9">
        <v>1473.24</v>
      </c>
      <c r="F9">
        <v>12.41</v>
      </c>
      <c r="G9">
        <v>1586.9</v>
      </c>
      <c r="H9">
        <v>-1</v>
      </c>
      <c r="I9">
        <v>1399.46</v>
      </c>
    </row>
    <row r="10" spans="1:9">
      <c r="A10" t="s">
        <v>17</v>
      </c>
      <c r="B10">
        <v>12.44</v>
      </c>
      <c r="C10">
        <v>1312.17</v>
      </c>
      <c r="D10">
        <v>12.46</v>
      </c>
      <c r="E10">
        <v>1312.17</v>
      </c>
      <c r="F10">
        <v>12.41</v>
      </c>
      <c r="G10">
        <v>1464.4</v>
      </c>
      <c r="H10">
        <v>-1</v>
      </c>
      <c r="I10">
        <v>864.17</v>
      </c>
    </row>
    <row r="11" spans="1:9">
      <c r="A11" t="s">
        <v>18</v>
      </c>
      <c r="B11">
        <v>13.58</v>
      </c>
      <c r="C11">
        <v>1420.39</v>
      </c>
      <c r="D11">
        <v>13.59</v>
      </c>
      <c r="E11">
        <v>1420.39</v>
      </c>
      <c r="F11">
        <v>13.53</v>
      </c>
      <c r="G11">
        <v>1549.73</v>
      </c>
      <c r="H11">
        <v>-1</v>
      </c>
      <c r="I11">
        <v>873.73</v>
      </c>
    </row>
    <row r="12" spans="1:9">
      <c r="A12" t="s">
        <v>19</v>
      </c>
      <c r="B12">
        <v>14.66</v>
      </c>
      <c r="C12">
        <v>1392.41</v>
      </c>
      <c r="D12">
        <v>14.67</v>
      </c>
      <c r="E12">
        <v>1392.41</v>
      </c>
      <c r="F12">
        <v>14.63</v>
      </c>
      <c r="G12">
        <v>1539.99</v>
      </c>
      <c r="H12">
        <v>-1</v>
      </c>
      <c r="I12">
        <v>298.76</v>
      </c>
    </row>
    <row r="13" spans="1:9">
      <c r="A13" t="s">
        <v>20</v>
      </c>
      <c r="B13">
        <v>17.59</v>
      </c>
      <c r="C13">
        <v>1378.78</v>
      </c>
      <c r="D13">
        <v>17.61</v>
      </c>
      <c r="E13">
        <v>1378.78</v>
      </c>
      <c r="F13">
        <v>17.54</v>
      </c>
      <c r="G13">
        <v>1526.14</v>
      </c>
      <c r="H13">
        <v>-1</v>
      </c>
      <c r="I13">
        <v>887.99</v>
      </c>
    </row>
    <row r="14" spans="1:9">
      <c r="A14" t="s">
        <v>21</v>
      </c>
      <c r="B14">
        <v>12.78</v>
      </c>
      <c r="C14">
        <v>1470.25</v>
      </c>
      <c r="D14">
        <v>12.79</v>
      </c>
      <c r="E14">
        <v>1470.25</v>
      </c>
      <c r="F14">
        <v>12.74</v>
      </c>
      <c r="G14">
        <v>1576.8</v>
      </c>
      <c r="H14">
        <v>-1</v>
      </c>
      <c r="I14">
        <v>914.07</v>
      </c>
    </row>
    <row r="15" spans="1:9">
      <c r="A15" t="s">
        <v>22</v>
      </c>
      <c r="B15">
        <v>19.37</v>
      </c>
      <c r="C15">
        <v>1420.71</v>
      </c>
      <c r="D15">
        <v>19.39</v>
      </c>
      <c r="E15">
        <v>1420.71</v>
      </c>
      <c r="F15">
        <v>19.31</v>
      </c>
      <c r="G15">
        <v>1606.61</v>
      </c>
      <c r="H15">
        <v>33.76</v>
      </c>
      <c r="I15">
        <v>1396.97</v>
      </c>
    </row>
    <row r="16" spans="1:9">
      <c r="A16" t="s">
        <v>23</v>
      </c>
      <c r="B16">
        <v>17</v>
      </c>
      <c r="C16">
        <v>1324.38</v>
      </c>
      <c r="D16">
        <v>17.01</v>
      </c>
      <c r="E16">
        <v>1324.38</v>
      </c>
      <c r="F16">
        <v>16.97</v>
      </c>
      <c r="G16">
        <v>1472.5</v>
      </c>
      <c r="H16">
        <v>-1</v>
      </c>
      <c r="I16">
        <v>101.02</v>
      </c>
    </row>
    <row r="17" spans="1:9">
      <c r="A17" t="s">
        <v>24</v>
      </c>
      <c r="B17">
        <v>18.59</v>
      </c>
      <c r="C17">
        <v>1415.31</v>
      </c>
      <c r="D17">
        <v>18.57</v>
      </c>
      <c r="E17">
        <v>1415.31</v>
      </c>
      <c r="F17">
        <v>18.52</v>
      </c>
      <c r="G17">
        <v>1552.63</v>
      </c>
      <c r="H17">
        <v>-1</v>
      </c>
      <c r="I17">
        <v>808.04</v>
      </c>
    </row>
    <row r="18" spans="1:9">
      <c r="A18" t="s">
        <v>25</v>
      </c>
      <c r="B18">
        <v>12.34</v>
      </c>
      <c r="C18">
        <v>1439.89</v>
      </c>
      <c r="D18">
        <v>12.35</v>
      </c>
      <c r="E18">
        <v>1439.89</v>
      </c>
      <c r="F18">
        <v>12.31</v>
      </c>
      <c r="G18">
        <v>1579.35</v>
      </c>
      <c r="H18">
        <v>-1</v>
      </c>
      <c r="I18">
        <v>324.94</v>
      </c>
    </row>
    <row r="19" spans="1:9">
      <c r="A19" t="s">
        <v>26</v>
      </c>
      <c r="B19">
        <v>18.33</v>
      </c>
      <c r="C19">
        <v>1448.98</v>
      </c>
      <c r="D19">
        <v>18.36</v>
      </c>
      <c r="E19">
        <v>1448.98</v>
      </c>
      <c r="F19">
        <v>18.28</v>
      </c>
      <c r="G19">
        <v>1615.95</v>
      </c>
      <c r="H19">
        <v>-1</v>
      </c>
      <c r="I19">
        <v>1003.62</v>
      </c>
    </row>
    <row r="20" spans="1:9">
      <c r="A20" t="s">
        <v>27</v>
      </c>
      <c r="B20">
        <v>12.76</v>
      </c>
      <c r="C20">
        <v>1444.49</v>
      </c>
      <c r="D20">
        <v>12.78</v>
      </c>
      <c r="E20">
        <v>1444.49</v>
      </c>
      <c r="F20">
        <v>12.73</v>
      </c>
      <c r="G20">
        <v>1629.08</v>
      </c>
      <c r="H20">
        <v>14.55</v>
      </c>
      <c r="I20">
        <v>1455.26</v>
      </c>
    </row>
    <row r="21" spans="1:9">
      <c r="A21" t="s">
        <v>28</v>
      </c>
      <c r="B21">
        <v>12.62</v>
      </c>
      <c r="C21">
        <v>1427.12</v>
      </c>
      <c r="D21">
        <v>12.63</v>
      </c>
      <c r="E21">
        <v>1427.12</v>
      </c>
      <c r="F21">
        <v>12.58</v>
      </c>
      <c r="G21">
        <v>1606.63</v>
      </c>
      <c r="H21">
        <v>-1</v>
      </c>
      <c r="I21">
        <v>992.37</v>
      </c>
    </row>
    <row r="23" spans="1:28">
      <c r="A23" s="4" t="s">
        <v>29</v>
      </c>
      <c r="B23" s="4" t="s">
        <v>30</v>
      </c>
      <c r="C23" s="4" t="s">
        <v>31</v>
      </c>
      <c r="D23" s="5" t="s">
        <v>32</v>
      </c>
      <c r="E23" s="4" t="s">
        <v>33</v>
      </c>
      <c r="F23" s="4" t="s">
        <v>34</v>
      </c>
      <c r="G23" s="4" t="s">
        <v>35</v>
      </c>
      <c r="H23" s="5" t="s">
        <v>36</v>
      </c>
      <c r="I23" s="4" t="s">
        <v>37</v>
      </c>
      <c r="J23" s="4" t="s">
        <v>38</v>
      </c>
      <c r="K23" s="4" t="s">
        <v>39</v>
      </c>
      <c r="L23" s="5" t="s">
        <v>40</v>
      </c>
      <c r="M23" s="4" t="s">
        <v>41</v>
      </c>
      <c r="N23" s="4" t="s">
        <v>42</v>
      </c>
      <c r="O23" s="4" t="s">
        <v>43</v>
      </c>
      <c r="P23" s="5" t="s">
        <v>44</v>
      </c>
      <c r="Q23" s="4" t="s">
        <v>45</v>
      </c>
      <c r="R23" s="4" t="s">
        <v>46</v>
      </c>
      <c r="S23" s="4" t="s">
        <v>47</v>
      </c>
      <c r="T23" s="5" t="s">
        <v>48</v>
      </c>
      <c r="U23" s="4" t="s">
        <v>49</v>
      </c>
      <c r="V23" s="4" t="s">
        <v>50</v>
      </c>
      <c r="W23" s="4" t="s">
        <v>51</v>
      </c>
      <c r="X23" s="5" t="s">
        <v>52</v>
      </c>
      <c r="Y23" s="5" t="s">
        <v>53</v>
      </c>
      <c r="Z23" s="5" t="s">
        <v>54</v>
      </c>
      <c r="AA23" s="5" t="s">
        <v>55</v>
      </c>
      <c r="AB23" s="5" t="s">
        <v>56</v>
      </c>
    </row>
    <row r="24" spans="1:28">
      <c r="A24" s="6">
        <f>AVERAGE($B$2:$B$21)</f>
        <v>14.6095</v>
      </c>
      <c r="B24" s="6">
        <f>AVERAGE($D$2:$D$21)</f>
        <v>14.6215</v>
      </c>
      <c r="C24" s="6">
        <f>AVERAGE($F$2:$F$21)</f>
        <v>14.5675</v>
      </c>
      <c r="D24" s="6">
        <f>AVERAGEIF($H$2:$H$21,"&lt;&gt; -1")</f>
        <v>25.63</v>
      </c>
      <c r="E24" s="6">
        <f>AVERAGE($C$2:$C$21)</f>
        <v>1404.956</v>
      </c>
      <c r="F24" s="6">
        <f>AVERAGE($E$2:$E$21)</f>
        <v>1404.956</v>
      </c>
      <c r="G24" s="6">
        <f>AVERAGE($G$2:$G$21)</f>
        <v>1553.915</v>
      </c>
      <c r="H24" s="6">
        <f>AVERAGEIFS($I$2:$I$21,$H$2:$H$21,"&lt;&gt; -1")</f>
        <v>1408.23</v>
      </c>
      <c r="I24" s="6">
        <f>MAX($B$2:$B$21)</f>
        <v>19.37</v>
      </c>
      <c r="J24" s="6">
        <f>MAX($D$2:$D$21)</f>
        <v>19.39</v>
      </c>
      <c r="K24" s="6">
        <f>MAX($F$2:$F$21)</f>
        <v>19.31</v>
      </c>
      <c r="L24" s="6">
        <f>_xlfn.MAXIFS($H$2:$H$21,$H$2:$H$21,"&lt;&gt; -1")</f>
        <v>33.76</v>
      </c>
      <c r="M24" s="6">
        <f>MIN($B$2:$B$21)</f>
        <v>12.04</v>
      </c>
      <c r="N24" s="6">
        <f>MIN($D$2:$D$21)</f>
        <v>12.05</v>
      </c>
      <c r="O24" s="6">
        <f>MIN($F$2:$F$21)</f>
        <v>12.01</v>
      </c>
      <c r="P24" s="6">
        <f>_xlfn.MINIFS($H$2:$H$21,$H$2:$H$21,"&lt;&gt; -1")</f>
        <v>14.55</v>
      </c>
      <c r="Q24" s="6">
        <f>MAX($C$2:$C$21)</f>
        <v>1473.24</v>
      </c>
      <c r="R24" s="6">
        <f>MAX($E$2:$E$21)</f>
        <v>1473.24</v>
      </c>
      <c r="S24" s="6">
        <f>MAX($G$2:$G$21)</f>
        <v>1629.63</v>
      </c>
      <c r="T24" s="6">
        <f>_xlfn.MAXIFS($I$2:$I$21,$H$2:$H$21,"&lt;&gt; -1")</f>
        <v>1455.26</v>
      </c>
      <c r="U24" s="6">
        <f>MIN($C$2:$C$21)</f>
        <v>1308.27</v>
      </c>
      <c r="V24" s="6">
        <f>MIN($E$2:$E$21)</f>
        <v>1308.27</v>
      </c>
      <c r="W24" s="6">
        <f>MIN($G$2:$G$21)</f>
        <v>1464.4</v>
      </c>
      <c r="X24" s="6">
        <f>_xlfn.MINIFS($I$2:$I$21,$H$2:$H$21,"&lt;&gt; -1")</f>
        <v>1372.46</v>
      </c>
      <c r="Y24" s="6">
        <f>(COUNTIFS($B$2:$B$21,"&gt;0.0",$B$2:$B$21,"&lt;100.0"))/20</f>
        <v>1</v>
      </c>
      <c r="Z24" s="6">
        <f>(COUNTIFS($D$2:$D$21,"&gt;0.0",$D$2:$D$21,"&lt;100.0"))/20</f>
        <v>1</v>
      </c>
      <c r="AA24" s="6">
        <f>(COUNTIFS($F$2:$F$21,"&gt;0.0",$F$2:$F$21,"&lt;100.0"))/20</f>
        <v>1</v>
      </c>
      <c r="AB24" s="6">
        <f>(COUNTIFS($H$2:$H$21,"&gt;0.0",$H$2:$H$21,"&lt;100.0"))/20</f>
        <v>0.15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E10" sqref="E10"/>
    </sheetView>
  </sheetViews>
  <sheetFormatPr defaultColWidth="8.72727272727273" defaultRowHeight="14" outlineLevelRow="6"/>
  <sheetData>
    <row r="1" spans="1:28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2" t="s">
        <v>53</v>
      </c>
      <c r="Z1" s="2" t="s">
        <v>54</v>
      </c>
      <c r="AA1" s="2" t="s">
        <v>57</v>
      </c>
      <c r="AB1" s="2" t="s">
        <v>58</v>
      </c>
    </row>
    <row r="2" spans="1:28">
      <c r="A2" s="1">
        <v>14.547</v>
      </c>
      <c r="B2" s="1">
        <v>14.592</v>
      </c>
      <c r="C2" s="1">
        <v>14.5525</v>
      </c>
      <c r="D2" s="1">
        <v>19.4365</v>
      </c>
      <c r="E2" s="1">
        <v>1895.619</v>
      </c>
      <c r="F2" s="1">
        <v>1895.619</v>
      </c>
      <c r="G2" s="1">
        <v>2116.4065</v>
      </c>
      <c r="H2" s="1">
        <v>1991.7645</v>
      </c>
      <c r="I2" s="1">
        <v>18.66</v>
      </c>
      <c r="J2" s="1">
        <v>18.68</v>
      </c>
      <c r="K2" s="1">
        <v>18.7</v>
      </c>
      <c r="L2" s="1">
        <v>33.7</v>
      </c>
      <c r="M2" s="1">
        <v>11.34</v>
      </c>
      <c r="N2" s="1">
        <v>11.38</v>
      </c>
      <c r="O2" s="1">
        <v>11.34</v>
      </c>
      <c r="P2" s="1">
        <v>12.33</v>
      </c>
      <c r="Q2" s="1">
        <v>2025.24</v>
      </c>
      <c r="R2" s="1">
        <v>2025.24</v>
      </c>
      <c r="S2" s="1">
        <v>2281.16</v>
      </c>
      <c r="T2" s="1">
        <v>2085.84</v>
      </c>
      <c r="U2" s="1">
        <v>1777.8</v>
      </c>
      <c r="V2" s="1">
        <v>1777.8</v>
      </c>
      <c r="W2" s="1">
        <v>1997.09</v>
      </c>
      <c r="X2" s="1">
        <v>1876.96</v>
      </c>
      <c r="Y2" s="2">
        <v>1</v>
      </c>
      <c r="Z2" s="2">
        <v>1</v>
      </c>
      <c r="AA2" s="2">
        <v>1</v>
      </c>
      <c r="AB2" s="2">
        <v>1</v>
      </c>
    </row>
    <row r="3" spans="1:28">
      <c r="A3" s="1">
        <v>16.9775</v>
      </c>
      <c r="B3" s="1">
        <v>17.0085</v>
      </c>
      <c r="C3" s="1">
        <v>16.92</v>
      </c>
      <c r="D3" s="1">
        <v>27.041</v>
      </c>
      <c r="E3" s="1">
        <v>2053.317</v>
      </c>
      <c r="F3" s="1">
        <v>2053.317</v>
      </c>
      <c r="G3" s="1">
        <v>2302.661</v>
      </c>
      <c r="H3" s="1">
        <v>2008.345</v>
      </c>
      <c r="I3" s="1">
        <v>22.17</v>
      </c>
      <c r="J3" s="1">
        <v>22.25</v>
      </c>
      <c r="K3" s="1">
        <v>22.07</v>
      </c>
      <c r="L3" s="1">
        <v>38.45</v>
      </c>
      <c r="M3" s="1">
        <v>13.28</v>
      </c>
      <c r="N3" s="1">
        <v>13.31</v>
      </c>
      <c r="O3" s="1">
        <v>13.26</v>
      </c>
      <c r="P3" s="1">
        <v>14.69</v>
      </c>
      <c r="Q3" s="1">
        <v>2195</v>
      </c>
      <c r="R3" s="1">
        <v>2195</v>
      </c>
      <c r="S3" s="1">
        <v>2513.82</v>
      </c>
      <c r="T3" s="1">
        <v>2051.82</v>
      </c>
      <c r="U3" s="1">
        <v>1947.97</v>
      </c>
      <c r="V3" s="1">
        <v>1947.97</v>
      </c>
      <c r="W3" s="1">
        <v>2173.63</v>
      </c>
      <c r="X3" s="1">
        <v>1965.32</v>
      </c>
      <c r="Y3" s="2">
        <v>1</v>
      </c>
      <c r="Z3" s="2">
        <v>1</v>
      </c>
      <c r="AA3" s="2">
        <v>1</v>
      </c>
      <c r="AB3" s="2">
        <v>0.5</v>
      </c>
    </row>
    <row r="4" spans="1:28">
      <c r="A4" s="1">
        <v>18.7435</v>
      </c>
      <c r="B4" s="1">
        <v>18.771</v>
      </c>
      <c r="C4" s="1">
        <v>18.682</v>
      </c>
      <c r="D4" s="1">
        <v>29.85</v>
      </c>
      <c r="E4" s="1">
        <v>2056.8655</v>
      </c>
      <c r="F4" s="1">
        <v>2056.8655</v>
      </c>
      <c r="G4" s="1">
        <v>2286.524</v>
      </c>
      <c r="H4" s="1">
        <v>1881.43</v>
      </c>
      <c r="I4" s="1">
        <v>27.65</v>
      </c>
      <c r="J4" s="1">
        <v>27.6</v>
      </c>
      <c r="K4" s="1">
        <v>27.55</v>
      </c>
      <c r="L4" s="1">
        <v>33.55</v>
      </c>
      <c r="M4" s="1">
        <v>14.24</v>
      </c>
      <c r="N4" s="1">
        <v>14.27</v>
      </c>
      <c r="O4" s="1">
        <v>14.23</v>
      </c>
      <c r="P4" s="1">
        <v>26.27</v>
      </c>
      <c r="Q4" s="1">
        <v>2223.66</v>
      </c>
      <c r="R4" s="1">
        <v>2223.66</v>
      </c>
      <c r="S4" s="1">
        <v>2499.08</v>
      </c>
      <c r="T4" s="1">
        <v>1932.38</v>
      </c>
      <c r="U4" s="1">
        <v>1804.85</v>
      </c>
      <c r="V4" s="1">
        <v>1804.85</v>
      </c>
      <c r="W4" s="1">
        <v>2001.66</v>
      </c>
      <c r="X4" s="1">
        <v>1841.88</v>
      </c>
      <c r="Y4" s="2">
        <v>1</v>
      </c>
      <c r="Z4" s="2">
        <v>1</v>
      </c>
      <c r="AA4" s="2">
        <v>1</v>
      </c>
      <c r="AB4" s="2">
        <v>0.15</v>
      </c>
    </row>
    <row r="5" spans="1:28">
      <c r="A5" s="1">
        <v>15.4135</v>
      </c>
      <c r="B5" s="1">
        <v>15.426</v>
      </c>
      <c r="C5" s="1">
        <v>15.368</v>
      </c>
      <c r="D5" s="1">
        <v>26.894</v>
      </c>
      <c r="E5" s="1">
        <v>1819.8685</v>
      </c>
      <c r="F5" s="1">
        <v>1819.8685</v>
      </c>
      <c r="G5" s="1">
        <v>2027.296</v>
      </c>
      <c r="H5" s="1">
        <v>1784.396</v>
      </c>
      <c r="I5" s="1">
        <v>22.08</v>
      </c>
      <c r="J5" s="1">
        <v>22.09</v>
      </c>
      <c r="K5" s="1">
        <v>22</v>
      </c>
      <c r="L5" s="1">
        <v>40.14</v>
      </c>
      <c r="M5" s="1">
        <v>13.92</v>
      </c>
      <c r="N5" s="1">
        <v>13.93</v>
      </c>
      <c r="O5" s="1">
        <v>13.88</v>
      </c>
      <c r="P5" s="1">
        <v>17.39</v>
      </c>
      <c r="Q5" s="1">
        <v>1927.31</v>
      </c>
      <c r="R5" s="1">
        <v>1927.31</v>
      </c>
      <c r="S5" s="1">
        <v>2195.93</v>
      </c>
      <c r="T5" s="1">
        <v>1824.07</v>
      </c>
      <c r="U5" s="1">
        <v>1677.66</v>
      </c>
      <c r="V5" s="1">
        <v>1677.66</v>
      </c>
      <c r="W5" s="1">
        <v>1839.53</v>
      </c>
      <c r="X5" s="1">
        <v>1743.77</v>
      </c>
      <c r="Y5" s="2">
        <v>1</v>
      </c>
      <c r="Z5" s="2">
        <v>1</v>
      </c>
      <c r="AA5" s="2">
        <v>1</v>
      </c>
      <c r="AB5" s="2">
        <v>0.25</v>
      </c>
    </row>
    <row r="6" spans="1:28">
      <c r="A6" s="1">
        <v>16.4855</v>
      </c>
      <c r="B6" s="1">
        <v>16.5025</v>
      </c>
      <c r="C6" s="1">
        <v>16.4485</v>
      </c>
      <c r="D6" s="1">
        <v>23.14</v>
      </c>
      <c r="E6" s="1">
        <v>1552.35</v>
      </c>
      <c r="F6" s="1">
        <v>1552.35</v>
      </c>
      <c r="G6" s="1">
        <v>1730.142</v>
      </c>
      <c r="H6" s="1">
        <v>1555.14666666667</v>
      </c>
      <c r="I6" s="1">
        <v>20.56</v>
      </c>
      <c r="J6" s="1">
        <v>20.6</v>
      </c>
      <c r="K6" s="1">
        <v>20.53</v>
      </c>
      <c r="L6" s="1">
        <v>33.11</v>
      </c>
      <c r="M6" s="1">
        <v>12.98</v>
      </c>
      <c r="N6" s="1">
        <v>13.01</v>
      </c>
      <c r="O6" s="1">
        <v>12.96</v>
      </c>
      <c r="P6" s="1">
        <v>13.84</v>
      </c>
      <c r="Q6" s="1">
        <v>1647.95</v>
      </c>
      <c r="R6" s="1">
        <v>1647.95</v>
      </c>
      <c r="S6" s="1">
        <v>1894.36</v>
      </c>
      <c r="T6" s="1">
        <v>1628.79</v>
      </c>
      <c r="U6" s="1">
        <v>1423.51</v>
      </c>
      <c r="V6" s="1">
        <v>1423.51</v>
      </c>
      <c r="W6" s="1">
        <v>1612.02</v>
      </c>
      <c r="X6" s="1">
        <v>1467.53</v>
      </c>
      <c r="Y6" s="2">
        <v>1</v>
      </c>
      <c r="Z6" s="2">
        <v>1</v>
      </c>
      <c r="AA6" s="2">
        <v>1</v>
      </c>
      <c r="AB6" s="2">
        <v>0.45</v>
      </c>
    </row>
    <row r="7" spans="1:28">
      <c r="A7" s="1">
        <v>14.6095</v>
      </c>
      <c r="B7" s="1">
        <v>14.6215</v>
      </c>
      <c r="C7" s="1">
        <v>14.5675</v>
      </c>
      <c r="D7" s="1">
        <v>25.63</v>
      </c>
      <c r="E7" s="1">
        <v>1404.956</v>
      </c>
      <c r="F7" s="1">
        <v>1404.956</v>
      </c>
      <c r="G7" s="1">
        <v>1553.915</v>
      </c>
      <c r="H7" s="1">
        <v>1408.23</v>
      </c>
      <c r="I7" s="1">
        <v>19.37</v>
      </c>
      <c r="J7" s="1">
        <v>19.39</v>
      </c>
      <c r="K7" s="1">
        <v>19.31</v>
      </c>
      <c r="L7" s="1">
        <v>33.76</v>
      </c>
      <c r="M7" s="1">
        <v>12.04</v>
      </c>
      <c r="N7" s="1">
        <v>12.05</v>
      </c>
      <c r="O7" s="1">
        <v>12.01</v>
      </c>
      <c r="P7" s="1">
        <v>14.55</v>
      </c>
      <c r="Q7" s="1">
        <v>1473.24</v>
      </c>
      <c r="R7" s="1">
        <v>1473.24</v>
      </c>
      <c r="S7" s="1">
        <v>1629.63</v>
      </c>
      <c r="T7" s="1">
        <v>1455.26</v>
      </c>
      <c r="U7" s="1">
        <v>1308.27</v>
      </c>
      <c r="V7" s="1">
        <v>1308.27</v>
      </c>
      <c r="W7" s="1">
        <v>1464.4</v>
      </c>
      <c r="X7" s="1">
        <v>1372.46</v>
      </c>
      <c r="Y7" s="2">
        <v>1</v>
      </c>
      <c r="Z7" s="2">
        <v>1</v>
      </c>
      <c r="AA7" s="2">
        <v>1</v>
      </c>
      <c r="AB7" s="2">
        <v>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2024-07-25T16:35:00Z</dcterms:created>
  <dcterms:modified xsi:type="dcterms:W3CDTF">2024-07-26T09:39:34Z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6C1774C3359F43298FD8BDB63EAD18EF_12</vt:lpwstr>
  </property>
  <property fmtid="{D5CDD505-2E9C-101B-9397-08002B2CF9AE}" pid="3" name="KSOProductBuildVer">
    <vt:lpwstr>2052-12.1.0.17147</vt:lpwstr>
  </property>
</Properties>
</file>