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9920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<sst xmlns="http://schemas.openxmlformats.org/spreadsheetml/2006/main" count="230" uniqueCount="57">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</sst>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tabSelected="1" topLeftCell="J1" workbookViewId="0">
      <selection activeCell="AB28" sqref="AB28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38.99</v>
      </c>
      <c r="C2">
        <v>3582.04</v>
      </c>
      <c r="D2">
        <v>39.05</v>
      </c>
      <c r="E2">
        <v>3582.04</v>
      </c>
      <c r="F2">
        <v>38.96</v>
      </c>
      <c r="G2">
        <v>4046.1</v>
      </c>
      <c r="H2">
        <v>45.24</v>
      </c>
      <c r="I2">
        <v>3857.13</v>
      </c>
    </row>
    <row r="3" spans="1:9">
      <c r="A3" t="s">
        <v>10</v>
      </c>
      <c r="B3">
        <v>51.37</v>
      </c>
      <c r="C3">
        <v>3667.05</v>
      </c>
      <c r="D3">
        <v>51.48</v>
      </c>
      <c r="E3">
        <v>3667.05</v>
      </c>
      <c r="F3">
        <v>51.31</v>
      </c>
      <c r="G3">
        <v>4136.76</v>
      </c>
      <c r="H3">
        <v>58.46</v>
      </c>
      <c r="I3">
        <v>3986.76</v>
      </c>
    </row>
    <row r="4" spans="1:9">
      <c r="A4" t="s">
        <v>11</v>
      </c>
      <c r="B4">
        <v>39.74</v>
      </c>
      <c r="C4">
        <v>3591.27</v>
      </c>
      <c r="D4">
        <v>39.8</v>
      </c>
      <c r="E4">
        <v>3591.27</v>
      </c>
      <c r="F4">
        <v>39.72</v>
      </c>
      <c r="G4">
        <v>3981.6</v>
      </c>
      <c r="H4">
        <v>45.38</v>
      </c>
      <c r="I4">
        <v>3902.06</v>
      </c>
    </row>
    <row r="5" spans="1:9">
      <c r="A5" t="s">
        <v>12</v>
      </c>
      <c r="B5">
        <v>46.47</v>
      </c>
      <c r="C5">
        <v>3403.98</v>
      </c>
      <c r="D5">
        <v>46.65</v>
      </c>
      <c r="E5">
        <v>3403.98</v>
      </c>
      <c r="F5">
        <v>46.47</v>
      </c>
      <c r="G5">
        <v>3828.62</v>
      </c>
      <c r="H5">
        <v>53.52</v>
      </c>
      <c r="I5">
        <v>3771.46</v>
      </c>
    </row>
    <row r="6" spans="1:9">
      <c r="A6" t="s">
        <v>13</v>
      </c>
      <c r="B6">
        <v>40.8</v>
      </c>
      <c r="C6">
        <v>3501.98</v>
      </c>
      <c r="D6">
        <v>40.93</v>
      </c>
      <c r="E6">
        <v>3501.98</v>
      </c>
      <c r="F6">
        <v>40.77</v>
      </c>
      <c r="G6">
        <v>3927.93</v>
      </c>
      <c r="H6">
        <v>44.16</v>
      </c>
      <c r="I6">
        <v>3778.62</v>
      </c>
    </row>
    <row r="7" spans="1:9">
      <c r="A7" t="s">
        <v>14</v>
      </c>
      <c r="B7">
        <v>45.76</v>
      </c>
      <c r="C7">
        <v>3609.49</v>
      </c>
      <c r="D7">
        <v>45.84</v>
      </c>
      <c r="E7">
        <v>3609.49</v>
      </c>
      <c r="F7">
        <v>45.71</v>
      </c>
      <c r="G7">
        <v>4001.38</v>
      </c>
      <c r="H7">
        <v>53.82</v>
      </c>
      <c r="I7">
        <v>3906.78</v>
      </c>
    </row>
    <row r="8" spans="1:9">
      <c r="A8" t="s">
        <v>15</v>
      </c>
      <c r="B8">
        <v>42.15</v>
      </c>
      <c r="C8">
        <v>3399.42</v>
      </c>
      <c r="D8">
        <v>42.18</v>
      </c>
      <c r="E8">
        <v>3399.42</v>
      </c>
      <c r="F8">
        <v>42.12</v>
      </c>
      <c r="G8">
        <v>3829.82</v>
      </c>
      <c r="H8">
        <v>46.48</v>
      </c>
      <c r="I8">
        <v>3699.14</v>
      </c>
    </row>
    <row r="9" spans="1:9">
      <c r="A9" t="s">
        <v>16</v>
      </c>
      <c r="B9">
        <v>41.01</v>
      </c>
      <c r="C9">
        <v>3536</v>
      </c>
      <c r="D9">
        <v>40.99</v>
      </c>
      <c r="E9">
        <v>3536</v>
      </c>
      <c r="F9">
        <v>40.86</v>
      </c>
      <c r="G9">
        <v>3953.59</v>
      </c>
      <c r="H9">
        <v>48.51</v>
      </c>
      <c r="I9">
        <v>3814.42</v>
      </c>
    </row>
    <row r="10" spans="1:9">
      <c r="A10" t="s">
        <v>17</v>
      </c>
      <c r="B10">
        <v>50.06</v>
      </c>
      <c r="C10">
        <v>3519.01</v>
      </c>
      <c r="D10">
        <v>50.11</v>
      </c>
      <c r="E10">
        <v>3519.01</v>
      </c>
      <c r="F10">
        <v>50.03</v>
      </c>
      <c r="G10">
        <v>3972.44</v>
      </c>
      <c r="H10">
        <v>55.36</v>
      </c>
      <c r="I10">
        <v>3865.36</v>
      </c>
    </row>
    <row r="11" spans="1:9">
      <c r="A11" t="s">
        <v>18</v>
      </c>
      <c r="B11">
        <v>40.43</v>
      </c>
      <c r="C11">
        <v>3621.36</v>
      </c>
      <c r="D11">
        <v>40.51</v>
      </c>
      <c r="E11">
        <v>3621.36</v>
      </c>
      <c r="F11">
        <v>40.41</v>
      </c>
      <c r="G11">
        <v>4074.66</v>
      </c>
      <c r="H11">
        <v>48.97</v>
      </c>
      <c r="I11">
        <v>3922.53</v>
      </c>
    </row>
    <row r="12" spans="1:9">
      <c r="A12" t="s">
        <v>19</v>
      </c>
      <c r="B12">
        <v>49.41</v>
      </c>
      <c r="C12">
        <v>3687.66</v>
      </c>
      <c r="D12">
        <v>49.45</v>
      </c>
      <c r="E12">
        <v>3687.66</v>
      </c>
      <c r="F12">
        <v>49.37</v>
      </c>
      <c r="G12">
        <v>4144.49</v>
      </c>
      <c r="H12">
        <v>53.66</v>
      </c>
      <c r="I12">
        <v>4005.8</v>
      </c>
    </row>
    <row r="13" spans="1:9">
      <c r="A13" t="s">
        <v>20</v>
      </c>
      <c r="B13">
        <v>36.6</v>
      </c>
      <c r="C13">
        <v>3515.22</v>
      </c>
      <c r="D13">
        <v>36.65</v>
      </c>
      <c r="E13">
        <v>3515.22</v>
      </c>
      <c r="F13">
        <v>36.53</v>
      </c>
      <c r="G13">
        <v>3917.37</v>
      </c>
      <c r="H13">
        <v>48.25</v>
      </c>
      <c r="I13">
        <v>3809.27</v>
      </c>
    </row>
    <row r="14" spans="1:9">
      <c r="A14" t="s">
        <v>21</v>
      </c>
      <c r="B14">
        <v>47.54</v>
      </c>
      <c r="C14">
        <v>3447.67</v>
      </c>
      <c r="D14">
        <v>47.6</v>
      </c>
      <c r="E14">
        <v>3447.67</v>
      </c>
      <c r="F14">
        <v>47.33</v>
      </c>
      <c r="G14">
        <v>3872.05</v>
      </c>
      <c r="H14">
        <v>52.04</v>
      </c>
      <c r="I14">
        <v>3703.85</v>
      </c>
    </row>
    <row r="15" spans="1:9">
      <c r="A15" t="s">
        <v>22</v>
      </c>
      <c r="B15">
        <v>36.76</v>
      </c>
      <c r="C15">
        <v>3628.42</v>
      </c>
      <c r="D15">
        <v>36.82</v>
      </c>
      <c r="E15">
        <v>3628.42</v>
      </c>
      <c r="F15">
        <v>36.73</v>
      </c>
      <c r="G15">
        <v>4092.48</v>
      </c>
      <c r="H15">
        <v>42.43</v>
      </c>
      <c r="I15">
        <v>3922.27</v>
      </c>
    </row>
    <row r="16" spans="1:9">
      <c r="A16" t="s">
        <v>23</v>
      </c>
      <c r="B16">
        <v>51.17</v>
      </c>
      <c r="C16">
        <v>3641.73</v>
      </c>
      <c r="D16">
        <v>51.23</v>
      </c>
      <c r="E16">
        <v>3641.73</v>
      </c>
      <c r="F16">
        <v>51.13</v>
      </c>
      <c r="G16">
        <v>4093.57</v>
      </c>
      <c r="H16">
        <v>58</v>
      </c>
      <c r="I16">
        <v>3954.22</v>
      </c>
    </row>
    <row r="17" spans="1:9">
      <c r="A17" t="s">
        <v>24</v>
      </c>
      <c r="B17">
        <v>37.21</v>
      </c>
      <c r="C17">
        <v>3606.81</v>
      </c>
      <c r="D17">
        <v>37.26</v>
      </c>
      <c r="E17">
        <v>3606.81</v>
      </c>
      <c r="F17">
        <v>37.2</v>
      </c>
      <c r="G17">
        <v>4086.51</v>
      </c>
      <c r="H17">
        <v>42.21</v>
      </c>
      <c r="I17">
        <v>3950.13</v>
      </c>
    </row>
    <row r="18" spans="1:9">
      <c r="A18" t="s">
        <v>25</v>
      </c>
      <c r="B18">
        <v>45.34</v>
      </c>
      <c r="C18">
        <v>3720.77</v>
      </c>
      <c r="D18">
        <v>45.39</v>
      </c>
      <c r="E18">
        <v>3720.77</v>
      </c>
      <c r="F18">
        <v>45.32</v>
      </c>
      <c r="G18">
        <v>4120.07</v>
      </c>
      <c r="H18">
        <v>50.93</v>
      </c>
      <c r="I18">
        <v>3985.83</v>
      </c>
    </row>
    <row r="19" spans="1:9">
      <c r="A19" t="s">
        <v>26</v>
      </c>
      <c r="B19">
        <v>38.67</v>
      </c>
      <c r="C19">
        <v>3393.99</v>
      </c>
      <c r="D19">
        <v>38.74</v>
      </c>
      <c r="E19">
        <v>3393.99</v>
      </c>
      <c r="F19">
        <v>38.64</v>
      </c>
      <c r="G19">
        <v>3792.93</v>
      </c>
      <c r="H19">
        <v>43.96</v>
      </c>
      <c r="I19">
        <v>3698.75</v>
      </c>
    </row>
    <row r="20" spans="1:9">
      <c r="A20" t="s">
        <v>27</v>
      </c>
      <c r="B20">
        <v>46.35</v>
      </c>
      <c r="C20">
        <v>3786.79</v>
      </c>
      <c r="D20">
        <v>46.45</v>
      </c>
      <c r="E20">
        <v>3786.79</v>
      </c>
      <c r="F20">
        <v>46.29</v>
      </c>
      <c r="G20">
        <v>4296.72</v>
      </c>
      <c r="H20">
        <v>59.02</v>
      </c>
      <c r="I20">
        <v>4175.77</v>
      </c>
    </row>
    <row r="21" spans="1:9">
      <c r="A21" t="s">
        <v>28</v>
      </c>
      <c r="B21">
        <v>41.88</v>
      </c>
      <c r="C21">
        <v>3533.05</v>
      </c>
      <c r="D21">
        <v>41.86</v>
      </c>
      <c r="E21">
        <v>3533.05</v>
      </c>
      <c r="F21">
        <v>41.77</v>
      </c>
      <c r="G21">
        <v>3920</v>
      </c>
      <c r="H21">
        <v>52.09</v>
      </c>
      <c r="I21">
        <v>3835.29</v>
      </c>
    </row>
    <row r="23" spans="1:28">
      <c r="A23" s="3" t="s">
        <v>29</v>
      </c>
      <c r="B23" s="3" t="s">
        <v>30</v>
      </c>
      <c r="C23" s="3" t="s">
        <v>31</v>
      </c>
      <c r="D23" s="4" t="s">
        <v>32</v>
      </c>
      <c r="E23" s="3" t="s">
        <v>33</v>
      </c>
      <c r="F23" s="3" t="s">
        <v>34</v>
      </c>
      <c r="G23" s="3" t="s">
        <v>35</v>
      </c>
      <c r="H23" s="4" t="s">
        <v>36</v>
      </c>
      <c r="I23" s="3" t="s">
        <v>37</v>
      </c>
      <c r="J23" s="3" t="s">
        <v>38</v>
      </c>
      <c r="K23" s="3" t="s">
        <v>39</v>
      </c>
      <c r="L23" s="4" t="s">
        <v>40</v>
      </c>
      <c r="M23" s="3" t="s">
        <v>41</v>
      </c>
      <c r="N23" s="3" t="s">
        <v>42</v>
      </c>
      <c r="O23" s="3" t="s">
        <v>43</v>
      </c>
      <c r="P23" s="4" t="s">
        <v>44</v>
      </c>
      <c r="Q23" s="3" t="s">
        <v>45</v>
      </c>
      <c r="R23" s="3" t="s">
        <v>46</v>
      </c>
      <c r="S23" s="3" t="s">
        <v>47</v>
      </c>
      <c r="T23" s="4" t="s">
        <v>48</v>
      </c>
      <c r="U23" s="3" t="s">
        <v>49</v>
      </c>
      <c r="V23" s="3" t="s">
        <v>50</v>
      </c>
      <c r="W23" s="3" t="s">
        <v>51</v>
      </c>
      <c r="X23" s="4" t="s">
        <v>52</v>
      </c>
      <c r="Y23" s="4" t="s">
        <v>53</v>
      </c>
      <c r="Z23" s="4" t="s">
        <v>54</v>
      </c>
      <c r="AA23" s="4" t="s">
        <v>55</v>
      </c>
      <c r="AB23" s="4" t="s">
        <v>56</v>
      </c>
    </row>
    <row r="24" spans="1:28">
      <c r="A24" s="2">
        <f>AVERAGE($B$2:$B$21)</f>
        <v>43.3855</v>
      </c>
      <c r="B24" s="2">
        <f>AVERAGE($D$2:$D$21)</f>
        <v>43.4495</v>
      </c>
      <c r="C24" s="2">
        <f>AVERAGE($F$2:$F$21)</f>
        <v>43.3335</v>
      </c>
      <c r="D24" s="2">
        <f>AVERAGEIF($H$2:$H$21,"&lt;&gt; -1")</f>
        <v>50.1245</v>
      </c>
      <c r="E24" s="2">
        <f>AVERAGE($C$2:$C$21)</f>
        <v>3569.6855</v>
      </c>
      <c r="F24" s="2">
        <f>AVERAGE($E$2:$E$21)</f>
        <v>3569.6855</v>
      </c>
      <c r="G24" s="2">
        <f>AVERAGE($G$2:$G$21)</f>
        <v>4004.4545</v>
      </c>
      <c r="H24" s="2">
        <f>AVERAGEIFS($I$2:$I$21,$H$2:$H$21,"&lt;&gt; -1")</f>
        <v>3877.272</v>
      </c>
      <c r="I24" s="2">
        <f>MAX($B$2:$B$21)</f>
        <v>51.37</v>
      </c>
      <c r="J24" s="2">
        <f>MAX($D$2:$D$21)</f>
        <v>51.48</v>
      </c>
      <c r="K24" s="2">
        <f>MAX($F$2:$F$21)</f>
        <v>51.31</v>
      </c>
      <c r="L24" s="2">
        <f>_xlfn.MAXIFS($H$2:$H$21,$H$2:$H$21,"&lt;&gt; -1")</f>
        <v>59.02</v>
      </c>
      <c r="M24" s="2">
        <f>MIN($B$2:$B$21)</f>
        <v>36.6</v>
      </c>
      <c r="N24" s="2">
        <f>MIN($D$2:$D$21)</f>
        <v>36.65</v>
      </c>
      <c r="O24" s="2">
        <f>MIN($F$2:$F$21)</f>
        <v>36.53</v>
      </c>
      <c r="P24" s="2">
        <f>_xlfn.MINIFS($H$2:$H$21,$H$2:$H$21,"&lt;&gt; -1")</f>
        <v>42.21</v>
      </c>
      <c r="Q24" s="2">
        <f>MAX($C$2:$C$21)</f>
        <v>3786.79</v>
      </c>
      <c r="R24" s="2">
        <f>MAX($E$2:$E$21)</f>
        <v>3786.79</v>
      </c>
      <c r="S24" s="2">
        <f>MAX($G$2:$G$21)</f>
        <v>4296.72</v>
      </c>
      <c r="T24" s="2">
        <f>_xlfn.MAXIFS($I$2:$I$21,$H$2:$H$21,"&lt;&gt; -1")</f>
        <v>4175.77</v>
      </c>
      <c r="U24" s="2">
        <f>MIN($C$2:$C$21)</f>
        <v>3393.99</v>
      </c>
      <c r="V24" s="2">
        <f>MIN($E$2:$E$21)</f>
        <v>3393.99</v>
      </c>
      <c r="W24" s="2">
        <f>MIN($G$2:$G$21)</f>
        <v>3792.93</v>
      </c>
      <c r="X24" s="2">
        <f>_xlfn.MINIFS($I$2:$I$21,$H$2:$H$21,"&lt;&gt; -1")</f>
        <v>3698.75</v>
      </c>
      <c r="Y24" s="2">
        <f>(COUNTIFS($B$2:$B$21,"&gt;0.0",$B$2:$B$21,"&lt;100.0"))/20</f>
        <v>1</v>
      </c>
      <c r="Z24" s="2">
        <f>(COUNTIFS($D$2:$D$21,"&gt;0.0",$D$2:$D$21,"&lt;100.0"))/20</f>
        <v>1</v>
      </c>
      <c r="AA24" s="2">
        <f>(COUNTIFS($F$2:$F$21,"&gt;0.0",$F$2:$F$21,"&lt;100.0"))/20</f>
        <v>1</v>
      </c>
      <c r="AB24" s="2">
        <f>(COUNTIFS($H$2:$H$21,"&gt;0.0",$H$2:$H$21,"&lt;100.0"))/20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53.72</v>
      </c>
      <c r="C2">
        <v>3696.4</v>
      </c>
      <c r="D2">
        <v>53.76</v>
      </c>
      <c r="E2">
        <v>3696.4</v>
      </c>
      <c r="F2">
        <v>53.53</v>
      </c>
      <c r="G2">
        <v>4150.4</v>
      </c>
      <c r="H2">
        <v>79.21</v>
      </c>
      <c r="I2">
        <v>3943.29</v>
      </c>
    </row>
    <row r="3" spans="1:9">
      <c r="A3" t="s">
        <v>10</v>
      </c>
      <c r="B3">
        <v>43.94</v>
      </c>
      <c r="C3">
        <v>3827.44</v>
      </c>
      <c r="D3">
        <v>43.98</v>
      </c>
      <c r="E3">
        <v>3827.44</v>
      </c>
      <c r="F3">
        <v>43.78</v>
      </c>
      <c r="G3">
        <v>4289.28</v>
      </c>
      <c r="H3">
        <v>59.76</v>
      </c>
      <c r="I3">
        <v>4118.19</v>
      </c>
    </row>
    <row r="4" spans="1:9">
      <c r="A4" t="s">
        <v>11</v>
      </c>
      <c r="B4">
        <v>57.87</v>
      </c>
      <c r="C4">
        <v>3593.56</v>
      </c>
      <c r="D4">
        <v>57.92</v>
      </c>
      <c r="E4">
        <v>3593.56</v>
      </c>
      <c r="F4">
        <v>57.77</v>
      </c>
      <c r="G4">
        <v>4023.13</v>
      </c>
      <c r="H4">
        <v>64.72</v>
      </c>
      <c r="I4">
        <v>3820.2</v>
      </c>
    </row>
    <row r="5" spans="1:9">
      <c r="A5" t="s">
        <v>12</v>
      </c>
      <c r="B5">
        <v>48.33</v>
      </c>
      <c r="C5">
        <v>3598.52</v>
      </c>
      <c r="D5">
        <v>48.36</v>
      </c>
      <c r="E5">
        <v>3598.52</v>
      </c>
      <c r="F5">
        <v>48.14</v>
      </c>
      <c r="G5">
        <v>4020.86</v>
      </c>
      <c r="H5">
        <v>-1</v>
      </c>
      <c r="I5">
        <v>3149.26</v>
      </c>
    </row>
    <row r="6" spans="1:9">
      <c r="A6" t="s">
        <v>13</v>
      </c>
      <c r="B6">
        <v>41.99</v>
      </c>
      <c r="C6">
        <v>3467.84</v>
      </c>
      <c r="D6">
        <v>42.01</v>
      </c>
      <c r="E6">
        <v>3467.84</v>
      </c>
      <c r="F6">
        <v>41.94</v>
      </c>
      <c r="G6">
        <v>3891.78</v>
      </c>
      <c r="H6">
        <v>53.2</v>
      </c>
      <c r="I6">
        <v>3747.64</v>
      </c>
    </row>
    <row r="7" spans="1:9">
      <c r="A7" t="s">
        <v>14</v>
      </c>
      <c r="B7">
        <v>61.27</v>
      </c>
      <c r="C7">
        <v>3662.89</v>
      </c>
      <c r="D7">
        <v>61.31</v>
      </c>
      <c r="E7">
        <v>3662.89</v>
      </c>
      <c r="F7">
        <v>61.17</v>
      </c>
      <c r="G7">
        <v>4094.24</v>
      </c>
      <c r="H7">
        <v>69.8</v>
      </c>
      <c r="I7">
        <v>3927.13</v>
      </c>
    </row>
    <row r="8" spans="1:9">
      <c r="A8" t="s">
        <v>15</v>
      </c>
      <c r="B8">
        <v>42.8</v>
      </c>
      <c r="C8">
        <v>3507.25</v>
      </c>
      <c r="D8">
        <v>42.84</v>
      </c>
      <c r="E8">
        <v>3507.25</v>
      </c>
      <c r="F8">
        <v>42.67</v>
      </c>
      <c r="G8">
        <v>3917.58</v>
      </c>
      <c r="H8">
        <v>64.22</v>
      </c>
      <c r="I8">
        <v>3701.44</v>
      </c>
    </row>
    <row r="9" spans="1:9">
      <c r="A9" t="s">
        <v>16</v>
      </c>
      <c r="B9">
        <v>50.38</v>
      </c>
      <c r="C9">
        <v>3837.4</v>
      </c>
      <c r="D9">
        <v>50.43</v>
      </c>
      <c r="E9">
        <v>3837.4</v>
      </c>
      <c r="F9">
        <v>50.22</v>
      </c>
      <c r="G9">
        <v>4281.35</v>
      </c>
      <c r="H9">
        <v>59.49</v>
      </c>
      <c r="I9">
        <v>4088.51</v>
      </c>
    </row>
    <row r="10" spans="1:9">
      <c r="A10" t="s">
        <v>17</v>
      </c>
      <c r="B10">
        <v>58.23</v>
      </c>
      <c r="C10">
        <v>3625.27</v>
      </c>
      <c r="D10">
        <v>58.24</v>
      </c>
      <c r="E10">
        <v>3625.27</v>
      </c>
      <c r="F10">
        <v>58.01</v>
      </c>
      <c r="G10">
        <v>4067.35</v>
      </c>
      <c r="H10">
        <v>69.06</v>
      </c>
      <c r="I10">
        <v>3913.78</v>
      </c>
    </row>
    <row r="11" spans="1:9">
      <c r="A11" t="s">
        <v>18</v>
      </c>
      <c r="B11">
        <v>42.81</v>
      </c>
      <c r="C11">
        <v>3564.8</v>
      </c>
      <c r="D11">
        <v>42.83</v>
      </c>
      <c r="E11">
        <v>3564.8</v>
      </c>
      <c r="F11">
        <v>42.75</v>
      </c>
      <c r="G11">
        <v>4033.26</v>
      </c>
      <c r="H11">
        <v>58.96</v>
      </c>
      <c r="I11">
        <v>3874.98</v>
      </c>
    </row>
    <row r="12" spans="1:9">
      <c r="A12" t="s">
        <v>19</v>
      </c>
      <c r="B12">
        <v>60.96</v>
      </c>
      <c r="C12">
        <v>3779.35</v>
      </c>
      <c r="D12">
        <v>60.98</v>
      </c>
      <c r="E12">
        <v>3779.35</v>
      </c>
      <c r="F12">
        <v>60.84</v>
      </c>
      <c r="G12">
        <v>4272.75</v>
      </c>
      <c r="H12">
        <v>66.03</v>
      </c>
      <c r="I12">
        <v>4003.08</v>
      </c>
    </row>
    <row r="13" spans="1:9">
      <c r="A13" t="s">
        <v>20</v>
      </c>
      <c r="B13">
        <v>42.09</v>
      </c>
      <c r="C13">
        <v>3491.71</v>
      </c>
      <c r="D13">
        <v>42.05</v>
      </c>
      <c r="E13">
        <v>3491.71</v>
      </c>
      <c r="F13">
        <v>41.95</v>
      </c>
      <c r="G13">
        <v>3853.25</v>
      </c>
      <c r="H13">
        <v>52.1</v>
      </c>
      <c r="I13">
        <v>3729.14</v>
      </c>
    </row>
    <row r="14" spans="1:9">
      <c r="A14" t="s">
        <v>21</v>
      </c>
      <c r="B14">
        <v>56.03</v>
      </c>
      <c r="C14">
        <v>3491.57</v>
      </c>
      <c r="D14">
        <v>55.96</v>
      </c>
      <c r="E14">
        <v>3491.57</v>
      </c>
      <c r="F14">
        <v>55.86</v>
      </c>
      <c r="G14">
        <v>3901.05</v>
      </c>
      <c r="H14">
        <v>62.42</v>
      </c>
      <c r="I14">
        <v>3770.85</v>
      </c>
    </row>
    <row r="15" spans="1:9">
      <c r="A15" t="s">
        <v>22</v>
      </c>
      <c r="B15">
        <v>45.89</v>
      </c>
      <c r="C15">
        <v>3714.52</v>
      </c>
      <c r="D15">
        <v>46.01</v>
      </c>
      <c r="E15">
        <v>3714.52</v>
      </c>
      <c r="F15">
        <v>45.54</v>
      </c>
      <c r="G15">
        <v>4195.07</v>
      </c>
      <c r="H15">
        <v>65.66</v>
      </c>
      <c r="I15">
        <v>3967.42</v>
      </c>
    </row>
    <row r="16" spans="1:9">
      <c r="A16" t="s">
        <v>23</v>
      </c>
      <c r="B16">
        <v>52.47</v>
      </c>
      <c r="C16">
        <v>3852.05</v>
      </c>
      <c r="D16">
        <v>52.52</v>
      </c>
      <c r="E16">
        <v>3852.05</v>
      </c>
      <c r="F16">
        <v>52.31</v>
      </c>
      <c r="G16">
        <v>4292.11</v>
      </c>
      <c r="H16">
        <v>61.59</v>
      </c>
      <c r="I16">
        <v>4092.13</v>
      </c>
    </row>
    <row r="17" spans="1:9">
      <c r="A17" t="s">
        <v>24</v>
      </c>
      <c r="B17">
        <v>52.5</v>
      </c>
      <c r="C17">
        <v>3686.73</v>
      </c>
      <c r="D17">
        <v>52.53</v>
      </c>
      <c r="E17">
        <v>3686.73</v>
      </c>
      <c r="F17">
        <v>52.37</v>
      </c>
      <c r="G17">
        <v>4190.47</v>
      </c>
      <c r="H17">
        <v>-1</v>
      </c>
      <c r="I17">
        <v>3326.64</v>
      </c>
    </row>
    <row r="18" spans="1:9">
      <c r="A18" t="s">
        <v>25</v>
      </c>
      <c r="B18">
        <v>42.95</v>
      </c>
      <c r="C18">
        <v>3635.23</v>
      </c>
      <c r="D18">
        <v>43.09</v>
      </c>
      <c r="E18">
        <v>3635.23</v>
      </c>
      <c r="F18">
        <v>42.76</v>
      </c>
      <c r="G18">
        <v>4122.91</v>
      </c>
      <c r="H18">
        <v>57.18</v>
      </c>
      <c r="I18">
        <v>3809.59</v>
      </c>
    </row>
    <row r="19" spans="1:9">
      <c r="A19" t="s">
        <v>26</v>
      </c>
      <c r="B19">
        <v>53.65</v>
      </c>
      <c r="C19">
        <v>3418.53</v>
      </c>
      <c r="D19">
        <v>53.67</v>
      </c>
      <c r="E19">
        <v>3418.53</v>
      </c>
      <c r="F19">
        <v>53.56</v>
      </c>
      <c r="G19">
        <v>3838.04</v>
      </c>
      <c r="H19">
        <v>62.15</v>
      </c>
      <c r="I19">
        <v>3674.23</v>
      </c>
    </row>
    <row r="20" spans="1:9">
      <c r="A20" t="s">
        <v>27</v>
      </c>
      <c r="B20">
        <v>48.35</v>
      </c>
      <c r="C20">
        <v>3786.17</v>
      </c>
      <c r="D20">
        <v>48.39</v>
      </c>
      <c r="E20">
        <v>3786.17</v>
      </c>
      <c r="F20">
        <v>48.25</v>
      </c>
      <c r="G20">
        <v>4299.21</v>
      </c>
      <c r="H20">
        <v>66.77</v>
      </c>
      <c r="I20">
        <v>4031.22</v>
      </c>
    </row>
    <row r="21" spans="1:9">
      <c r="A21" t="s">
        <v>28</v>
      </c>
      <c r="B21">
        <v>48.61</v>
      </c>
      <c r="C21">
        <v>3677.74</v>
      </c>
      <c r="D21">
        <v>48.65</v>
      </c>
      <c r="E21">
        <v>3677.74</v>
      </c>
      <c r="F21">
        <v>48.44</v>
      </c>
      <c r="G21">
        <v>4052.69</v>
      </c>
      <c r="H21">
        <v>59.71</v>
      </c>
      <c r="I21">
        <v>3909.73</v>
      </c>
    </row>
    <row r="23" spans="1:28">
      <c r="A23" s="2">
        <f>AVERAGE($B$2:$B$21)</f>
        <v>50.242</v>
      </c>
      <c r="B23" s="2">
        <f>AVERAGE($D$2:$D$21)</f>
        <v>50.2765</v>
      </c>
      <c r="C23" s="2">
        <f>AVERAGE($F$2:$F$21)</f>
        <v>50.093</v>
      </c>
      <c r="D23" s="2">
        <f>AVERAGEIF($H$2:$H$21,"&lt;&gt; -1")</f>
        <v>62.8905555555556</v>
      </c>
      <c r="E23" s="2">
        <f>AVERAGE($C$2:$C$21)</f>
        <v>3645.7485</v>
      </c>
      <c r="F23" s="2">
        <f>AVERAGE($E$2:$E$21)</f>
        <v>3645.7485</v>
      </c>
      <c r="G23" s="2">
        <f>AVERAGE($G$2:$G$21)</f>
        <v>4089.339</v>
      </c>
      <c r="H23" s="2">
        <f>AVERAGEIFS($I$2:$I$21,$H$2:$H$21,"&lt;&gt; -1")</f>
        <v>3895.69722222222</v>
      </c>
      <c r="I23" s="2">
        <f>MAX($B$2:$B$21)</f>
        <v>61.27</v>
      </c>
      <c r="J23" s="2">
        <f>MAX($D$2:$D$21)</f>
        <v>61.31</v>
      </c>
      <c r="K23" s="2">
        <f>MAX($F$2:$F$21)</f>
        <v>61.17</v>
      </c>
      <c r="L23" s="2">
        <f>_xlfn.MAXIFS($H$2:$H$21,$H$2:$H$21,"&lt;&gt; -1")</f>
        <v>79.21</v>
      </c>
      <c r="M23" s="2">
        <f>MIN($B$2:$B$21)</f>
        <v>41.99</v>
      </c>
      <c r="N23" s="2">
        <f>MIN($D$2:$D$21)</f>
        <v>42.01</v>
      </c>
      <c r="O23" s="2">
        <f>MIN($F$2:$F$21)</f>
        <v>41.94</v>
      </c>
      <c r="P23" s="2">
        <f>_xlfn.MINIFS($H$2:$H$21,$H$2:$H$21,"&lt;&gt; -1")</f>
        <v>52.1</v>
      </c>
      <c r="Q23" s="2">
        <f>MAX($C$2:$C$21)</f>
        <v>3852.05</v>
      </c>
      <c r="R23" s="2">
        <f>MAX($E$2:$E$21)</f>
        <v>3852.05</v>
      </c>
      <c r="S23" s="2">
        <f>MAX($G$2:$G$21)</f>
        <v>4299.21</v>
      </c>
      <c r="T23" s="2">
        <f>_xlfn.MAXIFS($I$2:$I$21,$H$2:$H$21,"&lt;&gt; -1")</f>
        <v>4118.19</v>
      </c>
      <c r="U23" s="2">
        <f>MIN($C$2:$C$21)</f>
        <v>3418.53</v>
      </c>
      <c r="V23" s="2">
        <f>MIN($E$2:$E$21)</f>
        <v>3418.53</v>
      </c>
      <c r="W23" s="2">
        <f>MIN($G$2:$G$21)</f>
        <v>3838.04</v>
      </c>
      <c r="X23" s="2">
        <f>_xlfn.MINIFS($I$2:$I$21,$H$2:$H$21,"&lt;&gt; -1")</f>
        <v>3674.23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</v>
      </c>
      <c r="C2">
        <v>3823.36</v>
      </c>
      <c r="D2">
        <v>66.98</v>
      </c>
      <c r="E2">
        <v>3823.36</v>
      </c>
      <c r="F2">
        <v>66.76</v>
      </c>
      <c r="G2">
        <v>4316.48</v>
      </c>
      <c r="H2">
        <v>83.38</v>
      </c>
      <c r="I2">
        <v>4009.08</v>
      </c>
    </row>
    <row r="3" spans="1:9">
      <c r="A3" t="s">
        <v>10</v>
      </c>
      <c r="B3">
        <v>50.91</v>
      </c>
      <c r="C3">
        <v>3588.34</v>
      </c>
      <c r="D3">
        <v>50.91</v>
      </c>
      <c r="E3">
        <v>3588.34</v>
      </c>
      <c r="F3">
        <v>50.78</v>
      </c>
      <c r="G3">
        <v>4005.9</v>
      </c>
      <c r="H3">
        <v>68.23</v>
      </c>
      <c r="I3">
        <v>3865.61</v>
      </c>
    </row>
    <row r="4" spans="1:9">
      <c r="A4" t="s">
        <v>11</v>
      </c>
      <c r="B4">
        <v>59.45</v>
      </c>
      <c r="C4">
        <v>3562.75</v>
      </c>
      <c r="D4">
        <v>59.47</v>
      </c>
      <c r="E4">
        <v>3562.75</v>
      </c>
      <c r="F4">
        <v>59.31</v>
      </c>
      <c r="G4">
        <v>4016.66</v>
      </c>
      <c r="H4">
        <v>68.25</v>
      </c>
      <c r="I4">
        <v>3822.89</v>
      </c>
    </row>
    <row r="5" spans="1:9">
      <c r="A5" t="s">
        <v>12</v>
      </c>
      <c r="B5">
        <v>49.69</v>
      </c>
      <c r="C5">
        <v>3629.57</v>
      </c>
      <c r="D5">
        <v>49.7</v>
      </c>
      <c r="E5">
        <v>3629.57</v>
      </c>
      <c r="F5">
        <v>49.55</v>
      </c>
      <c r="G5">
        <v>4115.99</v>
      </c>
      <c r="H5">
        <v>-1</v>
      </c>
      <c r="I5">
        <v>3092.23</v>
      </c>
    </row>
    <row r="6" spans="1:9">
      <c r="A6" t="s">
        <v>13</v>
      </c>
      <c r="B6">
        <v>49.55</v>
      </c>
      <c r="C6">
        <v>3551.97</v>
      </c>
      <c r="D6">
        <v>49.57</v>
      </c>
      <c r="E6">
        <v>3551.97</v>
      </c>
      <c r="F6">
        <v>49.41</v>
      </c>
      <c r="G6">
        <v>3959.25</v>
      </c>
      <c r="H6">
        <v>-1</v>
      </c>
      <c r="I6">
        <v>2513.52</v>
      </c>
    </row>
    <row r="7" spans="1:9">
      <c r="A7" t="s">
        <v>14</v>
      </c>
      <c r="B7">
        <v>53.17</v>
      </c>
      <c r="C7">
        <v>3590.81</v>
      </c>
      <c r="D7">
        <v>53.2</v>
      </c>
      <c r="E7">
        <v>3590.81</v>
      </c>
      <c r="F7">
        <v>53.02</v>
      </c>
      <c r="G7">
        <v>4011.11</v>
      </c>
      <c r="H7">
        <v>-1</v>
      </c>
      <c r="I7">
        <v>2693.4</v>
      </c>
    </row>
    <row r="8" spans="1:9">
      <c r="A8" t="s">
        <v>15</v>
      </c>
      <c r="B8">
        <v>57.17</v>
      </c>
      <c r="C8">
        <v>3747.39</v>
      </c>
      <c r="D8">
        <v>57.18</v>
      </c>
      <c r="E8">
        <v>3747.39</v>
      </c>
      <c r="F8">
        <v>57.01</v>
      </c>
      <c r="G8">
        <v>4227.75</v>
      </c>
      <c r="H8">
        <v>-1</v>
      </c>
      <c r="I8">
        <v>4008.04</v>
      </c>
    </row>
    <row r="9" spans="1:9">
      <c r="A9" t="s">
        <v>16</v>
      </c>
      <c r="B9">
        <v>68.28</v>
      </c>
      <c r="C9">
        <v>3830.82</v>
      </c>
      <c r="D9">
        <v>68.3</v>
      </c>
      <c r="E9">
        <v>3830.82</v>
      </c>
      <c r="F9">
        <v>68.13</v>
      </c>
      <c r="G9">
        <v>4266.85</v>
      </c>
      <c r="H9">
        <v>-1</v>
      </c>
      <c r="I9">
        <v>2798.8</v>
      </c>
    </row>
    <row r="10" spans="1:9">
      <c r="A10" t="s">
        <v>17</v>
      </c>
      <c r="B10">
        <v>51.82</v>
      </c>
      <c r="C10">
        <v>3494.82</v>
      </c>
      <c r="D10">
        <v>51.82</v>
      </c>
      <c r="E10">
        <v>3494.82</v>
      </c>
      <c r="F10">
        <v>51.73</v>
      </c>
      <c r="G10">
        <v>3989.79</v>
      </c>
      <c r="H10">
        <v>79.86</v>
      </c>
      <c r="I10">
        <v>3789.67</v>
      </c>
    </row>
    <row r="11" spans="1:9">
      <c r="A11" t="s">
        <v>18</v>
      </c>
      <c r="B11">
        <v>62.58</v>
      </c>
      <c r="C11">
        <v>3716.02</v>
      </c>
      <c r="D11">
        <v>62.61</v>
      </c>
      <c r="E11">
        <v>3716.02</v>
      </c>
      <c r="F11">
        <v>62.41</v>
      </c>
      <c r="G11">
        <v>4146.98</v>
      </c>
      <c r="H11">
        <v>85.65</v>
      </c>
      <c r="I11">
        <v>3937.91</v>
      </c>
    </row>
    <row r="12" spans="1:9">
      <c r="A12" t="s">
        <v>19</v>
      </c>
      <c r="B12">
        <v>50</v>
      </c>
      <c r="C12">
        <v>3790.7</v>
      </c>
      <c r="D12">
        <v>50.21</v>
      </c>
      <c r="E12">
        <v>3790.7</v>
      </c>
      <c r="F12">
        <v>50.07</v>
      </c>
      <c r="G12">
        <v>4205.99</v>
      </c>
      <c r="H12">
        <v>64.23</v>
      </c>
      <c r="I12">
        <v>4007.63</v>
      </c>
    </row>
    <row r="13" spans="1:9">
      <c r="A13" t="s">
        <v>20</v>
      </c>
      <c r="B13">
        <v>58.05</v>
      </c>
      <c r="C13">
        <v>3502.74</v>
      </c>
      <c r="D13">
        <v>58.07</v>
      </c>
      <c r="E13">
        <v>3502.74</v>
      </c>
      <c r="F13">
        <v>57.93</v>
      </c>
      <c r="G13">
        <v>3867.96</v>
      </c>
      <c r="H13">
        <v>-1</v>
      </c>
      <c r="I13">
        <v>2521.46</v>
      </c>
    </row>
    <row r="14" spans="1:9">
      <c r="A14" t="s">
        <v>21</v>
      </c>
      <c r="B14">
        <v>64.28</v>
      </c>
      <c r="C14">
        <v>3518.83</v>
      </c>
      <c r="D14">
        <v>64.29</v>
      </c>
      <c r="E14">
        <v>3518.83</v>
      </c>
      <c r="F14">
        <v>64.14</v>
      </c>
      <c r="G14">
        <v>3936.5</v>
      </c>
      <c r="H14">
        <v>-1</v>
      </c>
      <c r="I14">
        <v>1594.44</v>
      </c>
    </row>
    <row r="15" spans="1:9">
      <c r="A15" t="s">
        <v>22</v>
      </c>
      <c r="B15">
        <v>53.94</v>
      </c>
      <c r="C15">
        <v>3845.71</v>
      </c>
      <c r="D15">
        <v>53.96</v>
      </c>
      <c r="E15">
        <v>3845.71</v>
      </c>
      <c r="F15">
        <v>53.81</v>
      </c>
      <c r="G15">
        <v>4246.36</v>
      </c>
      <c r="H15">
        <v>61.3</v>
      </c>
      <c r="I15">
        <v>4068.16</v>
      </c>
    </row>
    <row r="16" spans="1:9">
      <c r="A16" t="s">
        <v>23</v>
      </c>
      <c r="B16">
        <v>53.17</v>
      </c>
      <c r="C16">
        <v>3755.33</v>
      </c>
      <c r="D16">
        <v>53.2</v>
      </c>
      <c r="E16">
        <v>3755.33</v>
      </c>
      <c r="F16">
        <v>52.92</v>
      </c>
      <c r="G16">
        <v>4219.33</v>
      </c>
      <c r="H16">
        <v>-1</v>
      </c>
      <c r="I16">
        <v>1821.97</v>
      </c>
    </row>
    <row r="17" spans="1:9">
      <c r="A17" t="s">
        <v>24</v>
      </c>
      <c r="B17">
        <v>65.88</v>
      </c>
      <c r="C17">
        <v>3545.88</v>
      </c>
      <c r="D17">
        <v>65.89</v>
      </c>
      <c r="E17">
        <v>3545.88</v>
      </c>
      <c r="F17">
        <v>65.78</v>
      </c>
      <c r="G17">
        <v>4000.11</v>
      </c>
      <c r="H17">
        <v>89.4</v>
      </c>
      <c r="I17">
        <v>3784.95</v>
      </c>
    </row>
    <row r="18" spans="1:9">
      <c r="A18" t="s">
        <v>25</v>
      </c>
      <c r="B18">
        <v>62.87</v>
      </c>
      <c r="C18">
        <v>3625.06</v>
      </c>
      <c r="D18">
        <v>62.98</v>
      </c>
      <c r="E18">
        <v>3625.06</v>
      </c>
      <c r="F18">
        <v>62.62</v>
      </c>
      <c r="G18">
        <v>4090.79</v>
      </c>
      <c r="H18">
        <v>-1</v>
      </c>
      <c r="I18">
        <v>2624.83</v>
      </c>
    </row>
    <row r="19" spans="1:9">
      <c r="A19" t="s">
        <v>26</v>
      </c>
      <c r="B19">
        <v>47.61</v>
      </c>
      <c r="C19">
        <v>3360.97</v>
      </c>
      <c r="D19">
        <v>47.63</v>
      </c>
      <c r="E19">
        <v>3360.97</v>
      </c>
      <c r="F19">
        <v>47.45</v>
      </c>
      <c r="G19">
        <v>3756.27</v>
      </c>
      <c r="H19">
        <v>-1</v>
      </c>
      <c r="I19">
        <v>1404.81</v>
      </c>
    </row>
    <row r="20" spans="1:9">
      <c r="A20" t="s">
        <v>27</v>
      </c>
      <c r="B20">
        <v>52.32</v>
      </c>
      <c r="C20">
        <v>3689.63</v>
      </c>
      <c r="D20">
        <v>52.32</v>
      </c>
      <c r="E20">
        <v>3689.63</v>
      </c>
      <c r="F20">
        <v>52.18</v>
      </c>
      <c r="G20">
        <v>4122.39</v>
      </c>
      <c r="H20">
        <v>82.36</v>
      </c>
      <c r="I20">
        <v>3942.97</v>
      </c>
    </row>
    <row r="21" spans="1:9">
      <c r="A21" t="s">
        <v>28</v>
      </c>
      <c r="B21">
        <v>56.4</v>
      </c>
      <c r="C21">
        <v>3749.99</v>
      </c>
      <c r="D21">
        <v>56.27</v>
      </c>
      <c r="E21">
        <v>3749.99</v>
      </c>
      <c r="F21">
        <v>56.12</v>
      </c>
      <c r="G21">
        <v>4171.56</v>
      </c>
      <c r="H21">
        <v>77.22</v>
      </c>
      <c r="I21">
        <v>3980.9</v>
      </c>
    </row>
    <row r="23" spans="1:28">
      <c r="A23" s="2">
        <f>AVERAGE($B$2:$B$21)</f>
        <v>56.707</v>
      </c>
      <c r="B23" s="2">
        <f>AVERAGE($D$2:$D$21)</f>
        <v>56.728</v>
      </c>
      <c r="C23" s="2">
        <f>AVERAGE($F$2:$F$21)</f>
        <v>56.5565</v>
      </c>
      <c r="D23" s="2">
        <f>AVERAGEIF($H$2:$H$21,"&lt;&gt; -1")</f>
        <v>75.988</v>
      </c>
      <c r="E23" s="2">
        <f>AVERAGE($C$2:$C$21)</f>
        <v>3646.0345</v>
      </c>
      <c r="F23" s="2">
        <f>AVERAGE($E$2:$E$21)</f>
        <v>3646.0345</v>
      </c>
      <c r="G23" s="2">
        <f>AVERAGE($G$2:$G$21)</f>
        <v>4083.701</v>
      </c>
      <c r="H23" s="2">
        <f>AVERAGEIFS($I$2:$I$21,$H$2:$H$21,"&lt;&gt; -1")</f>
        <v>3920.977</v>
      </c>
      <c r="I23" s="2">
        <f>MAX($B$2:$B$21)</f>
        <v>68.28</v>
      </c>
      <c r="J23" s="2">
        <f>MAX($D$2:$D$21)</f>
        <v>68.3</v>
      </c>
      <c r="K23" s="2">
        <f>MAX($F$2:$F$21)</f>
        <v>68.13</v>
      </c>
      <c r="L23" s="2">
        <f>_xlfn.MAXIFS($H$2:$H$21,$H$2:$H$21,"&lt;&gt; -1")</f>
        <v>89.4</v>
      </c>
      <c r="M23" s="2">
        <f>MIN($B$2:$B$21)</f>
        <v>47.61</v>
      </c>
      <c r="N23" s="2">
        <f>MIN($D$2:$D$21)</f>
        <v>47.63</v>
      </c>
      <c r="O23" s="2">
        <f>MIN($F$2:$F$21)</f>
        <v>47.45</v>
      </c>
      <c r="P23" s="2">
        <f>_xlfn.MINIFS($H$2:$H$21,$H$2:$H$21,"&lt;&gt; -1")</f>
        <v>61.3</v>
      </c>
      <c r="Q23" s="2">
        <f>MAX($C$2:$C$21)</f>
        <v>3845.71</v>
      </c>
      <c r="R23" s="2">
        <f>MAX($E$2:$E$21)</f>
        <v>3845.71</v>
      </c>
      <c r="S23" s="2">
        <f>MAX($G$2:$G$21)</f>
        <v>4316.48</v>
      </c>
      <c r="T23" s="2">
        <f>_xlfn.MAXIFS($I$2:$I$21,$H$2:$H$21,"&lt;&gt; -1")</f>
        <v>4068.16</v>
      </c>
      <c r="U23" s="2">
        <f>MIN($C$2:$C$21)</f>
        <v>3360.97</v>
      </c>
      <c r="V23" s="2">
        <f>MIN($E$2:$E$21)</f>
        <v>3360.97</v>
      </c>
      <c r="W23" s="2">
        <f>MIN($G$2:$G$21)</f>
        <v>3756.27</v>
      </c>
      <c r="X23" s="2">
        <f>_xlfn.MINIFS($I$2:$I$21,$H$2:$H$21,"&lt;&gt; -1")</f>
        <v>3784.95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66.24</v>
      </c>
      <c r="C2">
        <v>3864.16</v>
      </c>
      <c r="D2">
        <v>66.25</v>
      </c>
      <c r="E2">
        <v>3864.16</v>
      </c>
      <c r="F2">
        <v>66.09</v>
      </c>
      <c r="G2">
        <v>4347.25</v>
      </c>
      <c r="H2">
        <v>-1</v>
      </c>
      <c r="I2">
        <v>1294.62</v>
      </c>
    </row>
    <row r="3" spans="1:9">
      <c r="A3" t="s">
        <v>10</v>
      </c>
      <c r="B3">
        <v>58.42</v>
      </c>
      <c r="C3">
        <v>3708.37</v>
      </c>
      <c r="D3">
        <v>58.44</v>
      </c>
      <c r="E3">
        <v>3708.37</v>
      </c>
      <c r="F3">
        <v>58.32</v>
      </c>
      <c r="G3">
        <v>4138.59</v>
      </c>
      <c r="H3">
        <v>70.72</v>
      </c>
      <c r="I3">
        <v>3956.77</v>
      </c>
    </row>
    <row r="4" spans="1:9">
      <c r="A4" t="s">
        <v>11</v>
      </c>
      <c r="B4">
        <v>71.03</v>
      </c>
      <c r="C4">
        <v>3718.79</v>
      </c>
      <c r="D4">
        <v>71.06</v>
      </c>
      <c r="E4">
        <v>3718.79</v>
      </c>
      <c r="F4">
        <v>70.95</v>
      </c>
      <c r="G4">
        <v>4143.34</v>
      </c>
      <c r="H4">
        <v>77.5</v>
      </c>
      <c r="I4">
        <v>3976.87</v>
      </c>
    </row>
    <row r="5" spans="1:9">
      <c r="A5" t="s">
        <v>12</v>
      </c>
      <c r="B5">
        <v>64.05</v>
      </c>
      <c r="C5">
        <v>3552.68</v>
      </c>
      <c r="D5">
        <v>64.05</v>
      </c>
      <c r="E5">
        <v>3552.68</v>
      </c>
      <c r="F5">
        <v>63.83</v>
      </c>
      <c r="G5">
        <v>3978.37</v>
      </c>
      <c r="H5">
        <v>-1</v>
      </c>
      <c r="I5">
        <v>2845.91</v>
      </c>
    </row>
    <row r="6" spans="1:9">
      <c r="A6" t="s">
        <v>13</v>
      </c>
      <c r="B6">
        <v>53.17</v>
      </c>
      <c r="C6">
        <v>3371.8</v>
      </c>
      <c r="D6">
        <v>53.2</v>
      </c>
      <c r="E6">
        <v>3371.8</v>
      </c>
      <c r="F6">
        <v>53.08</v>
      </c>
      <c r="G6">
        <v>3773.91</v>
      </c>
      <c r="H6">
        <v>59.39</v>
      </c>
      <c r="I6">
        <v>3577.39</v>
      </c>
    </row>
    <row r="7" spans="1:9">
      <c r="A7" t="s">
        <v>14</v>
      </c>
      <c r="B7">
        <v>55.85</v>
      </c>
      <c r="C7">
        <v>3480.35</v>
      </c>
      <c r="D7">
        <v>55.89</v>
      </c>
      <c r="E7">
        <v>3480.35</v>
      </c>
      <c r="F7">
        <v>55.74</v>
      </c>
      <c r="G7">
        <v>3934.51</v>
      </c>
      <c r="H7">
        <v>64.17</v>
      </c>
      <c r="I7">
        <v>3785.56</v>
      </c>
    </row>
    <row r="8" spans="1:9">
      <c r="A8" t="s">
        <v>15</v>
      </c>
      <c r="B8">
        <v>57.12</v>
      </c>
      <c r="C8">
        <v>3666.03</v>
      </c>
      <c r="D8">
        <v>57.13</v>
      </c>
      <c r="E8">
        <v>3666.03</v>
      </c>
      <c r="F8">
        <v>56.92</v>
      </c>
      <c r="G8">
        <v>4099.8</v>
      </c>
      <c r="H8">
        <v>-1</v>
      </c>
      <c r="I8">
        <v>2583.53</v>
      </c>
    </row>
    <row r="9" spans="1:9">
      <c r="A9" t="s">
        <v>16</v>
      </c>
      <c r="B9">
        <v>59.98</v>
      </c>
      <c r="C9">
        <v>3937.33</v>
      </c>
      <c r="D9">
        <v>60</v>
      </c>
      <c r="E9">
        <v>3937.33</v>
      </c>
      <c r="F9">
        <v>59.82</v>
      </c>
      <c r="G9">
        <v>4378.23</v>
      </c>
      <c r="H9">
        <v>-1</v>
      </c>
      <c r="I9">
        <v>1447.38</v>
      </c>
    </row>
    <row r="10" spans="1:9">
      <c r="A10" t="s">
        <v>17</v>
      </c>
      <c r="B10">
        <v>60.41</v>
      </c>
      <c r="C10">
        <v>3703.19</v>
      </c>
      <c r="D10">
        <v>60.44</v>
      </c>
      <c r="E10">
        <v>3703.19</v>
      </c>
      <c r="F10">
        <v>60.19</v>
      </c>
      <c r="G10">
        <v>4116.12</v>
      </c>
      <c r="H10">
        <v>77.34</v>
      </c>
      <c r="I10">
        <v>3955.38</v>
      </c>
    </row>
    <row r="11" spans="1:9">
      <c r="A11" t="s">
        <v>18</v>
      </c>
      <c r="B11">
        <v>61</v>
      </c>
      <c r="C11">
        <v>3402.3</v>
      </c>
      <c r="D11">
        <v>61.02</v>
      </c>
      <c r="E11">
        <v>3402.3</v>
      </c>
      <c r="F11">
        <v>60.86</v>
      </c>
      <c r="G11">
        <v>3812.77</v>
      </c>
      <c r="H11">
        <v>72.16</v>
      </c>
      <c r="I11">
        <v>3659.03</v>
      </c>
    </row>
    <row r="12" spans="1:9">
      <c r="A12" t="s">
        <v>19</v>
      </c>
      <c r="B12">
        <v>56.65</v>
      </c>
      <c r="C12">
        <v>3759.72</v>
      </c>
      <c r="D12">
        <v>56.67</v>
      </c>
      <c r="E12">
        <v>3759.72</v>
      </c>
      <c r="F12">
        <v>56.52</v>
      </c>
      <c r="G12">
        <v>4207.11</v>
      </c>
      <c r="H12">
        <v>62.16</v>
      </c>
      <c r="I12">
        <v>3956.09</v>
      </c>
    </row>
    <row r="13" spans="1:9">
      <c r="A13" t="s">
        <v>20</v>
      </c>
      <c r="B13">
        <v>55.59</v>
      </c>
      <c r="C13">
        <v>3560.6</v>
      </c>
      <c r="D13">
        <v>55.6</v>
      </c>
      <c r="E13">
        <v>3560.6</v>
      </c>
      <c r="F13">
        <v>55.48</v>
      </c>
      <c r="G13">
        <v>3996.52</v>
      </c>
      <c r="H13">
        <v>71.87</v>
      </c>
      <c r="I13">
        <v>3823.27</v>
      </c>
    </row>
    <row r="14" spans="1:9">
      <c r="A14" t="s">
        <v>21</v>
      </c>
      <c r="B14">
        <v>56.29</v>
      </c>
      <c r="C14">
        <v>3620.55</v>
      </c>
      <c r="D14">
        <v>56.35</v>
      </c>
      <c r="E14">
        <v>3620.55</v>
      </c>
      <c r="F14">
        <v>56.1</v>
      </c>
      <c r="G14">
        <v>4044.77</v>
      </c>
      <c r="H14">
        <v>-1</v>
      </c>
      <c r="I14">
        <v>2618.93</v>
      </c>
    </row>
    <row r="15" spans="1:9">
      <c r="A15" t="s">
        <v>22</v>
      </c>
      <c r="B15">
        <v>59.79</v>
      </c>
      <c r="C15">
        <v>3900.84</v>
      </c>
      <c r="D15">
        <v>59.79</v>
      </c>
      <c r="E15">
        <v>3900.84</v>
      </c>
      <c r="F15">
        <v>59.64</v>
      </c>
      <c r="G15">
        <v>4357.08</v>
      </c>
      <c r="H15">
        <v>68.85</v>
      </c>
      <c r="I15">
        <v>4135.93</v>
      </c>
    </row>
    <row r="16" spans="1:9">
      <c r="A16" t="s">
        <v>23</v>
      </c>
      <c r="B16">
        <v>74.22</v>
      </c>
      <c r="C16">
        <v>3638.43</v>
      </c>
      <c r="D16">
        <v>74.23</v>
      </c>
      <c r="E16">
        <v>3638.43</v>
      </c>
      <c r="F16">
        <v>74.07</v>
      </c>
      <c r="G16">
        <v>4069.98</v>
      </c>
      <c r="H16">
        <v>-1</v>
      </c>
      <c r="I16">
        <v>2518.85</v>
      </c>
    </row>
    <row r="17" spans="1:9">
      <c r="A17" t="s">
        <v>24</v>
      </c>
      <c r="B17">
        <v>54.98</v>
      </c>
      <c r="C17">
        <v>3577.48</v>
      </c>
      <c r="D17">
        <v>54.99</v>
      </c>
      <c r="E17">
        <v>3577.48</v>
      </c>
      <c r="F17">
        <v>54.86</v>
      </c>
      <c r="G17">
        <v>4026.51</v>
      </c>
      <c r="H17">
        <v>-1</v>
      </c>
      <c r="I17">
        <v>2918.6</v>
      </c>
    </row>
    <row r="18" spans="1:9">
      <c r="A18" t="s">
        <v>25</v>
      </c>
      <c r="B18">
        <v>56.91</v>
      </c>
      <c r="C18">
        <v>3737.48</v>
      </c>
      <c r="D18">
        <v>56.93</v>
      </c>
      <c r="E18">
        <v>3737.48</v>
      </c>
      <c r="F18">
        <v>56.78</v>
      </c>
      <c r="G18">
        <v>4178.61</v>
      </c>
      <c r="H18">
        <v>67.19</v>
      </c>
      <c r="I18">
        <v>3921.64</v>
      </c>
    </row>
    <row r="19" spans="1:9">
      <c r="A19" t="s">
        <v>26</v>
      </c>
      <c r="B19">
        <v>70.02</v>
      </c>
      <c r="C19">
        <v>3516.96</v>
      </c>
      <c r="D19">
        <v>70.03</v>
      </c>
      <c r="E19">
        <v>3516.96</v>
      </c>
      <c r="F19">
        <v>69.86</v>
      </c>
      <c r="G19">
        <v>3990.8</v>
      </c>
      <c r="H19">
        <v>-1</v>
      </c>
      <c r="I19">
        <v>1542.09</v>
      </c>
    </row>
    <row r="20" spans="1:9">
      <c r="A20" t="s">
        <v>27</v>
      </c>
      <c r="B20">
        <v>67.77</v>
      </c>
      <c r="C20">
        <v>3787.98</v>
      </c>
      <c r="D20">
        <v>67.74</v>
      </c>
      <c r="E20">
        <v>3787.98</v>
      </c>
      <c r="F20">
        <v>67.63</v>
      </c>
      <c r="G20">
        <v>4249.17</v>
      </c>
      <c r="H20">
        <v>-1</v>
      </c>
      <c r="I20">
        <v>2966.21</v>
      </c>
    </row>
    <row r="21" spans="1:9">
      <c r="A21" t="s">
        <v>28</v>
      </c>
      <c r="B21">
        <v>57.01</v>
      </c>
      <c r="C21">
        <v>3718.7</v>
      </c>
      <c r="D21">
        <v>57.02</v>
      </c>
      <c r="E21">
        <v>3718.7</v>
      </c>
      <c r="F21">
        <v>56.82</v>
      </c>
      <c r="G21">
        <v>4115.95</v>
      </c>
      <c r="H21">
        <v>-1</v>
      </c>
      <c r="I21">
        <v>1462.64</v>
      </c>
    </row>
    <row r="23" spans="1:28">
      <c r="A23" s="2">
        <f>AVERAGE($B$2:$B$21)</f>
        <v>60.825</v>
      </c>
      <c r="B23" s="2">
        <f>AVERAGE($D$2:$D$21)</f>
        <v>60.8415</v>
      </c>
      <c r="C23" s="2">
        <f>AVERAGE($F$2:$F$21)</f>
        <v>60.678</v>
      </c>
      <c r="D23" s="2">
        <f>AVERAGEIF($H$2:$H$21,"&lt;&gt; -1")</f>
        <v>69.135</v>
      </c>
      <c r="E23" s="2">
        <f>AVERAGE($C$2:$C$21)</f>
        <v>3661.187</v>
      </c>
      <c r="F23" s="2">
        <f>AVERAGE($E$2:$E$21)</f>
        <v>3661.187</v>
      </c>
      <c r="G23" s="2">
        <f>AVERAGE($G$2:$G$21)</f>
        <v>4097.9695</v>
      </c>
      <c r="H23" s="2">
        <f>AVERAGEIFS($I$2:$I$21,$H$2:$H$21,"&lt;&gt; -1")</f>
        <v>3874.793</v>
      </c>
      <c r="I23" s="2">
        <f>MAX($B$2:$B$21)</f>
        <v>74.22</v>
      </c>
      <c r="J23" s="2">
        <f>MAX($D$2:$D$21)</f>
        <v>74.23</v>
      </c>
      <c r="K23" s="2">
        <f>MAX($F$2:$F$21)</f>
        <v>74.07</v>
      </c>
      <c r="L23" s="2">
        <f>_xlfn.MAXIFS($H$2:$H$21,$H$2:$H$21,"&lt;&gt; -1")</f>
        <v>77.5</v>
      </c>
      <c r="M23" s="2">
        <f>MIN($B$2:$B$21)</f>
        <v>53.17</v>
      </c>
      <c r="N23" s="2">
        <f>MIN($D$2:$D$21)</f>
        <v>53.2</v>
      </c>
      <c r="O23" s="2">
        <f>MIN($F$2:$F$21)</f>
        <v>53.08</v>
      </c>
      <c r="P23" s="2">
        <f>_xlfn.MINIFS($H$2:$H$21,$H$2:$H$21,"&lt;&gt; -1")</f>
        <v>59.39</v>
      </c>
      <c r="Q23" s="2">
        <f>MAX($C$2:$C$21)</f>
        <v>3937.33</v>
      </c>
      <c r="R23" s="2">
        <f>MAX($E$2:$E$21)</f>
        <v>3937.33</v>
      </c>
      <c r="S23" s="2">
        <f>MAX($G$2:$G$21)</f>
        <v>4378.23</v>
      </c>
      <c r="T23" s="2">
        <f>_xlfn.MAXIFS($I$2:$I$21,$H$2:$H$21,"&lt;&gt; -1")</f>
        <v>4135.93</v>
      </c>
      <c r="U23" s="2">
        <f>MIN($C$2:$C$21)</f>
        <v>3371.8</v>
      </c>
      <c r="V23" s="2">
        <f>MIN($E$2:$E$21)</f>
        <v>3371.8</v>
      </c>
      <c r="W23" s="2">
        <f>MIN($G$2:$G$21)</f>
        <v>3773.91</v>
      </c>
      <c r="X23" s="2">
        <f>_xlfn.MINIFS($I$2:$I$21,$H$2:$H$21,"&lt;&gt; -1")</f>
        <v>3577.39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66.51</v>
      </c>
      <c r="C2">
        <v>3731.47</v>
      </c>
      <c r="D2">
        <v>66.53</v>
      </c>
      <c r="E2">
        <v>3731.47</v>
      </c>
      <c r="F2">
        <v>66.33</v>
      </c>
      <c r="G2">
        <v>4136.09</v>
      </c>
      <c r="H2">
        <v>79.23</v>
      </c>
      <c r="I2">
        <v>3899.26</v>
      </c>
    </row>
    <row r="3" spans="1:9">
      <c r="A3" t="s">
        <v>10</v>
      </c>
      <c r="B3">
        <v>76.26</v>
      </c>
      <c r="C3">
        <v>3830.37</v>
      </c>
      <c r="D3">
        <v>76.28</v>
      </c>
      <c r="E3">
        <v>3830.37</v>
      </c>
      <c r="F3">
        <v>75.93</v>
      </c>
      <c r="G3">
        <v>4278.79</v>
      </c>
      <c r="H3">
        <v>-1</v>
      </c>
      <c r="I3">
        <v>2679.17</v>
      </c>
    </row>
    <row r="4" spans="1:9">
      <c r="A4" t="s">
        <v>11</v>
      </c>
      <c r="B4">
        <v>61.06</v>
      </c>
      <c r="C4">
        <v>3611.95</v>
      </c>
      <c r="D4">
        <v>61.19</v>
      </c>
      <c r="E4">
        <v>3611.95</v>
      </c>
      <c r="F4">
        <v>60.91</v>
      </c>
      <c r="G4">
        <v>4047.32</v>
      </c>
      <c r="H4">
        <v>75.01</v>
      </c>
      <c r="I4">
        <v>3836.98</v>
      </c>
    </row>
    <row r="5" spans="1:9">
      <c r="A5" t="s">
        <v>12</v>
      </c>
      <c r="B5">
        <v>61.36</v>
      </c>
      <c r="C5">
        <v>3674.1</v>
      </c>
      <c r="D5">
        <v>61.37</v>
      </c>
      <c r="E5">
        <v>3674.1</v>
      </c>
      <c r="F5">
        <v>61.22</v>
      </c>
      <c r="G5">
        <v>4115.79</v>
      </c>
      <c r="H5">
        <v>77.9</v>
      </c>
      <c r="I5">
        <v>3886.58</v>
      </c>
    </row>
    <row r="6" spans="1:9">
      <c r="A6" t="s">
        <v>13</v>
      </c>
      <c r="B6">
        <v>60.15</v>
      </c>
      <c r="C6">
        <v>3461.97</v>
      </c>
      <c r="D6">
        <v>60.18</v>
      </c>
      <c r="E6">
        <v>3461.97</v>
      </c>
      <c r="F6">
        <v>60.05</v>
      </c>
      <c r="G6">
        <v>3870.13</v>
      </c>
      <c r="H6">
        <v>67.67</v>
      </c>
      <c r="I6">
        <v>3642.43</v>
      </c>
    </row>
    <row r="7" spans="1:9">
      <c r="A7" t="s">
        <v>14</v>
      </c>
      <c r="B7">
        <v>62.94</v>
      </c>
      <c r="C7">
        <v>3562.82</v>
      </c>
      <c r="D7">
        <v>62.98</v>
      </c>
      <c r="E7">
        <v>3562.82</v>
      </c>
      <c r="F7">
        <v>62.81</v>
      </c>
      <c r="G7">
        <v>3962.02</v>
      </c>
      <c r="H7">
        <v>75.03</v>
      </c>
      <c r="I7">
        <v>3842.84</v>
      </c>
    </row>
    <row r="8" spans="1:9">
      <c r="A8" t="s">
        <v>15</v>
      </c>
      <c r="B8">
        <v>62.3</v>
      </c>
      <c r="C8">
        <v>3478.6</v>
      </c>
      <c r="D8">
        <v>62.33</v>
      </c>
      <c r="E8">
        <v>3478.6</v>
      </c>
      <c r="F8">
        <v>62.21</v>
      </c>
      <c r="G8">
        <v>3935.87</v>
      </c>
      <c r="H8">
        <v>72.99</v>
      </c>
      <c r="I8">
        <v>3775.75</v>
      </c>
    </row>
    <row r="9" spans="1:9">
      <c r="A9" t="s">
        <v>16</v>
      </c>
      <c r="B9">
        <v>66.49</v>
      </c>
      <c r="C9">
        <v>3801.01</v>
      </c>
      <c r="D9">
        <v>66.51</v>
      </c>
      <c r="E9">
        <v>3801.01</v>
      </c>
      <c r="F9">
        <v>66.32</v>
      </c>
      <c r="G9">
        <v>4279.6</v>
      </c>
      <c r="H9">
        <v>77.11</v>
      </c>
      <c r="I9">
        <v>4016.55</v>
      </c>
    </row>
    <row r="10" spans="1:9">
      <c r="A10" t="s">
        <v>17</v>
      </c>
      <c r="B10">
        <v>80.25</v>
      </c>
      <c r="C10">
        <v>3511.87</v>
      </c>
      <c r="D10">
        <v>80.29</v>
      </c>
      <c r="E10">
        <v>3511.87</v>
      </c>
      <c r="F10">
        <v>80.19</v>
      </c>
      <c r="G10">
        <v>3955.85</v>
      </c>
      <c r="H10">
        <v>92.93</v>
      </c>
      <c r="I10">
        <v>3820.64</v>
      </c>
    </row>
    <row r="11" spans="1:9">
      <c r="A11" t="s">
        <v>18</v>
      </c>
      <c r="B11">
        <v>60.06</v>
      </c>
      <c r="C11">
        <v>3494.73</v>
      </c>
      <c r="D11">
        <v>60.06</v>
      </c>
      <c r="E11">
        <v>3494.73</v>
      </c>
      <c r="F11">
        <v>59.91</v>
      </c>
      <c r="G11">
        <v>3925.77</v>
      </c>
      <c r="H11">
        <v>-1</v>
      </c>
      <c r="I11">
        <v>890.24</v>
      </c>
    </row>
    <row r="12" spans="1:9">
      <c r="A12" t="s">
        <v>19</v>
      </c>
      <c r="B12">
        <v>63.72</v>
      </c>
      <c r="C12">
        <v>3753.06</v>
      </c>
      <c r="D12">
        <v>63.72</v>
      </c>
      <c r="E12">
        <v>3753.06</v>
      </c>
      <c r="F12">
        <v>63.62</v>
      </c>
      <c r="G12">
        <v>4183.48</v>
      </c>
      <c r="H12">
        <v>69</v>
      </c>
      <c r="I12">
        <v>4025.87</v>
      </c>
    </row>
    <row r="13" spans="1:9">
      <c r="A13" t="s">
        <v>20</v>
      </c>
      <c r="B13">
        <v>61.3</v>
      </c>
      <c r="C13">
        <v>3631.16</v>
      </c>
      <c r="D13">
        <v>61.34</v>
      </c>
      <c r="E13">
        <v>3631.16</v>
      </c>
      <c r="F13">
        <v>61.14</v>
      </c>
      <c r="G13">
        <v>4060.22</v>
      </c>
      <c r="H13">
        <v>-1</v>
      </c>
      <c r="I13">
        <v>2720.26</v>
      </c>
    </row>
    <row r="14" spans="1:9">
      <c r="A14" t="s">
        <v>21</v>
      </c>
      <c r="B14">
        <v>63.55</v>
      </c>
      <c r="C14">
        <v>3578.34</v>
      </c>
      <c r="D14">
        <v>63.57</v>
      </c>
      <c r="E14">
        <v>3578.34</v>
      </c>
      <c r="F14">
        <v>63.44</v>
      </c>
      <c r="G14">
        <v>4038.46</v>
      </c>
      <c r="H14">
        <v>72.75</v>
      </c>
      <c r="I14">
        <v>3786.84</v>
      </c>
    </row>
    <row r="15" spans="1:9">
      <c r="A15" t="s">
        <v>22</v>
      </c>
      <c r="B15">
        <v>67.6</v>
      </c>
      <c r="C15">
        <v>3903.5</v>
      </c>
      <c r="D15">
        <v>67.62</v>
      </c>
      <c r="E15">
        <v>3903.5</v>
      </c>
      <c r="F15">
        <v>67.4</v>
      </c>
      <c r="G15">
        <v>4287.95</v>
      </c>
      <c r="H15">
        <v>-1</v>
      </c>
      <c r="I15">
        <v>1422.71</v>
      </c>
    </row>
    <row r="16" spans="1:9">
      <c r="A16" t="s">
        <v>23</v>
      </c>
      <c r="B16">
        <v>65.27</v>
      </c>
      <c r="C16">
        <v>3831.01</v>
      </c>
      <c r="D16">
        <v>65.3</v>
      </c>
      <c r="E16">
        <v>3831.01</v>
      </c>
      <c r="F16">
        <v>65.15</v>
      </c>
      <c r="G16">
        <v>4313.73</v>
      </c>
      <c r="H16">
        <v>-1</v>
      </c>
      <c r="I16">
        <v>3213.97</v>
      </c>
    </row>
    <row r="17" spans="1:9">
      <c r="A17" t="s">
        <v>24</v>
      </c>
      <c r="B17">
        <v>63.79</v>
      </c>
      <c r="C17">
        <v>3657.04</v>
      </c>
      <c r="D17">
        <v>63.81</v>
      </c>
      <c r="E17">
        <v>3657.04</v>
      </c>
      <c r="F17">
        <v>63.66</v>
      </c>
      <c r="G17">
        <v>4105.3</v>
      </c>
      <c r="H17">
        <v>70.1</v>
      </c>
      <c r="I17">
        <v>3886.55</v>
      </c>
    </row>
    <row r="18" spans="1:9">
      <c r="A18" t="s">
        <v>25</v>
      </c>
      <c r="B18">
        <v>63.83</v>
      </c>
      <c r="C18">
        <v>3636.05</v>
      </c>
      <c r="D18">
        <v>63.85</v>
      </c>
      <c r="E18">
        <v>3636.05</v>
      </c>
      <c r="F18">
        <v>63.72</v>
      </c>
      <c r="G18">
        <v>4105.36</v>
      </c>
      <c r="H18">
        <v>71.19</v>
      </c>
      <c r="I18">
        <v>3910.93</v>
      </c>
    </row>
    <row r="19" spans="1:9">
      <c r="A19" t="s">
        <v>26</v>
      </c>
      <c r="B19">
        <v>63.44</v>
      </c>
      <c r="C19">
        <v>3503.22</v>
      </c>
      <c r="D19">
        <v>63.47</v>
      </c>
      <c r="E19">
        <v>3503.22</v>
      </c>
      <c r="F19">
        <v>63.3</v>
      </c>
      <c r="G19">
        <v>3941.8</v>
      </c>
      <c r="H19">
        <v>-1</v>
      </c>
      <c r="I19">
        <v>2698.68</v>
      </c>
    </row>
    <row r="20" spans="1:9">
      <c r="A20" t="s">
        <v>27</v>
      </c>
      <c r="B20">
        <v>68.1</v>
      </c>
      <c r="C20">
        <v>3980.63</v>
      </c>
      <c r="D20">
        <v>68.16</v>
      </c>
      <c r="E20">
        <v>3980.63</v>
      </c>
      <c r="F20">
        <v>67.96</v>
      </c>
      <c r="G20">
        <v>4433.27</v>
      </c>
      <c r="H20">
        <v>81.46</v>
      </c>
      <c r="I20">
        <v>4271.63</v>
      </c>
    </row>
    <row r="21" spans="1:9">
      <c r="A21" t="s">
        <v>28</v>
      </c>
      <c r="B21">
        <v>76.31</v>
      </c>
      <c r="C21">
        <v>3690.31</v>
      </c>
      <c r="D21">
        <v>76.31</v>
      </c>
      <c r="E21">
        <v>3690.31</v>
      </c>
      <c r="F21">
        <v>76.13</v>
      </c>
      <c r="G21">
        <v>4120.26</v>
      </c>
      <c r="H21">
        <v>-1</v>
      </c>
      <c r="I21">
        <v>3946.81</v>
      </c>
    </row>
    <row r="23" spans="1:28">
      <c r="A23" s="2">
        <f>AVERAGE($B$2:$B$21)</f>
        <v>65.7145</v>
      </c>
      <c r="B23" s="2">
        <f>AVERAGE($D$2:$D$21)</f>
        <v>65.7435</v>
      </c>
      <c r="C23" s="2">
        <f>AVERAGE($F$2:$F$21)</f>
        <v>65.57</v>
      </c>
      <c r="D23" s="2">
        <f>AVERAGEIF($H$2:$H$21,"&lt;&gt; -1")</f>
        <v>75.5669230769231</v>
      </c>
      <c r="E23" s="2">
        <f>AVERAGE($C$2:$C$21)</f>
        <v>3666.1605</v>
      </c>
      <c r="F23" s="2">
        <f>AVERAGE($E$2:$E$21)</f>
        <v>3666.1605</v>
      </c>
      <c r="G23" s="2">
        <f>AVERAGE($G$2:$G$21)</f>
        <v>4104.853</v>
      </c>
      <c r="H23" s="2">
        <f>AVERAGEIFS($I$2:$I$21,$H$2:$H$21,"&lt;&gt; -1")</f>
        <v>3892.52692307692</v>
      </c>
      <c r="I23" s="2">
        <f>MAX($B$2:$B$21)</f>
        <v>80.25</v>
      </c>
      <c r="J23" s="2">
        <f>MAX($D$2:$D$21)</f>
        <v>80.29</v>
      </c>
      <c r="K23" s="2">
        <f>MAX($F$2:$F$21)</f>
        <v>80.19</v>
      </c>
      <c r="L23" s="2">
        <f>_xlfn.MAXIFS($H$2:$H$21,$H$2:$H$21,"&lt;&gt; -1")</f>
        <v>92.93</v>
      </c>
      <c r="M23" s="2">
        <f>MIN($B$2:$B$21)</f>
        <v>60.06</v>
      </c>
      <c r="N23" s="2">
        <f>MIN($D$2:$D$21)</f>
        <v>60.06</v>
      </c>
      <c r="O23" s="2">
        <f>MIN($F$2:$F$21)</f>
        <v>59.91</v>
      </c>
      <c r="P23" s="2">
        <f>_xlfn.MINIFS($H$2:$H$21,$H$2:$H$21,"&lt;&gt; -1")</f>
        <v>67.67</v>
      </c>
      <c r="Q23" s="2">
        <f>MAX($C$2:$C$21)</f>
        <v>3980.63</v>
      </c>
      <c r="R23" s="2">
        <f>MAX($E$2:$E$21)</f>
        <v>3980.63</v>
      </c>
      <c r="S23" s="2">
        <f>MAX($G$2:$G$21)</f>
        <v>4433.27</v>
      </c>
      <c r="T23" s="2">
        <f>_xlfn.MAXIFS($I$2:$I$21,$H$2:$H$21,"&lt;&gt; -1")</f>
        <v>4271.63</v>
      </c>
      <c r="U23" s="2">
        <f>MIN($C$2:$C$21)</f>
        <v>3461.97</v>
      </c>
      <c r="V23" s="2">
        <f>MIN($E$2:$E$21)</f>
        <v>3461.97</v>
      </c>
      <c r="W23" s="2">
        <f>MIN($G$2:$G$21)</f>
        <v>3870.13</v>
      </c>
      <c r="X23" s="2">
        <f>_xlfn.MINIFS($I$2:$I$21,$H$2:$H$21,"&lt;&gt; -1")</f>
        <v>3642.43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0.65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83.55</v>
      </c>
      <c r="C2">
        <v>3770.15</v>
      </c>
      <c r="D2">
        <v>83.55</v>
      </c>
      <c r="E2">
        <v>3770.15</v>
      </c>
      <c r="F2">
        <v>83.33</v>
      </c>
      <c r="G2">
        <v>4206</v>
      </c>
      <c r="H2">
        <v>-1</v>
      </c>
      <c r="I2">
        <v>2526.4</v>
      </c>
    </row>
    <row r="3" spans="1:9">
      <c r="A3" t="s">
        <v>10</v>
      </c>
      <c r="B3">
        <v>78.15</v>
      </c>
      <c r="C3">
        <v>3739.15</v>
      </c>
      <c r="D3">
        <v>78.18</v>
      </c>
      <c r="E3">
        <v>3739.15</v>
      </c>
      <c r="F3">
        <v>77.9</v>
      </c>
      <c r="G3">
        <v>4157.34</v>
      </c>
      <c r="H3">
        <v>-1</v>
      </c>
      <c r="I3">
        <v>2719.02</v>
      </c>
    </row>
    <row r="4" spans="1:9">
      <c r="A4" t="s">
        <v>11</v>
      </c>
      <c r="B4">
        <v>73.49</v>
      </c>
      <c r="C4">
        <v>3692.23</v>
      </c>
      <c r="D4">
        <v>73.51</v>
      </c>
      <c r="E4">
        <v>3692.23</v>
      </c>
      <c r="F4">
        <v>73.27</v>
      </c>
      <c r="G4">
        <v>4152.06</v>
      </c>
      <c r="H4">
        <v>-1</v>
      </c>
      <c r="I4">
        <v>3906.16</v>
      </c>
    </row>
    <row r="5" spans="1:9">
      <c r="A5" t="s">
        <v>12</v>
      </c>
      <c r="B5">
        <v>86.47</v>
      </c>
      <c r="C5">
        <v>3676.69</v>
      </c>
      <c r="D5">
        <v>86.48</v>
      </c>
      <c r="E5">
        <v>3676.69</v>
      </c>
      <c r="F5">
        <v>86.27</v>
      </c>
      <c r="G5">
        <v>4106.62</v>
      </c>
      <c r="H5">
        <v>-1</v>
      </c>
      <c r="I5">
        <v>1205.05</v>
      </c>
    </row>
    <row r="6" spans="1:9">
      <c r="A6" t="s">
        <v>13</v>
      </c>
      <c r="B6">
        <v>72.36</v>
      </c>
      <c r="C6">
        <v>3317.6</v>
      </c>
      <c r="D6">
        <v>72.38</v>
      </c>
      <c r="E6">
        <v>3317.6</v>
      </c>
      <c r="F6">
        <v>72.14</v>
      </c>
      <c r="G6">
        <v>3715.71</v>
      </c>
      <c r="H6">
        <v>-1</v>
      </c>
      <c r="I6">
        <v>2063.58</v>
      </c>
    </row>
    <row r="7" spans="1:9">
      <c r="A7" t="s">
        <v>14</v>
      </c>
      <c r="B7">
        <v>70.32</v>
      </c>
      <c r="C7">
        <v>3459.81</v>
      </c>
      <c r="D7">
        <v>70.31</v>
      </c>
      <c r="E7">
        <v>3459.81</v>
      </c>
      <c r="F7">
        <v>70.05</v>
      </c>
      <c r="G7">
        <v>3896.61</v>
      </c>
      <c r="H7">
        <v>-1</v>
      </c>
      <c r="I7">
        <v>1104.84</v>
      </c>
    </row>
    <row r="8" spans="1:9">
      <c r="A8" t="s">
        <v>15</v>
      </c>
      <c r="B8">
        <v>80.17</v>
      </c>
      <c r="C8">
        <v>3604.17</v>
      </c>
      <c r="D8">
        <v>80.16</v>
      </c>
      <c r="E8">
        <v>3604.17</v>
      </c>
      <c r="F8">
        <v>79.86</v>
      </c>
      <c r="G8">
        <v>4038.16</v>
      </c>
      <c r="H8">
        <v>-1</v>
      </c>
      <c r="I8">
        <v>1182.84</v>
      </c>
    </row>
    <row r="9" spans="1:9">
      <c r="A9" t="s">
        <v>16</v>
      </c>
      <c r="B9">
        <v>88.12</v>
      </c>
      <c r="C9">
        <v>3862.03</v>
      </c>
      <c r="D9">
        <v>88.08</v>
      </c>
      <c r="E9">
        <v>3862.03</v>
      </c>
      <c r="F9">
        <v>87.8</v>
      </c>
      <c r="G9">
        <v>4365.31</v>
      </c>
      <c r="H9">
        <v>-1</v>
      </c>
      <c r="I9">
        <v>1088.91</v>
      </c>
    </row>
    <row r="10" spans="1:9">
      <c r="A10" t="s">
        <v>17</v>
      </c>
      <c r="B10">
        <v>75.39</v>
      </c>
      <c r="C10">
        <v>3566.29</v>
      </c>
      <c r="D10">
        <v>75.4</v>
      </c>
      <c r="E10">
        <v>3566.29</v>
      </c>
      <c r="F10">
        <v>75.19</v>
      </c>
      <c r="G10">
        <v>4049.72</v>
      </c>
      <c r="H10">
        <v>-1</v>
      </c>
      <c r="I10">
        <v>1373.12</v>
      </c>
    </row>
    <row r="11" spans="1:9">
      <c r="A11" t="s">
        <v>18</v>
      </c>
      <c r="B11">
        <v>78.6</v>
      </c>
      <c r="C11">
        <v>3669.32</v>
      </c>
      <c r="D11">
        <v>78.61</v>
      </c>
      <c r="E11">
        <v>3669.32</v>
      </c>
      <c r="F11">
        <v>78.42</v>
      </c>
      <c r="G11">
        <v>4122.89</v>
      </c>
      <c r="H11">
        <v>-1</v>
      </c>
      <c r="I11">
        <v>3925.56</v>
      </c>
    </row>
    <row r="12" spans="1:9">
      <c r="A12" t="s">
        <v>19</v>
      </c>
      <c r="B12">
        <v>81.09</v>
      </c>
      <c r="C12">
        <v>3766.34</v>
      </c>
      <c r="D12">
        <v>81.13</v>
      </c>
      <c r="E12">
        <v>3766.34</v>
      </c>
      <c r="F12">
        <v>80.77</v>
      </c>
      <c r="G12">
        <v>4191.27</v>
      </c>
      <c r="H12">
        <v>-1</v>
      </c>
      <c r="I12">
        <v>4022.44</v>
      </c>
    </row>
    <row r="13" spans="1:9">
      <c r="A13" t="s">
        <v>20</v>
      </c>
      <c r="B13">
        <v>76.45</v>
      </c>
      <c r="C13">
        <v>3640.14</v>
      </c>
      <c r="D13">
        <v>76.42</v>
      </c>
      <c r="E13">
        <v>3640.14</v>
      </c>
      <c r="F13">
        <v>76.16</v>
      </c>
      <c r="G13">
        <v>4085</v>
      </c>
      <c r="H13">
        <v>-1</v>
      </c>
      <c r="I13">
        <v>1050.44</v>
      </c>
    </row>
    <row r="14" spans="1:9">
      <c r="A14" t="s">
        <v>21</v>
      </c>
      <c r="B14">
        <v>82.63</v>
      </c>
      <c r="C14">
        <v>3703.05</v>
      </c>
      <c r="D14">
        <v>82.63</v>
      </c>
      <c r="E14">
        <v>3703.05</v>
      </c>
      <c r="F14">
        <v>82.43</v>
      </c>
      <c r="G14">
        <v>4152.79</v>
      </c>
      <c r="H14">
        <v>-1</v>
      </c>
      <c r="I14">
        <v>1298.65</v>
      </c>
    </row>
    <row r="15" spans="1:9">
      <c r="A15" t="s">
        <v>22</v>
      </c>
      <c r="B15">
        <v>77.43</v>
      </c>
      <c r="C15">
        <v>3987.99</v>
      </c>
      <c r="D15">
        <v>77.36</v>
      </c>
      <c r="E15">
        <v>3987.99</v>
      </c>
      <c r="F15">
        <v>77.16</v>
      </c>
      <c r="G15">
        <v>4446.68</v>
      </c>
      <c r="H15">
        <v>-1</v>
      </c>
      <c r="I15">
        <v>4224.6</v>
      </c>
    </row>
    <row r="16" spans="1:9">
      <c r="A16" t="s">
        <v>23</v>
      </c>
      <c r="B16">
        <v>73.51</v>
      </c>
      <c r="C16">
        <v>3750.2</v>
      </c>
      <c r="D16">
        <v>73.53</v>
      </c>
      <c r="E16">
        <v>3750.2</v>
      </c>
      <c r="F16">
        <v>73.3</v>
      </c>
      <c r="G16">
        <v>4203.14</v>
      </c>
      <c r="H16">
        <v>-1</v>
      </c>
      <c r="I16">
        <v>2475.99</v>
      </c>
    </row>
    <row r="17" spans="1:9">
      <c r="A17" t="s">
        <v>24</v>
      </c>
      <c r="B17">
        <v>76.27</v>
      </c>
      <c r="C17">
        <v>3678.11</v>
      </c>
      <c r="D17">
        <v>76.26</v>
      </c>
      <c r="E17">
        <v>3678.11</v>
      </c>
      <c r="F17">
        <v>76.08</v>
      </c>
      <c r="G17">
        <v>4126.29</v>
      </c>
      <c r="H17">
        <v>-1</v>
      </c>
      <c r="I17">
        <v>1489.25</v>
      </c>
    </row>
    <row r="18" spans="1:9">
      <c r="A18" t="s">
        <v>25</v>
      </c>
      <c r="B18">
        <v>73.18</v>
      </c>
      <c r="C18">
        <v>3802.23</v>
      </c>
      <c r="D18">
        <v>73.14</v>
      </c>
      <c r="E18">
        <v>3802.23</v>
      </c>
      <c r="F18">
        <v>72.79</v>
      </c>
      <c r="G18">
        <v>4239.04</v>
      </c>
      <c r="H18">
        <v>-1</v>
      </c>
      <c r="I18">
        <v>918.75</v>
      </c>
    </row>
    <row r="19" spans="1:9">
      <c r="A19" t="s">
        <v>26</v>
      </c>
      <c r="B19">
        <v>80.32</v>
      </c>
      <c r="C19">
        <v>3534.1</v>
      </c>
      <c r="D19">
        <v>80.32</v>
      </c>
      <c r="E19">
        <v>3534.1</v>
      </c>
      <c r="F19">
        <v>80.06</v>
      </c>
      <c r="G19">
        <v>3996.66</v>
      </c>
      <c r="H19">
        <v>-1</v>
      </c>
      <c r="I19">
        <v>2553.56</v>
      </c>
    </row>
    <row r="20" spans="1:9">
      <c r="A20" t="s">
        <v>27</v>
      </c>
      <c r="B20">
        <v>80.35</v>
      </c>
      <c r="C20">
        <v>3951.59</v>
      </c>
      <c r="D20">
        <v>80.36</v>
      </c>
      <c r="E20">
        <v>3951.59</v>
      </c>
      <c r="F20">
        <v>80.17</v>
      </c>
      <c r="G20">
        <v>4407.02</v>
      </c>
      <c r="H20">
        <v>-1</v>
      </c>
      <c r="I20">
        <v>1161.22</v>
      </c>
    </row>
    <row r="21" spans="1:9">
      <c r="A21" t="s">
        <v>28</v>
      </c>
      <c r="B21">
        <v>70.42</v>
      </c>
      <c r="C21">
        <v>3805.76</v>
      </c>
      <c r="D21">
        <v>70.41</v>
      </c>
      <c r="E21">
        <v>3805.76</v>
      </c>
      <c r="F21">
        <v>70.19</v>
      </c>
      <c r="G21">
        <v>4266.27</v>
      </c>
      <c r="H21">
        <v>100.55</v>
      </c>
      <c r="I21">
        <v>4068.05</v>
      </c>
    </row>
    <row r="23" spans="1:28">
      <c r="A23" s="2">
        <f>AVERAGE($B$2:$B$21)</f>
        <v>77.9135</v>
      </c>
      <c r="B23" s="2">
        <f>AVERAGE($D$2:$D$21)</f>
        <v>77.911</v>
      </c>
      <c r="C23" s="2">
        <f>AVERAGE($F$2:$F$21)</f>
        <v>77.667</v>
      </c>
      <c r="D23" s="2">
        <f>AVERAGEIF($H$2:$H$21,"&lt;&gt; -1")</f>
        <v>100.55</v>
      </c>
      <c r="E23" s="2">
        <f>AVERAGE($C$2:$C$21)</f>
        <v>3698.8475</v>
      </c>
      <c r="F23" s="2">
        <f>AVERAGE($E$2:$E$21)</f>
        <v>3698.8475</v>
      </c>
      <c r="G23" s="2">
        <f>AVERAGE($G$2:$G$21)</f>
        <v>4146.229</v>
      </c>
      <c r="H23" s="2">
        <f>AVERAGEIFS($I$2:$I$21,$H$2:$H$21,"&lt;&gt; -1")</f>
        <v>4068.05</v>
      </c>
      <c r="I23" s="2">
        <f>MAX($B$2:$B$21)</f>
        <v>88.12</v>
      </c>
      <c r="J23" s="2">
        <f>MAX($D$2:$D$21)</f>
        <v>88.08</v>
      </c>
      <c r="K23" s="2">
        <f>MAX($F$2:$F$21)</f>
        <v>87.8</v>
      </c>
      <c r="L23" s="2">
        <f>_xlfn.MAXIFS($H$2:$H$21,$H$2:$H$21,"&lt;&gt; -1")</f>
        <v>100.55</v>
      </c>
      <c r="M23" s="2">
        <f>MIN($B$2:$B$21)</f>
        <v>70.32</v>
      </c>
      <c r="N23" s="2">
        <f>MIN($D$2:$D$21)</f>
        <v>70.31</v>
      </c>
      <c r="O23" s="2">
        <f>MIN($F$2:$F$21)</f>
        <v>70.05</v>
      </c>
      <c r="P23" s="2">
        <f>_xlfn.MINIFS($H$2:$H$21,$H$2:$H$21,"&lt;&gt; -1")</f>
        <v>100.55</v>
      </c>
      <c r="Q23" s="2">
        <f>MAX($C$2:$C$21)</f>
        <v>3987.99</v>
      </c>
      <c r="R23" s="2">
        <f>MAX($E$2:$E$21)</f>
        <v>3987.99</v>
      </c>
      <c r="S23" s="2">
        <f>MAX($G$2:$G$21)</f>
        <v>4446.68</v>
      </c>
      <c r="T23" s="2">
        <f>_xlfn.MAXIFS($I$2:$I$21,$H$2:$H$21,"&lt;&gt; -1")</f>
        <v>4068.05</v>
      </c>
      <c r="U23" s="2">
        <f>MIN($C$2:$C$21)</f>
        <v>3317.6</v>
      </c>
      <c r="V23" s="2">
        <f>MIN($E$2:$E$21)</f>
        <v>3317.6</v>
      </c>
      <c r="W23" s="2">
        <f>MIN($G$2:$G$21)</f>
        <v>3715.71</v>
      </c>
      <c r="X23" s="2">
        <f>_xlfn.MINIFS($I$2:$I$21,$H$2:$H$21,"&lt;&gt; -1")</f>
        <v>4068.05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opLeftCell="P1" workbookViewId="0">
      <selection activeCell="Z8" sqref="Z8"/>
    </sheetView>
  </sheetViews>
  <sheetFormatPr defaultColWidth="8.72727272727273" defaultRowHeight="14" outlineLevelRow="6"/>
  <cols>
    <col min="1" max="2" width="9.54545454545454" customWidth="1"/>
    <col min="3" max="3" width="8.54545454545454" customWidth="1"/>
    <col min="4" max="4" width="12.8181818181818" customWidth="1"/>
    <col min="5" max="7" width="10.5454545454545" customWidth="1"/>
    <col min="8" max="8" width="12.8181818181818" customWidth="1"/>
    <col min="9" max="10" width="15.1818181818182" customWidth="1"/>
    <col min="11" max="11" width="12.9090909090909" customWidth="1"/>
    <col min="12" max="12" width="14" customWidth="1"/>
    <col min="13" max="14" width="16.2727272727273" customWidth="1"/>
    <col min="15" max="15" width="14" customWidth="1"/>
    <col min="16" max="18" width="15.1818181818182" customWidth="1"/>
    <col min="19" max="19" width="12.9090909090909" customWidth="1"/>
    <col min="20" max="20" width="14" customWidth="1"/>
    <col min="21" max="22" width="16.2727272727273" customWidth="1"/>
    <col min="23" max="23" width="14" customWidth="1"/>
    <col min="24" max="24" width="15.1818181818182" customWidth="1"/>
    <col min="25" max="26" width="10.6363636363636" customWidth="1"/>
    <col min="27" max="27" width="8.54545454545454" customWidth="1"/>
    <col min="28" max="28" width="9.54545454545454" customWidth="1"/>
  </cols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43.3855</v>
      </c>
      <c r="B2">
        <v>43.4495</v>
      </c>
      <c r="C2">
        <v>43.3335</v>
      </c>
      <c r="D2">
        <v>50.1245</v>
      </c>
      <c r="E2">
        <v>3569.6855</v>
      </c>
      <c r="F2">
        <v>3569.6855</v>
      </c>
      <c r="G2">
        <v>4004.4545</v>
      </c>
      <c r="H2">
        <v>3877.272</v>
      </c>
      <c r="I2">
        <v>51.37</v>
      </c>
      <c r="J2">
        <v>51.48</v>
      </c>
      <c r="K2">
        <v>51.31</v>
      </c>
      <c r="L2">
        <v>59.02</v>
      </c>
      <c r="M2">
        <v>36.6</v>
      </c>
      <c r="N2">
        <v>36.65</v>
      </c>
      <c r="O2">
        <v>36.53</v>
      </c>
      <c r="P2">
        <v>42.21</v>
      </c>
      <c r="Q2">
        <v>3786.79</v>
      </c>
      <c r="R2">
        <v>3786.79</v>
      </c>
      <c r="S2">
        <v>4296.72</v>
      </c>
      <c r="T2">
        <v>4175.77</v>
      </c>
      <c r="U2">
        <v>3393.99</v>
      </c>
      <c r="V2">
        <v>3393.99</v>
      </c>
      <c r="W2">
        <v>3792.93</v>
      </c>
      <c r="X2">
        <v>3698.75</v>
      </c>
      <c r="Y2">
        <v>1</v>
      </c>
      <c r="Z2">
        <v>1</v>
      </c>
      <c r="AA2">
        <v>1</v>
      </c>
      <c r="AB2">
        <v>1</v>
      </c>
    </row>
    <row r="3" spans="1:28">
      <c r="A3">
        <v>50.242</v>
      </c>
      <c r="B3">
        <v>50.2765</v>
      </c>
      <c r="C3">
        <v>50.093</v>
      </c>
      <c r="D3">
        <v>62.8905555555556</v>
      </c>
      <c r="E3">
        <v>3645.7485</v>
      </c>
      <c r="F3">
        <v>3645.7485</v>
      </c>
      <c r="G3">
        <v>4089.339</v>
      </c>
      <c r="H3">
        <v>3895.69722222222</v>
      </c>
      <c r="I3">
        <v>61.27</v>
      </c>
      <c r="J3">
        <v>61.31</v>
      </c>
      <c r="K3">
        <v>61.17</v>
      </c>
      <c r="L3">
        <v>79.21</v>
      </c>
      <c r="M3">
        <v>41.99</v>
      </c>
      <c r="N3">
        <v>42.01</v>
      </c>
      <c r="O3">
        <v>41.94</v>
      </c>
      <c r="P3">
        <v>52.1</v>
      </c>
      <c r="Q3">
        <v>3852.05</v>
      </c>
      <c r="R3">
        <v>3852.05</v>
      </c>
      <c r="S3">
        <v>4299.21</v>
      </c>
      <c r="T3">
        <v>4118.19</v>
      </c>
      <c r="U3">
        <v>3418.53</v>
      </c>
      <c r="V3">
        <v>3418.53</v>
      </c>
      <c r="W3">
        <v>3838.04</v>
      </c>
      <c r="X3">
        <v>3674.23</v>
      </c>
      <c r="Y3">
        <v>1</v>
      </c>
      <c r="Z3">
        <v>1</v>
      </c>
      <c r="AA3">
        <v>1</v>
      </c>
      <c r="AB3">
        <v>0.9</v>
      </c>
    </row>
    <row r="4" spans="1:28">
      <c r="A4">
        <v>56.707</v>
      </c>
      <c r="B4">
        <v>56.728</v>
      </c>
      <c r="C4">
        <v>56.5565</v>
      </c>
      <c r="D4">
        <v>75.988</v>
      </c>
      <c r="E4">
        <v>3646.0345</v>
      </c>
      <c r="F4">
        <v>3646.0345</v>
      </c>
      <c r="G4">
        <v>4083.701</v>
      </c>
      <c r="H4">
        <v>3920.977</v>
      </c>
      <c r="I4">
        <v>68.28</v>
      </c>
      <c r="J4">
        <v>68.3</v>
      </c>
      <c r="K4">
        <v>68.13</v>
      </c>
      <c r="L4">
        <v>89.4</v>
      </c>
      <c r="M4">
        <v>47.61</v>
      </c>
      <c r="N4">
        <v>47.63</v>
      </c>
      <c r="O4">
        <v>47.45</v>
      </c>
      <c r="P4">
        <v>61.3</v>
      </c>
      <c r="Q4">
        <v>3845.71</v>
      </c>
      <c r="R4">
        <v>3845.71</v>
      </c>
      <c r="S4">
        <v>4316.48</v>
      </c>
      <c r="T4">
        <v>4068.16</v>
      </c>
      <c r="U4">
        <v>3360.97</v>
      </c>
      <c r="V4">
        <v>3360.97</v>
      </c>
      <c r="W4">
        <v>3756.27</v>
      </c>
      <c r="X4">
        <v>3784.95</v>
      </c>
      <c r="Y4">
        <v>1</v>
      </c>
      <c r="Z4">
        <v>1</v>
      </c>
      <c r="AA4">
        <v>1</v>
      </c>
      <c r="AB4">
        <v>0.5</v>
      </c>
    </row>
    <row r="5" spans="1:28">
      <c r="A5">
        <v>60.825</v>
      </c>
      <c r="B5">
        <v>60.8415</v>
      </c>
      <c r="C5">
        <v>60.678</v>
      </c>
      <c r="D5">
        <v>69.135</v>
      </c>
      <c r="E5">
        <v>3661.187</v>
      </c>
      <c r="F5">
        <v>3661.187</v>
      </c>
      <c r="G5">
        <v>4097.9695</v>
      </c>
      <c r="H5">
        <v>3874.793</v>
      </c>
      <c r="I5">
        <v>74.22</v>
      </c>
      <c r="J5">
        <v>74.23</v>
      </c>
      <c r="K5">
        <v>74.07</v>
      </c>
      <c r="L5">
        <v>77.5</v>
      </c>
      <c r="M5">
        <v>53.17</v>
      </c>
      <c r="N5">
        <v>53.2</v>
      </c>
      <c r="O5">
        <v>53.08</v>
      </c>
      <c r="P5">
        <v>59.39</v>
      </c>
      <c r="Q5">
        <v>3937.33</v>
      </c>
      <c r="R5">
        <v>3937.33</v>
      </c>
      <c r="S5">
        <v>4378.23</v>
      </c>
      <c r="T5">
        <v>4135.93</v>
      </c>
      <c r="U5">
        <v>3371.8</v>
      </c>
      <c r="V5">
        <v>3371.8</v>
      </c>
      <c r="W5">
        <v>3773.91</v>
      </c>
      <c r="X5">
        <v>3577.39</v>
      </c>
      <c r="Y5">
        <v>1</v>
      </c>
      <c r="Z5">
        <v>1</v>
      </c>
      <c r="AA5">
        <v>1</v>
      </c>
      <c r="AB5">
        <v>0.5</v>
      </c>
    </row>
    <row r="6" spans="1:28">
      <c r="A6">
        <v>65.7145</v>
      </c>
      <c r="B6">
        <v>65.7435</v>
      </c>
      <c r="C6">
        <v>65.57</v>
      </c>
      <c r="D6">
        <v>75.5669230769231</v>
      </c>
      <c r="E6">
        <v>3666.1605</v>
      </c>
      <c r="F6">
        <v>3666.1605</v>
      </c>
      <c r="G6">
        <v>4104.853</v>
      </c>
      <c r="H6">
        <v>3892.52692307692</v>
      </c>
      <c r="I6">
        <v>80.25</v>
      </c>
      <c r="J6">
        <v>80.29</v>
      </c>
      <c r="K6">
        <v>80.19</v>
      </c>
      <c r="L6">
        <v>92.93</v>
      </c>
      <c r="M6">
        <v>60.06</v>
      </c>
      <c r="N6">
        <v>60.06</v>
      </c>
      <c r="O6">
        <v>59.91</v>
      </c>
      <c r="P6">
        <v>67.67</v>
      </c>
      <c r="Q6">
        <v>3980.63</v>
      </c>
      <c r="R6">
        <v>3980.63</v>
      </c>
      <c r="S6">
        <v>4433.27</v>
      </c>
      <c r="T6">
        <v>4271.63</v>
      </c>
      <c r="U6">
        <v>3461.97</v>
      </c>
      <c r="V6">
        <v>3461.97</v>
      </c>
      <c r="W6">
        <v>3870.13</v>
      </c>
      <c r="X6">
        <v>3642.43</v>
      </c>
      <c r="Y6">
        <v>1</v>
      </c>
      <c r="Z6">
        <v>1</v>
      </c>
      <c r="AA6">
        <v>1</v>
      </c>
      <c r="AB6">
        <v>0.65</v>
      </c>
    </row>
    <row r="7" spans="1:28">
      <c r="A7">
        <v>77.9135</v>
      </c>
      <c r="B7">
        <v>77.911</v>
      </c>
      <c r="C7">
        <v>77.667</v>
      </c>
      <c r="D7">
        <v>100.55</v>
      </c>
      <c r="E7">
        <v>3698.8475</v>
      </c>
      <c r="F7">
        <v>3698.8475</v>
      </c>
      <c r="G7">
        <v>4146.229</v>
      </c>
      <c r="H7">
        <v>4068.05</v>
      </c>
      <c r="I7">
        <v>88.12</v>
      </c>
      <c r="J7">
        <v>88.08</v>
      </c>
      <c r="K7">
        <v>87.8</v>
      </c>
      <c r="L7">
        <v>100.55</v>
      </c>
      <c r="M7">
        <v>70.32</v>
      </c>
      <c r="N7">
        <v>70.31</v>
      </c>
      <c r="O7">
        <v>70.05</v>
      </c>
      <c r="P7">
        <v>100.55</v>
      </c>
      <c r="Q7">
        <v>3987.99</v>
      </c>
      <c r="R7">
        <v>3987.99</v>
      </c>
      <c r="S7">
        <v>4446.68</v>
      </c>
      <c r="T7">
        <v>4068.05</v>
      </c>
      <c r="U7">
        <v>3317.6</v>
      </c>
      <c r="V7">
        <v>3317.6</v>
      </c>
      <c r="W7">
        <v>3715.71</v>
      </c>
      <c r="X7">
        <v>4068.05</v>
      </c>
      <c r="Y7">
        <v>1</v>
      </c>
      <c r="Z7">
        <v>1</v>
      </c>
      <c r="AA7">
        <v>1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2024-07-25T19:35:00Z</dcterms:created>
  <dcterms:modified xsi:type="dcterms:W3CDTF">2024-07-26T10:23:33Z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98FAF4071D204286A59390E7675281D3_12</vt:lpwstr>
  </property>
  <property fmtid="{D5CDD505-2E9C-101B-9397-08002B2CF9AE}" pid="3" name="KSOProductBuildVer">
    <vt:lpwstr>2052-12.1.0.17147</vt:lpwstr>
  </property>
</Properties>
</file>