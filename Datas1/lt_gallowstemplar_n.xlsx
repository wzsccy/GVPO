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0" windowHeight="937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<sst xmlns="http://schemas.openxmlformats.org/spreadsheetml/2006/main" count="370" uniqueCount="57">
  <si>
    <t>scen</t>
  </si>
  <si>
    <t>L1_T</t>
  </si>
  <si>
    <t>L1_C</t>
  </si>
  <si>
    <t>L2_T</t>
  </si>
  <si>
    <t>L2_C</t>
  </si>
  <si>
    <t>P_T</t>
  </si>
  <si>
    <t>P_C</t>
  </si>
  <si>
    <t>E_T</t>
  </si>
  <si>
    <t>E_C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</si>
  <si>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</si>
  <si>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</si>
  <si>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</si>
  <si>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</si>
  <si>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</si>
  <si>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</si>
  <si>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</si>
  <si>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</si>
  <si>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</si>
  <si>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</si>
  <si>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</si>
  <si>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</si>
  <si>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</si>
  <si>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</si>
  <si>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</si>
  <si>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</si>
  <si>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</si>
  <si>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</si>
  <si>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</si>
  <si>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</si>
  <si>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lacam1_r</t>
  </si>
  <si>
    <t>lacam0_r</t>
  </si>
  <si>
    <t>pibt_r</t>
  </si>
  <si>
    <t>eecbs_r</t>
  </si>
  <si>
    <t>lacam1_s</t>
  </si>
  <si>
    <t>lacam0_s</t>
  </si>
  <si>
    <t>pibt_s</t>
  </si>
  <si>
    <t>eecbs_s</t>
  </si>
  <si>
    <t>lacam1_r_uper</t>
  </si>
  <si>
    <t>lacam0_r_uper</t>
  </si>
  <si>
    <t>PIBT_r_uper</t>
  </si>
  <si>
    <t>eecbs_r_uper</t>
  </si>
  <si>
    <t>lacam1_r_lower</t>
  </si>
  <si>
    <t>lacam0_r_lower</t>
  </si>
  <si>
    <t>PIBT_r_lower</t>
  </si>
  <si>
    <t>eecbs_r_lower</t>
  </si>
  <si>
    <t>lacam1_s_uper</t>
  </si>
  <si>
    <t>lacam0_s_uper</t>
  </si>
  <si>
    <t>PIBT_s_uper</t>
  </si>
  <si>
    <t>eecbs_s_uper</t>
  </si>
  <si>
    <t>lacam1_s_lower</t>
  </si>
  <si>
    <t>lacam0_s_lower</t>
  </si>
  <si>
    <t>PIBT_s_lower</t>
  </si>
  <si>
    <t>eecbs_s_lower</t>
  </si>
  <si>
    <t>lacam1_sr</t>
  </si>
  <si>
    <t>lacam0_sr</t>
  </si>
  <si>
    <t>pibt_sr</t>
  </si>
  <si>
    <t>eecbs_sr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</si>
</sst>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76" fontId="0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zoomScale="70" zoomScaleNormal="70" workbookViewId="0">
      <selection activeCell="A24" sqref="A24:AB25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391.94</v>
      </c>
      <c r="C2">
        <v>18251.8</v>
      </c>
      <c r="D2">
        <v>391.77</v>
      </c>
      <c r="E2">
        <v>18251.8</v>
      </c>
      <c r="F2">
        <v>391.08</v>
      </c>
      <c r="G2">
        <v>21481.07</v>
      </c>
      <c r="H2">
        <v>-1</v>
      </c>
      <c r="I2">
        <v>9732.61</v>
      </c>
    </row>
    <row r="3" spans="1:9">
      <c r="A3" t="s">
        <v>10</v>
      </c>
      <c r="B3">
        <v>455.43</v>
      </c>
      <c r="C3">
        <v>19479.17</v>
      </c>
      <c r="D3">
        <v>455.2</v>
      </c>
      <c r="E3">
        <v>19479.17</v>
      </c>
      <c r="F3">
        <v>454.8</v>
      </c>
      <c r="G3">
        <v>22944.62</v>
      </c>
      <c r="H3">
        <v>-1</v>
      </c>
      <c r="I3">
        <v>10844.17</v>
      </c>
    </row>
    <row r="4" spans="1:9">
      <c r="A4" t="s">
        <v>11</v>
      </c>
      <c r="B4">
        <v>391.88</v>
      </c>
      <c r="C4">
        <v>18389.55</v>
      </c>
      <c r="D4">
        <v>391.96</v>
      </c>
      <c r="E4">
        <v>18389.55</v>
      </c>
      <c r="F4">
        <v>391.1</v>
      </c>
      <c r="G4">
        <v>21670.52</v>
      </c>
      <c r="H4">
        <v>-1</v>
      </c>
      <c r="I4">
        <v>4982.73</v>
      </c>
    </row>
    <row r="5" spans="1:9">
      <c r="A5" t="s">
        <v>12</v>
      </c>
      <c r="B5">
        <v>395.2</v>
      </c>
      <c r="C5">
        <v>19889.35</v>
      </c>
      <c r="D5">
        <v>394.59</v>
      </c>
      <c r="E5">
        <v>19889.35</v>
      </c>
      <c r="F5">
        <v>393.29</v>
      </c>
      <c r="G5">
        <v>23487.88</v>
      </c>
      <c r="H5">
        <v>-1</v>
      </c>
      <c r="I5">
        <v>1754.4</v>
      </c>
    </row>
    <row r="6" spans="1:9">
      <c r="A6" t="s">
        <v>13</v>
      </c>
      <c r="B6">
        <v>427.66</v>
      </c>
      <c r="C6">
        <v>18360.69</v>
      </c>
      <c r="D6">
        <v>427.38</v>
      </c>
      <c r="E6">
        <v>18360.69</v>
      </c>
      <c r="F6">
        <v>426.43</v>
      </c>
      <c r="G6">
        <v>21442.68</v>
      </c>
      <c r="H6">
        <v>-1</v>
      </c>
      <c r="I6">
        <v>0</v>
      </c>
    </row>
    <row r="7" spans="1:9">
      <c r="A7" t="s">
        <v>14</v>
      </c>
      <c r="B7">
        <v>476.41</v>
      </c>
      <c r="C7">
        <v>21164.11</v>
      </c>
      <c r="D7">
        <v>476.33</v>
      </c>
      <c r="E7">
        <v>21164.11</v>
      </c>
      <c r="F7">
        <v>474.43</v>
      </c>
      <c r="G7">
        <v>25058.32</v>
      </c>
      <c r="H7">
        <v>-1</v>
      </c>
      <c r="I7">
        <v>1303.6</v>
      </c>
    </row>
    <row r="8" spans="1:9">
      <c r="A8" t="s">
        <v>15</v>
      </c>
      <c r="B8">
        <v>426.02</v>
      </c>
      <c r="C8">
        <v>19640.25</v>
      </c>
      <c r="D8">
        <v>425.96</v>
      </c>
      <c r="E8">
        <v>19640.25</v>
      </c>
      <c r="F8">
        <v>425.01</v>
      </c>
      <c r="G8">
        <v>23096.6</v>
      </c>
      <c r="H8">
        <v>-1</v>
      </c>
      <c r="I8">
        <v>6900.49</v>
      </c>
    </row>
    <row r="9" spans="1:9">
      <c r="A9" t="s">
        <v>16</v>
      </c>
      <c r="B9">
        <v>433.84</v>
      </c>
      <c r="C9">
        <v>18677.47</v>
      </c>
      <c r="D9">
        <v>433.98</v>
      </c>
      <c r="E9">
        <v>18677.47</v>
      </c>
      <c r="F9">
        <v>433.17</v>
      </c>
      <c r="G9">
        <v>22001.44</v>
      </c>
      <c r="H9">
        <v>-1</v>
      </c>
      <c r="I9">
        <v>1214.39</v>
      </c>
    </row>
    <row r="10" spans="1:9">
      <c r="A10" t="s">
        <v>17</v>
      </c>
      <c r="B10">
        <v>472.17</v>
      </c>
      <c r="C10">
        <v>20993.38</v>
      </c>
      <c r="D10">
        <v>472.88</v>
      </c>
      <c r="E10">
        <v>20993.38</v>
      </c>
      <c r="F10">
        <v>471.8</v>
      </c>
      <c r="G10">
        <v>24704.64</v>
      </c>
      <c r="H10">
        <v>-1</v>
      </c>
      <c r="I10">
        <v>15683.81</v>
      </c>
    </row>
    <row r="11" spans="1:9">
      <c r="A11" t="s">
        <v>18</v>
      </c>
      <c r="B11">
        <v>435.02</v>
      </c>
      <c r="C11">
        <v>18622.95</v>
      </c>
      <c r="D11">
        <v>435.87</v>
      </c>
      <c r="E11">
        <v>18622.95</v>
      </c>
      <c r="F11">
        <v>435.19</v>
      </c>
      <c r="G11">
        <v>21905.98</v>
      </c>
      <c r="H11">
        <v>-1</v>
      </c>
      <c r="I11">
        <v>12486.66</v>
      </c>
    </row>
    <row r="12" spans="1:9">
      <c r="A12" t="s">
        <v>19</v>
      </c>
      <c r="B12">
        <v>422.72</v>
      </c>
      <c r="C12">
        <v>18622.68</v>
      </c>
      <c r="D12">
        <v>423.63</v>
      </c>
      <c r="E12">
        <v>18622.68</v>
      </c>
      <c r="F12">
        <v>422.4</v>
      </c>
      <c r="G12">
        <v>21949.16</v>
      </c>
      <c r="H12">
        <v>-1</v>
      </c>
      <c r="I12">
        <v>8399.33</v>
      </c>
    </row>
    <row r="13" spans="1:9">
      <c r="A13" t="s">
        <v>20</v>
      </c>
      <c r="B13">
        <v>461.55</v>
      </c>
      <c r="C13">
        <v>20550.3</v>
      </c>
      <c r="D13">
        <v>460.96</v>
      </c>
      <c r="E13">
        <v>20550.3</v>
      </c>
      <c r="F13">
        <v>460.45</v>
      </c>
      <c r="G13">
        <v>24254.93</v>
      </c>
      <c r="H13">
        <v>-1</v>
      </c>
      <c r="I13">
        <v>3847.84</v>
      </c>
    </row>
    <row r="14" spans="1:9">
      <c r="A14" t="s">
        <v>21</v>
      </c>
      <c r="B14">
        <v>456.25</v>
      </c>
      <c r="C14">
        <v>18987.13</v>
      </c>
      <c r="D14">
        <v>455.09</v>
      </c>
      <c r="E14">
        <v>18987.13</v>
      </c>
      <c r="F14">
        <v>454.95</v>
      </c>
      <c r="G14">
        <v>22318.52</v>
      </c>
      <c r="H14">
        <v>-1</v>
      </c>
      <c r="I14">
        <v>5844</v>
      </c>
    </row>
    <row r="15" spans="1:9">
      <c r="A15" t="s">
        <v>22</v>
      </c>
      <c r="B15">
        <v>432.25</v>
      </c>
      <c r="C15">
        <v>19082.59</v>
      </c>
      <c r="D15">
        <v>431.78</v>
      </c>
      <c r="E15">
        <v>19082.59</v>
      </c>
      <c r="F15">
        <v>430.64</v>
      </c>
      <c r="G15">
        <v>22532.42</v>
      </c>
      <c r="H15">
        <v>-1</v>
      </c>
      <c r="I15">
        <v>10842.32</v>
      </c>
    </row>
    <row r="16" spans="1:9">
      <c r="A16" t="s">
        <v>23</v>
      </c>
      <c r="B16">
        <v>440.69</v>
      </c>
      <c r="C16">
        <v>18474.82</v>
      </c>
      <c r="D16">
        <v>440.17</v>
      </c>
      <c r="E16">
        <v>18474.82</v>
      </c>
      <c r="F16">
        <v>439.03</v>
      </c>
      <c r="G16">
        <v>21720.78</v>
      </c>
      <c r="H16">
        <v>-1</v>
      </c>
      <c r="I16">
        <v>9674.61</v>
      </c>
    </row>
    <row r="17" spans="1:9">
      <c r="A17" t="s">
        <v>24</v>
      </c>
      <c r="B17">
        <v>436.02</v>
      </c>
      <c r="C17">
        <v>18357.61</v>
      </c>
      <c r="D17">
        <v>435.64</v>
      </c>
      <c r="E17">
        <v>18357.61</v>
      </c>
      <c r="F17">
        <v>435.05</v>
      </c>
      <c r="G17">
        <v>21578.37</v>
      </c>
      <c r="H17">
        <v>-1</v>
      </c>
      <c r="I17">
        <v>0</v>
      </c>
    </row>
    <row r="18" spans="1:9">
      <c r="A18" t="s">
        <v>25</v>
      </c>
      <c r="B18">
        <v>444.36</v>
      </c>
      <c r="C18">
        <v>19617.68</v>
      </c>
      <c r="D18">
        <v>444.53</v>
      </c>
      <c r="E18">
        <v>19617.68</v>
      </c>
      <c r="F18">
        <v>443.56</v>
      </c>
      <c r="G18">
        <v>23153.99</v>
      </c>
      <c r="H18">
        <v>-1</v>
      </c>
      <c r="I18">
        <v>9237.51</v>
      </c>
    </row>
    <row r="19" spans="1:9">
      <c r="A19" t="s">
        <v>26</v>
      </c>
      <c r="B19">
        <v>434.31</v>
      </c>
      <c r="C19">
        <v>18687.74</v>
      </c>
      <c r="D19">
        <v>434.89</v>
      </c>
      <c r="E19">
        <v>18687.74</v>
      </c>
      <c r="F19">
        <v>434.76</v>
      </c>
      <c r="G19">
        <v>21957.45</v>
      </c>
      <c r="H19">
        <v>-1</v>
      </c>
      <c r="I19">
        <v>3052.91</v>
      </c>
    </row>
    <row r="20" spans="1:9">
      <c r="A20" t="s">
        <v>27</v>
      </c>
      <c r="B20">
        <v>434.67</v>
      </c>
      <c r="C20">
        <v>19033.39</v>
      </c>
      <c r="D20">
        <v>434.7</v>
      </c>
      <c r="E20">
        <v>19033.39</v>
      </c>
      <c r="F20">
        <v>433.83</v>
      </c>
      <c r="G20">
        <v>22523.22</v>
      </c>
      <c r="H20">
        <v>-1</v>
      </c>
      <c r="I20">
        <v>1426.91</v>
      </c>
    </row>
    <row r="21" spans="1:9">
      <c r="A21" t="s">
        <v>28</v>
      </c>
      <c r="B21">
        <v>386.65</v>
      </c>
      <c r="C21">
        <v>18436.61</v>
      </c>
      <c r="D21">
        <v>386.73</v>
      </c>
      <c r="E21">
        <v>18436.61</v>
      </c>
      <c r="F21">
        <v>385.97</v>
      </c>
      <c r="G21">
        <v>21638.64</v>
      </c>
      <c r="H21">
        <v>-1</v>
      </c>
      <c r="I21">
        <v>10998.07</v>
      </c>
    </row>
    <row r="24" spans="1:28">
      <c r="A24" s="2" t="s">
        <v>29</v>
      </c>
      <c r="B24" s="2" t="s">
        <v>30</v>
      </c>
      <c r="C24" s="2" t="s">
        <v>31</v>
      </c>
      <c r="D24" s="3" t="s">
        <v>32</v>
      </c>
      <c r="E24" s="2" t="s">
        <v>33</v>
      </c>
      <c r="F24" s="2" t="s">
        <v>34</v>
      </c>
      <c r="G24" s="2" t="s">
        <v>35</v>
      </c>
      <c r="H24" s="3" t="s">
        <v>36</v>
      </c>
      <c r="I24" s="2" t="s">
        <v>37</v>
      </c>
      <c r="J24" s="2" t="s">
        <v>38</v>
      </c>
      <c r="K24" s="2" t="s">
        <v>39</v>
      </c>
      <c r="L24" s="3" t="s">
        <v>40</v>
      </c>
      <c r="M24" s="2" t="s">
        <v>41</v>
      </c>
      <c r="N24" s="2" t="s">
        <v>42</v>
      </c>
      <c r="O24" s="2" t="s">
        <v>43</v>
      </c>
      <c r="P24" s="3" t="s">
        <v>44</v>
      </c>
      <c r="Q24" s="2" t="s">
        <v>45</v>
      </c>
      <c r="R24" s="2" t="s">
        <v>46</v>
      </c>
      <c r="S24" s="2" t="s">
        <v>47</v>
      </c>
      <c r="T24" s="3" t="s">
        <v>48</v>
      </c>
      <c r="U24" s="2" t="s">
        <v>49</v>
      </c>
      <c r="V24" s="2" t="s">
        <v>50</v>
      </c>
      <c r="W24" s="2" t="s">
        <v>51</v>
      </c>
      <c r="X24" s="3" t="s">
        <v>52</v>
      </c>
      <c r="Y24" s="3" t="s">
        <v>53</v>
      </c>
      <c r="Z24" s="3" t="s">
        <v>54</v>
      </c>
      <c r="AA24" s="3" t="s">
        <v>55</v>
      </c>
      <c r="AB24" s="3" t="s">
        <v>56</v>
      </c>
    </row>
    <row r="25" spans="1:28">
      <c r="A25" s="4">
        <f>IFERROR(AVERAGEIF($B$2:$B$21,"&lt;700"),0)</f>
        <v>432.752</v>
      </c>
      <c r="B25" s="4">
        <f>IFERROR(AVERAGEIF($D$2:$D$21,"&lt;700"),0)</f>
        <v>432.702</v>
      </c>
      <c r="C25" s="4">
        <f>IFERROR(AVERAGEIF($F$2:$F$21,"&lt;700"),0)</f>
        <v>431.847</v>
      </c>
      <c r="D25" s="4">
        <f>IFERROR(AVERAGEIF($H$2:$H$21,"&lt;&gt;-1"),0)</f>
        <v>0</v>
      </c>
      <c r="E25" s="4">
        <f>IFERROR(AVERAGEIFS($C$2:$C$21,$B$2:$B$21,"&lt;700"),0)</f>
        <v>19165.9635</v>
      </c>
      <c r="F25" s="4">
        <f>IFERROR(AVERAGEIFS($E$2:$E$21,$D$2:$D$21,"&lt;700"),0)</f>
        <v>19165.9635</v>
      </c>
      <c r="G25" s="4">
        <f>IFERROR(AVERAGEIFS($G$2:$G$21,$F$2:$F$21,"&lt;700"),0)</f>
        <v>22571.0615</v>
      </c>
      <c r="H25" s="4">
        <f>IFERROR(AVERAGEIFS($I$2:$I$21,$H$2:$H$21,"&lt;&gt; -1"),0)</f>
        <v>0</v>
      </c>
      <c r="I25" s="4">
        <f>_xlfn.MAXIFS($B$2:$B$21,$B$2:$B$21,"&lt; 700")</f>
        <v>476.41</v>
      </c>
      <c r="J25" s="4">
        <f>_xlfn.MAXIFS($D$2:$D$21,$D$2:$D$21,"&lt; 700")</f>
        <v>476.33</v>
      </c>
      <c r="K25" s="4">
        <f>_xlfn.MAXIFS($F$2:$F$21,$F$2:$F$21,"&lt; 700")</f>
        <v>474.43</v>
      </c>
      <c r="L25" s="4">
        <f>_xlfn.MAXIFS($H$2:$H$21,$H$2:$H$21,"&lt;&gt; -1")</f>
        <v>0</v>
      </c>
      <c r="M25" s="4">
        <f>_xlfn.MINIFS($B$2:$B$21,$B$2:$B$21,"&lt;700")</f>
        <v>386.65</v>
      </c>
      <c r="N25" s="4">
        <f>_xlfn.MINIFS($D$2:$D$21,$D$2:$D$21,"&lt;700")</f>
        <v>386.73</v>
      </c>
      <c r="O25" s="4">
        <f>_xlfn.MINIFS($F$2:$F$21,$F$2:$F$21,"&lt; 700")</f>
        <v>385.97</v>
      </c>
      <c r="P25" s="4">
        <f>_xlfn.MINIFS($H$2:$H$21,$H$2:$H$21,"&lt;&gt; -1")</f>
        <v>0</v>
      </c>
      <c r="Q25" s="4">
        <f>_xlfn.MAXIFS($C$2:$C$21,$B$2:$B$21,"&lt; 700")</f>
        <v>21164.11</v>
      </c>
      <c r="R25" s="4">
        <f>_xlfn.MAXIFS($E$2:$E$21,D3:D22,"&lt; 700")</f>
        <v>21164.11</v>
      </c>
      <c r="S25" s="4">
        <f>_xlfn.MAXIFS($G$2:$G$21,$F$2:$F$21,"&lt; 700")</f>
        <v>25058.32</v>
      </c>
      <c r="T25" s="4">
        <f>_xlfn.MAXIFS($I$2:$I$21,$H$2:$H$21,"&lt;&gt; -1")</f>
        <v>0</v>
      </c>
      <c r="U25" s="4">
        <f>_xlfn.MINIFS($C$2:$C$21,$B$2:$B$21,"&lt;700")</f>
        <v>18251.8</v>
      </c>
      <c r="V25" s="4">
        <f>_xlfn.MINIFS($E$2:$E$21,$D$2:$D$21,"&lt; 700")</f>
        <v>18251.8</v>
      </c>
      <c r="W25" s="4">
        <f>_xlfn.MINIFS($G$2:$G$21,$F$2:$F$21,"&lt; 700")</f>
        <v>21442.68</v>
      </c>
      <c r="X25" s="4">
        <f>_xlfn.MINIFS($I$2:$I$21,$H$2:$H$21,"&lt;&gt; -1")</f>
        <v>0</v>
      </c>
      <c r="Y25" s="4">
        <f>(COUNTIFS($B$2:$B$21,"&gt;0.0",$B$2:$B$21,"&lt; 700.0"))/20</f>
        <v>1</v>
      </c>
      <c r="Z25" s="4">
        <f>(COUNTIFS($D$2:$D$21,"&gt;0.0",$D$2:$D$21,"&lt;700.0"))/20</f>
        <v>1</v>
      </c>
      <c r="AA25" s="4">
        <f>(COUNTIFS($F$2:$F$21,"&gt;0.0",$F$2:$F$21,"&lt;700.0"))/20</f>
        <v>1</v>
      </c>
      <c r="AB25" s="4">
        <f>(COUNTIFS($H$2:$H$21,"&gt;0.0",$H$2:$H$21,"&lt;700.0"))/20</f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zoomScale="85" zoomScaleNormal="85" topLeftCell="A4"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358.34</v>
      </c>
      <c r="C2">
        <v>19314.17</v>
      </c>
      <c r="D2">
        <v>358.3</v>
      </c>
      <c r="E2">
        <v>19314.17</v>
      </c>
      <c r="F2">
        <v>357.55</v>
      </c>
      <c r="G2">
        <v>22720.25</v>
      </c>
      <c r="H2">
        <v>-1</v>
      </c>
      <c r="I2">
        <v>0</v>
      </c>
    </row>
    <row r="3" spans="1:9">
      <c r="A3" t="s">
        <v>10</v>
      </c>
      <c r="B3">
        <v>385.67</v>
      </c>
      <c r="C3">
        <v>19931.17</v>
      </c>
      <c r="D3">
        <v>385.56</v>
      </c>
      <c r="E3">
        <v>19931.17</v>
      </c>
      <c r="F3">
        <v>384.53</v>
      </c>
      <c r="G3">
        <v>23555.13</v>
      </c>
      <c r="H3">
        <v>-1</v>
      </c>
      <c r="I3">
        <v>0</v>
      </c>
    </row>
    <row r="4" spans="1:9">
      <c r="A4" t="s">
        <v>11</v>
      </c>
      <c r="B4">
        <v>355.69</v>
      </c>
      <c r="C4">
        <v>19034.77</v>
      </c>
      <c r="D4">
        <v>355.65</v>
      </c>
      <c r="E4">
        <v>19034.77</v>
      </c>
      <c r="F4">
        <v>354.59</v>
      </c>
      <c r="G4">
        <v>22448.45</v>
      </c>
      <c r="H4">
        <v>-1</v>
      </c>
      <c r="I4">
        <v>4397.95</v>
      </c>
    </row>
    <row r="5" spans="1:9">
      <c r="A5" t="s">
        <v>12</v>
      </c>
      <c r="B5">
        <v>373.16</v>
      </c>
      <c r="C5">
        <v>20087.62</v>
      </c>
      <c r="D5">
        <v>373.16</v>
      </c>
      <c r="E5">
        <v>20087.62</v>
      </c>
      <c r="F5">
        <v>371.86</v>
      </c>
      <c r="G5">
        <v>23613.52</v>
      </c>
      <c r="H5">
        <v>-1</v>
      </c>
      <c r="I5">
        <v>0</v>
      </c>
    </row>
    <row r="6" spans="1:9">
      <c r="A6" t="s">
        <v>13</v>
      </c>
      <c r="B6">
        <v>348.5</v>
      </c>
      <c r="C6">
        <v>18583.86</v>
      </c>
      <c r="D6">
        <v>348.52</v>
      </c>
      <c r="E6">
        <v>18583.86</v>
      </c>
      <c r="F6">
        <v>347.76</v>
      </c>
      <c r="G6">
        <v>21878.47</v>
      </c>
      <c r="H6">
        <v>-1</v>
      </c>
      <c r="I6">
        <v>0</v>
      </c>
    </row>
    <row r="7" spans="1:9">
      <c r="A7" t="s">
        <v>14</v>
      </c>
      <c r="B7">
        <v>411.43</v>
      </c>
      <c r="C7">
        <v>21714.51</v>
      </c>
      <c r="D7">
        <v>411.35</v>
      </c>
      <c r="E7">
        <v>21714.51</v>
      </c>
      <c r="F7">
        <v>410.64</v>
      </c>
      <c r="G7">
        <v>25479.33</v>
      </c>
      <c r="H7">
        <v>-1</v>
      </c>
      <c r="I7">
        <v>0</v>
      </c>
    </row>
    <row r="8" spans="1:9">
      <c r="A8" t="s">
        <v>15</v>
      </c>
      <c r="B8">
        <v>368.09</v>
      </c>
      <c r="C8">
        <v>18712.23</v>
      </c>
      <c r="D8">
        <v>368.11</v>
      </c>
      <c r="E8">
        <v>18712.23</v>
      </c>
      <c r="F8">
        <v>367.08</v>
      </c>
      <c r="G8">
        <v>21991.26</v>
      </c>
      <c r="H8">
        <v>-1</v>
      </c>
      <c r="I8">
        <v>0</v>
      </c>
    </row>
    <row r="9" spans="1:9">
      <c r="A9" t="s">
        <v>16</v>
      </c>
      <c r="B9">
        <v>396.7</v>
      </c>
      <c r="C9">
        <v>18245.4</v>
      </c>
      <c r="D9">
        <v>396.74</v>
      </c>
      <c r="E9">
        <v>18245.4</v>
      </c>
      <c r="F9">
        <v>395.24</v>
      </c>
      <c r="G9">
        <v>21451.35</v>
      </c>
      <c r="H9">
        <v>-1</v>
      </c>
      <c r="I9">
        <v>0</v>
      </c>
    </row>
    <row r="10" spans="1:9">
      <c r="A10" t="s">
        <v>17</v>
      </c>
      <c r="B10">
        <v>558.17</v>
      </c>
      <c r="C10">
        <v>20380.91</v>
      </c>
      <c r="D10">
        <v>558.34</v>
      </c>
      <c r="E10">
        <v>20380.91</v>
      </c>
      <c r="F10">
        <v>556.44</v>
      </c>
      <c r="G10">
        <v>24133.46</v>
      </c>
      <c r="H10">
        <v>-1</v>
      </c>
      <c r="I10">
        <v>6805.47</v>
      </c>
    </row>
    <row r="11" spans="1:9">
      <c r="A11" t="s">
        <v>18</v>
      </c>
      <c r="B11">
        <v>524.26</v>
      </c>
      <c r="C11">
        <v>18274.64</v>
      </c>
      <c r="D11">
        <v>525.08</v>
      </c>
      <c r="E11">
        <v>18274.64</v>
      </c>
      <c r="F11">
        <v>523.01</v>
      </c>
      <c r="G11">
        <v>21474.33</v>
      </c>
      <c r="H11">
        <v>-1</v>
      </c>
      <c r="I11">
        <v>0</v>
      </c>
    </row>
    <row r="12" spans="1:9">
      <c r="A12" t="s">
        <v>19</v>
      </c>
      <c r="B12">
        <v>519.85</v>
      </c>
      <c r="C12">
        <v>19842.89</v>
      </c>
      <c r="D12">
        <v>520.42</v>
      </c>
      <c r="E12">
        <v>19842.89</v>
      </c>
      <c r="F12">
        <v>519.43</v>
      </c>
      <c r="G12">
        <v>23377.77</v>
      </c>
      <c r="H12">
        <v>-1</v>
      </c>
      <c r="I12">
        <v>0</v>
      </c>
    </row>
    <row r="13" spans="1:9">
      <c r="A13" t="s">
        <v>20</v>
      </c>
      <c r="B13">
        <v>459.36</v>
      </c>
      <c r="C13">
        <v>21003.39</v>
      </c>
      <c r="D13">
        <v>459.37</v>
      </c>
      <c r="E13">
        <v>21003.39</v>
      </c>
      <c r="F13">
        <v>457.71</v>
      </c>
      <c r="G13">
        <v>24904.79</v>
      </c>
      <c r="H13">
        <v>-1</v>
      </c>
      <c r="I13">
        <v>19434.79</v>
      </c>
    </row>
    <row r="14" spans="1:9">
      <c r="A14" t="s">
        <v>21</v>
      </c>
      <c r="B14">
        <v>426.32</v>
      </c>
      <c r="C14">
        <v>19863.08</v>
      </c>
      <c r="D14">
        <v>426.31</v>
      </c>
      <c r="E14">
        <v>19863.08</v>
      </c>
      <c r="F14">
        <v>425.39</v>
      </c>
      <c r="G14">
        <v>23437.61</v>
      </c>
      <c r="H14">
        <v>-1</v>
      </c>
      <c r="I14">
        <v>0</v>
      </c>
    </row>
    <row r="15" spans="1:9">
      <c r="A15" t="s">
        <v>22</v>
      </c>
      <c r="B15">
        <v>402.76</v>
      </c>
      <c r="C15">
        <v>19807.62</v>
      </c>
      <c r="D15">
        <v>402.73</v>
      </c>
      <c r="E15">
        <v>19807.62</v>
      </c>
      <c r="F15">
        <v>401.49</v>
      </c>
      <c r="G15">
        <v>23414.87</v>
      </c>
      <c r="H15">
        <v>-1</v>
      </c>
      <c r="I15">
        <v>14730.85</v>
      </c>
    </row>
    <row r="16" spans="1:9">
      <c r="A16" t="s">
        <v>23</v>
      </c>
      <c r="B16">
        <v>385.42</v>
      </c>
      <c r="C16">
        <v>19265.19</v>
      </c>
      <c r="D16">
        <v>385.85</v>
      </c>
      <c r="E16">
        <v>19265.19</v>
      </c>
      <c r="F16">
        <v>385.24</v>
      </c>
      <c r="G16">
        <v>22685.87</v>
      </c>
      <c r="H16">
        <v>-1</v>
      </c>
      <c r="I16">
        <v>0</v>
      </c>
    </row>
    <row r="17" spans="1:9">
      <c r="A17" t="s">
        <v>24</v>
      </c>
      <c r="B17">
        <v>419.85</v>
      </c>
      <c r="C17">
        <v>20539.11</v>
      </c>
      <c r="D17">
        <v>419.97</v>
      </c>
      <c r="E17">
        <v>20539.11</v>
      </c>
      <c r="F17">
        <v>418.82</v>
      </c>
      <c r="G17">
        <v>24043.95</v>
      </c>
      <c r="H17">
        <v>-1</v>
      </c>
      <c r="I17">
        <v>0</v>
      </c>
    </row>
    <row r="18" spans="1:9">
      <c r="A18" t="s">
        <v>25</v>
      </c>
      <c r="B18">
        <v>484.08</v>
      </c>
      <c r="C18">
        <v>20022.31</v>
      </c>
      <c r="D18">
        <v>484.13</v>
      </c>
      <c r="E18">
        <v>20022.31</v>
      </c>
      <c r="F18">
        <v>482.86</v>
      </c>
      <c r="G18">
        <v>23657.04</v>
      </c>
      <c r="H18">
        <v>-1</v>
      </c>
      <c r="I18">
        <v>0</v>
      </c>
    </row>
    <row r="19" spans="1:9">
      <c r="A19" t="s">
        <v>26</v>
      </c>
      <c r="B19">
        <v>458.24</v>
      </c>
      <c r="C19">
        <v>18623.29</v>
      </c>
      <c r="D19">
        <v>459.08</v>
      </c>
      <c r="E19">
        <v>18623.29</v>
      </c>
      <c r="F19">
        <v>456.89</v>
      </c>
      <c r="G19">
        <v>21903.29</v>
      </c>
      <c r="H19">
        <v>-1</v>
      </c>
      <c r="I19">
        <v>12378.05</v>
      </c>
    </row>
    <row r="20" spans="1:9">
      <c r="A20" t="s">
        <v>27</v>
      </c>
      <c r="B20">
        <v>405.45</v>
      </c>
      <c r="C20">
        <v>19090.64</v>
      </c>
      <c r="D20">
        <v>405.35</v>
      </c>
      <c r="E20">
        <v>19090.64</v>
      </c>
      <c r="F20">
        <v>404.29</v>
      </c>
      <c r="G20">
        <v>22537.52</v>
      </c>
      <c r="H20">
        <v>-1</v>
      </c>
      <c r="I20">
        <v>0</v>
      </c>
    </row>
    <row r="21" spans="1:9">
      <c r="A21" t="s">
        <v>28</v>
      </c>
      <c r="B21">
        <v>377.47</v>
      </c>
      <c r="C21">
        <v>19813.47</v>
      </c>
      <c r="D21">
        <v>377.53</v>
      </c>
      <c r="E21">
        <v>19813.47</v>
      </c>
      <c r="F21">
        <v>375.98</v>
      </c>
      <c r="G21">
        <v>23338.95</v>
      </c>
      <c r="H21">
        <v>-1</v>
      </c>
      <c r="I21">
        <v>0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IFERROR(AVERAGEIF($B$2:$B$21,"&lt;700"),0)</f>
        <v>420.9405</v>
      </c>
      <c r="B24" s="4">
        <f>IFERROR(AVERAGEIF($D$2:$D$21,"&lt;700"),0)</f>
        <v>421.0775</v>
      </c>
      <c r="C24" s="4">
        <f>IFERROR(AVERAGEIF($F$2:$F$21,"&lt;700"),0)</f>
        <v>419.84</v>
      </c>
      <c r="D24" s="4">
        <f>IFERROR(AVERAGEIF($H$2:$H$21,"&lt;&gt;-1"),0)</f>
        <v>0</v>
      </c>
      <c r="E24" s="4">
        <f>IFERROR(AVERAGEIFS($C$2:$C$21,$B$2:$B$21,"&lt;700"),0)</f>
        <v>19607.5135</v>
      </c>
      <c r="F24" s="4">
        <f>IFERROR(AVERAGEIFS($E$2:$E$21,$D$2:$D$21,"&lt;700"),0)</f>
        <v>19607.5135</v>
      </c>
      <c r="G24" s="4">
        <f>IFERROR(AVERAGEIFS($G$2:$G$21,$F$2:$F$21,"&lt;700"),0)</f>
        <v>23102.3605</v>
      </c>
      <c r="H24" s="4">
        <f>IFERROR(AVERAGEIFS($I$2:$I$21,$H$2:$H$21,"&lt;&gt; -1"),0)</f>
        <v>0</v>
      </c>
      <c r="I24" s="4">
        <f>_xlfn.MAXIFS($B$2:$B$21,$B$2:$B$21,"&lt; 700")</f>
        <v>558.17</v>
      </c>
      <c r="J24" s="4">
        <f>_xlfn.MAXIFS($D$2:$D$21,$D$2:$D$21,"&lt; 700")</f>
        <v>558.34</v>
      </c>
      <c r="K24" s="4">
        <f>_xlfn.MAXIFS($F$2:$F$21,$F$2:$F$21,"&lt; 700")</f>
        <v>556.44</v>
      </c>
      <c r="L24" s="4">
        <f>_xlfn.MAXIFS($H$2:$H$21,$H$2:$H$21,"&lt;&gt; -1")</f>
        <v>0</v>
      </c>
      <c r="M24" s="4">
        <f>_xlfn.MINIFS($B$2:$B$21,$B$2:$B$21,"&lt;700")</f>
        <v>348.5</v>
      </c>
      <c r="N24" s="4">
        <f>_xlfn.MINIFS($D$2:$D$21,$D$2:$D$21,"&lt;700")</f>
        <v>348.52</v>
      </c>
      <c r="O24" s="4">
        <f>_xlfn.MINIFS($F$2:$F$21,$F$2:$F$21,"&lt; 700")</f>
        <v>347.76</v>
      </c>
      <c r="P24" s="4">
        <f>_xlfn.MINIFS($H$2:$H$21,$H$2:$H$21,"&lt;&gt; -1")</f>
        <v>0</v>
      </c>
      <c r="Q24" s="4">
        <f>_xlfn.MAXIFS($C$2:$C$21,$B$2:$B$21,"&lt; 700")</f>
        <v>21714.51</v>
      </c>
      <c r="R24" s="4">
        <f>_xlfn.MAXIFS($E$2:$E$21,D2:D21,"&lt; 700")</f>
        <v>21714.51</v>
      </c>
      <c r="S24" s="4">
        <f>_xlfn.MAXIFS($G$2:$G$21,$F$2:$F$21,"&lt; 700")</f>
        <v>25479.33</v>
      </c>
      <c r="T24" s="4">
        <f>_xlfn.MAXIFS($I$2:$I$21,$H$2:$H$21,"&lt;&gt; -1")</f>
        <v>0</v>
      </c>
      <c r="U24" s="4">
        <f>_xlfn.MINIFS($C$2:$C$21,$B$2:$B$21,"&lt;700")</f>
        <v>18245.4</v>
      </c>
      <c r="V24" s="4">
        <f>_xlfn.MINIFS($E$2:$E$21,$D$2:$D$21,"&lt; 700")</f>
        <v>18245.4</v>
      </c>
      <c r="W24" s="4">
        <f>_xlfn.MINIFS($G$2:$G$21,$F$2:$F$21,"&lt; 700")</f>
        <v>21451.35</v>
      </c>
      <c r="X24" s="4">
        <f>_xlfn.MINIFS($I$2:$I$21,$H$2:$H$21,"&lt;&gt; -1")</f>
        <v>0</v>
      </c>
      <c r="Y24" s="4">
        <f>(COUNTIFS($B$2:$B$21,"&gt;0.0",$B$2:$B$21,"&lt; 700.0"))/20</f>
        <v>1</v>
      </c>
      <c r="Z24" s="4">
        <f>(COUNTIFS($D$2:$D$21,"&gt;0.0",$D$2:$D$21,"&lt;700.0"))/20</f>
        <v>1</v>
      </c>
      <c r="AA24" s="4">
        <f>(COUNTIFS($F$2:$F$21,"&gt;0.0",$F$2:$F$21,"&lt;700.0"))/20</f>
        <v>1</v>
      </c>
      <c r="AB24" s="4">
        <f>(COUNTIFS($H$2:$H$21,"&gt;0.0",$H$2:$H$21,"&lt;700.0"))/20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zoomScale="70" zoomScaleNormal="70"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462.31</v>
      </c>
      <c r="C2">
        <v>19416.38</v>
      </c>
      <c r="D2">
        <v>462.92</v>
      </c>
      <c r="E2">
        <v>19416.38</v>
      </c>
      <c r="F2">
        <v>460.25</v>
      </c>
      <c r="G2">
        <v>22718.43</v>
      </c>
      <c r="H2">
        <v>-1</v>
      </c>
      <c r="I2">
        <v>0</v>
      </c>
    </row>
    <row r="3" spans="1:9">
      <c r="A3" t="s">
        <v>10</v>
      </c>
      <c r="B3">
        <v>636.1</v>
      </c>
      <c r="C3">
        <v>19755.68</v>
      </c>
      <c r="D3">
        <v>636.26</v>
      </c>
      <c r="E3">
        <v>19755.68</v>
      </c>
      <c r="F3">
        <v>634.95</v>
      </c>
      <c r="G3">
        <v>23288.3</v>
      </c>
      <c r="H3">
        <v>-1</v>
      </c>
      <c r="I3">
        <v>0</v>
      </c>
    </row>
    <row r="4" spans="1:9">
      <c r="A4" t="s">
        <v>11</v>
      </c>
      <c r="B4">
        <v>588.57</v>
      </c>
      <c r="C4">
        <v>18824.14</v>
      </c>
      <c r="D4">
        <v>588.65</v>
      </c>
      <c r="E4">
        <v>18824.14</v>
      </c>
      <c r="F4">
        <v>587.1</v>
      </c>
      <c r="G4">
        <v>22167.83</v>
      </c>
      <c r="H4">
        <v>-1</v>
      </c>
      <c r="I4">
        <v>0</v>
      </c>
    </row>
    <row r="5" spans="1:9">
      <c r="A5" t="s">
        <v>12</v>
      </c>
      <c r="B5">
        <v>612.04</v>
      </c>
      <c r="C5">
        <v>20021.66</v>
      </c>
      <c r="D5">
        <v>611.75</v>
      </c>
      <c r="E5">
        <v>20021.66</v>
      </c>
      <c r="F5">
        <v>611.29</v>
      </c>
      <c r="G5">
        <v>23610.72</v>
      </c>
      <c r="H5">
        <v>-1</v>
      </c>
      <c r="I5">
        <v>0</v>
      </c>
    </row>
    <row r="6" spans="1:9">
      <c r="A6" t="s">
        <v>13</v>
      </c>
      <c r="B6">
        <v>566.3</v>
      </c>
      <c r="C6">
        <v>17544.51</v>
      </c>
      <c r="D6">
        <v>565.99</v>
      </c>
      <c r="E6">
        <v>17544.51</v>
      </c>
      <c r="F6">
        <v>563.91</v>
      </c>
      <c r="G6">
        <v>20616.66</v>
      </c>
      <c r="H6">
        <v>-1</v>
      </c>
      <c r="I6">
        <v>1209.64</v>
      </c>
    </row>
    <row r="7" spans="1:9">
      <c r="A7" t="s">
        <v>14</v>
      </c>
      <c r="B7">
        <v>500.48</v>
      </c>
      <c r="C7">
        <v>20581.31</v>
      </c>
      <c r="D7">
        <v>500.5</v>
      </c>
      <c r="E7">
        <v>20581.31</v>
      </c>
      <c r="F7">
        <v>499.5</v>
      </c>
      <c r="G7">
        <v>24264.86</v>
      </c>
      <c r="H7">
        <v>-1</v>
      </c>
      <c r="I7">
        <v>0</v>
      </c>
    </row>
    <row r="8" spans="1:9">
      <c r="A8" t="s">
        <v>15</v>
      </c>
      <c r="B8">
        <v>423.17</v>
      </c>
      <c r="C8">
        <v>19138.01</v>
      </c>
      <c r="D8">
        <v>423.13</v>
      </c>
      <c r="E8">
        <v>19138.01</v>
      </c>
      <c r="F8">
        <v>422.35</v>
      </c>
      <c r="G8">
        <v>22496.76</v>
      </c>
      <c r="H8">
        <v>-1</v>
      </c>
      <c r="I8">
        <v>0</v>
      </c>
    </row>
    <row r="9" spans="1:9">
      <c r="A9" t="s">
        <v>16</v>
      </c>
      <c r="B9">
        <v>501.38</v>
      </c>
      <c r="C9">
        <v>18666.21</v>
      </c>
      <c r="D9">
        <v>502.03</v>
      </c>
      <c r="E9">
        <v>18666.21</v>
      </c>
      <c r="F9">
        <v>500.23</v>
      </c>
      <c r="G9">
        <v>22057.84</v>
      </c>
      <c r="H9">
        <v>-1</v>
      </c>
      <c r="I9">
        <v>0</v>
      </c>
    </row>
    <row r="10" spans="1:9">
      <c r="A10" t="s">
        <v>17</v>
      </c>
      <c r="B10">
        <v>545.39</v>
      </c>
      <c r="C10">
        <v>19272.09</v>
      </c>
      <c r="D10">
        <v>546.34</v>
      </c>
      <c r="E10">
        <v>19272.09</v>
      </c>
      <c r="F10">
        <v>545.73</v>
      </c>
      <c r="G10">
        <v>22673.01</v>
      </c>
      <c r="H10">
        <v>-1</v>
      </c>
      <c r="I10">
        <v>0</v>
      </c>
    </row>
    <row r="11" spans="1:9">
      <c r="A11" t="s">
        <v>18</v>
      </c>
      <c r="B11">
        <v>522.87</v>
      </c>
      <c r="C11">
        <v>18279.28</v>
      </c>
      <c r="D11">
        <v>522.16</v>
      </c>
      <c r="E11">
        <v>18279.28</v>
      </c>
      <c r="F11">
        <v>521.83</v>
      </c>
      <c r="G11">
        <v>21540.08</v>
      </c>
      <c r="H11">
        <v>-1</v>
      </c>
      <c r="I11">
        <v>0</v>
      </c>
    </row>
    <row r="12" spans="1:9">
      <c r="A12" t="s">
        <v>19</v>
      </c>
      <c r="B12">
        <v>526.86</v>
      </c>
      <c r="C12">
        <v>20321.41</v>
      </c>
      <c r="D12">
        <v>527.52</v>
      </c>
      <c r="E12">
        <v>20321.41</v>
      </c>
      <c r="F12">
        <v>525.75</v>
      </c>
      <c r="G12">
        <v>23902.72</v>
      </c>
      <c r="H12">
        <v>-1</v>
      </c>
      <c r="I12">
        <v>3493.56</v>
      </c>
    </row>
    <row r="13" spans="1:9">
      <c r="A13" t="s">
        <v>20</v>
      </c>
      <c r="B13">
        <v>524.96</v>
      </c>
      <c r="C13">
        <v>19853.24</v>
      </c>
      <c r="D13">
        <v>525.2</v>
      </c>
      <c r="E13">
        <v>19853.24</v>
      </c>
      <c r="F13">
        <v>524.21</v>
      </c>
      <c r="G13">
        <v>23375.5</v>
      </c>
      <c r="H13">
        <v>-1</v>
      </c>
      <c r="I13">
        <v>4999</v>
      </c>
    </row>
    <row r="14" spans="1:9">
      <c r="A14" t="s">
        <v>21</v>
      </c>
      <c r="B14">
        <v>527.58</v>
      </c>
      <c r="C14">
        <v>19966.28</v>
      </c>
      <c r="D14">
        <v>527.46</v>
      </c>
      <c r="E14">
        <v>19966.28</v>
      </c>
      <c r="F14">
        <v>527.04</v>
      </c>
      <c r="G14">
        <v>23561.33</v>
      </c>
      <c r="H14">
        <v>-1</v>
      </c>
      <c r="I14">
        <v>0</v>
      </c>
    </row>
    <row r="15" spans="1:9">
      <c r="A15" t="s">
        <v>22</v>
      </c>
      <c r="B15">
        <v>509.93</v>
      </c>
      <c r="C15">
        <v>18989.4</v>
      </c>
      <c r="D15">
        <v>510.39</v>
      </c>
      <c r="E15">
        <v>18989.4</v>
      </c>
      <c r="F15">
        <v>509.3</v>
      </c>
      <c r="G15">
        <v>22263.25</v>
      </c>
      <c r="H15">
        <v>-1</v>
      </c>
      <c r="I15">
        <v>0</v>
      </c>
    </row>
    <row r="16" spans="1:9">
      <c r="A16" t="s">
        <v>23</v>
      </c>
      <c r="B16">
        <v>521.04</v>
      </c>
      <c r="C16">
        <v>18382.08</v>
      </c>
      <c r="D16">
        <v>520.18</v>
      </c>
      <c r="E16">
        <v>18382.08</v>
      </c>
      <c r="F16">
        <v>519.54</v>
      </c>
      <c r="G16">
        <v>21544.95</v>
      </c>
      <c r="H16">
        <v>-1</v>
      </c>
      <c r="I16">
        <v>0</v>
      </c>
    </row>
    <row r="17" spans="1:9">
      <c r="A17" t="s">
        <v>24</v>
      </c>
      <c r="B17">
        <v>578.81</v>
      </c>
      <c r="C17">
        <v>21402.18</v>
      </c>
      <c r="D17">
        <v>578.73</v>
      </c>
      <c r="E17">
        <v>21402.18</v>
      </c>
      <c r="F17">
        <v>577.36</v>
      </c>
      <c r="G17">
        <v>25168.8</v>
      </c>
      <c r="H17">
        <v>-1</v>
      </c>
      <c r="I17">
        <v>0</v>
      </c>
    </row>
    <row r="18" spans="1:9">
      <c r="A18" t="s">
        <v>25</v>
      </c>
      <c r="B18">
        <v>568.91</v>
      </c>
      <c r="C18">
        <v>20227.48</v>
      </c>
      <c r="D18">
        <v>568.39</v>
      </c>
      <c r="E18">
        <v>20227.48</v>
      </c>
      <c r="F18">
        <v>567.81</v>
      </c>
      <c r="G18">
        <v>23842.65</v>
      </c>
      <c r="H18">
        <v>-1</v>
      </c>
      <c r="I18">
        <v>0</v>
      </c>
    </row>
    <row r="19" spans="1:9">
      <c r="A19" t="s">
        <v>26</v>
      </c>
      <c r="B19">
        <v>569.89</v>
      </c>
      <c r="C19">
        <v>20260.65</v>
      </c>
      <c r="D19">
        <v>569.69</v>
      </c>
      <c r="E19">
        <v>20260.65</v>
      </c>
      <c r="F19">
        <v>567.68</v>
      </c>
      <c r="G19">
        <v>23838.42</v>
      </c>
      <c r="H19">
        <v>-1</v>
      </c>
      <c r="I19">
        <v>0</v>
      </c>
    </row>
    <row r="20" spans="1:9">
      <c r="A20" t="s">
        <v>27</v>
      </c>
      <c r="B20">
        <v>560.32</v>
      </c>
      <c r="C20">
        <v>20246.62</v>
      </c>
      <c r="D20">
        <v>559.78</v>
      </c>
      <c r="E20">
        <v>20246.62</v>
      </c>
      <c r="F20">
        <v>558.34</v>
      </c>
      <c r="G20">
        <v>23979.82</v>
      </c>
      <c r="H20">
        <v>-1</v>
      </c>
      <c r="I20">
        <v>0</v>
      </c>
    </row>
    <row r="21" spans="1:9">
      <c r="A21" t="s">
        <v>28</v>
      </c>
      <c r="B21">
        <v>540.01</v>
      </c>
      <c r="C21">
        <v>19324.96</v>
      </c>
      <c r="D21">
        <v>540.48</v>
      </c>
      <c r="E21">
        <v>19324.96</v>
      </c>
      <c r="F21">
        <v>538.88</v>
      </c>
      <c r="G21">
        <v>22692.48</v>
      </c>
      <c r="H21">
        <v>-1</v>
      </c>
      <c r="I21">
        <v>0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IFERROR(AVERAGEIF($B$2:$B$21,"&lt;700"),0)</f>
        <v>539.346</v>
      </c>
      <c r="B24" s="4">
        <f>IFERROR(AVERAGEIF($D$2:$D$21,"&lt;700"),0)</f>
        <v>539.3775</v>
      </c>
      <c r="C24" s="4">
        <f>IFERROR(AVERAGEIF($F$2:$F$21,"&lt;700"),0)</f>
        <v>538.1525</v>
      </c>
      <c r="D24" s="4">
        <f>IFERROR(AVERAGEIF($H$2:$H$21,"&lt;&gt;-1"),0)</f>
        <v>0</v>
      </c>
      <c r="E24" s="4">
        <f>IFERROR(AVERAGEIFS($C$2:$C$21,$B$2:$B$21,"&lt;700"),0)</f>
        <v>19523.6785</v>
      </c>
      <c r="F24" s="4">
        <f>IFERROR(AVERAGEIFS($E$2:$E$21,$D$2:$D$21,"&lt;700"),0)</f>
        <v>19523.6785</v>
      </c>
      <c r="G24" s="4">
        <f>IFERROR(AVERAGEIFS($G$2:$G$21,$F$2:$F$21,"&lt;700"),0)</f>
        <v>22980.2205</v>
      </c>
      <c r="H24" s="4">
        <f>IFERROR(AVERAGEIFS($I$2:$I$21,$H$2:$H$21,"&lt;&gt; -1"),0)</f>
        <v>0</v>
      </c>
      <c r="I24" s="4">
        <f>_xlfn.MAXIFS($B$2:$B$21,$B$2:$B$21,"&lt; 700")</f>
        <v>636.1</v>
      </c>
      <c r="J24" s="4">
        <f>_xlfn.MAXIFS($D$2:$D$21,$D$2:$D$21,"&lt; 700")</f>
        <v>636.26</v>
      </c>
      <c r="K24" s="4">
        <f>_xlfn.MAXIFS($F$2:$F$21,$F$2:$F$21,"&lt; 700")</f>
        <v>634.95</v>
      </c>
      <c r="L24" s="4">
        <f>_xlfn.MAXIFS($H$2:$H$21,$H$2:$H$21,"&lt;&gt; -1")</f>
        <v>0</v>
      </c>
      <c r="M24" s="4">
        <f>_xlfn.MINIFS($B$2:$B$21,$B$2:$B$21,"&lt;700")</f>
        <v>423.17</v>
      </c>
      <c r="N24" s="4">
        <f>_xlfn.MINIFS($D$2:$D$21,$D$2:$D$21,"&lt;700")</f>
        <v>423.13</v>
      </c>
      <c r="O24" s="4">
        <f>_xlfn.MINIFS($F$2:$F$21,$F$2:$F$21,"&lt; 700")</f>
        <v>422.35</v>
      </c>
      <c r="P24" s="4">
        <f>_xlfn.MINIFS($H$2:$H$21,$H$2:$H$21,"&lt;&gt; -1")</f>
        <v>0</v>
      </c>
      <c r="Q24" s="4">
        <f>_xlfn.MAXIFS($C$2:$C$21,$B$2:$B$21,"&lt; 700")</f>
        <v>21402.18</v>
      </c>
      <c r="R24" s="4">
        <f>_xlfn.MAXIFS($E$2:$E$21,D2:D21,"&lt; 700")</f>
        <v>21402.18</v>
      </c>
      <c r="S24" s="4">
        <f>_xlfn.MAXIFS($G$2:$G$21,$F$2:$F$21,"&lt; 700")</f>
        <v>25168.8</v>
      </c>
      <c r="T24" s="4">
        <f>_xlfn.MAXIFS($I$2:$I$21,$H$2:$H$21,"&lt;&gt; -1")</f>
        <v>0</v>
      </c>
      <c r="U24" s="4">
        <f>_xlfn.MINIFS($C$2:$C$21,$B$2:$B$21,"&lt;700")</f>
        <v>17544.51</v>
      </c>
      <c r="V24" s="4">
        <f>_xlfn.MINIFS($E$2:$E$21,$D$2:$D$21,"&lt; 700")</f>
        <v>17544.51</v>
      </c>
      <c r="W24" s="4">
        <f>_xlfn.MINIFS($G$2:$G$21,$F$2:$F$21,"&lt; 700")</f>
        <v>20616.66</v>
      </c>
      <c r="X24" s="4">
        <f>_xlfn.MINIFS($I$2:$I$21,$H$2:$H$21,"&lt;&gt; -1")</f>
        <v>0</v>
      </c>
      <c r="Y24" s="4">
        <f>(COUNTIFS($B$2:$B$21,"&gt;0.0",$B$2:$B$21,"&lt; 700.0"))/20</f>
        <v>1</v>
      </c>
      <c r="Z24" s="4">
        <f>(COUNTIFS($D$2:$D$21,"&gt;0.0",$D$2:$D$21,"&lt;700.0"))/20</f>
        <v>1</v>
      </c>
      <c r="AA24" s="4">
        <f>(COUNTIFS($F$2:$F$21,"&gt;0.0",$F$2:$F$21,"&lt;700.0"))/20</f>
        <v>1</v>
      </c>
      <c r="AB24" s="4">
        <f>(COUNTIFS($H$2:$H$21,"&gt;0.0",$H$2:$H$21,"&lt;700.0"))/20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zoomScale="70" zoomScaleNormal="70"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612.15</v>
      </c>
      <c r="C2">
        <v>20276.89</v>
      </c>
      <c r="D2">
        <v>612.39</v>
      </c>
      <c r="E2">
        <v>20276.89</v>
      </c>
      <c r="F2">
        <v>612.1</v>
      </c>
      <c r="G2">
        <v>23817.75</v>
      </c>
      <c r="H2">
        <v>-1</v>
      </c>
      <c r="I2">
        <v>4987.11</v>
      </c>
    </row>
    <row r="3" spans="1:9">
      <c r="A3" t="s">
        <v>10</v>
      </c>
      <c r="B3">
        <v>652.86</v>
      </c>
      <c r="C3">
        <v>20764.89</v>
      </c>
      <c r="D3">
        <v>653.23</v>
      </c>
      <c r="E3">
        <v>20764.89</v>
      </c>
      <c r="F3">
        <v>651.24</v>
      </c>
      <c r="G3">
        <v>24539.29</v>
      </c>
      <c r="H3">
        <v>-1</v>
      </c>
      <c r="I3">
        <v>2129.31</v>
      </c>
    </row>
    <row r="4" spans="1:9">
      <c r="A4" t="s">
        <v>11</v>
      </c>
      <c r="B4">
        <v>646.84</v>
      </c>
      <c r="C4">
        <v>19780.7</v>
      </c>
      <c r="D4">
        <v>647.11</v>
      </c>
      <c r="E4">
        <v>19780.7</v>
      </c>
      <c r="F4">
        <v>645.77</v>
      </c>
      <c r="G4">
        <v>23427.39</v>
      </c>
      <c r="H4">
        <v>-1</v>
      </c>
      <c r="I4">
        <v>0</v>
      </c>
    </row>
    <row r="5" spans="1:9">
      <c r="A5" t="s">
        <v>12</v>
      </c>
      <c r="B5">
        <v>641.8</v>
      </c>
      <c r="C5">
        <v>20044.11</v>
      </c>
      <c r="D5">
        <v>640.85</v>
      </c>
      <c r="E5">
        <v>20044.11</v>
      </c>
      <c r="F5">
        <v>639.15</v>
      </c>
      <c r="G5">
        <v>23603.76</v>
      </c>
      <c r="H5">
        <v>-1</v>
      </c>
      <c r="I5">
        <v>0</v>
      </c>
    </row>
    <row r="6" spans="1:9">
      <c r="A6" t="s">
        <v>13</v>
      </c>
      <c r="B6">
        <v>616.28</v>
      </c>
      <c r="C6">
        <v>20190.69</v>
      </c>
      <c r="D6">
        <v>614.81</v>
      </c>
      <c r="E6">
        <v>20190.69</v>
      </c>
      <c r="F6">
        <v>614.16</v>
      </c>
      <c r="G6">
        <v>23708.74</v>
      </c>
      <c r="H6">
        <v>-1</v>
      </c>
      <c r="I6">
        <v>0</v>
      </c>
    </row>
    <row r="7" spans="1:9">
      <c r="A7" t="s">
        <v>14</v>
      </c>
      <c r="B7">
        <v>662.34</v>
      </c>
      <c r="C7">
        <v>20556.2</v>
      </c>
      <c r="D7">
        <v>662.61</v>
      </c>
      <c r="E7">
        <v>20556.2</v>
      </c>
      <c r="F7">
        <v>660.6</v>
      </c>
      <c r="G7">
        <v>24233.78</v>
      </c>
      <c r="H7">
        <v>-1</v>
      </c>
      <c r="I7">
        <v>0</v>
      </c>
    </row>
    <row r="8" spans="1:9">
      <c r="A8" t="s">
        <v>15</v>
      </c>
      <c r="B8">
        <v>618.33</v>
      </c>
      <c r="C8">
        <v>18964.27</v>
      </c>
      <c r="D8">
        <v>618.9</v>
      </c>
      <c r="E8">
        <v>18964.27</v>
      </c>
      <c r="F8">
        <v>618.28</v>
      </c>
      <c r="G8">
        <v>22302.75</v>
      </c>
      <c r="H8">
        <v>-1</v>
      </c>
      <c r="I8">
        <v>0</v>
      </c>
    </row>
    <row r="9" spans="1:9">
      <c r="A9" t="s">
        <v>16</v>
      </c>
      <c r="B9">
        <v>620.3</v>
      </c>
      <c r="C9">
        <v>19232.34</v>
      </c>
      <c r="D9">
        <v>620.47</v>
      </c>
      <c r="E9">
        <v>19232.34</v>
      </c>
      <c r="F9">
        <v>618.57</v>
      </c>
      <c r="G9">
        <v>22583.78</v>
      </c>
      <c r="H9">
        <v>-1</v>
      </c>
      <c r="I9">
        <v>0</v>
      </c>
    </row>
    <row r="10" spans="1:9">
      <c r="A10" t="s">
        <v>17</v>
      </c>
      <c r="B10">
        <v>672.53</v>
      </c>
      <c r="C10">
        <v>20861.51</v>
      </c>
      <c r="D10">
        <v>672.91</v>
      </c>
      <c r="E10">
        <v>20861.51</v>
      </c>
      <c r="F10">
        <v>671.65</v>
      </c>
      <c r="G10">
        <v>24625.6</v>
      </c>
      <c r="H10">
        <v>-1</v>
      </c>
      <c r="I10">
        <v>0</v>
      </c>
    </row>
    <row r="11" spans="1:9">
      <c r="A11" t="s">
        <v>18</v>
      </c>
      <c r="B11">
        <v>646.05</v>
      </c>
      <c r="C11">
        <v>20650.56</v>
      </c>
      <c r="D11">
        <v>645.97</v>
      </c>
      <c r="E11">
        <v>20650.56</v>
      </c>
      <c r="F11">
        <v>645.33</v>
      </c>
      <c r="G11">
        <v>24417.26</v>
      </c>
      <c r="H11">
        <v>-1</v>
      </c>
      <c r="I11">
        <v>0</v>
      </c>
    </row>
    <row r="12" spans="1:9">
      <c r="A12" t="s">
        <v>19</v>
      </c>
      <c r="B12">
        <v>663.09</v>
      </c>
      <c r="C12">
        <v>19386.19</v>
      </c>
      <c r="D12">
        <v>663.41</v>
      </c>
      <c r="E12">
        <v>19386.19</v>
      </c>
      <c r="F12">
        <v>662.64</v>
      </c>
      <c r="G12">
        <v>22747.97</v>
      </c>
      <c r="H12">
        <v>-1</v>
      </c>
      <c r="I12">
        <v>0</v>
      </c>
    </row>
    <row r="13" spans="1:9">
      <c r="A13" t="s">
        <v>20</v>
      </c>
      <c r="B13">
        <v>660.58</v>
      </c>
      <c r="C13">
        <v>20612.12</v>
      </c>
      <c r="D13">
        <v>661.3</v>
      </c>
      <c r="E13">
        <v>20612.12</v>
      </c>
      <c r="F13">
        <v>659.14</v>
      </c>
      <c r="G13">
        <v>24219.14</v>
      </c>
      <c r="H13">
        <v>-1</v>
      </c>
      <c r="I13">
        <v>0</v>
      </c>
    </row>
    <row r="14" spans="1:9">
      <c r="A14" t="s">
        <v>21</v>
      </c>
      <c r="B14">
        <v>666.1</v>
      </c>
      <c r="C14">
        <v>19888.5</v>
      </c>
      <c r="D14">
        <v>667.06</v>
      </c>
      <c r="E14">
        <v>19888.5</v>
      </c>
      <c r="F14">
        <v>664.66</v>
      </c>
      <c r="G14">
        <v>23491.91</v>
      </c>
      <c r="H14">
        <v>-1</v>
      </c>
      <c r="I14">
        <v>0</v>
      </c>
    </row>
    <row r="15" spans="1:9">
      <c r="A15" t="s">
        <v>22</v>
      </c>
      <c r="B15">
        <v>642.11</v>
      </c>
      <c r="C15">
        <v>20771.11</v>
      </c>
      <c r="D15">
        <v>641.02</v>
      </c>
      <c r="E15">
        <v>20771.11</v>
      </c>
      <c r="F15">
        <v>640.58</v>
      </c>
      <c r="G15">
        <v>24362.93</v>
      </c>
      <c r="H15">
        <v>-1</v>
      </c>
      <c r="I15">
        <v>0</v>
      </c>
    </row>
    <row r="16" spans="1:9">
      <c r="A16" t="s">
        <v>23</v>
      </c>
      <c r="B16">
        <v>647.33</v>
      </c>
      <c r="C16">
        <v>19390.51</v>
      </c>
      <c r="D16">
        <v>647.62</v>
      </c>
      <c r="E16">
        <v>19390.51</v>
      </c>
      <c r="F16">
        <v>646.81</v>
      </c>
      <c r="G16">
        <v>22762.43</v>
      </c>
      <c r="H16">
        <v>-1</v>
      </c>
      <c r="I16">
        <v>0</v>
      </c>
    </row>
    <row r="17" spans="1:9">
      <c r="A17" t="s">
        <v>24</v>
      </c>
      <c r="B17">
        <v>672.66</v>
      </c>
      <c r="C17">
        <v>21491.43</v>
      </c>
      <c r="D17">
        <v>672.78</v>
      </c>
      <c r="E17">
        <v>21491.43</v>
      </c>
      <c r="F17">
        <v>671.9</v>
      </c>
      <c r="G17">
        <v>25324.84</v>
      </c>
      <c r="H17">
        <v>-1</v>
      </c>
      <c r="I17">
        <v>0</v>
      </c>
    </row>
    <row r="18" spans="1:9">
      <c r="A18" t="s">
        <v>25</v>
      </c>
      <c r="B18">
        <v>651.34</v>
      </c>
      <c r="C18">
        <v>19477.19</v>
      </c>
      <c r="D18">
        <v>651.98</v>
      </c>
      <c r="E18">
        <v>19477.19</v>
      </c>
      <c r="F18">
        <v>650.27</v>
      </c>
      <c r="G18">
        <v>23006.05</v>
      </c>
      <c r="H18">
        <v>-1</v>
      </c>
      <c r="I18">
        <v>0</v>
      </c>
    </row>
    <row r="19" spans="1:9">
      <c r="A19" t="s">
        <v>26</v>
      </c>
      <c r="B19">
        <v>646.79</v>
      </c>
      <c r="C19">
        <v>20716.29</v>
      </c>
      <c r="D19">
        <v>646.55</v>
      </c>
      <c r="E19">
        <v>20716.29</v>
      </c>
      <c r="F19">
        <v>646.09</v>
      </c>
      <c r="G19">
        <v>24457.98</v>
      </c>
      <c r="H19">
        <v>-1</v>
      </c>
      <c r="I19">
        <v>0</v>
      </c>
    </row>
    <row r="20" spans="1:9">
      <c r="A20" t="s">
        <v>27</v>
      </c>
      <c r="B20">
        <v>623.84</v>
      </c>
      <c r="C20">
        <v>19938.37</v>
      </c>
      <c r="D20">
        <v>624.12</v>
      </c>
      <c r="E20">
        <v>19938.37</v>
      </c>
      <c r="F20">
        <v>622.7</v>
      </c>
      <c r="G20">
        <v>23573.93</v>
      </c>
      <c r="H20">
        <v>-1</v>
      </c>
      <c r="I20">
        <v>8221.63</v>
      </c>
    </row>
    <row r="21" spans="1:9">
      <c r="A21" t="s">
        <v>28</v>
      </c>
      <c r="B21">
        <v>616.1</v>
      </c>
      <c r="C21">
        <v>19484.29</v>
      </c>
      <c r="D21">
        <v>616.08</v>
      </c>
      <c r="E21">
        <v>19484.29</v>
      </c>
      <c r="F21">
        <v>614.85</v>
      </c>
      <c r="G21">
        <v>22948.61</v>
      </c>
      <c r="H21">
        <v>-1</v>
      </c>
      <c r="I21">
        <v>0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IFERROR(AVERAGEIF($B$2:$B$21,"&lt;700"),0)</f>
        <v>643.971</v>
      </c>
      <c r="B24" s="4">
        <f>IFERROR(AVERAGEIF($D$2:$D$21,"&lt;700"),0)</f>
        <v>644.0585</v>
      </c>
      <c r="C24" s="4">
        <f>IFERROR(AVERAGEIF($F$2:$F$21,"&lt;700"),0)</f>
        <v>642.8245</v>
      </c>
      <c r="D24" s="4">
        <f>IFERROR(AVERAGEIF($H$2:$H$21,"&lt;&gt;-1"),0)</f>
        <v>0</v>
      </c>
      <c r="E24" s="4">
        <f>IFERROR(AVERAGEIFS($C$2:$C$21,$B$2:$B$21,"&lt;700"),0)</f>
        <v>20123.908</v>
      </c>
      <c r="F24" s="4">
        <f>IFERROR(AVERAGEIFS($E$2:$E$21,$D$2:$D$21,"&lt;700"),0)</f>
        <v>20123.908</v>
      </c>
      <c r="G24" s="4">
        <f>IFERROR(AVERAGEIFS($G$2:$G$21,$F$2:$F$21,"&lt;700"),0)</f>
        <v>23707.7945</v>
      </c>
      <c r="H24" s="4">
        <f>IFERROR(AVERAGEIFS($I$2:$I$21,$H$2:$H$21,"&lt;&gt; -1"),0)</f>
        <v>0</v>
      </c>
      <c r="I24" s="4">
        <f>_xlfn.MAXIFS($B$2:$B$21,$B$2:$B$21,"&lt; 700")</f>
        <v>672.66</v>
      </c>
      <c r="J24" s="4">
        <f>_xlfn.MAXIFS($D$2:$D$21,$D$2:$D$21,"&lt; 700")</f>
        <v>672.91</v>
      </c>
      <c r="K24" s="4">
        <f>_xlfn.MAXIFS($F$2:$F$21,$F$2:$F$21,"&lt; 700")</f>
        <v>671.9</v>
      </c>
      <c r="L24" s="4">
        <f>_xlfn.MAXIFS($H$2:$H$21,$H$2:$H$21,"&lt;&gt; -1")</f>
        <v>0</v>
      </c>
      <c r="M24" s="4">
        <f>_xlfn.MINIFS($B$2:$B$21,$B$2:$B$21,"&lt;700")</f>
        <v>612.15</v>
      </c>
      <c r="N24" s="4">
        <f>_xlfn.MINIFS($D$2:$D$21,$D$2:$D$21,"&lt;700")</f>
        <v>612.39</v>
      </c>
      <c r="O24" s="4">
        <f>_xlfn.MINIFS($F$2:$F$21,$F$2:$F$21,"&lt; 700")</f>
        <v>612.1</v>
      </c>
      <c r="P24" s="4">
        <f>_xlfn.MINIFS($H$2:$H$21,$H$2:$H$21,"&lt;&gt; -1")</f>
        <v>0</v>
      </c>
      <c r="Q24" s="4">
        <f>_xlfn.MAXIFS($C$2:$C$21,$B$2:$B$21,"&lt; 700")</f>
        <v>21491.43</v>
      </c>
      <c r="R24" s="4">
        <f>_xlfn.MAXIFS($E$2:$E$21,D2:D21,"&lt; 700")</f>
        <v>21491.43</v>
      </c>
      <c r="S24" s="4">
        <f>_xlfn.MAXIFS($G$2:$G$21,$F$2:$F$21,"&lt; 700")</f>
        <v>25324.84</v>
      </c>
      <c r="T24" s="4">
        <f>_xlfn.MAXIFS($I$2:$I$21,$H$2:$H$21,"&lt;&gt; -1")</f>
        <v>0</v>
      </c>
      <c r="U24" s="4">
        <f>_xlfn.MINIFS($C$2:$C$21,$B$2:$B$21,"&lt;700")</f>
        <v>18964.27</v>
      </c>
      <c r="V24" s="4">
        <f>_xlfn.MINIFS($E$2:$E$21,$D$2:$D$21,"&lt; 700")</f>
        <v>18964.27</v>
      </c>
      <c r="W24" s="4">
        <f>_xlfn.MINIFS($G$2:$G$21,$F$2:$F$21,"&lt; 700")</f>
        <v>22302.75</v>
      </c>
      <c r="X24" s="4">
        <f>_xlfn.MINIFS($I$2:$I$21,$H$2:$H$21,"&lt;&gt; -1")</f>
        <v>0</v>
      </c>
      <c r="Y24" s="4">
        <f>(COUNTIFS($B$2:$B$21,"&gt;0.0",$B$2:$B$21,"&lt; 700.0"))/20</f>
        <v>1</v>
      </c>
      <c r="Z24" s="4">
        <f>(COUNTIFS($D$2:$D$21,"&gt;0.0",$D$2:$D$21,"&lt;700.0"))/20</f>
        <v>1</v>
      </c>
      <c r="AA24" s="4">
        <f>(COUNTIFS($F$2:$F$21,"&gt;0.0",$F$2:$F$21,"&lt;700.0"))/20</f>
        <v>1</v>
      </c>
      <c r="AB24" s="4">
        <f>(COUNTIFS($H$2:$H$21,"&gt;0.0",$H$2:$H$21,"&lt;700.0"))/20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701.53</v>
      </c>
      <c r="C2">
        <v>18316.3</v>
      </c>
      <c r="D2">
        <v>701.38</v>
      </c>
      <c r="E2">
        <v>18316.3</v>
      </c>
      <c r="F2">
        <v>699.29</v>
      </c>
      <c r="G2">
        <v>21367.29</v>
      </c>
      <c r="H2">
        <v>-1</v>
      </c>
      <c r="I2">
        <v>0</v>
      </c>
    </row>
    <row r="3" spans="1:9">
      <c r="A3" t="s">
        <v>10</v>
      </c>
      <c r="B3">
        <v>728.53</v>
      </c>
      <c r="C3">
        <v>20308.9</v>
      </c>
      <c r="D3">
        <v>728.96</v>
      </c>
      <c r="E3">
        <v>20308.9</v>
      </c>
      <c r="F3">
        <v>727.26</v>
      </c>
      <c r="G3">
        <v>23872.57</v>
      </c>
      <c r="H3">
        <v>-1</v>
      </c>
      <c r="I3">
        <v>926.35</v>
      </c>
    </row>
    <row r="4" spans="1:9">
      <c r="A4" t="s">
        <v>11</v>
      </c>
      <c r="B4">
        <v>722.4</v>
      </c>
      <c r="C4">
        <v>20063.39</v>
      </c>
      <c r="D4">
        <v>722.71</v>
      </c>
      <c r="E4">
        <v>20063.39</v>
      </c>
      <c r="F4">
        <v>720.25</v>
      </c>
      <c r="G4">
        <v>23677.88</v>
      </c>
      <c r="H4">
        <v>-1</v>
      </c>
      <c r="I4">
        <v>0</v>
      </c>
    </row>
    <row r="5" spans="1:9">
      <c r="A5" t="s">
        <v>12</v>
      </c>
      <c r="B5">
        <v>766.42</v>
      </c>
      <c r="C5">
        <v>20262.04</v>
      </c>
      <c r="D5">
        <v>766.32</v>
      </c>
      <c r="E5">
        <v>20262.04</v>
      </c>
      <c r="F5">
        <v>765.39</v>
      </c>
      <c r="G5">
        <v>23916.74</v>
      </c>
      <c r="H5">
        <v>-1</v>
      </c>
      <c r="I5">
        <v>0</v>
      </c>
    </row>
    <row r="6" spans="1:9">
      <c r="A6" t="s">
        <v>13</v>
      </c>
      <c r="B6">
        <v>719.02</v>
      </c>
      <c r="C6">
        <v>19979.11</v>
      </c>
      <c r="D6">
        <v>719.45</v>
      </c>
      <c r="E6">
        <v>19979.11</v>
      </c>
      <c r="F6">
        <v>717.42</v>
      </c>
      <c r="G6">
        <v>23514.58</v>
      </c>
      <c r="H6">
        <v>-1</v>
      </c>
      <c r="I6">
        <v>1552.55</v>
      </c>
    </row>
    <row r="7" spans="1:9">
      <c r="A7" t="s">
        <v>14</v>
      </c>
      <c r="B7">
        <v>698.13</v>
      </c>
      <c r="C7">
        <v>20290.34</v>
      </c>
      <c r="D7">
        <v>698.74</v>
      </c>
      <c r="E7">
        <v>20290.34</v>
      </c>
      <c r="F7">
        <v>696.59</v>
      </c>
      <c r="G7">
        <v>23951.42</v>
      </c>
      <c r="H7">
        <v>-1</v>
      </c>
      <c r="I7">
        <v>0</v>
      </c>
    </row>
    <row r="8" spans="1:9">
      <c r="A8" t="s">
        <v>15</v>
      </c>
      <c r="B8">
        <v>671.86</v>
      </c>
      <c r="C8">
        <v>20074.1</v>
      </c>
      <c r="D8">
        <v>672.77</v>
      </c>
      <c r="E8">
        <v>20074.1</v>
      </c>
      <c r="F8">
        <v>670.97</v>
      </c>
      <c r="G8">
        <v>23629.44</v>
      </c>
      <c r="H8">
        <v>-1</v>
      </c>
      <c r="I8">
        <v>0</v>
      </c>
    </row>
    <row r="9" spans="1:9">
      <c r="A9" t="s">
        <v>16</v>
      </c>
      <c r="B9">
        <v>669.82</v>
      </c>
      <c r="C9">
        <v>18989.16</v>
      </c>
      <c r="D9">
        <v>669.82</v>
      </c>
      <c r="E9">
        <v>18989.16</v>
      </c>
      <c r="F9">
        <v>668.39</v>
      </c>
      <c r="G9">
        <v>22513.23</v>
      </c>
      <c r="H9">
        <v>-1</v>
      </c>
      <c r="I9">
        <v>0</v>
      </c>
    </row>
    <row r="10" spans="1:9">
      <c r="A10" t="s">
        <v>17</v>
      </c>
      <c r="B10">
        <v>728.67</v>
      </c>
      <c r="C10">
        <v>19712.13</v>
      </c>
      <c r="D10">
        <v>729.25</v>
      </c>
      <c r="E10">
        <v>19712.13</v>
      </c>
      <c r="F10">
        <v>727.68</v>
      </c>
      <c r="G10">
        <v>23175.99</v>
      </c>
      <c r="H10">
        <v>-1</v>
      </c>
      <c r="I10">
        <v>3302.66</v>
      </c>
    </row>
    <row r="11" spans="1:9">
      <c r="A11" t="s">
        <v>18</v>
      </c>
      <c r="B11">
        <v>743.29</v>
      </c>
      <c r="C11">
        <v>19414.61</v>
      </c>
      <c r="D11">
        <v>743.09</v>
      </c>
      <c r="E11">
        <v>19414.61</v>
      </c>
      <c r="F11">
        <v>741.67</v>
      </c>
      <c r="G11">
        <v>22875.23</v>
      </c>
      <c r="H11">
        <v>-1</v>
      </c>
      <c r="I11">
        <v>0</v>
      </c>
    </row>
    <row r="12" spans="1:9">
      <c r="A12" t="s">
        <v>19</v>
      </c>
      <c r="B12">
        <v>773.4</v>
      </c>
      <c r="C12">
        <v>20617.17</v>
      </c>
      <c r="D12">
        <v>773.81</v>
      </c>
      <c r="E12">
        <v>20617.17</v>
      </c>
      <c r="F12">
        <v>771.49</v>
      </c>
      <c r="G12">
        <v>24271.91</v>
      </c>
      <c r="H12">
        <v>-1</v>
      </c>
      <c r="I12">
        <v>0</v>
      </c>
    </row>
    <row r="13" spans="1:9">
      <c r="A13" t="s">
        <v>20</v>
      </c>
      <c r="B13">
        <v>805.39</v>
      </c>
      <c r="C13">
        <v>20834.08</v>
      </c>
      <c r="D13">
        <v>805.93</v>
      </c>
      <c r="E13">
        <v>20834.08</v>
      </c>
      <c r="F13">
        <v>804.12</v>
      </c>
      <c r="G13">
        <v>24617.48</v>
      </c>
      <c r="H13">
        <v>-1</v>
      </c>
      <c r="I13">
        <v>2573.73</v>
      </c>
    </row>
    <row r="14" spans="1:9">
      <c r="A14" t="s">
        <v>21</v>
      </c>
      <c r="B14">
        <v>785.26</v>
      </c>
      <c r="C14">
        <v>20199.49</v>
      </c>
      <c r="D14">
        <v>785.64</v>
      </c>
      <c r="E14">
        <v>20199.49</v>
      </c>
      <c r="F14">
        <v>783.67</v>
      </c>
      <c r="G14">
        <v>23767.61</v>
      </c>
      <c r="H14">
        <v>-1</v>
      </c>
      <c r="I14">
        <v>0</v>
      </c>
    </row>
    <row r="15" spans="1:9">
      <c r="A15" t="s">
        <v>22</v>
      </c>
      <c r="B15">
        <v>746.76</v>
      </c>
      <c r="C15">
        <v>21683.65</v>
      </c>
      <c r="D15">
        <v>747.3</v>
      </c>
      <c r="E15">
        <v>21683.65</v>
      </c>
      <c r="F15">
        <v>745.63</v>
      </c>
      <c r="G15">
        <v>25545.82</v>
      </c>
      <c r="H15">
        <v>-1</v>
      </c>
      <c r="I15">
        <v>0</v>
      </c>
    </row>
    <row r="16" spans="1:9">
      <c r="A16" t="s">
        <v>23</v>
      </c>
      <c r="B16">
        <v>708.71</v>
      </c>
      <c r="C16">
        <v>19486.97</v>
      </c>
      <c r="D16">
        <v>709.22</v>
      </c>
      <c r="E16">
        <v>19486.97</v>
      </c>
      <c r="F16">
        <v>708.77</v>
      </c>
      <c r="G16">
        <v>22947.68</v>
      </c>
      <c r="H16">
        <v>-1</v>
      </c>
      <c r="I16">
        <v>0</v>
      </c>
    </row>
    <row r="17" spans="1:9">
      <c r="A17" t="s">
        <v>24</v>
      </c>
      <c r="B17">
        <v>725.36</v>
      </c>
      <c r="C17">
        <v>21779.92</v>
      </c>
      <c r="D17">
        <v>725.07</v>
      </c>
      <c r="E17">
        <v>21779.92</v>
      </c>
      <c r="F17">
        <v>723.41</v>
      </c>
      <c r="G17">
        <v>25715.93</v>
      </c>
      <c r="H17">
        <v>-1</v>
      </c>
      <c r="I17">
        <v>0</v>
      </c>
    </row>
    <row r="18" spans="1:9">
      <c r="A18" t="s">
        <v>25</v>
      </c>
      <c r="B18">
        <v>695.4</v>
      </c>
      <c r="C18">
        <v>20326.7</v>
      </c>
      <c r="D18">
        <v>695.77</v>
      </c>
      <c r="E18">
        <v>20326.7</v>
      </c>
      <c r="F18">
        <v>694.93</v>
      </c>
      <c r="G18">
        <v>23995.53</v>
      </c>
      <c r="H18">
        <v>-1</v>
      </c>
      <c r="I18">
        <v>0</v>
      </c>
    </row>
    <row r="19" spans="1:9">
      <c r="A19" t="s">
        <v>26</v>
      </c>
      <c r="B19">
        <v>720.1</v>
      </c>
      <c r="C19">
        <v>21605.61</v>
      </c>
      <c r="D19">
        <v>721.2</v>
      </c>
      <c r="E19">
        <v>21605.61</v>
      </c>
      <c r="F19">
        <v>718.18</v>
      </c>
      <c r="G19">
        <v>25588.74</v>
      </c>
      <c r="H19">
        <v>-1</v>
      </c>
      <c r="I19">
        <v>0</v>
      </c>
    </row>
    <row r="20" spans="1:9">
      <c r="A20" t="s">
        <v>27</v>
      </c>
      <c r="B20">
        <v>679.55</v>
      </c>
      <c r="C20">
        <v>19495.26</v>
      </c>
      <c r="D20">
        <v>678.72</v>
      </c>
      <c r="E20">
        <v>19495.26</v>
      </c>
      <c r="F20">
        <v>677.92</v>
      </c>
      <c r="G20">
        <v>23064.47</v>
      </c>
      <c r="H20">
        <v>-1</v>
      </c>
      <c r="I20">
        <v>0</v>
      </c>
    </row>
    <row r="21" spans="1:9">
      <c r="A21" t="s">
        <v>28</v>
      </c>
      <c r="B21">
        <v>528.7</v>
      </c>
      <c r="C21">
        <v>19683.41</v>
      </c>
      <c r="D21">
        <v>528.64</v>
      </c>
      <c r="E21">
        <v>19683.41</v>
      </c>
      <c r="F21">
        <v>527.6</v>
      </c>
      <c r="G21">
        <v>23159.27</v>
      </c>
      <c r="H21">
        <v>-1</v>
      </c>
      <c r="I21">
        <v>0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IFERROR(AVERAGEIF($B$2:$B$21,"&lt;700"),0)</f>
        <v>657.243333333333</v>
      </c>
      <c r="B24" s="4">
        <f>IFERROR(AVERAGEIF($D$2:$D$21,"&lt;700"),0)</f>
        <v>657.41</v>
      </c>
      <c r="C24" s="4">
        <f>IFERROR(AVERAGEIF($F$2:$F$21,"&lt;700"),0)</f>
        <v>662.241428571429</v>
      </c>
      <c r="D24" s="4">
        <f>IFERROR(AVERAGEIF($H$2:$H$21,"&lt;&gt;-1"),0)</f>
        <v>0</v>
      </c>
      <c r="E24" s="4">
        <f>IFERROR(AVERAGEIFS($C$2:$C$21,$B$2:$B$21,"&lt;700"),0)</f>
        <v>19809.8283333333</v>
      </c>
      <c r="F24" s="4">
        <f>IFERROR(AVERAGEIFS($E$2:$E$21,$D$2:$D$21,"&lt;700"),0)</f>
        <v>19809.8283333333</v>
      </c>
      <c r="G24" s="4">
        <f>IFERROR(AVERAGEIFS($G$2:$G$21,$F$2:$F$21,"&lt;700"),0)</f>
        <v>23097.2357142857</v>
      </c>
      <c r="H24" s="4">
        <f>IFERROR(AVERAGEIFS($I$2:$I$21,$H$2:$H$21,"&lt;&gt; -1"),0)</f>
        <v>0</v>
      </c>
      <c r="I24" s="4">
        <f>_xlfn.MAXIFS($B$2:$B$21,$B$2:$B$21,"&lt; 700")</f>
        <v>698.13</v>
      </c>
      <c r="J24" s="4">
        <f>_xlfn.MAXIFS($D$2:$D$21,$D$2:$D$21,"&lt; 700")</f>
        <v>698.74</v>
      </c>
      <c r="K24" s="4">
        <f>_xlfn.MAXIFS($F$2:$F$21,$F$2:$F$21,"&lt; 700")</f>
        <v>699.29</v>
      </c>
      <c r="L24" s="4">
        <f>_xlfn.MAXIFS($H$2:$H$21,$H$2:$H$21,"&lt;&gt; -1")</f>
        <v>0</v>
      </c>
      <c r="M24" s="4">
        <f>_xlfn.MINIFS($B$2:$B$21,$B$2:$B$21,"&lt;700")</f>
        <v>528.7</v>
      </c>
      <c r="N24" s="4">
        <f>_xlfn.MINIFS($D$2:$D$21,$D$2:$D$21,"&lt;700")</f>
        <v>528.64</v>
      </c>
      <c r="O24" s="4">
        <f>_xlfn.MINIFS($F$2:$F$21,$F$2:$F$21,"&lt; 700")</f>
        <v>527.6</v>
      </c>
      <c r="P24" s="4">
        <f>_xlfn.MINIFS($H$2:$H$21,$H$2:$H$21,"&lt;&gt; -1")</f>
        <v>0</v>
      </c>
      <c r="Q24" s="4">
        <f>_xlfn.MAXIFS($C$2:$C$21,$B$2:$B$21,"&lt; 700")</f>
        <v>20326.7</v>
      </c>
      <c r="R24" s="4">
        <f>_xlfn.MAXIFS($E$2:$E$21,D2:D21,"&lt; 700")</f>
        <v>20326.7</v>
      </c>
      <c r="S24" s="4">
        <f>_xlfn.MAXIFS($G$2:$G$21,$F$2:$F$21,"&lt; 700")</f>
        <v>23995.53</v>
      </c>
      <c r="T24" s="4">
        <f>_xlfn.MAXIFS($I$2:$I$21,$H$2:$H$21,"&lt;&gt; -1")</f>
        <v>0</v>
      </c>
      <c r="U24" s="4">
        <f>_xlfn.MINIFS($C$2:$C$21,$B$2:$B$21,"&lt;700")</f>
        <v>18989.16</v>
      </c>
      <c r="V24" s="4">
        <f>_xlfn.MINIFS($E$2:$E$21,$D$2:$D$21,"&lt; 700")</f>
        <v>18989.16</v>
      </c>
      <c r="W24" s="4">
        <f>_xlfn.MINIFS($G$2:$G$21,$F$2:$F$21,"&lt; 700")</f>
        <v>21367.29</v>
      </c>
      <c r="X24" s="4">
        <f>_xlfn.MINIFS($I$2:$I$21,$H$2:$H$21,"&lt;&gt; -1")</f>
        <v>0</v>
      </c>
      <c r="Y24" s="4">
        <f>(COUNTIFS($B$2:$B$21,"&gt;0.0",$B$2:$B$21,"&lt; 700.0"))/20</f>
        <v>0.3</v>
      </c>
      <c r="Z24" s="4">
        <f>(COUNTIFS($D$2:$D$21,"&gt;0.0",$D$2:$D$21,"&lt;700.0"))/20</f>
        <v>0.3</v>
      </c>
      <c r="AA24" s="4">
        <f>(COUNTIFS($F$2:$F$21,"&gt;0.0",$F$2:$F$21,"&lt;700.0"))/20</f>
        <v>0.35</v>
      </c>
      <c r="AB24" s="4">
        <f>(COUNTIFS($H$2:$H$21,"&gt;0.0",$H$2:$H$21,"&lt;700.0"))/20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zoomScale="70" zoomScaleNormal="70"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612.85</v>
      </c>
      <c r="C2">
        <v>19364.52</v>
      </c>
      <c r="D2">
        <v>613.28</v>
      </c>
      <c r="E2">
        <v>19364.52</v>
      </c>
      <c r="F2">
        <v>609.61</v>
      </c>
      <c r="G2">
        <v>22804.04</v>
      </c>
      <c r="H2">
        <v>-1</v>
      </c>
      <c r="I2">
        <v>0</v>
      </c>
    </row>
    <row r="3" spans="1:9">
      <c r="A3" t="s">
        <v>10</v>
      </c>
      <c r="B3">
        <v>678.37</v>
      </c>
      <c r="C3">
        <v>19889.62</v>
      </c>
      <c r="D3">
        <v>677.77</v>
      </c>
      <c r="E3">
        <v>19889.62</v>
      </c>
      <c r="F3">
        <v>676.67</v>
      </c>
      <c r="G3">
        <v>23542.02</v>
      </c>
      <c r="H3">
        <v>-1</v>
      </c>
      <c r="I3">
        <v>1863.73</v>
      </c>
    </row>
    <row r="4" spans="1:9">
      <c r="A4" t="s">
        <v>11</v>
      </c>
      <c r="B4">
        <v>657.77</v>
      </c>
      <c r="C4">
        <v>21015.04</v>
      </c>
      <c r="D4">
        <v>658.06</v>
      </c>
      <c r="E4">
        <v>21015.04</v>
      </c>
      <c r="F4">
        <v>656.29</v>
      </c>
      <c r="G4">
        <v>24859.4</v>
      </c>
      <c r="H4">
        <v>-1</v>
      </c>
      <c r="I4">
        <v>0</v>
      </c>
    </row>
    <row r="5" spans="1:9">
      <c r="A5" t="s">
        <v>12</v>
      </c>
      <c r="B5">
        <v>626.65</v>
      </c>
      <c r="C5">
        <v>21067.69</v>
      </c>
      <c r="D5">
        <v>626.62</v>
      </c>
      <c r="E5">
        <v>21067.69</v>
      </c>
      <c r="F5">
        <v>625.01</v>
      </c>
      <c r="G5">
        <v>24858.5</v>
      </c>
      <c r="H5">
        <v>-1</v>
      </c>
      <c r="I5">
        <v>0</v>
      </c>
    </row>
    <row r="6" spans="1:9">
      <c r="A6" t="s">
        <v>13</v>
      </c>
      <c r="B6">
        <v>595.22</v>
      </c>
      <c r="C6">
        <v>20128.98</v>
      </c>
      <c r="D6">
        <v>595.2</v>
      </c>
      <c r="E6">
        <v>20128.98</v>
      </c>
      <c r="F6">
        <v>593.65</v>
      </c>
      <c r="G6">
        <v>23706.09</v>
      </c>
      <c r="H6">
        <v>-1</v>
      </c>
      <c r="I6">
        <v>0</v>
      </c>
    </row>
    <row r="7" spans="1:9">
      <c r="A7" t="s">
        <v>14</v>
      </c>
      <c r="B7">
        <v>758.44</v>
      </c>
      <c r="C7">
        <v>19658.49</v>
      </c>
      <c r="D7">
        <v>757.79</v>
      </c>
      <c r="E7">
        <v>19658.49</v>
      </c>
      <c r="F7">
        <v>755.55</v>
      </c>
      <c r="G7">
        <v>23142.12</v>
      </c>
      <c r="H7">
        <v>-1</v>
      </c>
      <c r="I7">
        <v>0</v>
      </c>
    </row>
    <row r="8" spans="1:9">
      <c r="A8" t="s">
        <v>15</v>
      </c>
      <c r="B8">
        <v>796.44</v>
      </c>
      <c r="C8">
        <v>21035.85</v>
      </c>
      <c r="D8">
        <v>795.4</v>
      </c>
      <c r="E8">
        <v>21035.85</v>
      </c>
      <c r="F8">
        <v>794.45</v>
      </c>
      <c r="G8">
        <v>24705.53</v>
      </c>
      <c r="H8">
        <v>-1</v>
      </c>
      <c r="I8">
        <v>0</v>
      </c>
    </row>
    <row r="9" spans="1:9">
      <c r="A9" t="s">
        <v>16</v>
      </c>
      <c r="B9">
        <v>669.47</v>
      </c>
      <c r="C9">
        <v>18375.3</v>
      </c>
      <c r="D9">
        <v>669.42</v>
      </c>
      <c r="E9">
        <v>18375.3</v>
      </c>
      <c r="F9">
        <v>667.55</v>
      </c>
      <c r="G9">
        <v>21725.31</v>
      </c>
      <c r="H9">
        <v>-1</v>
      </c>
      <c r="I9">
        <v>0</v>
      </c>
    </row>
    <row r="10" spans="1:9">
      <c r="A10" t="s">
        <v>17</v>
      </c>
      <c r="B10">
        <v>683.49</v>
      </c>
      <c r="C10">
        <v>20134.95</v>
      </c>
      <c r="D10">
        <v>683.51</v>
      </c>
      <c r="E10">
        <v>20134.95</v>
      </c>
      <c r="F10">
        <v>681.84</v>
      </c>
      <c r="G10">
        <v>23792.95</v>
      </c>
      <c r="H10">
        <v>-1</v>
      </c>
      <c r="I10">
        <v>1381.89</v>
      </c>
    </row>
    <row r="11" spans="1:9">
      <c r="A11" t="s">
        <v>18</v>
      </c>
      <c r="B11">
        <v>672.49</v>
      </c>
      <c r="C11">
        <v>20112.94</v>
      </c>
      <c r="D11">
        <v>672.51</v>
      </c>
      <c r="E11">
        <v>20112.94</v>
      </c>
      <c r="F11">
        <v>670.77</v>
      </c>
      <c r="G11">
        <v>23614.28</v>
      </c>
      <c r="H11">
        <v>-1</v>
      </c>
      <c r="I11">
        <v>0</v>
      </c>
    </row>
    <row r="12" spans="1:9">
      <c r="A12" t="s">
        <v>19</v>
      </c>
      <c r="B12">
        <v>871.99</v>
      </c>
      <c r="C12">
        <v>21443.71</v>
      </c>
      <c r="D12">
        <v>872.64</v>
      </c>
      <c r="E12">
        <v>21443.71</v>
      </c>
      <c r="F12">
        <v>870.35</v>
      </c>
      <c r="G12">
        <v>25199.65</v>
      </c>
      <c r="H12">
        <v>-1</v>
      </c>
      <c r="I12">
        <v>0</v>
      </c>
    </row>
    <row r="13" spans="1:9">
      <c r="A13" t="s">
        <v>20</v>
      </c>
      <c r="B13">
        <v>979.05</v>
      </c>
      <c r="C13">
        <v>19847.81</v>
      </c>
      <c r="D13">
        <v>979.03</v>
      </c>
      <c r="E13">
        <v>19847.81</v>
      </c>
      <c r="F13">
        <v>975.41</v>
      </c>
      <c r="G13">
        <v>23407.3</v>
      </c>
      <c r="H13">
        <v>-1</v>
      </c>
      <c r="I13">
        <v>1965.39</v>
      </c>
    </row>
    <row r="14" spans="1:9">
      <c r="A14" t="s">
        <v>21</v>
      </c>
      <c r="B14">
        <v>961.47</v>
      </c>
      <c r="C14">
        <v>21507.1</v>
      </c>
      <c r="D14">
        <v>962.05</v>
      </c>
      <c r="E14">
        <v>21507.1</v>
      </c>
      <c r="F14">
        <v>960.79</v>
      </c>
      <c r="G14">
        <v>25375.75</v>
      </c>
      <c r="H14">
        <v>-1</v>
      </c>
      <c r="I14">
        <v>0</v>
      </c>
    </row>
    <row r="15" spans="1:9">
      <c r="A15" t="s">
        <v>22</v>
      </c>
      <c r="B15">
        <v>936.22</v>
      </c>
      <c r="C15">
        <v>19895.91</v>
      </c>
      <c r="D15">
        <v>937.26</v>
      </c>
      <c r="E15">
        <v>19895.91</v>
      </c>
      <c r="F15">
        <v>935.61</v>
      </c>
      <c r="G15">
        <v>23351.2</v>
      </c>
      <c r="H15">
        <v>-1</v>
      </c>
      <c r="I15">
        <v>0</v>
      </c>
    </row>
    <row r="16" spans="1:9">
      <c r="A16" t="s">
        <v>23</v>
      </c>
      <c r="B16">
        <v>937.07</v>
      </c>
      <c r="C16">
        <v>20024.28</v>
      </c>
      <c r="D16">
        <v>937.19</v>
      </c>
      <c r="E16">
        <v>20024.28</v>
      </c>
      <c r="F16">
        <v>935.87</v>
      </c>
      <c r="G16">
        <v>23498.2</v>
      </c>
      <c r="H16">
        <v>-1</v>
      </c>
      <c r="I16">
        <v>0</v>
      </c>
    </row>
    <row r="17" spans="1:9">
      <c r="A17" t="s">
        <v>24</v>
      </c>
      <c r="B17">
        <v>990.47</v>
      </c>
      <c r="C17">
        <v>22453.98</v>
      </c>
      <c r="D17">
        <v>991.4</v>
      </c>
      <c r="E17">
        <v>22453.98</v>
      </c>
      <c r="F17">
        <v>988.63</v>
      </c>
      <c r="G17">
        <v>26566.68</v>
      </c>
      <c r="H17">
        <v>-1</v>
      </c>
      <c r="I17">
        <v>0</v>
      </c>
    </row>
    <row r="18" spans="1:9">
      <c r="A18" t="s">
        <v>25</v>
      </c>
      <c r="B18">
        <v>939.68</v>
      </c>
      <c r="C18">
        <v>19967.94</v>
      </c>
      <c r="D18">
        <v>940.07</v>
      </c>
      <c r="E18">
        <v>19967.94</v>
      </c>
      <c r="F18">
        <v>937.49</v>
      </c>
      <c r="G18">
        <v>23513.36</v>
      </c>
      <c r="H18">
        <v>-1</v>
      </c>
      <c r="I18">
        <v>0</v>
      </c>
    </row>
    <row r="19" spans="1:9">
      <c r="A19" t="s">
        <v>26</v>
      </c>
      <c r="B19">
        <v>960.26</v>
      </c>
      <c r="C19">
        <v>20355.7</v>
      </c>
      <c r="D19">
        <v>961.19</v>
      </c>
      <c r="E19">
        <v>20355.7</v>
      </c>
      <c r="F19">
        <v>956.43</v>
      </c>
      <c r="G19">
        <v>23973.08</v>
      </c>
      <c r="H19">
        <v>-1</v>
      </c>
      <c r="I19">
        <v>650.72</v>
      </c>
    </row>
    <row r="20" spans="1:9">
      <c r="A20" t="s">
        <v>27</v>
      </c>
      <c r="B20">
        <v>728.33</v>
      </c>
      <c r="C20">
        <v>19074.19</v>
      </c>
      <c r="D20">
        <v>728.39</v>
      </c>
      <c r="E20">
        <v>19074.19</v>
      </c>
      <c r="F20">
        <v>726.94</v>
      </c>
      <c r="G20">
        <v>22343.27</v>
      </c>
      <c r="H20">
        <v>-1</v>
      </c>
      <c r="I20">
        <v>0</v>
      </c>
    </row>
    <row r="21" spans="1:9">
      <c r="A21" t="s">
        <v>28</v>
      </c>
      <c r="B21">
        <v>583.8</v>
      </c>
      <c r="C21">
        <v>20138.35</v>
      </c>
      <c r="D21">
        <v>583.84</v>
      </c>
      <c r="E21">
        <v>20138.35</v>
      </c>
      <c r="F21">
        <v>582.75</v>
      </c>
      <c r="G21">
        <v>23648.55</v>
      </c>
      <c r="H21">
        <v>-1</v>
      </c>
      <c r="I21">
        <v>0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IFERROR(AVERAGEIF($B$2:$B$21,"&lt;700"),0)</f>
        <v>642.234444444444</v>
      </c>
      <c r="B24" s="4">
        <f>IFERROR(AVERAGEIF($D$2:$D$21,"&lt;700"),0)</f>
        <v>642.245555555556</v>
      </c>
      <c r="C24" s="4">
        <f>IFERROR(AVERAGEIF($F$2:$F$21,"&lt;700"),0)</f>
        <v>640.46</v>
      </c>
      <c r="D24" s="4">
        <f>IFERROR(AVERAGEIF($H$2:$H$21,"&lt;&gt;-1"),0)</f>
        <v>0</v>
      </c>
      <c r="E24" s="4">
        <f>IFERROR(AVERAGEIFS($C$2:$C$21,$B$2:$B$21,"&lt;700"),0)</f>
        <v>20025.2655555556</v>
      </c>
      <c r="F24" s="4">
        <f>IFERROR(AVERAGEIFS($E$2:$E$21,$D$2:$D$21,"&lt;700"),0)</f>
        <v>20025.2655555556</v>
      </c>
      <c r="G24" s="4">
        <f>IFERROR(AVERAGEIFS($G$2:$G$21,$F$2:$F$21,"&lt;700"),0)</f>
        <v>23616.7933333333</v>
      </c>
      <c r="H24" s="4">
        <f>IFERROR(AVERAGEIFS($I$2:$I$21,$H$2:$H$21,"&lt;&gt; -1"),0)</f>
        <v>0</v>
      </c>
      <c r="I24" s="4">
        <f>_xlfn.MAXIFS($B$2:$B$21,$B$2:$B$21,"&lt; 700")</f>
        <v>683.49</v>
      </c>
      <c r="J24" s="4">
        <f>_xlfn.MAXIFS($D$2:$D$21,$D$2:$D$21,"&lt; 700")</f>
        <v>683.51</v>
      </c>
      <c r="K24" s="4">
        <f>_xlfn.MAXIFS($F$2:$F$21,$F$2:$F$21,"&lt; 700")</f>
        <v>681.84</v>
      </c>
      <c r="L24" s="4">
        <f>_xlfn.MAXIFS($H$2:$H$21,$H$2:$H$21,"&lt;&gt; -1")</f>
        <v>0</v>
      </c>
      <c r="M24" s="4">
        <f>_xlfn.MINIFS($B$2:$B$21,$B$2:$B$21,"&lt;700")</f>
        <v>583.8</v>
      </c>
      <c r="N24" s="4">
        <f>_xlfn.MINIFS($D$2:$D$21,$D$2:$D$21,"&lt;700")</f>
        <v>583.84</v>
      </c>
      <c r="O24" s="4">
        <f>_xlfn.MINIFS($F$2:$F$21,$F$2:$F$21,"&lt; 700")</f>
        <v>582.75</v>
      </c>
      <c r="P24" s="4">
        <f>_xlfn.MINIFS($H$2:$H$21,$H$2:$H$21,"&lt;&gt; -1")</f>
        <v>0</v>
      </c>
      <c r="Q24" s="4">
        <f>_xlfn.MAXIFS($C$2:$C$21,$B$2:$B$21,"&lt; 700")</f>
        <v>21067.69</v>
      </c>
      <c r="R24" s="4">
        <f>_xlfn.MAXIFS($E$2:$E$21,D2:D21,"&lt; 700")</f>
        <v>21067.69</v>
      </c>
      <c r="S24" s="4">
        <f>_xlfn.MAXIFS($G$2:$G$21,$F$2:$F$21,"&lt; 700")</f>
        <v>24859.4</v>
      </c>
      <c r="T24" s="4">
        <f>_xlfn.MAXIFS($I$2:$I$21,$H$2:$H$21,"&lt;&gt; -1")</f>
        <v>0</v>
      </c>
      <c r="U24" s="4">
        <f>_xlfn.MINIFS($C$2:$C$21,$B$2:$B$21,"&lt;700")</f>
        <v>18375.3</v>
      </c>
      <c r="V24" s="4">
        <f>_xlfn.MINIFS($E$2:$E$21,$D$2:$D$21,"&lt; 700")</f>
        <v>18375.3</v>
      </c>
      <c r="W24" s="4">
        <f>_xlfn.MINIFS($G$2:$G$21,$F$2:$F$21,"&lt; 700")</f>
        <v>21725.31</v>
      </c>
      <c r="X24" s="4">
        <f>_xlfn.MINIFS($I$2:$I$21,$H$2:$H$21,"&lt;&gt; -1")</f>
        <v>0</v>
      </c>
      <c r="Y24" s="4">
        <f>(COUNTIFS($B$2:$B$21,"&gt;0.0",$B$2:$B$21,"&lt; 700.0"))/20</f>
        <v>0.45</v>
      </c>
      <c r="Z24" s="4">
        <f>(COUNTIFS($D$2:$D$21,"&gt;0.0",$D$2:$D$21,"&lt;700.0"))/20</f>
        <v>0.45</v>
      </c>
      <c r="AA24" s="4">
        <f>(COUNTIFS($F$2:$F$21,"&gt;0.0",$F$2:$F$21,"&lt;700.0"))/20</f>
        <v>0.45</v>
      </c>
      <c r="AB24" s="4">
        <f>(COUNTIFS($H$2:$H$21,"&gt;0.0",$H$2:$H$21,"&lt;700.0"))/20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tabSelected="1" zoomScale="70" zoomScaleNormal="70" workbookViewId="0">
      <selection activeCell="E15" sqref="E15"/>
    </sheetView>
  </sheetViews>
  <sheetFormatPr defaultColWidth="8.72727272727273" defaultRowHeight="14" outlineLevelRow="6"/>
  <sheetData>
    <row r="1" spans="1:28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</row>
    <row r="2" spans="1:28">
      <c r="A2">
        <v>432.752</v>
      </c>
      <c r="B2">
        <v>432.702</v>
      </c>
      <c r="C2">
        <v>431.847</v>
      </c>
      <c r="D2">
        <v>0</v>
      </c>
      <c r="E2">
        <v>19165.9635</v>
      </c>
      <c r="F2">
        <v>19165.9635</v>
      </c>
      <c r="G2">
        <v>22571.0615</v>
      </c>
      <c r="H2">
        <v>0</v>
      </c>
      <c r="I2">
        <v>476.41</v>
      </c>
      <c r="J2">
        <v>476.33</v>
      </c>
      <c r="K2">
        <v>474.43</v>
      </c>
      <c r="L2">
        <v>0</v>
      </c>
      <c r="M2">
        <v>386.65</v>
      </c>
      <c r="N2">
        <v>386.73</v>
      </c>
      <c r="O2">
        <v>385.97</v>
      </c>
      <c r="P2">
        <v>0</v>
      </c>
      <c r="Q2">
        <v>21164.11</v>
      </c>
      <c r="R2">
        <v>21164.11</v>
      </c>
      <c r="S2">
        <v>25058.32</v>
      </c>
      <c r="T2">
        <v>0</v>
      </c>
      <c r="U2">
        <v>18251.8</v>
      </c>
      <c r="V2">
        <v>18251.8</v>
      </c>
      <c r="W2">
        <v>21442.68</v>
      </c>
      <c r="X2">
        <v>0</v>
      </c>
      <c r="Y2">
        <v>1</v>
      </c>
      <c r="Z2">
        <v>1</v>
      </c>
      <c r="AA2">
        <v>1</v>
      </c>
      <c r="AB2">
        <v>0</v>
      </c>
    </row>
    <row r="3" spans="1:28">
      <c r="A3">
        <v>420.9405</v>
      </c>
      <c r="B3">
        <v>421.0775</v>
      </c>
      <c r="C3">
        <v>419.84</v>
      </c>
      <c r="D3">
        <v>0</v>
      </c>
      <c r="E3">
        <v>19607.5135</v>
      </c>
      <c r="F3">
        <v>19607.5135</v>
      </c>
      <c r="G3">
        <v>23102.3605</v>
      </c>
      <c r="H3">
        <v>0</v>
      </c>
      <c r="I3">
        <v>558.17</v>
      </c>
      <c r="J3">
        <v>558.34</v>
      </c>
      <c r="K3">
        <v>556.44</v>
      </c>
      <c r="L3">
        <v>0</v>
      </c>
      <c r="M3">
        <v>348.5</v>
      </c>
      <c r="N3">
        <v>348.52</v>
      </c>
      <c r="O3">
        <v>347.76</v>
      </c>
      <c r="P3">
        <v>0</v>
      </c>
      <c r="Q3">
        <v>21714.51</v>
      </c>
      <c r="R3">
        <v>21714.51</v>
      </c>
      <c r="S3">
        <v>25479.33</v>
      </c>
      <c r="T3">
        <v>0</v>
      </c>
      <c r="U3">
        <v>18245.4</v>
      </c>
      <c r="V3">
        <v>18245.4</v>
      </c>
      <c r="W3">
        <v>21451.35</v>
      </c>
      <c r="X3">
        <v>0</v>
      </c>
      <c r="Y3">
        <v>1</v>
      </c>
      <c r="Z3">
        <v>1</v>
      </c>
      <c r="AA3">
        <v>1</v>
      </c>
      <c r="AB3">
        <v>0</v>
      </c>
    </row>
    <row r="4" spans="1:28">
      <c r="A4">
        <v>539.346</v>
      </c>
      <c r="B4">
        <v>539.3775</v>
      </c>
      <c r="C4">
        <v>538.1525</v>
      </c>
      <c r="D4">
        <v>0</v>
      </c>
      <c r="E4">
        <v>19523.6785</v>
      </c>
      <c r="F4">
        <v>19523.6785</v>
      </c>
      <c r="G4">
        <v>22980.2205</v>
      </c>
      <c r="H4">
        <v>0</v>
      </c>
      <c r="I4">
        <v>636.1</v>
      </c>
      <c r="J4">
        <v>636.26</v>
      </c>
      <c r="K4">
        <v>634.95</v>
      </c>
      <c r="L4">
        <v>0</v>
      </c>
      <c r="M4">
        <v>423.17</v>
      </c>
      <c r="N4">
        <v>423.13</v>
      </c>
      <c r="O4">
        <v>422.35</v>
      </c>
      <c r="P4">
        <v>0</v>
      </c>
      <c r="Q4">
        <v>21402.18</v>
      </c>
      <c r="R4">
        <v>21402.18</v>
      </c>
      <c r="S4">
        <v>25168.8</v>
      </c>
      <c r="T4">
        <v>0</v>
      </c>
      <c r="U4">
        <v>17544.51</v>
      </c>
      <c r="V4">
        <v>17544.51</v>
      </c>
      <c r="W4">
        <v>20616.66</v>
      </c>
      <c r="X4">
        <v>0</v>
      </c>
      <c r="Y4">
        <v>1</v>
      </c>
      <c r="Z4">
        <v>1</v>
      </c>
      <c r="AA4">
        <v>1</v>
      </c>
      <c r="AB4">
        <v>0</v>
      </c>
    </row>
    <row r="5" spans="1:28">
      <c r="A5">
        <v>643.971</v>
      </c>
      <c r="B5">
        <v>644.0585</v>
      </c>
      <c r="C5">
        <v>642.8245</v>
      </c>
      <c r="D5">
        <v>0</v>
      </c>
      <c r="E5">
        <v>20123.908</v>
      </c>
      <c r="F5">
        <v>20123.908</v>
      </c>
      <c r="G5">
        <v>23707.7945</v>
      </c>
      <c r="H5">
        <v>0</v>
      </c>
      <c r="I5">
        <v>672.66</v>
      </c>
      <c r="J5">
        <v>672.91</v>
      </c>
      <c r="K5">
        <v>671.9</v>
      </c>
      <c r="L5">
        <v>0</v>
      </c>
      <c r="M5">
        <v>612.15</v>
      </c>
      <c r="N5">
        <v>612.39</v>
      </c>
      <c r="O5">
        <v>612.1</v>
      </c>
      <c r="P5">
        <v>0</v>
      </c>
      <c r="Q5">
        <v>21491.43</v>
      </c>
      <c r="R5">
        <v>21491.43</v>
      </c>
      <c r="S5">
        <v>25324.84</v>
      </c>
      <c r="T5">
        <v>0</v>
      </c>
      <c r="U5">
        <v>18964.27</v>
      </c>
      <c r="V5">
        <v>18964.27</v>
      </c>
      <c r="W5">
        <v>22302.75</v>
      </c>
      <c r="X5">
        <v>0</v>
      </c>
      <c r="Y5">
        <v>1</v>
      </c>
      <c r="Z5">
        <v>1</v>
      </c>
      <c r="AA5">
        <v>1</v>
      </c>
      <c r="AB5">
        <v>0</v>
      </c>
    </row>
    <row r="6" spans="1:28">
      <c r="A6">
        <v>657.243333333333</v>
      </c>
      <c r="B6">
        <v>657.41</v>
      </c>
      <c r="C6">
        <v>662.241428571429</v>
      </c>
      <c r="D6">
        <v>0</v>
      </c>
      <c r="E6">
        <v>19809.8283333333</v>
      </c>
      <c r="F6">
        <v>19809.8283333333</v>
      </c>
      <c r="G6">
        <v>23097.2357142857</v>
      </c>
      <c r="H6">
        <v>0</v>
      </c>
      <c r="I6">
        <v>698.13</v>
      </c>
      <c r="J6">
        <v>698.74</v>
      </c>
      <c r="K6">
        <v>699.29</v>
      </c>
      <c r="L6">
        <v>0</v>
      </c>
      <c r="M6">
        <v>528.7</v>
      </c>
      <c r="N6">
        <v>528.64</v>
      </c>
      <c r="O6">
        <v>527.6</v>
      </c>
      <c r="P6">
        <v>0</v>
      </c>
      <c r="Q6">
        <v>20326.7</v>
      </c>
      <c r="R6">
        <v>20326.7</v>
      </c>
      <c r="S6">
        <v>23995.53</v>
      </c>
      <c r="T6">
        <v>0</v>
      </c>
      <c r="U6">
        <v>18989.16</v>
      </c>
      <c r="V6">
        <v>18989.16</v>
      </c>
      <c r="W6">
        <v>21367.29</v>
      </c>
      <c r="X6">
        <v>0</v>
      </c>
      <c r="Y6">
        <v>0.3</v>
      </c>
      <c r="Z6">
        <v>0.3</v>
      </c>
      <c r="AA6">
        <v>0.35</v>
      </c>
      <c r="AB6">
        <v>0</v>
      </c>
    </row>
    <row r="7" spans="1:28">
      <c r="A7">
        <v>642.234444444444</v>
      </c>
      <c r="B7">
        <v>642.245555555556</v>
      </c>
      <c r="C7">
        <v>640.46</v>
      </c>
      <c r="D7">
        <v>0</v>
      </c>
      <c r="E7">
        <v>20025.2655555556</v>
      </c>
      <c r="F7">
        <v>20025.2655555556</v>
      </c>
      <c r="G7">
        <v>23616.7933333333</v>
      </c>
      <c r="H7">
        <v>0</v>
      </c>
      <c r="I7">
        <v>683.49</v>
      </c>
      <c r="J7">
        <v>683.51</v>
      </c>
      <c r="K7">
        <v>681.84</v>
      </c>
      <c r="L7">
        <v>0</v>
      </c>
      <c r="M7">
        <v>583.8</v>
      </c>
      <c r="N7">
        <v>583.84</v>
      </c>
      <c r="O7">
        <v>582.75</v>
      </c>
      <c r="P7">
        <v>0</v>
      </c>
      <c r="Q7">
        <v>21067.69</v>
      </c>
      <c r="R7">
        <v>21067.69</v>
      </c>
      <c r="S7">
        <v>24859.4</v>
      </c>
      <c r="T7">
        <v>0</v>
      </c>
      <c r="U7">
        <v>18375.3</v>
      </c>
      <c r="V7">
        <v>18375.3</v>
      </c>
      <c r="W7">
        <v>21725.31</v>
      </c>
      <c r="X7">
        <v>0</v>
      </c>
      <c r="Y7">
        <v>0.45</v>
      </c>
      <c r="Z7">
        <v>0.45</v>
      </c>
      <c r="AA7">
        <v>0.45</v>
      </c>
      <c r="AB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2024-07-29T08:06:00Z</dcterms:created>
  <dcterms:modified xsi:type="dcterms:W3CDTF">2024-07-31T12:42:48Z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03D9BA5F0C1F4FD5A0B177BB1C897014_12</vt:lpwstr>
  </property>
  <property fmtid="{D5CDD505-2E9C-101B-9397-08002B2CF9AE}" pid="3" name="KSOProductBuildVer">
    <vt:lpwstr>2052-12.1.0.17147</vt:lpwstr>
  </property>
</Properties>
</file>