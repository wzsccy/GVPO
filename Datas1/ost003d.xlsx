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937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<sst xmlns="http://schemas.openxmlformats.org/spreadsheetml/2006/main" count="370" uniqueCount="57">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</sst>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zoomScale="70" zoomScaleNormal="70" topLeftCell="A10" workbookViewId="0">
      <selection activeCell="A24" sqref="A24:AB25"/>
    </sheetView>
  </sheetViews>
  <sheetFormatPr defaultColWidth="9" defaultRowHeight="14"/>
  <cols>
    <col min="1" max="1" width="10.9090909090909" customWidth="1"/>
    <col min="5" max="7" width="10.6363636363636"/>
    <col min="17" max="19" width="10.6363636363636"/>
    <col min="21" max="23" width="10.6363636363636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526.38</v>
      </c>
      <c r="C2">
        <v>26498.95</v>
      </c>
      <c r="D2">
        <v>525.8</v>
      </c>
      <c r="E2">
        <v>26498.95</v>
      </c>
      <c r="F2">
        <v>524.78</v>
      </c>
      <c r="G2">
        <v>29429.11</v>
      </c>
      <c r="H2">
        <v>-1</v>
      </c>
      <c r="I2">
        <v>13680.38</v>
      </c>
    </row>
    <row r="3" spans="1:9">
      <c r="A3" t="s">
        <v>10</v>
      </c>
      <c r="B3">
        <v>460.82</v>
      </c>
      <c r="C3">
        <v>27259.9</v>
      </c>
      <c r="D3">
        <v>460.87</v>
      </c>
      <c r="E3">
        <v>27259.9</v>
      </c>
      <c r="F3">
        <v>459.81</v>
      </c>
      <c r="G3">
        <v>30302.65</v>
      </c>
      <c r="H3">
        <v>-1</v>
      </c>
      <c r="I3">
        <v>1785.34</v>
      </c>
    </row>
    <row r="4" spans="1:9">
      <c r="A4" t="s">
        <v>11</v>
      </c>
      <c r="B4">
        <v>443.54</v>
      </c>
      <c r="C4">
        <v>24687.49</v>
      </c>
      <c r="D4">
        <v>443.73</v>
      </c>
      <c r="E4">
        <v>24687.49</v>
      </c>
      <c r="F4">
        <v>442.67</v>
      </c>
      <c r="G4">
        <v>27310.67</v>
      </c>
      <c r="H4">
        <v>-1</v>
      </c>
      <c r="I4">
        <v>1715.27</v>
      </c>
    </row>
    <row r="5" spans="1:9">
      <c r="A5" t="s">
        <v>12</v>
      </c>
      <c r="B5">
        <v>437.58</v>
      </c>
      <c r="C5">
        <v>24195.99</v>
      </c>
      <c r="D5">
        <v>438.4</v>
      </c>
      <c r="E5">
        <v>24195.99</v>
      </c>
      <c r="F5">
        <v>438.31</v>
      </c>
      <c r="G5">
        <v>26930.17</v>
      </c>
      <c r="H5">
        <v>-1</v>
      </c>
      <c r="I5">
        <v>14382.76</v>
      </c>
    </row>
    <row r="6" spans="1:9">
      <c r="A6" t="s">
        <v>13</v>
      </c>
      <c r="B6">
        <v>560.06</v>
      </c>
      <c r="C6">
        <v>24427.93</v>
      </c>
      <c r="D6">
        <v>560.52</v>
      </c>
      <c r="E6">
        <v>24427.93</v>
      </c>
      <c r="F6">
        <v>559.53</v>
      </c>
      <c r="G6">
        <v>26792.49</v>
      </c>
      <c r="H6">
        <v>-1</v>
      </c>
      <c r="I6">
        <v>2242.32</v>
      </c>
    </row>
    <row r="7" spans="1:9">
      <c r="A7" t="s">
        <v>14</v>
      </c>
      <c r="B7">
        <v>564.94</v>
      </c>
      <c r="C7">
        <v>26788.13</v>
      </c>
      <c r="D7">
        <v>564.65</v>
      </c>
      <c r="E7">
        <v>26788.13</v>
      </c>
      <c r="F7">
        <v>564.37</v>
      </c>
      <c r="G7">
        <v>29780.16</v>
      </c>
      <c r="H7">
        <v>-1</v>
      </c>
      <c r="I7">
        <v>5062.65</v>
      </c>
    </row>
    <row r="8" spans="1:9">
      <c r="A8" t="s">
        <v>15</v>
      </c>
      <c r="B8">
        <v>452.75</v>
      </c>
      <c r="C8">
        <v>24880.64</v>
      </c>
      <c r="D8">
        <v>452.7</v>
      </c>
      <c r="E8">
        <v>24880.64</v>
      </c>
      <c r="F8">
        <v>451.72</v>
      </c>
      <c r="G8">
        <v>27554.9</v>
      </c>
      <c r="H8">
        <v>-1</v>
      </c>
      <c r="I8">
        <v>6469.87</v>
      </c>
    </row>
    <row r="9" spans="1:9">
      <c r="A9" t="s">
        <v>16</v>
      </c>
      <c r="B9">
        <v>465.24</v>
      </c>
      <c r="C9">
        <v>26654.26</v>
      </c>
      <c r="D9">
        <v>465.31</v>
      </c>
      <c r="E9">
        <v>26654.26</v>
      </c>
      <c r="F9">
        <v>464.26</v>
      </c>
      <c r="G9">
        <v>29441.53</v>
      </c>
      <c r="H9">
        <v>-1</v>
      </c>
      <c r="I9">
        <v>11449.55</v>
      </c>
    </row>
    <row r="10" spans="1:9">
      <c r="A10" t="s">
        <v>17</v>
      </c>
      <c r="B10">
        <v>519.56</v>
      </c>
      <c r="C10">
        <v>22947.88</v>
      </c>
      <c r="D10">
        <v>519.08</v>
      </c>
      <c r="E10">
        <v>22947.88</v>
      </c>
      <c r="F10">
        <v>518.74</v>
      </c>
      <c r="G10">
        <v>25464.46</v>
      </c>
      <c r="H10">
        <v>-1</v>
      </c>
      <c r="I10">
        <v>11081.42</v>
      </c>
    </row>
    <row r="11" spans="1:9">
      <c r="A11" t="s">
        <v>18</v>
      </c>
      <c r="B11">
        <v>604.28</v>
      </c>
      <c r="C11">
        <v>25868.27</v>
      </c>
      <c r="D11">
        <v>604.16</v>
      </c>
      <c r="E11">
        <v>25868.27</v>
      </c>
      <c r="F11">
        <v>603.27</v>
      </c>
      <c r="G11">
        <v>28847.45</v>
      </c>
      <c r="H11">
        <v>-1</v>
      </c>
      <c r="I11">
        <v>2033.27</v>
      </c>
    </row>
    <row r="12" spans="1:9">
      <c r="A12" t="s">
        <v>19</v>
      </c>
      <c r="B12">
        <v>592.53</v>
      </c>
      <c r="C12">
        <v>24248.24</v>
      </c>
      <c r="D12">
        <v>593.58</v>
      </c>
      <c r="E12">
        <v>24248.24</v>
      </c>
      <c r="F12">
        <v>592.32</v>
      </c>
      <c r="G12">
        <v>27060</v>
      </c>
      <c r="H12">
        <v>-1</v>
      </c>
      <c r="I12">
        <v>10684.65</v>
      </c>
    </row>
    <row r="13" spans="1:9">
      <c r="A13" t="s">
        <v>20</v>
      </c>
      <c r="B13">
        <v>580.8</v>
      </c>
      <c r="C13">
        <v>24030.6</v>
      </c>
      <c r="D13">
        <v>580.97</v>
      </c>
      <c r="E13">
        <v>24030.6</v>
      </c>
      <c r="F13">
        <v>579.45</v>
      </c>
      <c r="G13">
        <v>26721.29</v>
      </c>
      <c r="H13">
        <v>-1</v>
      </c>
      <c r="I13">
        <v>0</v>
      </c>
    </row>
    <row r="14" spans="1:9">
      <c r="A14" t="s">
        <v>21</v>
      </c>
      <c r="B14">
        <v>564.14</v>
      </c>
      <c r="C14">
        <v>25248.3</v>
      </c>
      <c r="D14">
        <v>563.97</v>
      </c>
      <c r="E14">
        <v>25248.3</v>
      </c>
      <c r="F14">
        <v>563.26</v>
      </c>
      <c r="G14">
        <v>28009.85</v>
      </c>
      <c r="H14">
        <v>-1</v>
      </c>
      <c r="I14">
        <v>0</v>
      </c>
    </row>
    <row r="15" spans="1:9">
      <c r="A15" t="s">
        <v>22</v>
      </c>
      <c r="B15">
        <v>436.15</v>
      </c>
      <c r="C15">
        <v>25140.43</v>
      </c>
      <c r="D15">
        <v>436.17</v>
      </c>
      <c r="E15">
        <v>25140.43</v>
      </c>
      <c r="F15">
        <v>435.12</v>
      </c>
      <c r="G15">
        <v>28005.68</v>
      </c>
      <c r="H15">
        <v>-1</v>
      </c>
      <c r="I15">
        <v>0</v>
      </c>
    </row>
    <row r="16" spans="1:9">
      <c r="A16" t="s">
        <v>23</v>
      </c>
      <c r="B16">
        <v>416.19</v>
      </c>
      <c r="C16">
        <v>23307.93</v>
      </c>
      <c r="D16">
        <v>415.51</v>
      </c>
      <c r="E16">
        <v>23307.93</v>
      </c>
      <c r="F16">
        <v>414.82</v>
      </c>
      <c r="G16">
        <v>25831.22</v>
      </c>
      <c r="H16">
        <v>-1</v>
      </c>
      <c r="I16">
        <v>0</v>
      </c>
    </row>
    <row r="17" spans="1:9">
      <c r="A17" t="s">
        <v>24</v>
      </c>
      <c r="B17">
        <v>551.46</v>
      </c>
      <c r="C17">
        <v>27391.76</v>
      </c>
      <c r="D17">
        <v>551.3</v>
      </c>
      <c r="E17">
        <v>27391.76</v>
      </c>
      <c r="F17">
        <v>549.8</v>
      </c>
      <c r="G17">
        <v>30338.48</v>
      </c>
      <c r="H17">
        <v>-1</v>
      </c>
      <c r="I17">
        <v>9411.07</v>
      </c>
    </row>
    <row r="18" spans="1:9">
      <c r="A18" t="s">
        <v>25</v>
      </c>
      <c r="B18">
        <v>528.24</v>
      </c>
      <c r="C18">
        <v>24964.68</v>
      </c>
      <c r="D18">
        <v>528.84</v>
      </c>
      <c r="E18">
        <v>24964.68</v>
      </c>
      <c r="F18">
        <v>527.76</v>
      </c>
      <c r="G18">
        <v>27667.84</v>
      </c>
      <c r="H18">
        <v>-1</v>
      </c>
      <c r="I18">
        <v>7853.24</v>
      </c>
    </row>
    <row r="19" spans="1:9">
      <c r="A19" t="s">
        <v>26</v>
      </c>
      <c r="B19">
        <v>541.83</v>
      </c>
      <c r="C19">
        <v>24388.26</v>
      </c>
      <c r="D19">
        <v>542.54</v>
      </c>
      <c r="E19">
        <v>24388.26</v>
      </c>
      <c r="F19">
        <v>541.67</v>
      </c>
      <c r="G19">
        <v>27239.37</v>
      </c>
      <c r="H19">
        <v>-1</v>
      </c>
      <c r="I19">
        <v>1571.95</v>
      </c>
    </row>
    <row r="20" spans="1:9">
      <c r="A20" t="s">
        <v>27</v>
      </c>
      <c r="B20">
        <v>510.88</v>
      </c>
      <c r="C20">
        <v>25178.92</v>
      </c>
      <c r="D20">
        <v>511.99</v>
      </c>
      <c r="E20">
        <v>25178.92</v>
      </c>
      <c r="F20">
        <v>510.72</v>
      </c>
      <c r="G20">
        <v>27891.33</v>
      </c>
      <c r="H20">
        <v>-1</v>
      </c>
      <c r="I20">
        <v>7089.9</v>
      </c>
    </row>
    <row r="21" spans="1:9">
      <c r="A21" t="s">
        <v>28</v>
      </c>
      <c r="B21">
        <v>504.58</v>
      </c>
      <c r="C21">
        <v>25341.31</v>
      </c>
      <c r="D21">
        <v>504.61</v>
      </c>
      <c r="E21">
        <v>25341.31</v>
      </c>
      <c r="F21">
        <v>503.83</v>
      </c>
      <c r="G21">
        <v>28197.4</v>
      </c>
      <c r="H21">
        <v>-1</v>
      </c>
      <c r="I21">
        <v>14000.16</v>
      </c>
    </row>
    <row r="24" spans="1:28">
      <c r="A24" s="2" t="s">
        <v>29</v>
      </c>
      <c r="B24" s="2" t="s">
        <v>30</v>
      </c>
      <c r="C24" s="2" t="s">
        <v>31</v>
      </c>
      <c r="D24" s="3" t="s">
        <v>32</v>
      </c>
      <c r="E24" s="2" t="s">
        <v>33</v>
      </c>
      <c r="F24" s="2" t="s">
        <v>34</v>
      </c>
      <c r="G24" s="2" t="s">
        <v>35</v>
      </c>
      <c r="H24" s="3" t="s">
        <v>36</v>
      </c>
      <c r="I24" s="2" t="s">
        <v>37</v>
      </c>
      <c r="J24" s="2" t="s">
        <v>38</v>
      </c>
      <c r="K24" s="2" t="s">
        <v>39</v>
      </c>
      <c r="L24" s="3" t="s">
        <v>40</v>
      </c>
      <c r="M24" s="2" t="s">
        <v>41</v>
      </c>
      <c r="N24" s="2" t="s">
        <v>42</v>
      </c>
      <c r="O24" s="2" t="s">
        <v>43</v>
      </c>
      <c r="P24" s="3" t="s">
        <v>44</v>
      </c>
      <c r="Q24" s="2" t="s">
        <v>45</v>
      </c>
      <c r="R24" s="2" t="s">
        <v>46</v>
      </c>
      <c r="S24" s="2" t="s">
        <v>47</v>
      </c>
      <c r="T24" s="3" t="s">
        <v>48</v>
      </c>
      <c r="U24" s="2" t="s">
        <v>49</v>
      </c>
      <c r="V24" s="2" t="s">
        <v>50</v>
      </c>
      <c r="W24" s="2" t="s">
        <v>51</v>
      </c>
      <c r="X24" s="3" t="s">
        <v>52</v>
      </c>
      <c r="Y24" s="3" t="s">
        <v>53</v>
      </c>
      <c r="Z24" s="3" t="s">
        <v>54</v>
      </c>
      <c r="AA24" s="3" t="s">
        <v>55</v>
      </c>
      <c r="AB24" s="3" t="s">
        <v>56</v>
      </c>
    </row>
    <row r="25" spans="1:28">
      <c r="A25" s="4">
        <f>IFERROR(AVERAGEIF($B$2:$B$21,"&lt;700"),0)</f>
        <v>513.0975</v>
      </c>
      <c r="B25" s="4">
        <f>IFERROR(AVERAGEIF($D$2:$D$21,"&lt;700"),0)</f>
        <v>513.235</v>
      </c>
      <c r="C25" s="4">
        <f>IFERROR(AVERAGEIF($F$2:$F$21,"&lt;700"),0)</f>
        <v>512.3105</v>
      </c>
      <c r="D25" s="4">
        <f>IFERROR(AVERAGEIF($H$2:$H$21,"&lt;&gt;-1"),0)</f>
        <v>0</v>
      </c>
      <c r="E25" s="4">
        <f>IFERROR(AVERAGEIFS($C$2:$C$21,$B$2:$B$21,"&lt;700"),0)</f>
        <v>25172.4935</v>
      </c>
      <c r="F25" s="4">
        <f>IFERROR(AVERAGEIFS($E$2:$E$21,$D$2:$D$21,"&lt;700"),0)</f>
        <v>25172.4935</v>
      </c>
      <c r="G25" s="4">
        <f>IFERROR(AVERAGEIFS($G$2:$G$21,$F$2:$F$21,"&lt;700"),0)</f>
        <v>27940.8025</v>
      </c>
      <c r="H25" s="4">
        <f>IFERROR(AVERAGEIFS($I$2:$I$21,$H$2:$H$21,"&lt;&gt; -1"),0)</f>
        <v>0</v>
      </c>
      <c r="I25" s="4">
        <f>_xlfn.MAXIFS($B$2:$B$21,$B$2:$B$21,"&lt; 700")</f>
        <v>604.28</v>
      </c>
      <c r="J25" s="4">
        <f>_xlfn.MAXIFS($D$2:$D$21,$D$2:$D$21,"&lt; 700")</f>
        <v>604.16</v>
      </c>
      <c r="K25" s="4">
        <f>_xlfn.MAXIFS($F$2:$F$21,$F$2:$F$21,"&lt; 700")</f>
        <v>603.27</v>
      </c>
      <c r="L25" s="4">
        <f>_xlfn.MAXIFS($H$2:$H$21,$H$2:$H$21,"&lt;&gt; -1")</f>
        <v>0</v>
      </c>
      <c r="M25" s="4">
        <f>_xlfn.MINIFS($B$2:$B$21,$B$2:$B$21,"&lt;700")</f>
        <v>416.19</v>
      </c>
      <c r="N25" s="4">
        <f>_xlfn.MINIFS($D$2:$D$21,$D$2:$D$21,"&lt;700")</f>
        <v>415.51</v>
      </c>
      <c r="O25" s="4">
        <f>_xlfn.MINIFS($F$2:$F$21,$F$2:$F$21,"&lt; 700")</f>
        <v>414.82</v>
      </c>
      <c r="P25" s="4">
        <f>_xlfn.MINIFS($H$2:$H$21,$H$2:$H$21,"&lt;&gt; -1")</f>
        <v>0</v>
      </c>
      <c r="Q25" s="4">
        <f>_xlfn.MAXIFS($C$2:$C$21,$B$2:$B$21,"&lt; 700")</f>
        <v>27391.76</v>
      </c>
      <c r="R25" s="4">
        <f>_xlfn.MAXIFS($E$2:$E$21,D3:D22,"&lt; 700")</f>
        <v>27391.76</v>
      </c>
      <c r="S25" s="4">
        <f>_xlfn.MAXIFS($G$2:$G$21,$F$2:$F$21,"&lt; 700")</f>
        <v>30338.48</v>
      </c>
      <c r="T25" s="4">
        <f>_xlfn.MAXIFS($I$2:$I$21,$H$2:$H$21,"&lt;&gt; -1")</f>
        <v>0</v>
      </c>
      <c r="U25" s="4">
        <f>_xlfn.MINIFS($C$2:$C$21,$B$2:$B$21,"&lt;700")</f>
        <v>22947.88</v>
      </c>
      <c r="V25" s="4">
        <f>_xlfn.MINIFS($E$2:$E$21,$D$2:$D$21,"&lt; 700")</f>
        <v>22947.88</v>
      </c>
      <c r="W25" s="4">
        <f>_xlfn.MINIFS($G$2:$G$21,$F$2:$F$21,"&lt; 700")</f>
        <v>25464.46</v>
      </c>
      <c r="X25" s="4">
        <f>_xlfn.MINIFS($I$2:$I$21,$H$2:$H$21,"&lt;&gt; -1")</f>
        <v>0</v>
      </c>
      <c r="Y25" s="4">
        <f>(COUNTIFS($B$2:$B$21,"&gt;0.0",$B$2:$B$21,"&lt; 700.0"))/20</f>
        <v>1</v>
      </c>
      <c r="Z25" s="4">
        <f>(COUNTIFS($D$2:$D$21,"&gt;0.0",$D$2:$D$21,"&lt;700.0"))/20</f>
        <v>1</v>
      </c>
      <c r="AA25" s="4">
        <f>(COUNTIFS($F$2:$F$21,"&gt;0.0",$F$2:$F$21,"&lt;700.0"))/20</f>
        <v>1</v>
      </c>
      <c r="AB25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zoomScale="55" zoomScaleNormal="55" workbookViewId="0">
      <selection activeCell="A25" sqref="$A25:$XFD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635.95</v>
      </c>
      <c r="C2">
        <v>26759.03</v>
      </c>
      <c r="D2">
        <v>636.78</v>
      </c>
      <c r="E2">
        <v>26759.03</v>
      </c>
      <c r="F2">
        <v>634.66</v>
      </c>
      <c r="G2">
        <v>29806.09</v>
      </c>
      <c r="H2">
        <v>-1</v>
      </c>
      <c r="I2">
        <v>4688.29</v>
      </c>
    </row>
    <row r="3" spans="1:9">
      <c r="A3" t="s">
        <v>10</v>
      </c>
      <c r="B3">
        <v>616.86</v>
      </c>
      <c r="C3">
        <v>25361.73</v>
      </c>
      <c r="D3">
        <v>615.14</v>
      </c>
      <c r="E3">
        <v>25361.73</v>
      </c>
      <c r="F3">
        <v>613.29</v>
      </c>
      <c r="G3">
        <v>28205.56</v>
      </c>
      <c r="H3">
        <v>-1</v>
      </c>
      <c r="I3">
        <v>4761.16</v>
      </c>
    </row>
    <row r="4" spans="1:9">
      <c r="A4" t="s">
        <v>11</v>
      </c>
      <c r="B4">
        <v>639.18</v>
      </c>
      <c r="C4">
        <v>24221.73</v>
      </c>
      <c r="D4">
        <v>639.74</v>
      </c>
      <c r="E4">
        <v>24221.73</v>
      </c>
      <c r="F4">
        <v>636.8</v>
      </c>
      <c r="G4">
        <v>26949.61</v>
      </c>
      <c r="H4">
        <v>-1</v>
      </c>
      <c r="I4">
        <v>7052.28</v>
      </c>
    </row>
    <row r="5" spans="1:9">
      <c r="A5" t="s">
        <v>12</v>
      </c>
      <c r="B5">
        <v>632.36</v>
      </c>
      <c r="C5">
        <v>22694.1</v>
      </c>
      <c r="D5">
        <v>632.49</v>
      </c>
      <c r="E5">
        <v>22694.1</v>
      </c>
      <c r="F5">
        <v>631.69</v>
      </c>
      <c r="G5">
        <v>25367.6</v>
      </c>
      <c r="H5">
        <v>-1</v>
      </c>
      <c r="I5">
        <v>0</v>
      </c>
    </row>
    <row r="6" spans="1:9">
      <c r="A6" t="s">
        <v>13</v>
      </c>
      <c r="B6">
        <v>662.97</v>
      </c>
      <c r="C6">
        <v>24734.91</v>
      </c>
      <c r="D6">
        <v>663.5</v>
      </c>
      <c r="E6">
        <v>24734.91</v>
      </c>
      <c r="F6">
        <v>661.66</v>
      </c>
      <c r="G6">
        <v>27399.02</v>
      </c>
      <c r="H6">
        <v>-1</v>
      </c>
      <c r="I6">
        <v>4586.71</v>
      </c>
    </row>
    <row r="7" spans="1:9">
      <c r="A7" t="s">
        <v>14</v>
      </c>
      <c r="B7">
        <v>684.68</v>
      </c>
      <c r="C7">
        <v>26461.73</v>
      </c>
      <c r="D7">
        <v>684.22</v>
      </c>
      <c r="E7">
        <v>26461.73</v>
      </c>
      <c r="F7">
        <v>682.25</v>
      </c>
      <c r="G7">
        <v>29340.91</v>
      </c>
      <c r="H7">
        <v>-1</v>
      </c>
      <c r="I7">
        <v>0</v>
      </c>
    </row>
    <row r="8" spans="1:9">
      <c r="A8" t="s">
        <v>15</v>
      </c>
      <c r="B8">
        <v>636.1</v>
      </c>
      <c r="C8">
        <v>24136.57</v>
      </c>
      <c r="D8">
        <v>636.39</v>
      </c>
      <c r="E8">
        <v>24136.57</v>
      </c>
      <c r="F8">
        <v>635.27</v>
      </c>
      <c r="G8">
        <v>26923.09</v>
      </c>
      <c r="H8">
        <v>-1</v>
      </c>
      <c r="I8">
        <v>9933.67</v>
      </c>
    </row>
    <row r="9" spans="1:9">
      <c r="A9" t="s">
        <v>16</v>
      </c>
      <c r="B9">
        <v>690.06</v>
      </c>
      <c r="C9">
        <v>28356.65</v>
      </c>
      <c r="D9">
        <v>690.5</v>
      </c>
      <c r="E9">
        <v>28356.65</v>
      </c>
      <c r="F9">
        <v>689.3</v>
      </c>
      <c r="G9">
        <v>31289.19</v>
      </c>
      <c r="H9">
        <v>-1</v>
      </c>
      <c r="I9">
        <v>0</v>
      </c>
    </row>
    <row r="10" spans="1:9">
      <c r="A10" t="s">
        <v>17</v>
      </c>
      <c r="B10">
        <v>651.51</v>
      </c>
      <c r="C10">
        <v>24038.62</v>
      </c>
      <c r="D10">
        <v>650.97</v>
      </c>
      <c r="E10">
        <v>24038.62</v>
      </c>
      <c r="F10">
        <v>649.73</v>
      </c>
      <c r="G10">
        <v>26750.28</v>
      </c>
      <c r="H10">
        <v>-1</v>
      </c>
      <c r="I10">
        <v>4882.96</v>
      </c>
    </row>
    <row r="11" spans="1:9">
      <c r="A11" t="s">
        <v>18</v>
      </c>
      <c r="B11">
        <v>648.57</v>
      </c>
      <c r="C11">
        <v>24920.34</v>
      </c>
      <c r="D11">
        <v>647.83</v>
      </c>
      <c r="E11">
        <v>24920.34</v>
      </c>
      <c r="F11">
        <v>647.38</v>
      </c>
      <c r="G11">
        <v>27697.37</v>
      </c>
      <c r="H11">
        <v>-1</v>
      </c>
      <c r="I11">
        <v>5360.65</v>
      </c>
    </row>
    <row r="12" spans="1:9">
      <c r="A12" t="s">
        <v>19</v>
      </c>
      <c r="B12">
        <v>646.97</v>
      </c>
      <c r="C12">
        <v>25318.04</v>
      </c>
      <c r="D12">
        <v>646.88</v>
      </c>
      <c r="E12">
        <v>25318.04</v>
      </c>
      <c r="F12">
        <v>645.88</v>
      </c>
      <c r="G12">
        <v>28199.81</v>
      </c>
      <c r="H12">
        <v>-1</v>
      </c>
      <c r="I12">
        <v>0</v>
      </c>
    </row>
    <row r="13" spans="1:9">
      <c r="A13" t="s">
        <v>20</v>
      </c>
      <c r="B13">
        <v>639.57</v>
      </c>
      <c r="C13">
        <v>24758.59</v>
      </c>
      <c r="D13">
        <v>639.5</v>
      </c>
      <c r="E13">
        <v>24758.59</v>
      </c>
      <c r="F13">
        <v>638.67</v>
      </c>
      <c r="G13">
        <v>27555.83</v>
      </c>
      <c r="H13">
        <v>-1</v>
      </c>
      <c r="I13">
        <v>0</v>
      </c>
    </row>
    <row r="14" spans="1:9">
      <c r="A14" t="s">
        <v>21</v>
      </c>
      <c r="B14">
        <v>624.76</v>
      </c>
      <c r="C14">
        <v>23797.68</v>
      </c>
      <c r="D14">
        <v>624.07</v>
      </c>
      <c r="E14">
        <v>23797.68</v>
      </c>
      <c r="F14">
        <v>621.18</v>
      </c>
      <c r="G14">
        <v>26482.33</v>
      </c>
      <c r="H14">
        <v>-1</v>
      </c>
      <c r="I14">
        <v>4592.53</v>
      </c>
    </row>
    <row r="15" spans="1:9">
      <c r="A15" t="s">
        <v>22</v>
      </c>
      <c r="B15">
        <v>681.52</v>
      </c>
      <c r="C15">
        <v>25377.18</v>
      </c>
      <c r="D15">
        <v>681.66</v>
      </c>
      <c r="E15">
        <v>25377.18</v>
      </c>
      <c r="F15">
        <v>679.58</v>
      </c>
      <c r="G15">
        <v>28186.31</v>
      </c>
      <c r="H15">
        <v>-1</v>
      </c>
      <c r="I15">
        <v>0</v>
      </c>
    </row>
    <row r="16" spans="1:9">
      <c r="A16" t="s">
        <v>23</v>
      </c>
      <c r="B16">
        <v>650.41</v>
      </c>
      <c r="C16">
        <v>24604.29</v>
      </c>
      <c r="D16">
        <v>649.69</v>
      </c>
      <c r="E16">
        <v>24604.29</v>
      </c>
      <c r="F16">
        <v>649.06</v>
      </c>
      <c r="G16">
        <v>27230.01</v>
      </c>
      <c r="H16">
        <v>-1</v>
      </c>
      <c r="I16">
        <v>0</v>
      </c>
    </row>
    <row r="17" spans="1:9">
      <c r="A17" t="s">
        <v>24</v>
      </c>
      <c r="B17">
        <v>701.3</v>
      </c>
      <c r="C17">
        <v>27373.67</v>
      </c>
      <c r="D17">
        <v>700.66</v>
      </c>
      <c r="E17">
        <v>27373.67</v>
      </c>
      <c r="F17">
        <v>698.51</v>
      </c>
      <c r="G17">
        <v>30401.07</v>
      </c>
      <c r="H17">
        <v>-1</v>
      </c>
      <c r="I17">
        <v>0</v>
      </c>
    </row>
    <row r="18" spans="1:9">
      <c r="A18" t="s">
        <v>25</v>
      </c>
      <c r="B18">
        <v>673.15</v>
      </c>
      <c r="C18">
        <v>25223.23</v>
      </c>
      <c r="D18">
        <v>673.7</v>
      </c>
      <c r="E18">
        <v>25223.23</v>
      </c>
      <c r="F18">
        <v>670.98</v>
      </c>
      <c r="G18">
        <v>28020.83</v>
      </c>
      <c r="H18">
        <v>-1</v>
      </c>
      <c r="I18">
        <v>0</v>
      </c>
    </row>
    <row r="19" spans="1:9">
      <c r="A19" t="s">
        <v>26</v>
      </c>
      <c r="B19">
        <v>687.1</v>
      </c>
      <c r="C19">
        <v>25337.5</v>
      </c>
      <c r="D19">
        <v>688.73</v>
      </c>
      <c r="E19">
        <v>25337.5</v>
      </c>
      <c r="F19">
        <v>686.02</v>
      </c>
      <c r="G19">
        <v>28146.78</v>
      </c>
      <c r="H19">
        <v>-1</v>
      </c>
      <c r="I19">
        <v>4405.71</v>
      </c>
    </row>
    <row r="20" spans="1:9">
      <c r="A20" t="s">
        <v>27</v>
      </c>
      <c r="B20">
        <v>651.94</v>
      </c>
      <c r="C20">
        <v>25731.09</v>
      </c>
      <c r="D20">
        <v>651.53</v>
      </c>
      <c r="E20">
        <v>25731.09</v>
      </c>
      <c r="F20">
        <v>650.14</v>
      </c>
      <c r="G20">
        <v>28616.8</v>
      </c>
      <c r="H20">
        <v>-1</v>
      </c>
      <c r="I20">
        <v>4648.75</v>
      </c>
    </row>
    <row r="21" spans="1:9">
      <c r="A21" t="s">
        <v>28</v>
      </c>
      <c r="B21">
        <v>692.07</v>
      </c>
      <c r="C21">
        <v>25024.2</v>
      </c>
      <c r="D21">
        <v>691.11</v>
      </c>
      <c r="E21">
        <v>25024.2</v>
      </c>
      <c r="F21">
        <v>689.59</v>
      </c>
      <c r="G21">
        <v>27808.22</v>
      </c>
      <c r="H21">
        <v>-1</v>
      </c>
      <c r="I21">
        <v>0</v>
      </c>
    </row>
    <row r="24" spans="1:28">
      <c r="A24" s="2" t="s">
        <v>29</v>
      </c>
      <c r="B24" s="2" t="s">
        <v>30</v>
      </c>
      <c r="C24" s="2" t="s">
        <v>31</v>
      </c>
      <c r="D24" s="3" t="s">
        <v>32</v>
      </c>
      <c r="E24" s="2" t="s">
        <v>33</v>
      </c>
      <c r="F24" s="2" t="s">
        <v>34</v>
      </c>
      <c r="G24" s="2" t="s">
        <v>35</v>
      </c>
      <c r="H24" s="3" t="s">
        <v>36</v>
      </c>
      <c r="I24" s="2" t="s">
        <v>37</v>
      </c>
      <c r="J24" s="2" t="s">
        <v>38</v>
      </c>
      <c r="K24" s="2" t="s">
        <v>39</v>
      </c>
      <c r="L24" s="3" t="s">
        <v>40</v>
      </c>
      <c r="M24" s="2" t="s">
        <v>41</v>
      </c>
      <c r="N24" s="2" t="s">
        <v>42</v>
      </c>
      <c r="O24" s="2" t="s">
        <v>43</v>
      </c>
      <c r="P24" s="3" t="s">
        <v>44</v>
      </c>
      <c r="Q24" s="2" t="s">
        <v>45</v>
      </c>
      <c r="R24" s="2" t="s">
        <v>46</v>
      </c>
      <c r="S24" s="2" t="s">
        <v>47</v>
      </c>
      <c r="T24" s="3" t="s">
        <v>48</v>
      </c>
      <c r="U24" s="2" t="s">
        <v>49</v>
      </c>
      <c r="V24" s="2" t="s">
        <v>50</v>
      </c>
      <c r="W24" s="2" t="s">
        <v>51</v>
      </c>
      <c r="X24" s="3" t="s">
        <v>52</v>
      </c>
      <c r="Y24" s="3" t="s">
        <v>53</v>
      </c>
      <c r="Z24" s="3" t="s">
        <v>54</v>
      </c>
      <c r="AA24" s="3" t="s">
        <v>55</v>
      </c>
      <c r="AB24" s="3" t="s">
        <v>56</v>
      </c>
    </row>
    <row r="25" spans="1:28">
      <c r="A25" s="4">
        <f>IFERROR(AVERAGEIF($B$2:$B$21,"&lt;700"),0)</f>
        <v>655.038421052632</v>
      </c>
      <c r="B25" s="4">
        <f>IFERROR(AVERAGEIF($D$2:$D$21,"&lt;700"),0)</f>
        <v>654.97</v>
      </c>
      <c r="C25" s="4">
        <f>IFERROR(AVERAGEIF($F$2:$F$21,"&lt;700"),0)</f>
        <v>655.582</v>
      </c>
      <c r="D25" s="4">
        <f>IFERROR(AVERAGEIF($H$2:$H$21,"&lt;&gt;-1"),0)</f>
        <v>0</v>
      </c>
      <c r="E25" s="4">
        <f>IFERROR(AVERAGEIFS($C$2:$C$21,$B$2:$B$21,"&lt;700"),0)</f>
        <v>25097.7478947368</v>
      </c>
      <c r="F25" s="4">
        <f>IFERROR(AVERAGEIFS($E$2:$E$21,$D$2:$D$21,"&lt;700"),0)</f>
        <v>25097.7478947368</v>
      </c>
      <c r="G25" s="4">
        <f>IFERROR(AVERAGEIFS($G$2:$G$21,$F$2:$F$21,"&lt;700"),0)</f>
        <v>28018.8355</v>
      </c>
      <c r="H25" s="4">
        <f>IFERROR(AVERAGEIFS($I$2:$I$21,$H$2:$H$21,"&lt;&gt; -1"),0)</f>
        <v>0</v>
      </c>
      <c r="I25" s="4">
        <f>_xlfn.MAXIFS($B$2:$B$21,$B$2:$B$21,"&lt; 700")</f>
        <v>692.07</v>
      </c>
      <c r="J25" s="4">
        <f>_xlfn.MAXIFS($D$2:$D$21,$D$2:$D$21,"&lt; 700")</f>
        <v>691.11</v>
      </c>
      <c r="K25" s="4">
        <f>_xlfn.MAXIFS($F$2:$F$21,$F$2:$F$21,"&lt; 700")</f>
        <v>698.51</v>
      </c>
      <c r="L25" s="4">
        <f>_xlfn.MAXIFS($H$2:$H$21,$H$2:$H$21,"&lt;&gt; -1")</f>
        <v>0</v>
      </c>
      <c r="M25" s="4">
        <f>_xlfn.MINIFS($B$2:$B$21,$B$2:$B$21,"&lt;700")</f>
        <v>616.86</v>
      </c>
      <c r="N25" s="4">
        <f>_xlfn.MINIFS($D$2:$D$21,$D$2:$D$21,"&lt;700")</f>
        <v>615.14</v>
      </c>
      <c r="O25" s="4">
        <f>_xlfn.MINIFS($F$2:$F$21,$F$2:$F$21,"&lt; 700")</f>
        <v>613.29</v>
      </c>
      <c r="P25" s="4">
        <f>_xlfn.MINIFS($H$2:$H$21,$H$2:$H$21,"&lt;&gt; -1")</f>
        <v>0</v>
      </c>
      <c r="Q25" s="4">
        <f>_xlfn.MAXIFS($C$2:$C$21,$B$2:$B$21,"&lt; 700")</f>
        <v>28356.65</v>
      </c>
      <c r="R25" s="4">
        <f>_xlfn.MAXIFS($E$2:$E$21,D3:D22,"&lt; 700")</f>
        <v>28356.65</v>
      </c>
      <c r="S25" s="4">
        <f>_xlfn.MAXIFS($G$2:$G$21,$F$2:$F$21,"&lt; 700")</f>
        <v>31289.19</v>
      </c>
      <c r="T25" s="4">
        <f>_xlfn.MAXIFS($I$2:$I$21,$H$2:$H$21,"&lt;&gt; -1")</f>
        <v>0</v>
      </c>
      <c r="U25" s="4">
        <f>_xlfn.MINIFS($C$2:$C$21,$B$2:$B$21,"&lt;700")</f>
        <v>22694.1</v>
      </c>
      <c r="V25" s="4">
        <f>_xlfn.MINIFS($E$2:$E$21,$D$2:$D$21,"&lt; 700")</f>
        <v>22694.1</v>
      </c>
      <c r="W25" s="4">
        <f>_xlfn.MINIFS($G$2:$G$21,$F$2:$F$21,"&lt; 700")</f>
        <v>25367.6</v>
      </c>
      <c r="X25" s="4">
        <f>_xlfn.MINIFS($I$2:$I$21,$H$2:$H$21,"&lt;&gt; -1")</f>
        <v>0</v>
      </c>
      <c r="Y25" s="4">
        <f>(COUNTIFS($B$2:$B$21,"&gt;0.0",$B$2:$B$21,"&lt; 700.0"))/20</f>
        <v>0.95</v>
      </c>
      <c r="Z25" s="4">
        <f>(COUNTIFS($D$2:$D$21,"&gt;0.0",$D$2:$D$21,"&lt;700.0"))/20</f>
        <v>0.95</v>
      </c>
      <c r="AA25" s="4">
        <f>(COUNTIFS($F$2:$F$21,"&gt;0.0",$F$2:$F$21,"&lt;700.0"))/20</f>
        <v>1</v>
      </c>
      <c r="AB25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788.16</v>
      </c>
      <c r="C2">
        <v>26556.19</v>
      </c>
      <c r="D2">
        <v>788.82</v>
      </c>
      <c r="E2">
        <v>26556.19</v>
      </c>
      <c r="F2">
        <v>786.43</v>
      </c>
      <c r="G2">
        <v>29508.02</v>
      </c>
      <c r="H2">
        <v>-1</v>
      </c>
      <c r="I2">
        <v>0</v>
      </c>
    </row>
    <row r="3" spans="1:9">
      <c r="A3" t="s">
        <v>10</v>
      </c>
      <c r="B3">
        <v>773.29</v>
      </c>
      <c r="C3">
        <v>27147.99</v>
      </c>
      <c r="D3">
        <v>772.38</v>
      </c>
      <c r="E3">
        <v>27147.99</v>
      </c>
      <c r="F3">
        <v>771.47</v>
      </c>
      <c r="G3">
        <v>30057.82</v>
      </c>
      <c r="H3">
        <v>-1</v>
      </c>
      <c r="I3">
        <v>0</v>
      </c>
    </row>
    <row r="4" spans="1:9">
      <c r="A4" t="s">
        <v>11</v>
      </c>
      <c r="B4">
        <v>749.38</v>
      </c>
      <c r="C4">
        <v>25313.58</v>
      </c>
      <c r="D4">
        <v>748.88</v>
      </c>
      <c r="E4">
        <v>25313.58</v>
      </c>
      <c r="F4">
        <v>747.04</v>
      </c>
      <c r="G4">
        <v>28156.01</v>
      </c>
      <c r="H4">
        <v>-1</v>
      </c>
      <c r="I4">
        <v>0</v>
      </c>
    </row>
    <row r="5" spans="1:9">
      <c r="A5" t="s">
        <v>12</v>
      </c>
      <c r="B5">
        <v>730.8</v>
      </c>
      <c r="C5">
        <v>24585.2</v>
      </c>
      <c r="D5">
        <v>730.42</v>
      </c>
      <c r="E5">
        <v>24585.2</v>
      </c>
      <c r="F5">
        <v>728.18</v>
      </c>
      <c r="G5">
        <v>27419.47</v>
      </c>
      <c r="H5">
        <v>-1</v>
      </c>
      <c r="I5">
        <v>0</v>
      </c>
    </row>
    <row r="6" spans="1:9">
      <c r="A6" t="s">
        <v>13</v>
      </c>
      <c r="B6">
        <v>770.53</v>
      </c>
      <c r="C6">
        <v>25713.04</v>
      </c>
      <c r="D6">
        <v>769.34</v>
      </c>
      <c r="E6">
        <v>25713.04</v>
      </c>
      <c r="F6">
        <v>768.54</v>
      </c>
      <c r="G6">
        <v>28521.4</v>
      </c>
      <c r="H6">
        <v>-1</v>
      </c>
      <c r="I6">
        <v>0</v>
      </c>
    </row>
    <row r="7" spans="1:9">
      <c r="A7" t="s">
        <v>14</v>
      </c>
      <c r="B7">
        <v>775.24</v>
      </c>
      <c r="C7">
        <v>25090.05</v>
      </c>
      <c r="D7">
        <v>775.45</v>
      </c>
      <c r="E7">
        <v>25090.05</v>
      </c>
      <c r="F7">
        <v>774.33</v>
      </c>
      <c r="G7">
        <v>27854.35</v>
      </c>
      <c r="H7">
        <v>-1</v>
      </c>
      <c r="I7">
        <v>0</v>
      </c>
    </row>
    <row r="8" spans="1:9">
      <c r="A8" t="s">
        <v>15</v>
      </c>
      <c r="B8">
        <v>709.07</v>
      </c>
      <c r="C8">
        <v>24184.67</v>
      </c>
      <c r="D8">
        <v>709.62</v>
      </c>
      <c r="E8">
        <v>24184.67</v>
      </c>
      <c r="F8">
        <v>707.94</v>
      </c>
      <c r="G8">
        <v>26844.14</v>
      </c>
      <c r="H8">
        <v>-1</v>
      </c>
      <c r="I8">
        <v>0</v>
      </c>
    </row>
    <row r="9" spans="1:9">
      <c r="A9" t="s">
        <v>16</v>
      </c>
      <c r="B9">
        <v>831.01</v>
      </c>
      <c r="C9">
        <v>26037.25</v>
      </c>
      <c r="D9">
        <v>831.76</v>
      </c>
      <c r="E9">
        <v>26037.25</v>
      </c>
      <c r="F9">
        <v>831.36</v>
      </c>
      <c r="G9">
        <v>28812.15</v>
      </c>
      <c r="H9">
        <v>-1</v>
      </c>
      <c r="I9">
        <v>0</v>
      </c>
    </row>
    <row r="10" spans="1:9">
      <c r="A10" t="s">
        <v>17</v>
      </c>
      <c r="B10">
        <v>747.29</v>
      </c>
      <c r="C10">
        <v>24347.76</v>
      </c>
      <c r="D10">
        <v>747.3</v>
      </c>
      <c r="E10">
        <v>24347.76</v>
      </c>
      <c r="F10">
        <v>745.4</v>
      </c>
      <c r="G10">
        <v>26967.36</v>
      </c>
      <c r="H10">
        <v>-1</v>
      </c>
      <c r="I10">
        <v>0</v>
      </c>
    </row>
    <row r="11" spans="1:9">
      <c r="A11" t="s">
        <v>18</v>
      </c>
      <c r="B11">
        <v>738.9</v>
      </c>
      <c r="C11">
        <v>24462.02</v>
      </c>
      <c r="D11">
        <v>739.54</v>
      </c>
      <c r="E11">
        <v>24462.02</v>
      </c>
      <c r="F11">
        <v>736.59</v>
      </c>
      <c r="G11">
        <v>27234.94</v>
      </c>
      <c r="H11">
        <v>-1</v>
      </c>
      <c r="I11">
        <v>0</v>
      </c>
    </row>
    <row r="12" spans="1:9">
      <c r="A12" t="s">
        <v>19</v>
      </c>
      <c r="B12">
        <v>738.55</v>
      </c>
      <c r="C12">
        <v>23902.98</v>
      </c>
      <c r="D12">
        <v>738.77</v>
      </c>
      <c r="E12">
        <v>23902.98</v>
      </c>
      <c r="F12">
        <v>737.6</v>
      </c>
      <c r="G12">
        <v>26637.1</v>
      </c>
      <c r="H12">
        <v>-1</v>
      </c>
      <c r="I12">
        <v>0</v>
      </c>
    </row>
    <row r="13" spans="1:9">
      <c r="A13" t="s">
        <v>20</v>
      </c>
      <c r="B13">
        <v>698.19</v>
      </c>
      <c r="C13">
        <v>24070.9</v>
      </c>
      <c r="D13">
        <v>697.58</v>
      </c>
      <c r="E13">
        <v>24070.9</v>
      </c>
      <c r="F13">
        <v>695.19</v>
      </c>
      <c r="G13">
        <v>26768.46</v>
      </c>
      <c r="H13">
        <v>-1</v>
      </c>
      <c r="I13">
        <v>0</v>
      </c>
    </row>
    <row r="14" spans="1:9">
      <c r="A14" t="s">
        <v>21</v>
      </c>
      <c r="B14">
        <v>743.92</v>
      </c>
      <c r="C14">
        <v>23525.67</v>
      </c>
      <c r="D14">
        <v>742.94</v>
      </c>
      <c r="E14">
        <v>23525.67</v>
      </c>
      <c r="F14">
        <v>741.43</v>
      </c>
      <c r="G14">
        <v>26143.18</v>
      </c>
      <c r="H14">
        <v>-1</v>
      </c>
      <c r="I14">
        <v>0</v>
      </c>
    </row>
    <row r="15" spans="1:9">
      <c r="A15" t="s">
        <v>22</v>
      </c>
      <c r="B15">
        <v>830.82</v>
      </c>
      <c r="C15">
        <v>25541.64</v>
      </c>
      <c r="D15">
        <v>831.51</v>
      </c>
      <c r="E15">
        <v>25541.64</v>
      </c>
      <c r="F15">
        <v>829.27</v>
      </c>
      <c r="G15">
        <v>28351.91</v>
      </c>
      <c r="H15">
        <v>-1</v>
      </c>
      <c r="I15">
        <v>0</v>
      </c>
    </row>
    <row r="16" spans="1:9">
      <c r="A16" t="s">
        <v>23</v>
      </c>
      <c r="B16">
        <v>815.67</v>
      </c>
      <c r="C16">
        <v>26048.3</v>
      </c>
      <c r="D16">
        <v>816.13</v>
      </c>
      <c r="E16">
        <v>26048.3</v>
      </c>
      <c r="F16">
        <v>814.41</v>
      </c>
      <c r="G16">
        <v>28839.04</v>
      </c>
      <c r="H16">
        <v>-1</v>
      </c>
      <c r="I16">
        <v>0</v>
      </c>
    </row>
    <row r="17" spans="1:9">
      <c r="A17" t="s">
        <v>24</v>
      </c>
      <c r="B17">
        <v>840.25</v>
      </c>
      <c r="C17">
        <v>25720.05</v>
      </c>
      <c r="D17">
        <v>840.42</v>
      </c>
      <c r="E17">
        <v>25720.05</v>
      </c>
      <c r="F17">
        <v>839.18</v>
      </c>
      <c r="G17">
        <v>28567.79</v>
      </c>
      <c r="H17">
        <v>-1</v>
      </c>
      <c r="I17">
        <v>0</v>
      </c>
    </row>
    <row r="18" spans="1:9">
      <c r="A18" t="s">
        <v>25</v>
      </c>
      <c r="B18">
        <v>770.33</v>
      </c>
      <c r="C18">
        <v>24874.46</v>
      </c>
      <c r="D18">
        <v>771.57</v>
      </c>
      <c r="E18">
        <v>24874.46</v>
      </c>
      <c r="F18">
        <v>770.17</v>
      </c>
      <c r="G18">
        <v>27720.95</v>
      </c>
      <c r="H18">
        <v>-1</v>
      </c>
      <c r="I18">
        <v>0</v>
      </c>
    </row>
    <row r="19" spans="1:9">
      <c r="A19" t="s">
        <v>26</v>
      </c>
      <c r="B19">
        <v>753.54</v>
      </c>
      <c r="C19">
        <v>25816.21</v>
      </c>
      <c r="D19">
        <v>752.55</v>
      </c>
      <c r="E19">
        <v>25816.21</v>
      </c>
      <c r="F19">
        <v>752.82</v>
      </c>
      <c r="G19">
        <v>28778.85</v>
      </c>
      <c r="H19">
        <v>-1</v>
      </c>
      <c r="I19">
        <v>6398.35</v>
      </c>
    </row>
    <row r="20" spans="1:9">
      <c r="A20" t="s">
        <v>27</v>
      </c>
      <c r="B20">
        <v>724.89</v>
      </c>
      <c r="C20">
        <v>25964.33</v>
      </c>
      <c r="D20">
        <v>724.82</v>
      </c>
      <c r="E20">
        <v>25964.33</v>
      </c>
      <c r="F20">
        <v>722.2</v>
      </c>
      <c r="G20">
        <v>28911.38</v>
      </c>
      <c r="H20">
        <v>-1</v>
      </c>
      <c r="I20">
        <v>0</v>
      </c>
    </row>
    <row r="21" spans="1:9">
      <c r="A21" t="s">
        <v>28</v>
      </c>
      <c r="B21">
        <v>754.68</v>
      </c>
      <c r="C21">
        <v>25867.66</v>
      </c>
      <c r="D21">
        <v>754.16</v>
      </c>
      <c r="E21">
        <v>25867.66</v>
      </c>
      <c r="F21">
        <v>752.45</v>
      </c>
      <c r="G21">
        <v>28680.13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698.19</v>
      </c>
      <c r="B24" s="4">
        <f>IFERROR(AVERAGEIF($D$2:$D$21,"&lt;700"),0)</f>
        <v>697.58</v>
      </c>
      <c r="C24" s="4">
        <f>IFERROR(AVERAGEIF($F$2:$F$21,"&lt;700"),0)</f>
        <v>695.19</v>
      </c>
      <c r="D24" s="4">
        <f>IFERROR(AVERAGEIF($H$2:$H$21,"&lt;&gt;-1"),0)</f>
        <v>0</v>
      </c>
      <c r="E24" s="4">
        <f>IFERROR(AVERAGEIFS($C$2:$C$21,$B$2:$B$21,"&lt;700"),0)</f>
        <v>24070.9</v>
      </c>
      <c r="F24" s="4">
        <f>IFERROR(AVERAGEIFS($E$2:$E$21,$D$2:$D$21,"&lt;700"),0)</f>
        <v>24070.9</v>
      </c>
      <c r="G24" s="4">
        <f>IFERROR(AVERAGEIFS($G$2:$G$21,$F$2:$F$21,"&lt;700"),0)</f>
        <v>26768.46</v>
      </c>
      <c r="H24" s="4">
        <f>IFERROR(AVERAGEIFS($I$2:$I$21,$H$2:$H$21,"&lt;&gt; -1"),0)</f>
        <v>0</v>
      </c>
      <c r="I24" s="4">
        <f>_xlfn.MAXIFS($B$2:$B$21,$B$2:$B$21,"&lt; 700")</f>
        <v>698.19</v>
      </c>
      <c r="J24" s="4">
        <f>_xlfn.MAXIFS($D$2:$D$21,$D$2:$D$21,"&lt; 700")</f>
        <v>697.58</v>
      </c>
      <c r="K24" s="4">
        <f>_xlfn.MAXIFS($F$2:$F$21,$F$2:$F$21,"&lt; 700")</f>
        <v>695.19</v>
      </c>
      <c r="L24" s="4">
        <f>_xlfn.MAXIFS($H$2:$H$21,$H$2:$H$21,"&lt;&gt; -1")</f>
        <v>0</v>
      </c>
      <c r="M24" s="4">
        <f>_xlfn.MINIFS($B$2:$B$21,$B$2:$B$21,"&lt;700")</f>
        <v>698.19</v>
      </c>
      <c r="N24" s="4">
        <f>_xlfn.MINIFS($D$2:$D$21,$D$2:$D$21,"&lt;700")</f>
        <v>697.58</v>
      </c>
      <c r="O24" s="4">
        <f>_xlfn.MINIFS($F$2:$F$21,$F$2:$F$21,"&lt; 700")</f>
        <v>695.19</v>
      </c>
      <c r="P24" s="4">
        <f>_xlfn.MINIFS($H$2:$H$21,$H$2:$H$21,"&lt;&gt; -1")</f>
        <v>0</v>
      </c>
      <c r="Q24" s="4">
        <f>_xlfn.MAXIFS($C$2:$C$21,$B$2:$B$21,"&lt; 700")</f>
        <v>24070.9</v>
      </c>
      <c r="R24" s="4">
        <f>_xlfn.MAXIFS($E$2:$E$21,D2:D21,"&lt; 700")</f>
        <v>24070.9</v>
      </c>
      <c r="S24" s="4">
        <f>_xlfn.MAXIFS($G$2:$G$21,$F$2:$F$21,"&lt; 700")</f>
        <v>26768.46</v>
      </c>
      <c r="T24" s="4">
        <f>_xlfn.MAXIFS($I$2:$I$21,$H$2:$H$21,"&lt;&gt; -1")</f>
        <v>0</v>
      </c>
      <c r="U24" s="4">
        <f>_xlfn.MINIFS($C$2:$C$21,$B$2:$B$21,"&lt;700")</f>
        <v>24070.9</v>
      </c>
      <c r="V24" s="4">
        <f>_xlfn.MINIFS($E$2:$E$21,$D$2:$D$21,"&lt; 700")</f>
        <v>24070.9</v>
      </c>
      <c r="W24" s="4">
        <f>_xlfn.MINIFS($G$2:$G$21,$F$2:$F$21,"&lt; 700")</f>
        <v>26768.46</v>
      </c>
      <c r="X24" s="4">
        <f>_xlfn.MINIFS($I$2:$I$21,$H$2:$H$21,"&lt;&gt; -1")</f>
        <v>0</v>
      </c>
      <c r="Y24" s="4">
        <f>(COUNTIFS($B$2:$B$21,"&gt;0.0",$B$2:$B$21,"&lt; 700.0"))/20</f>
        <v>0.05</v>
      </c>
      <c r="Z24" s="4">
        <f>(COUNTIFS($D$2:$D$21,"&gt;0.0",$D$2:$D$21,"&lt;700.0"))/20</f>
        <v>0.05</v>
      </c>
      <c r="AA24" s="4">
        <f>(COUNTIFS($F$2:$F$21,"&gt;0.0",$F$2:$F$21,"&lt;700.0"))/20</f>
        <v>0.05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873.12</v>
      </c>
      <c r="C2">
        <v>26040.11</v>
      </c>
      <c r="D2">
        <v>873</v>
      </c>
      <c r="E2">
        <v>26040.11</v>
      </c>
      <c r="F2">
        <v>872.11</v>
      </c>
      <c r="G2">
        <v>28897.21</v>
      </c>
      <c r="H2">
        <v>-1</v>
      </c>
      <c r="I2">
        <v>0</v>
      </c>
    </row>
    <row r="3" spans="1:9">
      <c r="A3" t="s">
        <v>10</v>
      </c>
      <c r="B3">
        <v>751.51</v>
      </c>
      <c r="C3">
        <v>26119.95</v>
      </c>
      <c r="D3">
        <v>751.44</v>
      </c>
      <c r="E3">
        <v>26119.95</v>
      </c>
      <c r="F3">
        <v>750.36</v>
      </c>
      <c r="G3">
        <v>28935.86</v>
      </c>
      <c r="H3">
        <v>-1</v>
      </c>
      <c r="I3">
        <v>0</v>
      </c>
    </row>
    <row r="4" spans="1:9">
      <c r="A4" t="s">
        <v>11</v>
      </c>
      <c r="B4">
        <v>682.09</v>
      </c>
      <c r="C4">
        <v>25579.52</v>
      </c>
      <c r="D4">
        <v>682.1</v>
      </c>
      <c r="E4">
        <v>25579.52</v>
      </c>
      <c r="F4">
        <v>680.89</v>
      </c>
      <c r="G4">
        <v>28441.8</v>
      </c>
      <c r="H4">
        <v>-1</v>
      </c>
      <c r="I4">
        <v>0</v>
      </c>
    </row>
    <row r="5" spans="1:9">
      <c r="A5" t="s">
        <v>12</v>
      </c>
      <c r="B5">
        <v>717.82</v>
      </c>
      <c r="C5">
        <v>23597.12</v>
      </c>
      <c r="D5">
        <v>717.92</v>
      </c>
      <c r="E5">
        <v>23597.12</v>
      </c>
      <c r="F5">
        <v>716.86</v>
      </c>
      <c r="G5">
        <v>26248.29</v>
      </c>
      <c r="H5">
        <v>-1</v>
      </c>
      <c r="I5">
        <v>0</v>
      </c>
    </row>
    <row r="6" spans="1:9">
      <c r="A6" t="s">
        <v>13</v>
      </c>
      <c r="B6">
        <v>700.73</v>
      </c>
      <c r="C6">
        <v>24126.74</v>
      </c>
      <c r="D6">
        <v>700.79</v>
      </c>
      <c r="E6">
        <v>24126.74</v>
      </c>
      <c r="F6">
        <v>699.96</v>
      </c>
      <c r="G6">
        <v>26855.85</v>
      </c>
      <c r="H6">
        <v>-1</v>
      </c>
      <c r="I6">
        <v>0</v>
      </c>
    </row>
    <row r="7" spans="1:9">
      <c r="A7" t="s">
        <v>14</v>
      </c>
      <c r="B7">
        <v>676.99</v>
      </c>
      <c r="C7">
        <v>25209.05</v>
      </c>
      <c r="D7">
        <v>676.96</v>
      </c>
      <c r="E7">
        <v>25209.05</v>
      </c>
      <c r="F7">
        <v>675.81</v>
      </c>
      <c r="G7">
        <v>27986.48</v>
      </c>
      <c r="H7">
        <v>-1</v>
      </c>
      <c r="I7">
        <v>0</v>
      </c>
    </row>
    <row r="8" spans="1:9">
      <c r="A8" t="s">
        <v>15</v>
      </c>
      <c r="B8">
        <v>631.33</v>
      </c>
      <c r="C8">
        <v>23520.18</v>
      </c>
      <c r="D8">
        <v>631.29</v>
      </c>
      <c r="E8">
        <v>23520.18</v>
      </c>
      <c r="F8">
        <v>630.02</v>
      </c>
      <c r="G8">
        <v>26105.47</v>
      </c>
      <c r="H8">
        <v>-1</v>
      </c>
      <c r="I8">
        <v>0</v>
      </c>
    </row>
    <row r="9" spans="1:9">
      <c r="A9" t="s">
        <v>16</v>
      </c>
      <c r="B9">
        <v>854.74</v>
      </c>
      <c r="C9">
        <v>26400.78</v>
      </c>
      <c r="D9">
        <v>854.21</v>
      </c>
      <c r="E9">
        <v>26400.78</v>
      </c>
      <c r="F9">
        <v>854.01</v>
      </c>
      <c r="G9">
        <v>29339.59</v>
      </c>
      <c r="H9">
        <v>-1</v>
      </c>
      <c r="I9">
        <v>0</v>
      </c>
    </row>
    <row r="10" spans="1:9">
      <c r="A10" t="s">
        <v>17</v>
      </c>
      <c r="B10">
        <v>842.93</v>
      </c>
      <c r="C10">
        <v>24747.45</v>
      </c>
      <c r="D10">
        <v>843</v>
      </c>
      <c r="E10">
        <v>24747.45</v>
      </c>
      <c r="F10">
        <v>841.31</v>
      </c>
      <c r="G10">
        <v>27491.36</v>
      </c>
      <c r="H10">
        <v>-1</v>
      </c>
      <c r="I10">
        <v>0</v>
      </c>
    </row>
    <row r="11" spans="1:9">
      <c r="A11" t="s">
        <v>18</v>
      </c>
      <c r="B11">
        <v>752.85</v>
      </c>
      <c r="C11">
        <v>25477.2</v>
      </c>
      <c r="D11">
        <v>752.89</v>
      </c>
      <c r="E11">
        <v>25477.2</v>
      </c>
      <c r="F11">
        <v>751.1</v>
      </c>
      <c r="G11">
        <v>28410.61</v>
      </c>
      <c r="H11">
        <v>-1</v>
      </c>
      <c r="I11">
        <v>0</v>
      </c>
    </row>
    <row r="12" spans="1:9">
      <c r="A12" t="s">
        <v>19</v>
      </c>
      <c r="B12">
        <v>738.13</v>
      </c>
      <c r="C12">
        <v>26995.75</v>
      </c>
      <c r="D12">
        <v>737.99</v>
      </c>
      <c r="E12">
        <v>26995.75</v>
      </c>
      <c r="F12">
        <v>736.54</v>
      </c>
      <c r="G12">
        <v>30154.13</v>
      </c>
      <c r="H12">
        <v>-1</v>
      </c>
      <c r="I12">
        <v>0</v>
      </c>
    </row>
    <row r="13" spans="1:9">
      <c r="A13" t="s">
        <v>20</v>
      </c>
      <c r="B13">
        <v>680.85</v>
      </c>
      <c r="C13">
        <v>23759.93</v>
      </c>
      <c r="D13">
        <v>680.84</v>
      </c>
      <c r="E13">
        <v>23759.93</v>
      </c>
      <c r="F13">
        <v>679.46</v>
      </c>
      <c r="G13">
        <v>26457.31</v>
      </c>
      <c r="H13">
        <v>-1</v>
      </c>
      <c r="I13">
        <v>0</v>
      </c>
    </row>
    <row r="14" spans="1:9">
      <c r="A14" t="s">
        <v>21</v>
      </c>
      <c r="B14">
        <v>953.01</v>
      </c>
      <c r="C14">
        <v>23405.31</v>
      </c>
      <c r="D14">
        <v>953.08</v>
      </c>
      <c r="E14">
        <v>23405.31</v>
      </c>
      <c r="F14">
        <v>950.56</v>
      </c>
      <c r="G14">
        <v>25934.78</v>
      </c>
      <c r="H14">
        <v>-1</v>
      </c>
      <c r="I14">
        <v>0</v>
      </c>
    </row>
    <row r="15" spans="1:9">
      <c r="A15" t="s">
        <v>22</v>
      </c>
      <c r="B15">
        <v>1022.93</v>
      </c>
      <c r="C15">
        <v>26431.65</v>
      </c>
      <c r="D15">
        <v>1020.42</v>
      </c>
      <c r="E15">
        <v>26431.65</v>
      </c>
      <c r="F15">
        <v>1020.87</v>
      </c>
      <c r="G15">
        <v>29314.04</v>
      </c>
      <c r="H15">
        <v>-1</v>
      </c>
      <c r="I15">
        <v>0</v>
      </c>
    </row>
    <row r="16" spans="1:9">
      <c r="A16" t="s">
        <v>23</v>
      </c>
      <c r="B16">
        <v>993.13</v>
      </c>
      <c r="C16">
        <v>24163.97</v>
      </c>
      <c r="D16">
        <v>995.06</v>
      </c>
      <c r="E16">
        <v>24163.97</v>
      </c>
      <c r="F16">
        <v>993.19</v>
      </c>
      <c r="G16">
        <v>26703.94</v>
      </c>
      <c r="H16">
        <v>-1</v>
      </c>
      <c r="I16">
        <v>3906.58</v>
      </c>
    </row>
    <row r="17" spans="1:9">
      <c r="A17" t="s">
        <v>24</v>
      </c>
      <c r="B17">
        <v>1016.79</v>
      </c>
      <c r="C17">
        <v>25276.71</v>
      </c>
      <c r="D17">
        <v>1016.68</v>
      </c>
      <c r="E17">
        <v>25276.71</v>
      </c>
      <c r="F17">
        <v>1014.82</v>
      </c>
      <c r="G17">
        <v>28166.1</v>
      </c>
      <c r="H17">
        <v>-1</v>
      </c>
      <c r="I17">
        <v>0</v>
      </c>
    </row>
    <row r="18" spans="1:9">
      <c r="A18" t="s">
        <v>25</v>
      </c>
      <c r="B18">
        <v>991.1</v>
      </c>
      <c r="C18">
        <v>24762.53</v>
      </c>
      <c r="D18">
        <v>992.27</v>
      </c>
      <c r="E18">
        <v>24762.53</v>
      </c>
      <c r="F18">
        <v>988.54</v>
      </c>
      <c r="G18">
        <v>27574.82</v>
      </c>
      <c r="H18">
        <v>-1</v>
      </c>
      <c r="I18">
        <v>0</v>
      </c>
    </row>
    <row r="19" spans="1:9">
      <c r="A19" t="s">
        <v>26</v>
      </c>
      <c r="B19">
        <v>1014.1</v>
      </c>
      <c r="C19">
        <v>24791.55</v>
      </c>
      <c r="D19">
        <v>1014.21</v>
      </c>
      <c r="E19">
        <v>24791.55</v>
      </c>
      <c r="F19">
        <v>1010.93</v>
      </c>
      <c r="G19">
        <v>27601.63</v>
      </c>
      <c r="H19">
        <v>-1</v>
      </c>
      <c r="I19">
        <v>0</v>
      </c>
    </row>
    <row r="20" spans="1:9">
      <c r="A20" t="s">
        <v>27</v>
      </c>
      <c r="B20">
        <v>1017.93</v>
      </c>
      <c r="C20">
        <v>25396.28</v>
      </c>
      <c r="D20">
        <v>1018.32</v>
      </c>
      <c r="E20">
        <v>25396.28</v>
      </c>
      <c r="F20">
        <v>1016.22</v>
      </c>
      <c r="G20">
        <v>28354.53</v>
      </c>
      <c r="H20">
        <v>-1</v>
      </c>
      <c r="I20">
        <v>0</v>
      </c>
    </row>
    <row r="21" spans="1:9">
      <c r="A21" t="s">
        <v>28</v>
      </c>
      <c r="B21">
        <v>983.43</v>
      </c>
      <c r="C21">
        <v>25131.37</v>
      </c>
      <c r="D21">
        <v>983.43</v>
      </c>
      <c r="E21">
        <v>25131.37</v>
      </c>
      <c r="F21">
        <v>982.49</v>
      </c>
      <c r="G21">
        <v>27980.12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667.815</v>
      </c>
      <c r="B24" s="4">
        <f>IFERROR(AVERAGEIF($D$2:$D$21,"&lt;700"),0)</f>
        <v>667.7975</v>
      </c>
      <c r="C24" s="4">
        <f>IFERROR(AVERAGEIF($F$2:$F$21,"&lt;700"),0)</f>
        <v>673.228</v>
      </c>
      <c r="D24" s="4">
        <f>IFERROR(AVERAGEIF($H$2:$H$21,"&lt;&gt;-1"),0)</f>
        <v>0</v>
      </c>
      <c r="E24" s="4">
        <f>IFERROR(AVERAGEIFS($C$2:$C$21,$B$2:$B$21,"&lt;700"),0)</f>
        <v>24517.17</v>
      </c>
      <c r="F24" s="4">
        <f>IFERROR(AVERAGEIFS($E$2:$E$21,$D$2:$D$21,"&lt;700"),0)</f>
        <v>24517.17</v>
      </c>
      <c r="G24" s="4">
        <f>IFERROR(AVERAGEIFS($G$2:$G$21,$F$2:$F$21,"&lt;700"),0)</f>
        <v>27169.382</v>
      </c>
      <c r="H24" s="4">
        <f>IFERROR(AVERAGEIFS($I$2:$I$21,$H$2:$H$21,"&lt;&gt; -1"),0)</f>
        <v>0</v>
      </c>
      <c r="I24" s="4">
        <f>_xlfn.MAXIFS($B$2:$B$21,$B$2:$B$21,"&lt; 700")</f>
        <v>682.09</v>
      </c>
      <c r="J24" s="4">
        <f>_xlfn.MAXIFS($D$2:$D$21,$D$2:$D$21,"&lt; 700")</f>
        <v>682.1</v>
      </c>
      <c r="K24" s="4">
        <f>_xlfn.MAXIFS($F$2:$F$21,$F$2:$F$21,"&lt; 700")</f>
        <v>699.96</v>
      </c>
      <c r="L24" s="4">
        <f>_xlfn.MAXIFS($H$2:$H$21,$H$2:$H$21,"&lt;&gt; -1")</f>
        <v>0</v>
      </c>
      <c r="M24" s="4">
        <f>_xlfn.MINIFS($B$2:$B$21,$B$2:$B$21,"&lt;700")</f>
        <v>631.33</v>
      </c>
      <c r="N24" s="4">
        <f>_xlfn.MINIFS($D$2:$D$21,$D$2:$D$21,"&lt;700")</f>
        <v>631.29</v>
      </c>
      <c r="O24" s="4">
        <f>_xlfn.MINIFS($F$2:$F$21,$F$2:$F$21,"&lt; 700")</f>
        <v>630.02</v>
      </c>
      <c r="P24" s="4">
        <f>_xlfn.MINIFS($H$2:$H$21,$H$2:$H$21,"&lt;&gt; -1")</f>
        <v>0</v>
      </c>
      <c r="Q24" s="4">
        <f>_xlfn.MAXIFS($C$2:$C$21,$B$2:$B$21,"&lt; 700")</f>
        <v>25579.52</v>
      </c>
      <c r="R24" s="4">
        <f>_xlfn.MAXIFS($E$2:$E$21,D2:D21,"&lt; 700")</f>
        <v>25579.52</v>
      </c>
      <c r="S24" s="4">
        <f>_xlfn.MAXIFS($G$2:$G$21,$F$2:$F$21,"&lt; 700")</f>
        <v>28441.8</v>
      </c>
      <c r="T24" s="4">
        <f>_xlfn.MAXIFS($I$2:$I$21,$H$2:$H$21,"&lt;&gt; -1")</f>
        <v>0</v>
      </c>
      <c r="U24" s="4">
        <f>_xlfn.MINIFS($C$2:$C$21,$B$2:$B$21,"&lt;700")</f>
        <v>23520.18</v>
      </c>
      <c r="V24" s="4">
        <f>_xlfn.MINIFS($E$2:$E$21,$D$2:$D$21,"&lt; 700")</f>
        <v>23520.18</v>
      </c>
      <c r="W24" s="4">
        <f>_xlfn.MINIFS($G$2:$G$21,$F$2:$F$21,"&lt; 700")</f>
        <v>26105.47</v>
      </c>
      <c r="X24" s="4">
        <f>_xlfn.MINIFS($I$2:$I$21,$H$2:$H$21,"&lt;&gt; -1")</f>
        <v>0</v>
      </c>
      <c r="Y24" s="4">
        <f>(COUNTIFS($B$2:$B$21,"&gt;0.0",$B$2:$B$21,"&lt; 700.0"))/20</f>
        <v>0.2</v>
      </c>
      <c r="Z24" s="4">
        <f>(COUNTIFS($D$2:$D$21,"&gt;0.0",$D$2:$D$21,"&lt;700.0"))/20</f>
        <v>0.2</v>
      </c>
      <c r="AA24" s="4">
        <f>(COUNTIFS($F$2:$F$21,"&gt;0.0",$F$2:$F$21,"&lt;700.0"))/20</f>
        <v>0.25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769.97</v>
      </c>
      <c r="C2">
        <v>25898.67</v>
      </c>
      <c r="D2">
        <v>769.89</v>
      </c>
      <c r="E2">
        <v>25898.67</v>
      </c>
      <c r="F2">
        <v>768.14</v>
      </c>
      <c r="G2">
        <v>28743.01</v>
      </c>
      <c r="H2">
        <v>-1</v>
      </c>
      <c r="I2">
        <v>0</v>
      </c>
    </row>
    <row r="3" spans="1:9">
      <c r="A3" t="s">
        <v>10</v>
      </c>
      <c r="B3">
        <v>693.13</v>
      </c>
      <c r="C3">
        <v>27041.38</v>
      </c>
      <c r="D3">
        <v>693.06</v>
      </c>
      <c r="E3">
        <v>27041.38</v>
      </c>
      <c r="F3">
        <v>691.88</v>
      </c>
      <c r="G3">
        <v>30019.72</v>
      </c>
      <c r="H3">
        <v>-1</v>
      </c>
      <c r="I3">
        <v>0</v>
      </c>
    </row>
    <row r="4" spans="1:9">
      <c r="A4" t="s">
        <v>11</v>
      </c>
      <c r="B4">
        <v>685.99</v>
      </c>
      <c r="C4">
        <v>25615.83</v>
      </c>
      <c r="D4">
        <v>685.96</v>
      </c>
      <c r="E4">
        <v>25615.83</v>
      </c>
      <c r="F4">
        <v>684.5</v>
      </c>
      <c r="G4">
        <v>28386.76</v>
      </c>
      <c r="H4">
        <v>-1</v>
      </c>
      <c r="I4">
        <v>0</v>
      </c>
    </row>
    <row r="5" spans="1:9">
      <c r="A5" t="s">
        <v>12</v>
      </c>
      <c r="B5">
        <v>663.54</v>
      </c>
      <c r="C5">
        <v>24597.19</v>
      </c>
      <c r="D5">
        <v>663.53</v>
      </c>
      <c r="E5">
        <v>24597.19</v>
      </c>
      <c r="F5">
        <v>662.63</v>
      </c>
      <c r="G5">
        <v>27347.68</v>
      </c>
      <c r="H5">
        <v>-1</v>
      </c>
      <c r="I5">
        <v>0</v>
      </c>
    </row>
    <row r="6" spans="1:9">
      <c r="A6" t="s">
        <v>13</v>
      </c>
      <c r="B6">
        <v>736.92</v>
      </c>
      <c r="C6">
        <v>23868.01</v>
      </c>
      <c r="D6">
        <v>736.97</v>
      </c>
      <c r="E6">
        <v>23868.01</v>
      </c>
      <c r="F6">
        <v>736.02</v>
      </c>
      <c r="G6">
        <v>26638.75</v>
      </c>
      <c r="H6">
        <v>-1</v>
      </c>
      <c r="I6">
        <v>0</v>
      </c>
    </row>
    <row r="7" spans="1:9">
      <c r="A7" t="s">
        <v>14</v>
      </c>
      <c r="B7">
        <v>736.61</v>
      </c>
      <c r="C7">
        <v>25278.17</v>
      </c>
      <c r="D7">
        <v>736.6</v>
      </c>
      <c r="E7">
        <v>25278.17</v>
      </c>
      <c r="F7">
        <v>735.14</v>
      </c>
      <c r="G7">
        <v>28022.96</v>
      </c>
      <c r="H7">
        <v>-1</v>
      </c>
      <c r="I7">
        <v>0</v>
      </c>
    </row>
    <row r="8" spans="1:9">
      <c r="A8" t="s">
        <v>15</v>
      </c>
      <c r="B8">
        <v>673.8</v>
      </c>
      <c r="C8">
        <v>24263.53</v>
      </c>
      <c r="D8">
        <v>673.68</v>
      </c>
      <c r="E8">
        <v>24263.53</v>
      </c>
      <c r="F8">
        <v>672.71</v>
      </c>
      <c r="G8">
        <v>26868.26</v>
      </c>
      <c r="H8">
        <v>-1</v>
      </c>
      <c r="I8">
        <v>0</v>
      </c>
    </row>
    <row r="9" spans="1:9">
      <c r="A9" t="s">
        <v>16</v>
      </c>
      <c r="B9">
        <v>742.6</v>
      </c>
      <c r="C9">
        <v>25941.66</v>
      </c>
      <c r="D9">
        <v>742.6</v>
      </c>
      <c r="E9">
        <v>25941.66</v>
      </c>
      <c r="F9">
        <v>741</v>
      </c>
      <c r="G9">
        <v>28830.69</v>
      </c>
      <c r="H9">
        <v>-1</v>
      </c>
      <c r="I9">
        <v>0</v>
      </c>
    </row>
    <row r="10" spans="1:9">
      <c r="A10" t="s">
        <v>17</v>
      </c>
      <c r="B10">
        <v>681.72</v>
      </c>
      <c r="C10">
        <v>25269.48</v>
      </c>
      <c r="D10">
        <v>681.59</v>
      </c>
      <c r="E10">
        <v>25269.48</v>
      </c>
      <c r="F10">
        <v>680.26</v>
      </c>
      <c r="G10">
        <v>28045.21</v>
      </c>
      <c r="H10">
        <v>-1</v>
      </c>
      <c r="I10">
        <v>7065.73</v>
      </c>
    </row>
    <row r="11" spans="1:9">
      <c r="A11" t="s">
        <v>18</v>
      </c>
      <c r="B11">
        <v>666.76</v>
      </c>
      <c r="C11">
        <v>24458.08</v>
      </c>
      <c r="D11">
        <v>666.73</v>
      </c>
      <c r="E11">
        <v>24458.08</v>
      </c>
      <c r="F11">
        <v>665.42</v>
      </c>
      <c r="G11">
        <v>27201.43</v>
      </c>
      <c r="H11">
        <v>-1</v>
      </c>
      <c r="I11">
        <v>0</v>
      </c>
    </row>
    <row r="12" spans="1:9">
      <c r="A12" t="s">
        <v>19</v>
      </c>
      <c r="B12">
        <v>705.51</v>
      </c>
      <c r="C12">
        <v>26395.03</v>
      </c>
      <c r="D12">
        <v>705.55</v>
      </c>
      <c r="E12">
        <v>26395.03</v>
      </c>
      <c r="F12">
        <v>704.38</v>
      </c>
      <c r="G12">
        <v>29468.59</v>
      </c>
      <c r="H12">
        <v>-1</v>
      </c>
      <c r="I12">
        <v>0</v>
      </c>
    </row>
    <row r="13" spans="1:9">
      <c r="A13" t="s">
        <v>20</v>
      </c>
      <c r="B13">
        <v>641.24</v>
      </c>
      <c r="C13">
        <v>24117.71</v>
      </c>
      <c r="D13">
        <v>641.21</v>
      </c>
      <c r="E13">
        <v>24117.71</v>
      </c>
      <c r="F13">
        <v>640.4</v>
      </c>
      <c r="G13">
        <v>26873.64</v>
      </c>
      <c r="H13">
        <v>-1</v>
      </c>
      <c r="I13">
        <v>0</v>
      </c>
    </row>
    <row r="14" spans="1:9">
      <c r="A14" t="s">
        <v>21</v>
      </c>
      <c r="B14">
        <v>665.71</v>
      </c>
      <c r="C14">
        <v>24079.46</v>
      </c>
      <c r="D14">
        <v>665.75</v>
      </c>
      <c r="E14">
        <v>24079.46</v>
      </c>
      <c r="F14">
        <v>664.71</v>
      </c>
      <c r="G14">
        <v>26637.6</v>
      </c>
      <c r="H14">
        <v>-1</v>
      </c>
      <c r="I14">
        <v>0</v>
      </c>
    </row>
    <row r="15" spans="1:9">
      <c r="A15" t="s">
        <v>22</v>
      </c>
      <c r="B15">
        <v>691.01</v>
      </c>
      <c r="C15">
        <v>25092.37</v>
      </c>
      <c r="D15">
        <v>690.95</v>
      </c>
      <c r="E15">
        <v>25092.37</v>
      </c>
      <c r="F15">
        <v>689.87</v>
      </c>
      <c r="G15">
        <v>27889.22</v>
      </c>
      <c r="H15">
        <v>-1</v>
      </c>
      <c r="I15">
        <v>0</v>
      </c>
    </row>
    <row r="16" spans="1:9">
      <c r="A16" t="s">
        <v>23</v>
      </c>
      <c r="B16">
        <v>667.02</v>
      </c>
      <c r="C16">
        <v>23761.08</v>
      </c>
      <c r="D16">
        <v>667.05</v>
      </c>
      <c r="E16">
        <v>23761.08</v>
      </c>
      <c r="F16">
        <v>665.71</v>
      </c>
      <c r="G16">
        <v>26300.08</v>
      </c>
      <c r="H16">
        <v>-1</v>
      </c>
      <c r="I16">
        <v>0</v>
      </c>
    </row>
    <row r="17" spans="1:9">
      <c r="A17" t="s">
        <v>24</v>
      </c>
      <c r="B17">
        <v>682.83</v>
      </c>
      <c r="C17">
        <v>24863.49</v>
      </c>
      <c r="D17">
        <v>682.73</v>
      </c>
      <c r="E17">
        <v>24863.49</v>
      </c>
      <c r="F17">
        <v>681.39</v>
      </c>
      <c r="G17">
        <v>27723.89</v>
      </c>
      <c r="H17">
        <v>-1</v>
      </c>
      <c r="I17">
        <v>0</v>
      </c>
    </row>
    <row r="18" spans="1:9">
      <c r="A18" t="s">
        <v>25</v>
      </c>
      <c r="B18">
        <v>671.7</v>
      </c>
      <c r="C18">
        <v>24126.13</v>
      </c>
      <c r="D18">
        <v>671.71</v>
      </c>
      <c r="E18">
        <v>24126.13</v>
      </c>
      <c r="F18">
        <v>670.38</v>
      </c>
      <c r="G18">
        <v>26850.5</v>
      </c>
      <c r="H18">
        <v>-1</v>
      </c>
      <c r="I18">
        <v>0</v>
      </c>
    </row>
    <row r="19" spans="1:9">
      <c r="A19" t="s">
        <v>26</v>
      </c>
      <c r="B19">
        <v>671.3</v>
      </c>
      <c r="C19">
        <v>25390.17</v>
      </c>
      <c r="D19">
        <v>671.16</v>
      </c>
      <c r="E19">
        <v>25390.17</v>
      </c>
      <c r="F19">
        <v>669.87</v>
      </c>
      <c r="G19">
        <v>28245.86</v>
      </c>
      <c r="H19">
        <v>-1</v>
      </c>
      <c r="I19">
        <v>0</v>
      </c>
    </row>
    <row r="20" spans="1:9">
      <c r="A20" t="s">
        <v>27</v>
      </c>
      <c r="B20">
        <v>689.03</v>
      </c>
      <c r="C20">
        <v>26380.86</v>
      </c>
      <c r="D20">
        <v>688.9</v>
      </c>
      <c r="E20">
        <v>26380.86</v>
      </c>
      <c r="F20">
        <v>687.67</v>
      </c>
      <c r="G20">
        <v>29402.27</v>
      </c>
      <c r="H20">
        <v>-1</v>
      </c>
      <c r="I20">
        <v>0</v>
      </c>
    </row>
    <row r="21" spans="1:9">
      <c r="A21" t="s">
        <v>28</v>
      </c>
      <c r="B21">
        <v>689.41</v>
      </c>
      <c r="C21">
        <v>24608.05</v>
      </c>
      <c r="D21">
        <v>689.43</v>
      </c>
      <c r="E21">
        <v>24608.05</v>
      </c>
      <c r="F21">
        <v>688.06</v>
      </c>
      <c r="G21">
        <v>27314.13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675.612666666667</v>
      </c>
      <c r="B24" s="4">
        <f>IFERROR(AVERAGEIF($D$2:$D$21,"&lt;700"),0)</f>
        <v>675.562666666667</v>
      </c>
      <c r="C24" s="4">
        <f>IFERROR(AVERAGEIF($F$2:$F$21,"&lt;700"),0)</f>
        <v>674.364</v>
      </c>
      <c r="D24" s="4">
        <f>IFERROR(AVERAGEIF($H$2:$H$21,"&lt;&gt;-1"),0)</f>
        <v>0</v>
      </c>
      <c r="E24" s="4">
        <f>IFERROR(AVERAGEIFS($C$2:$C$21,$B$2:$B$21,"&lt;700"),0)</f>
        <v>24910.9873333333</v>
      </c>
      <c r="F24" s="4">
        <f>IFERROR(AVERAGEIFS($E$2:$E$21,$D$2:$D$21,"&lt;700"),0)</f>
        <v>24910.9873333333</v>
      </c>
      <c r="G24" s="4">
        <f>IFERROR(AVERAGEIFS($G$2:$G$21,$F$2:$F$21,"&lt;700"),0)</f>
        <v>27673.75</v>
      </c>
      <c r="H24" s="4">
        <f>IFERROR(AVERAGEIFS($I$2:$I$21,$H$2:$H$21,"&lt;&gt; -1"),0)</f>
        <v>0</v>
      </c>
      <c r="I24" s="4">
        <f>_xlfn.MAXIFS($B$2:$B$21,$B$2:$B$21,"&lt; 700")</f>
        <v>693.13</v>
      </c>
      <c r="J24" s="4">
        <f>_xlfn.MAXIFS($D$2:$D$21,$D$2:$D$21,"&lt; 700")</f>
        <v>693.06</v>
      </c>
      <c r="K24" s="4">
        <f>_xlfn.MAXIFS($F$2:$F$21,$F$2:$F$21,"&lt; 700")</f>
        <v>691.88</v>
      </c>
      <c r="L24" s="4">
        <f>_xlfn.MAXIFS($H$2:$H$21,$H$2:$H$21,"&lt;&gt; -1")</f>
        <v>0</v>
      </c>
      <c r="M24" s="4">
        <f>_xlfn.MINIFS($B$2:$B$21,$B$2:$B$21,"&lt;700")</f>
        <v>641.24</v>
      </c>
      <c r="N24" s="4">
        <f>_xlfn.MINIFS($D$2:$D$21,$D$2:$D$21,"&lt;700")</f>
        <v>641.21</v>
      </c>
      <c r="O24" s="4">
        <f>_xlfn.MINIFS($F$2:$F$21,$F$2:$F$21,"&lt; 700")</f>
        <v>640.4</v>
      </c>
      <c r="P24" s="4">
        <f>_xlfn.MINIFS($H$2:$H$21,$H$2:$H$21,"&lt;&gt; -1")</f>
        <v>0</v>
      </c>
      <c r="Q24" s="4">
        <f>_xlfn.MAXIFS($C$2:$C$21,$B$2:$B$21,"&lt; 700")</f>
        <v>27041.38</v>
      </c>
      <c r="R24" s="4">
        <f>_xlfn.MAXIFS($E$2:$E$21,D2:D21,"&lt; 700")</f>
        <v>27041.38</v>
      </c>
      <c r="S24" s="4">
        <f>_xlfn.MAXIFS($G$2:$G$21,$F$2:$F$21,"&lt; 700")</f>
        <v>30019.72</v>
      </c>
      <c r="T24" s="4">
        <f>_xlfn.MAXIFS($I$2:$I$21,$H$2:$H$21,"&lt;&gt; -1")</f>
        <v>0</v>
      </c>
      <c r="U24" s="4">
        <f>_xlfn.MINIFS($C$2:$C$21,$B$2:$B$21,"&lt;700")</f>
        <v>23761.08</v>
      </c>
      <c r="V24" s="4">
        <f>_xlfn.MINIFS($E$2:$E$21,$D$2:$D$21,"&lt; 700")</f>
        <v>23761.08</v>
      </c>
      <c r="W24" s="4">
        <f>_xlfn.MINIFS($G$2:$G$21,$F$2:$F$21,"&lt; 700")</f>
        <v>26300.08</v>
      </c>
      <c r="X24" s="4">
        <f>_xlfn.MINIFS($I$2:$I$21,$H$2:$H$21,"&lt;&gt; -1")</f>
        <v>0</v>
      </c>
      <c r="Y24" s="4">
        <f>(COUNTIFS($B$2:$B$21,"&gt;0.0",$B$2:$B$21,"&lt; 700.0"))/20</f>
        <v>0.75</v>
      </c>
      <c r="Z24" s="4">
        <f>(COUNTIFS($D$2:$D$21,"&gt;0.0",$D$2:$D$21,"&lt;700.0"))/20</f>
        <v>0.75</v>
      </c>
      <c r="AA24" s="4">
        <f>(COUNTIFS($F$2:$F$21,"&gt;0.0",$F$2:$F$21,"&lt;700.0"))/20</f>
        <v>0.75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85" zoomScaleNormal="85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769.49</v>
      </c>
      <c r="C2">
        <v>26355.32</v>
      </c>
      <c r="D2">
        <v>769.45</v>
      </c>
      <c r="E2">
        <v>26355.32</v>
      </c>
      <c r="F2">
        <v>767.96</v>
      </c>
      <c r="G2">
        <v>29165.26</v>
      </c>
      <c r="H2">
        <v>-1</v>
      </c>
      <c r="I2">
        <v>0</v>
      </c>
    </row>
    <row r="3" spans="1:9">
      <c r="A3" t="s">
        <v>10</v>
      </c>
      <c r="B3">
        <v>761.7</v>
      </c>
      <c r="C3">
        <v>26380.46</v>
      </c>
      <c r="D3">
        <v>761.61</v>
      </c>
      <c r="E3">
        <v>26380.46</v>
      </c>
      <c r="F3">
        <v>760.38</v>
      </c>
      <c r="G3">
        <v>29195.5</v>
      </c>
      <c r="H3">
        <v>-1</v>
      </c>
      <c r="I3">
        <v>0</v>
      </c>
    </row>
    <row r="4" spans="1:9">
      <c r="A4" t="s">
        <v>11</v>
      </c>
      <c r="B4">
        <v>765.1</v>
      </c>
      <c r="C4">
        <v>26536.77</v>
      </c>
      <c r="D4">
        <v>765.15</v>
      </c>
      <c r="E4">
        <v>26536.77</v>
      </c>
      <c r="F4">
        <v>763.3</v>
      </c>
      <c r="G4">
        <v>29424.71</v>
      </c>
      <c r="H4">
        <v>-1</v>
      </c>
      <c r="I4">
        <v>0</v>
      </c>
    </row>
    <row r="5" spans="1:9">
      <c r="A5" t="s">
        <v>12</v>
      </c>
      <c r="B5">
        <v>723.05</v>
      </c>
      <c r="C5">
        <v>25128.05</v>
      </c>
      <c r="D5">
        <v>723.09</v>
      </c>
      <c r="E5">
        <v>25128.05</v>
      </c>
      <c r="F5">
        <v>721.5</v>
      </c>
      <c r="G5">
        <v>27931.04</v>
      </c>
      <c r="H5">
        <v>-1</v>
      </c>
      <c r="I5">
        <v>0</v>
      </c>
    </row>
    <row r="6" spans="1:9">
      <c r="A6" t="s">
        <v>13</v>
      </c>
      <c r="B6">
        <v>732.25</v>
      </c>
      <c r="C6">
        <v>24436.75</v>
      </c>
      <c r="D6">
        <v>732.2</v>
      </c>
      <c r="E6">
        <v>24436.75</v>
      </c>
      <c r="F6">
        <v>730.83</v>
      </c>
      <c r="G6">
        <v>27278.43</v>
      </c>
      <c r="H6">
        <v>-1</v>
      </c>
      <c r="I6">
        <v>0</v>
      </c>
    </row>
    <row r="7" spans="1:9">
      <c r="A7" t="s">
        <v>14</v>
      </c>
      <c r="B7">
        <v>752.85</v>
      </c>
      <c r="C7">
        <v>24628.87</v>
      </c>
      <c r="D7">
        <v>752.9</v>
      </c>
      <c r="E7">
        <v>24628.87</v>
      </c>
      <c r="F7">
        <v>751.64</v>
      </c>
      <c r="G7">
        <v>27273.89</v>
      </c>
      <c r="H7">
        <v>-1</v>
      </c>
      <c r="I7">
        <v>0</v>
      </c>
    </row>
    <row r="8" spans="1:9">
      <c r="A8" t="s">
        <v>15</v>
      </c>
      <c r="B8">
        <v>697.57</v>
      </c>
      <c r="C8">
        <v>22907.92</v>
      </c>
      <c r="D8">
        <v>697.52</v>
      </c>
      <c r="E8">
        <v>22907.92</v>
      </c>
      <c r="F8">
        <v>696.05</v>
      </c>
      <c r="G8">
        <v>25470.9</v>
      </c>
      <c r="H8">
        <v>-1</v>
      </c>
      <c r="I8">
        <v>0</v>
      </c>
    </row>
    <row r="9" spans="1:9">
      <c r="A9" t="s">
        <v>16</v>
      </c>
      <c r="B9">
        <v>772.12</v>
      </c>
      <c r="C9">
        <v>26059.38</v>
      </c>
      <c r="D9">
        <v>772.11</v>
      </c>
      <c r="E9">
        <v>26059.38</v>
      </c>
      <c r="F9">
        <v>770.34</v>
      </c>
      <c r="G9">
        <v>28878.44</v>
      </c>
      <c r="H9">
        <v>-1</v>
      </c>
      <c r="I9">
        <v>0</v>
      </c>
    </row>
    <row r="10" spans="1:9">
      <c r="A10" t="s">
        <v>17</v>
      </c>
      <c r="B10">
        <v>735.3</v>
      </c>
      <c r="C10">
        <v>25954.96</v>
      </c>
      <c r="D10">
        <v>735.22</v>
      </c>
      <c r="E10">
        <v>25954.96</v>
      </c>
      <c r="F10">
        <v>733.73</v>
      </c>
      <c r="G10">
        <v>28801.29</v>
      </c>
      <c r="H10">
        <v>-1</v>
      </c>
      <c r="I10">
        <v>0</v>
      </c>
    </row>
    <row r="11" spans="1:9">
      <c r="A11" t="s">
        <v>18</v>
      </c>
      <c r="B11">
        <v>737.54</v>
      </c>
      <c r="C11">
        <v>23970.68</v>
      </c>
      <c r="D11">
        <v>737.48</v>
      </c>
      <c r="E11">
        <v>23970.68</v>
      </c>
      <c r="F11">
        <v>735.83</v>
      </c>
      <c r="G11">
        <v>26772.19</v>
      </c>
      <c r="H11">
        <v>-1</v>
      </c>
      <c r="I11">
        <v>0</v>
      </c>
    </row>
    <row r="12" spans="1:9">
      <c r="A12" t="s">
        <v>19</v>
      </c>
      <c r="B12">
        <v>789.76</v>
      </c>
      <c r="C12">
        <v>27326.8</v>
      </c>
      <c r="D12">
        <v>789.69</v>
      </c>
      <c r="E12">
        <v>27326.8</v>
      </c>
      <c r="F12">
        <v>787.77</v>
      </c>
      <c r="G12">
        <v>30427.07</v>
      </c>
      <c r="H12">
        <v>-1</v>
      </c>
      <c r="I12">
        <v>0</v>
      </c>
    </row>
    <row r="13" spans="1:9">
      <c r="A13" t="s">
        <v>20</v>
      </c>
      <c r="B13">
        <v>719.13</v>
      </c>
      <c r="C13">
        <v>24488.16</v>
      </c>
      <c r="D13">
        <v>719.05</v>
      </c>
      <c r="E13">
        <v>24488.16</v>
      </c>
      <c r="F13">
        <v>717.55</v>
      </c>
      <c r="G13">
        <v>27261.63</v>
      </c>
      <c r="H13">
        <v>-1</v>
      </c>
      <c r="I13">
        <v>0</v>
      </c>
    </row>
    <row r="14" spans="1:9">
      <c r="A14" t="s">
        <v>21</v>
      </c>
      <c r="B14">
        <v>743.43</v>
      </c>
      <c r="C14">
        <v>24838.2</v>
      </c>
      <c r="D14">
        <v>743.34</v>
      </c>
      <c r="E14">
        <v>24838.2</v>
      </c>
      <c r="F14">
        <v>741.8</v>
      </c>
      <c r="G14">
        <v>27426.85</v>
      </c>
      <c r="H14">
        <v>-1</v>
      </c>
      <c r="I14">
        <v>0</v>
      </c>
    </row>
    <row r="15" spans="1:9">
      <c r="A15" t="s">
        <v>22</v>
      </c>
      <c r="B15">
        <v>767.35</v>
      </c>
      <c r="C15">
        <v>26555.67</v>
      </c>
      <c r="D15">
        <v>767.34</v>
      </c>
      <c r="E15">
        <v>26555.67</v>
      </c>
      <c r="F15">
        <v>765.99</v>
      </c>
      <c r="G15">
        <v>29514.11</v>
      </c>
      <c r="H15">
        <v>-1</v>
      </c>
      <c r="I15">
        <v>0</v>
      </c>
    </row>
    <row r="16" spans="1:9">
      <c r="A16" t="s">
        <v>23</v>
      </c>
      <c r="B16">
        <v>756.41</v>
      </c>
      <c r="C16">
        <v>25507.91</v>
      </c>
      <c r="D16">
        <v>756.49</v>
      </c>
      <c r="E16">
        <v>25507.91</v>
      </c>
      <c r="F16">
        <v>754.82</v>
      </c>
      <c r="G16">
        <v>28282.44</v>
      </c>
      <c r="H16">
        <v>-1</v>
      </c>
      <c r="I16">
        <v>0</v>
      </c>
    </row>
    <row r="17" spans="1:9">
      <c r="A17" t="s">
        <v>24</v>
      </c>
      <c r="B17">
        <v>765.46</v>
      </c>
      <c r="C17">
        <v>25042.48</v>
      </c>
      <c r="D17">
        <v>765.39</v>
      </c>
      <c r="E17">
        <v>25042.48</v>
      </c>
      <c r="F17">
        <v>763.78</v>
      </c>
      <c r="G17">
        <v>27917.7</v>
      </c>
      <c r="H17">
        <v>-1</v>
      </c>
      <c r="I17">
        <v>0</v>
      </c>
    </row>
    <row r="18" spans="1:9">
      <c r="A18" t="s">
        <v>25</v>
      </c>
      <c r="B18">
        <v>739.91</v>
      </c>
      <c r="C18">
        <v>25145.66</v>
      </c>
      <c r="D18">
        <v>739.8</v>
      </c>
      <c r="E18">
        <v>25145.66</v>
      </c>
      <c r="F18">
        <v>737.95</v>
      </c>
      <c r="G18">
        <v>28033.75</v>
      </c>
      <c r="H18">
        <v>-1</v>
      </c>
      <c r="I18">
        <v>0</v>
      </c>
    </row>
    <row r="19" spans="1:9">
      <c r="A19" t="s">
        <v>26</v>
      </c>
      <c r="B19">
        <v>742.62</v>
      </c>
      <c r="C19">
        <v>25882</v>
      </c>
      <c r="D19">
        <v>742.6</v>
      </c>
      <c r="E19">
        <v>25882</v>
      </c>
      <c r="F19">
        <v>740.67</v>
      </c>
      <c r="G19">
        <v>28725.04</v>
      </c>
      <c r="H19">
        <v>-1</v>
      </c>
      <c r="I19">
        <v>0</v>
      </c>
    </row>
    <row r="20" spans="1:9">
      <c r="A20" t="s">
        <v>27</v>
      </c>
      <c r="B20">
        <v>763.74</v>
      </c>
      <c r="C20">
        <v>25858.93</v>
      </c>
      <c r="D20">
        <v>763.68</v>
      </c>
      <c r="E20">
        <v>25858.93</v>
      </c>
      <c r="F20">
        <v>761.77</v>
      </c>
      <c r="G20">
        <v>28850.6</v>
      </c>
      <c r="H20">
        <v>-1</v>
      </c>
      <c r="I20">
        <v>0</v>
      </c>
    </row>
    <row r="21" spans="1:9">
      <c r="A21" t="s">
        <v>28</v>
      </c>
      <c r="B21">
        <v>764.01</v>
      </c>
      <c r="C21">
        <v>26209.51</v>
      </c>
      <c r="D21">
        <v>764.1</v>
      </c>
      <c r="E21">
        <v>26209.51</v>
      </c>
      <c r="F21">
        <v>762.5</v>
      </c>
      <c r="G21">
        <v>29058.54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697.57</v>
      </c>
      <c r="B24" s="4">
        <f>IFERROR(AVERAGEIF($D$2:$D$21,"&lt;700"),0)</f>
        <v>697.52</v>
      </c>
      <c r="C24" s="4">
        <f>IFERROR(AVERAGEIF($F$2:$F$21,"&lt;700"),0)</f>
        <v>696.05</v>
      </c>
      <c r="D24" s="4">
        <f>IFERROR(AVERAGEIF($H$2:$H$21,"&lt;&gt;-1"),0)</f>
        <v>0</v>
      </c>
      <c r="E24" s="4">
        <f>IFERROR(AVERAGEIFS($C$2:$C$21,$B$2:$B$21,"&lt;700"),0)</f>
        <v>22907.92</v>
      </c>
      <c r="F24" s="4">
        <f>IFERROR(AVERAGEIFS($E$2:$E$21,$D$2:$D$21,"&lt;700"),0)</f>
        <v>22907.92</v>
      </c>
      <c r="G24" s="4">
        <f>IFERROR(AVERAGEIFS($G$2:$G$21,$F$2:$F$21,"&lt;700"),0)</f>
        <v>25470.9</v>
      </c>
      <c r="H24" s="4">
        <f>IFERROR(AVERAGEIFS($I$2:$I$21,$H$2:$H$21,"&lt;&gt; -1"),0)</f>
        <v>0</v>
      </c>
      <c r="I24" s="4">
        <f>_xlfn.MAXIFS($B$2:$B$21,$B$2:$B$21,"&lt; 700")</f>
        <v>697.57</v>
      </c>
      <c r="J24" s="4">
        <f>_xlfn.MAXIFS($D$2:$D$21,$D$2:$D$21,"&lt; 700")</f>
        <v>697.52</v>
      </c>
      <c r="K24" s="4">
        <f>_xlfn.MAXIFS($F$2:$F$21,$F$2:$F$21,"&lt; 700")</f>
        <v>696.05</v>
      </c>
      <c r="L24" s="4">
        <f>_xlfn.MAXIFS($H$2:$H$21,$H$2:$H$21,"&lt;&gt; -1")</f>
        <v>0</v>
      </c>
      <c r="M24" s="4">
        <f>_xlfn.MINIFS($B$2:$B$21,$B$2:$B$21,"&lt;700")</f>
        <v>697.57</v>
      </c>
      <c r="N24" s="4">
        <f>_xlfn.MINIFS($D$2:$D$21,$D$2:$D$21,"&lt;700")</f>
        <v>697.52</v>
      </c>
      <c r="O24" s="4">
        <f>_xlfn.MINIFS($F$2:$F$21,$F$2:$F$21,"&lt; 700")</f>
        <v>696.05</v>
      </c>
      <c r="P24" s="4">
        <f>_xlfn.MINIFS($H$2:$H$21,$H$2:$H$21,"&lt;&gt; -1")</f>
        <v>0</v>
      </c>
      <c r="Q24" s="4">
        <f>_xlfn.MAXIFS($C$2:$C$21,$B$2:$B$21,"&lt; 700")</f>
        <v>22907.92</v>
      </c>
      <c r="R24" s="4">
        <f>_xlfn.MAXIFS($E$2:$E$21,D2:D21,"&lt; 700")</f>
        <v>22907.92</v>
      </c>
      <c r="S24" s="4">
        <f>_xlfn.MAXIFS($G$2:$G$21,$F$2:$F$21,"&lt; 700")</f>
        <v>25470.9</v>
      </c>
      <c r="T24" s="4">
        <f>_xlfn.MAXIFS($I$2:$I$21,$H$2:$H$21,"&lt;&gt; -1")</f>
        <v>0</v>
      </c>
      <c r="U24" s="4">
        <f>_xlfn.MINIFS($C$2:$C$21,$B$2:$B$21,"&lt;700")</f>
        <v>22907.92</v>
      </c>
      <c r="V24" s="4">
        <f>_xlfn.MINIFS($E$2:$E$21,$D$2:$D$21,"&lt; 700")</f>
        <v>22907.92</v>
      </c>
      <c r="W24" s="4">
        <f>_xlfn.MINIFS($G$2:$G$21,$F$2:$F$21,"&lt; 700")</f>
        <v>25470.9</v>
      </c>
      <c r="X24" s="4">
        <f>_xlfn.MINIFS($I$2:$I$21,$H$2:$H$21,"&lt;&gt; -1")</f>
        <v>0</v>
      </c>
      <c r="Y24" s="4">
        <f>(COUNTIFS($B$2:$B$21,"&gt;0.0",$B$2:$B$21,"&lt; 700.0"))/20</f>
        <v>0.05</v>
      </c>
      <c r="Z24" s="4">
        <f>(COUNTIFS($D$2:$D$21,"&gt;0.0",$D$2:$D$21,"&lt;700.0"))/20</f>
        <v>0.05</v>
      </c>
      <c r="AA24" s="4">
        <f>(COUNTIFS($F$2:$F$21,"&gt;0.0",$F$2:$F$21,"&lt;700.0"))/20</f>
        <v>0.05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zoomScale="85" zoomScaleNormal="85" workbookViewId="0">
      <selection activeCell="F13" sqref="F13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513.0975</v>
      </c>
      <c r="B2">
        <v>513.235</v>
      </c>
      <c r="C2">
        <v>512.3105</v>
      </c>
      <c r="D2">
        <v>0</v>
      </c>
      <c r="E2">
        <v>25172.4935</v>
      </c>
      <c r="F2">
        <v>25172.4935</v>
      </c>
      <c r="G2">
        <v>27940.8025</v>
      </c>
      <c r="H2">
        <v>0</v>
      </c>
      <c r="I2">
        <v>604.28</v>
      </c>
      <c r="J2">
        <v>604.16</v>
      </c>
      <c r="K2">
        <v>603.27</v>
      </c>
      <c r="L2">
        <v>0</v>
      </c>
      <c r="M2">
        <v>416.19</v>
      </c>
      <c r="N2">
        <v>415.51</v>
      </c>
      <c r="O2">
        <v>414.82</v>
      </c>
      <c r="P2">
        <v>0</v>
      </c>
      <c r="Q2">
        <v>27391.76</v>
      </c>
      <c r="R2">
        <v>27391.76</v>
      </c>
      <c r="S2">
        <v>30338.48</v>
      </c>
      <c r="T2">
        <v>0</v>
      </c>
      <c r="U2">
        <v>22947.88</v>
      </c>
      <c r="V2">
        <v>22947.88</v>
      </c>
      <c r="W2">
        <v>25464.46</v>
      </c>
      <c r="X2">
        <v>0</v>
      </c>
      <c r="Y2">
        <v>1</v>
      </c>
      <c r="Z2">
        <v>1</v>
      </c>
      <c r="AA2">
        <v>1</v>
      </c>
      <c r="AB2">
        <v>0</v>
      </c>
    </row>
    <row r="3" spans="1:28">
      <c r="A3">
        <v>655.038421052632</v>
      </c>
      <c r="B3">
        <v>654.97</v>
      </c>
      <c r="C3">
        <v>655.582</v>
      </c>
      <c r="D3">
        <v>0</v>
      </c>
      <c r="E3">
        <v>25097.7478947368</v>
      </c>
      <c r="F3">
        <v>25097.7478947368</v>
      </c>
      <c r="G3">
        <v>28018.8355</v>
      </c>
      <c r="H3">
        <v>0</v>
      </c>
      <c r="I3">
        <v>692.07</v>
      </c>
      <c r="J3">
        <v>691.11</v>
      </c>
      <c r="K3">
        <v>698.51</v>
      </c>
      <c r="L3">
        <v>0</v>
      </c>
      <c r="M3">
        <v>616.86</v>
      </c>
      <c r="N3">
        <v>615.14</v>
      </c>
      <c r="O3">
        <v>613.29</v>
      </c>
      <c r="P3">
        <v>0</v>
      </c>
      <c r="Q3">
        <v>28356.65</v>
      </c>
      <c r="R3">
        <v>28356.65</v>
      </c>
      <c r="S3">
        <v>31289.19</v>
      </c>
      <c r="T3">
        <v>0</v>
      </c>
      <c r="U3">
        <v>22694.1</v>
      </c>
      <c r="V3">
        <v>22694.1</v>
      </c>
      <c r="W3">
        <v>25367.6</v>
      </c>
      <c r="X3">
        <v>0</v>
      </c>
      <c r="Y3">
        <v>0.95</v>
      </c>
      <c r="Z3">
        <v>0.95</v>
      </c>
      <c r="AA3">
        <v>1</v>
      </c>
      <c r="AB3">
        <v>0</v>
      </c>
    </row>
    <row r="4" spans="1:28">
      <c r="A4">
        <v>698.19</v>
      </c>
      <c r="B4">
        <v>697.58</v>
      </c>
      <c r="C4">
        <v>695.19</v>
      </c>
      <c r="D4">
        <v>0</v>
      </c>
      <c r="E4">
        <v>24070.9</v>
      </c>
      <c r="F4">
        <v>24070.9</v>
      </c>
      <c r="G4">
        <v>26768.46</v>
      </c>
      <c r="H4">
        <v>0</v>
      </c>
      <c r="I4">
        <v>698.19</v>
      </c>
      <c r="J4">
        <v>697.58</v>
      </c>
      <c r="K4">
        <v>695.19</v>
      </c>
      <c r="L4">
        <v>0</v>
      </c>
      <c r="M4">
        <v>698.19</v>
      </c>
      <c r="N4">
        <v>697.58</v>
      </c>
      <c r="O4">
        <v>695.19</v>
      </c>
      <c r="P4">
        <v>0</v>
      </c>
      <c r="Q4">
        <v>24070.9</v>
      </c>
      <c r="R4">
        <v>24070.9</v>
      </c>
      <c r="S4">
        <v>26768.46</v>
      </c>
      <c r="T4">
        <v>0</v>
      </c>
      <c r="U4">
        <v>24070.9</v>
      </c>
      <c r="V4">
        <v>24070.9</v>
      </c>
      <c r="W4">
        <v>26768.46</v>
      </c>
      <c r="X4">
        <v>0</v>
      </c>
      <c r="Y4">
        <v>0.05</v>
      </c>
      <c r="Z4">
        <v>0.05</v>
      </c>
      <c r="AA4">
        <v>0.05</v>
      </c>
      <c r="AB4">
        <v>0</v>
      </c>
    </row>
    <row r="5" spans="1:28">
      <c r="A5">
        <v>667.815</v>
      </c>
      <c r="B5">
        <v>667.7975</v>
      </c>
      <c r="C5">
        <v>673.228</v>
      </c>
      <c r="D5">
        <v>0</v>
      </c>
      <c r="E5">
        <v>24517.17</v>
      </c>
      <c r="F5">
        <v>24517.17</v>
      </c>
      <c r="G5">
        <v>27169.382</v>
      </c>
      <c r="H5">
        <v>0</v>
      </c>
      <c r="I5">
        <v>682.09</v>
      </c>
      <c r="J5">
        <v>682.1</v>
      </c>
      <c r="K5">
        <v>699.96</v>
      </c>
      <c r="L5">
        <v>0</v>
      </c>
      <c r="M5">
        <v>631.33</v>
      </c>
      <c r="N5">
        <v>631.29</v>
      </c>
      <c r="O5">
        <v>630.02</v>
      </c>
      <c r="P5">
        <v>0</v>
      </c>
      <c r="Q5">
        <v>25579.52</v>
      </c>
      <c r="R5">
        <v>25579.52</v>
      </c>
      <c r="S5">
        <v>28441.8</v>
      </c>
      <c r="T5">
        <v>0</v>
      </c>
      <c r="U5">
        <v>23520.18</v>
      </c>
      <c r="V5">
        <v>23520.18</v>
      </c>
      <c r="W5">
        <v>26105.47</v>
      </c>
      <c r="X5">
        <v>0</v>
      </c>
      <c r="Y5">
        <v>0.2</v>
      </c>
      <c r="Z5">
        <v>0.2</v>
      </c>
      <c r="AA5">
        <v>0.25</v>
      </c>
      <c r="AB5">
        <v>0</v>
      </c>
    </row>
    <row r="6" spans="1:28">
      <c r="A6">
        <v>675.612666666667</v>
      </c>
      <c r="B6">
        <v>675.562666666667</v>
      </c>
      <c r="C6">
        <v>674.364</v>
      </c>
      <c r="D6">
        <v>0</v>
      </c>
      <c r="E6">
        <v>24910.9873333333</v>
      </c>
      <c r="F6">
        <v>24910.9873333333</v>
      </c>
      <c r="G6">
        <v>27673.75</v>
      </c>
      <c r="H6">
        <v>0</v>
      </c>
      <c r="I6">
        <v>693.13</v>
      </c>
      <c r="J6">
        <v>693.06</v>
      </c>
      <c r="K6">
        <v>691.88</v>
      </c>
      <c r="L6">
        <v>0</v>
      </c>
      <c r="M6">
        <v>641.24</v>
      </c>
      <c r="N6">
        <v>641.21</v>
      </c>
      <c r="O6">
        <v>640.4</v>
      </c>
      <c r="P6">
        <v>0</v>
      </c>
      <c r="Q6">
        <v>27041.38</v>
      </c>
      <c r="R6">
        <v>27041.38</v>
      </c>
      <c r="S6">
        <v>30019.72</v>
      </c>
      <c r="T6">
        <v>0</v>
      </c>
      <c r="U6">
        <v>23761.08</v>
      </c>
      <c r="V6">
        <v>23761.08</v>
      </c>
      <c r="W6">
        <v>26300.08</v>
      </c>
      <c r="X6">
        <v>0</v>
      </c>
      <c r="Y6">
        <v>0.75</v>
      </c>
      <c r="Z6">
        <v>0.75</v>
      </c>
      <c r="AA6">
        <v>0.75</v>
      </c>
      <c r="AB6">
        <v>0</v>
      </c>
    </row>
    <row r="7" spans="1:28">
      <c r="A7">
        <v>697.57</v>
      </c>
      <c r="B7">
        <v>697.52</v>
      </c>
      <c r="C7">
        <v>696.05</v>
      </c>
      <c r="D7">
        <v>0</v>
      </c>
      <c r="E7">
        <v>22907.92</v>
      </c>
      <c r="F7">
        <v>22907.92</v>
      </c>
      <c r="G7">
        <v>25470.9</v>
      </c>
      <c r="H7">
        <v>0</v>
      </c>
      <c r="I7">
        <v>697.57</v>
      </c>
      <c r="J7">
        <v>697.52</v>
      </c>
      <c r="K7">
        <v>696.05</v>
      </c>
      <c r="L7">
        <v>0</v>
      </c>
      <c r="M7">
        <v>697.57</v>
      </c>
      <c r="N7">
        <v>697.52</v>
      </c>
      <c r="O7">
        <v>696.05</v>
      </c>
      <c r="P7">
        <v>0</v>
      </c>
      <c r="Q7">
        <v>22907.92</v>
      </c>
      <c r="R7">
        <v>22907.92</v>
      </c>
      <c r="S7">
        <v>25470.9</v>
      </c>
      <c r="T7">
        <v>0</v>
      </c>
      <c r="U7">
        <v>22907.92</v>
      </c>
      <c r="V7">
        <v>22907.92</v>
      </c>
      <c r="W7">
        <v>25470.9</v>
      </c>
      <c r="X7">
        <v>0</v>
      </c>
      <c r="Y7">
        <v>0.05</v>
      </c>
      <c r="Z7">
        <v>0.05</v>
      </c>
      <c r="AA7">
        <v>0.05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2024-07-29T17:01:00Z</dcterms:created>
  <dcterms:modified xsi:type="dcterms:W3CDTF">2024-07-31T12:40:59Z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7435121D8F094DE4AA58D3A937E0DBD5_12</vt:lpwstr>
  </property>
  <property fmtid="{D5CDD505-2E9C-101B-9397-08002B2CF9AE}" pid="3" name="KSOProductBuildVer">
    <vt:lpwstr>2052-12.1.0.17147</vt:lpwstr>
  </property>
</Properties>
</file>