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20" windowHeight="992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<sst xmlns="http://schemas.openxmlformats.org/spreadsheetml/2006/main" count="230" uniqueCount="57">
  <si>
    <t>scen</t>
  </si>
  <si>
    <t>L1_T</t>
  </si>
  <si>
    <t>L1_C</t>
  </si>
  <si>
    <t>L2_T</t>
  </si>
  <si>
    <t>L2_C</t>
  </si>
  <si>
    <t>P_T</t>
  </si>
  <si>
    <t>P_C</t>
  </si>
  <si>
    <t>E_T</t>
  </si>
  <si>
    <t>E_C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</si>
  <si>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</si>
  <si>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</si>
  <si>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</si>
  <si>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</si>
  <si>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</si>
  <si>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</si>
  <si>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</si>
  <si>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</si>
  <si>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</si>
  <si>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</si>
  <si>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</si>
  <si>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</si>
  <si>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</si>
  <si>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</si>
  <si>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</si>
  <si>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</si>
  <si>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</si>
  <si>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</si>
  <si>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</si>
  <si>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</si>
  <si>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lacam1_r</t>
  </si>
  <si>
    <t>lacam0_r</t>
  </si>
  <si>
    <t>pibt_r</t>
  </si>
  <si>
    <t>eecbs_r</t>
  </si>
  <si>
    <t>lacam1_s</t>
  </si>
  <si>
    <t>lacam0_s</t>
  </si>
  <si>
    <t>pibt_s</t>
  </si>
  <si>
    <t>eecbs_s</t>
  </si>
  <si>
    <t>lacam1_r_uper</t>
  </si>
  <si>
    <t>lacam0_r_uper</t>
  </si>
  <si>
    <t>PIBT_r_uper</t>
  </si>
  <si>
    <t>eecbs_r_uper</t>
  </si>
  <si>
    <t>lacam1_r_lower</t>
  </si>
  <si>
    <t>lacam0_r_lower</t>
  </si>
  <si>
    <t>PIBT_r_lower</t>
  </si>
  <si>
    <t>eecbs_r_lower</t>
  </si>
  <si>
    <t>lacam1_s_uper</t>
  </si>
  <si>
    <t>lacam0_s_uper</t>
  </si>
  <si>
    <t>PIBT_s_uper</t>
  </si>
  <si>
    <t>eecbs_s_uper</t>
  </si>
  <si>
    <t>lacam1_s_lower</t>
  </si>
  <si>
    <t>lacam0_s_lower</t>
  </si>
  <si>
    <t>PIBT_s_lower</t>
  </si>
  <si>
    <t>eecbs_s_lower</t>
  </si>
  <si>
    <t>lacam1_sr</t>
  </si>
  <si>
    <t>lacam0_sr</t>
  </si>
  <si>
    <t>pibt_sr</t>
  </si>
  <si>
    <t>eecbs_sr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</si>
</sst>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23" sqref="A23:AB24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45.99</v>
      </c>
      <c r="C2">
        <v>3767.15</v>
      </c>
      <c r="D2">
        <v>46.07</v>
      </c>
      <c r="E2">
        <v>3767.15</v>
      </c>
      <c r="F2">
        <v>45.89</v>
      </c>
      <c r="G2">
        <v>4200.97</v>
      </c>
      <c r="H2">
        <v>50.92</v>
      </c>
      <c r="I2">
        <v>4132.51</v>
      </c>
    </row>
    <row r="3" spans="1:9">
      <c r="A3" t="s">
        <v>10</v>
      </c>
      <c r="B3">
        <v>36.32</v>
      </c>
      <c r="C3">
        <v>3745.47</v>
      </c>
      <c r="D3">
        <v>36.37</v>
      </c>
      <c r="E3">
        <v>3745.47</v>
      </c>
      <c r="F3">
        <v>36.28</v>
      </c>
      <c r="G3">
        <v>4159.36</v>
      </c>
      <c r="H3">
        <v>46.24</v>
      </c>
      <c r="I3">
        <v>4048.58</v>
      </c>
    </row>
    <row r="4" spans="1:9">
      <c r="A4" t="s">
        <v>11</v>
      </c>
      <c r="B4">
        <v>39.6</v>
      </c>
      <c r="C4">
        <v>3891.02</v>
      </c>
      <c r="D4">
        <v>39.66</v>
      </c>
      <c r="E4">
        <v>3891.02</v>
      </c>
      <c r="F4">
        <v>39.59</v>
      </c>
      <c r="G4">
        <v>4300.79</v>
      </c>
      <c r="H4">
        <v>44.89</v>
      </c>
      <c r="I4">
        <v>4151.97</v>
      </c>
    </row>
    <row r="5" spans="1:9">
      <c r="A5" t="s">
        <v>12</v>
      </c>
      <c r="B5">
        <v>40.86</v>
      </c>
      <c r="C5">
        <v>3567.29</v>
      </c>
      <c r="D5">
        <v>40.92</v>
      </c>
      <c r="E5">
        <v>3567.29</v>
      </c>
      <c r="F5">
        <v>40.84</v>
      </c>
      <c r="G5">
        <v>4007.21</v>
      </c>
      <c r="H5">
        <v>45.51</v>
      </c>
      <c r="I5">
        <v>3885.86</v>
      </c>
    </row>
    <row r="6" spans="1:9">
      <c r="A6" t="s">
        <v>13</v>
      </c>
      <c r="B6">
        <v>35.36</v>
      </c>
      <c r="C6">
        <v>4005.39</v>
      </c>
      <c r="D6">
        <v>35.42</v>
      </c>
      <c r="E6">
        <v>4005.39</v>
      </c>
      <c r="F6">
        <v>35.37</v>
      </c>
      <c r="G6">
        <v>4421.9</v>
      </c>
      <c r="H6">
        <v>40.87</v>
      </c>
      <c r="I6">
        <v>4235.31</v>
      </c>
    </row>
    <row r="7" spans="1:9">
      <c r="A7" t="s">
        <v>14</v>
      </c>
      <c r="B7">
        <v>45.85</v>
      </c>
      <c r="C7">
        <v>3724.91</v>
      </c>
      <c r="D7">
        <v>45.8</v>
      </c>
      <c r="E7">
        <v>3724.91</v>
      </c>
      <c r="F7">
        <v>45.7</v>
      </c>
      <c r="G7">
        <v>4084.14</v>
      </c>
      <c r="H7">
        <v>56.29</v>
      </c>
      <c r="I7">
        <v>4009.87</v>
      </c>
    </row>
    <row r="8" spans="1:9">
      <c r="A8" t="s">
        <v>15</v>
      </c>
      <c r="B8">
        <v>31.49</v>
      </c>
      <c r="C8">
        <v>3619.41</v>
      </c>
      <c r="D8">
        <v>31.53</v>
      </c>
      <c r="E8">
        <v>3619.41</v>
      </c>
      <c r="F8">
        <v>31.47</v>
      </c>
      <c r="G8">
        <v>3966.42</v>
      </c>
      <c r="H8">
        <v>35.05</v>
      </c>
      <c r="I8">
        <v>3907.97</v>
      </c>
    </row>
    <row r="9" spans="1:9">
      <c r="A9" t="s">
        <v>16</v>
      </c>
      <c r="B9">
        <v>41.64</v>
      </c>
      <c r="C9">
        <v>3638.12</v>
      </c>
      <c r="D9">
        <v>41.59</v>
      </c>
      <c r="E9">
        <v>3638.12</v>
      </c>
      <c r="F9">
        <v>41.53</v>
      </c>
      <c r="G9">
        <v>3980.87</v>
      </c>
      <c r="H9">
        <v>44.99</v>
      </c>
      <c r="I9">
        <v>3923.31</v>
      </c>
    </row>
    <row r="10" spans="1:9">
      <c r="A10" t="s">
        <v>17</v>
      </c>
      <c r="B10">
        <v>39.78</v>
      </c>
      <c r="C10">
        <v>3794.49</v>
      </c>
      <c r="D10">
        <v>39.82</v>
      </c>
      <c r="E10">
        <v>3794.49</v>
      </c>
      <c r="F10">
        <v>39.73</v>
      </c>
      <c r="G10">
        <v>4193.08</v>
      </c>
      <c r="H10">
        <v>49.44</v>
      </c>
      <c r="I10">
        <v>4079.47</v>
      </c>
    </row>
    <row r="11" spans="1:9">
      <c r="A11" t="s">
        <v>18</v>
      </c>
      <c r="B11">
        <v>38.87</v>
      </c>
      <c r="C11">
        <v>3692.85</v>
      </c>
      <c r="D11">
        <v>39.04</v>
      </c>
      <c r="E11">
        <v>3692.85</v>
      </c>
      <c r="F11">
        <v>38.84</v>
      </c>
      <c r="G11">
        <v>4116.19</v>
      </c>
      <c r="H11">
        <v>44.64</v>
      </c>
      <c r="I11">
        <v>3978.01</v>
      </c>
    </row>
    <row r="12" spans="1:9">
      <c r="A12" t="s">
        <v>19</v>
      </c>
      <c r="B12">
        <v>44.87</v>
      </c>
      <c r="C12">
        <v>3638.24</v>
      </c>
      <c r="D12">
        <v>44.93</v>
      </c>
      <c r="E12">
        <v>3638.24</v>
      </c>
      <c r="F12">
        <v>44.77</v>
      </c>
      <c r="G12">
        <v>3993.03</v>
      </c>
      <c r="H12">
        <v>48.64</v>
      </c>
      <c r="I12">
        <v>3864.38</v>
      </c>
    </row>
    <row r="13" spans="1:9">
      <c r="A13" t="s">
        <v>20</v>
      </c>
      <c r="B13">
        <v>32.73</v>
      </c>
      <c r="C13">
        <v>3562.78</v>
      </c>
      <c r="D13">
        <v>32.77</v>
      </c>
      <c r="E13">
        <v>3562.78</v>
      </c>
      <c r="F13">
        <v>32.7</v>
      </c>
      <c r="G13">
        <v>3965.44</v>
      </c>
      <c r="H13">
        <v>36.5</v>
      </c>
      <c r="I13">
        <v>3806.32</v>
      </c>
    </row>
    <row r="14" spans="1:9">
      <c r="A14" t="s">
        <v>21</v>
      </c>
      <c r="B14">
        <v>43.43</v>
      </c>
      <c r="C14">
        <v>3727.2</v>
      </c>
      <c r="D14">
        <v>43.54</v>
      </c>
      <c r="E14">
        <v>3727.2</v>
      </c>
      <c r="F14">
        <v>43.37</v>
      </c>
      <c r="G14">
        <v>4082.29</v>
      </c>
      <c r="H14">
        <v>51.11</v>
      </c>
      <c r="I14">
        <v>3970.19</v>
      </c>
    </row>
    <row r="15" spans="1:9">
      <c r="A15" t="s">
        <v>22</v>
      </c>
      <c r="B15">
        <v>37.2</v>
      </c>
      <c r="C15">
        <v>3899.21</v>
      </c>
      <c r="D15">
        <v>37.37</v>
      </c>
      <c r="E15">
        <v>3899.21</v>
      </c>
      <c r="F15">
        <v>37.16</v>
      </c>
      <c r="G15">
        <v>4286.21</v>
      </c>
      <c r="H15">
        <v>41.61</v>
      </c>
      <c r="I15">
        <v>4234.44</v>
      </c>
    </row>
    <row r="16" spans="1:9">
      <c r="A16" t="s">
        <v>23</v>
      </c>
      <c r="B16">
        <v>37.82</v>
      </c>
      <c r="C16">
        <v>3567.31</v>
      </c>
      <c r="D16">
        <v>37.92</v>
      </c>
      <c r="E16">
        <v>3567.31</v>
      </c>
      <c r="F16">
        <v>37.79</v>
      </c>
      <c r="G16">
        <v>3947.31</v>
      </c>
      <c r="H16">
        <v>44.24</v>
      </c>
      <c r="I16">
        <v>3831.86</v>
      </c>
    </row>
    <row r="17" spans="1:9">
      <c r="A17" t="s">
        <v>24</v>
      </c>
      <c r="B17">
        <v>41.7</v>
      </c>
      <c r="C17">
        <v>3562.93</v>
      </c>
      <c r="D17">
        <v>41.75</v>
      </c>
      <c r="E17">
        <v>3562.93</v>
      </c>
      <c r="F17">
        <v>41.69</v>
      </c>
      <c r="G17">
        <v>3961.99</v>
      </c>
      <c r="H17">
        <v>51.25</v>
      </c>
      <c r="I17">
        <v>3867.1</v>
      </c>
    </row>
    <row r="18" spans="1:9">
      <c r="A18" t="s">
        <v>25</v>
      </c>
      <c r="B18">
        <v>32.91</v>
      </c>
      <c r="C18">
        <v>3626.99</v>
      </c>
      <c r="D18">
        <v>33.01</v>
      </c>
      <c r="E18">
        <v>3626.99</v>
      </c>
      <c r="F18">
        <v>32.87</v>
      </c>
      <c r="G18">
        <v>4042.41</v>
      </c>
      <c r="H18">
        <v>59.58</v>
      </c>
      <c r="I18">
        <v>3874.01</v>
      </c>
    </row>
    <row r="19" spans="1:9">
      <c r="A19" t="s">
        <v>26</v>
      </c>
      <c r="B19">
        <v>42.96</v>
      </c>
      <c r="C19">
        <v>3813.31</v>
      </c>
      <c r="D19">
        <v>43.02</v>
      </c>
      <c r="E19">
        <v>3813.31</v>
      </c>
      <c r="F19">
        <v>42.91</v>
      </c>
      <c r="G19">
        <v>4211</v>
      </c>
      <c r="H19">
        <v>47.59</v>
      </c>
      <c r="I19">
        <v>4198.86</v>
      </c>
    </row>
    <row r="20" spans="1:9">
      <c r="A20" t="s">
        <v>27</v>
      </c>
      <c r="B20">
        <v>34.16</v>
      </c>
      <c r="C20">
        <v>3668.1</v>
      </c>
      <c r="D20">
        <v>34.2</v>
      </c>
      <c r="E20">
        <v>3668.1</v>
      </c>
      <c r="F20">
        <v>34.16</v>
      </c>
      <c r="G20">
        <v>4068.63</v>
      </c>
      <c r="H20">
        <v>39.98</v>
      </c>
      <c r="I20">
        <v>3983.19</v>
      </c>
    </row>
    <row r="21" spans="1:9">
      <c r="A21" t="s">
        <v>28</v>
      </c>
      <c r="B21">
        <v>43.93</v>
      </c>
      <c r="C21">
        <v>3677.39</v>
      </c>
      <c r="D21">
        <v>43.96</v>
      </c>
      <c r="E21">
        <v>3677.39</v>
      </c>
      <c r="F21">
        <v>43.89</v>
      </c>
      <c r="G21">
        <v>4014.12</v>
      </c>
      <c r="H21">
        <v>54.3</v>
      </c>
      <c r="I21">
        <v>3945.86</v>
      </c>
    </row>
    <row r="23" spans="1:28">
      <c r="A23" s="3" t="s">
        <v>29</v>
      </c>
      <c r="B23" s="3" t="s">
        <v>30</v>
      </c>
      <c r="C23" s="3" t="s">
        <v>31</v>
      </c>
      <c r="D23" s="4" t="s">
        <v>32</v>
      </c>
      <c r="E23" s="3" t="s">
        <v>33</v>
      </c>
      <c r="F23" s="3" t="s">
        <v>34</v>
      </c>
      <c r="G23" s="3" t="s">
        <v>35</v>
      </c>
      <c r="H23" s="4" t="s">
        <v>36</v>
      </c>
      <c r="I23" s="3" t="s">
        <v>37</v>
      </c>
      <c r="J23" s="3" t="s">
        <v>38</v>
      </c>
      <c r="K23" s="3" t="s">
        <v>39</v>
      </c>
      <c r="L23" s="4" t="s">
        <v>40</v>
      </c>
      <c r="M23" s="3" t="s">
        <v>41</v>
      </c>
      <c r="N23" s="3" t="s">
        <v>42</v>
      </c>
      <c r="O23" s="3" t="s">
        <v>43</v>
      </c>
      <c r="P23" s="4" t="s">
        <v>44</v>
      </c>
      <c r="Q23" s="3" t="s">
        <v>45</v>
      </c>
      <c r="R23" s="3" t="s">
        <v>46</v>
      </c>
      <c r="S23" s="3" t="s">
        <v>47</v>
      </c>
      <c r="T23" s="4" t="s">
        <v>48</v>
      </c>
      <c r="U23" s="3" t="s">
        <v>49</v>
      </c>
      <c r="V23" s="3" t="s">
        <v>50</v>
      </c>
      <c r="W23" s="3" t="s">
        <v>51</v>
      </c>
      <c r="X23" s="4" t="s">
        <v>52</v>
      </c>
      <c r="Y23" s="4" t="s">
        <v>53</v>
      </c>
      <c r="Z23" s="4" t="s">
        <v>54</v>
      </c>
      <c r="AA23" s="4" t="s">
        <v>55</v>
      </c>
      <c r="AB23" s="4" t="s">
        <v>56</v>
      </c>
    </row>
    <row r="24" spans="1:28">
      <c r="A24" s="2">
        <f>AVERAGE($B$2:$B$21)</f>
        <v>39.3735</v>
      </c>
      <c r="B24" s="2">
        <f>AVERAGE($D$2:$D$21)</f>
        <v>39.4345</v>
      </c>
      <c r="C24" s="2">
        <f>AVERAGE($F$2:$F$21)</f>
        <v>39.3275</v>
      </c>
      <c r="D24" s="2">
        <f>AVERAGEIF($H$2:$H$21,"&lt;&gt; -1")</f>
        <v>46.682</v>
      </c>
      <c r="E24" s="2">
        <f>AVERAGE($C$2:$C$21)</f>
        <v>3709.478</v>
      </c>
      <c r="F24" s="2">
        <f>AVERAGE($E$2:$E$21)</f>
        <v>3709.478</v>
      </c>
      <c r="G24" s="2">
        <f>AVERAGE($G$2:$G$21)</f>
        <v>4100.168</v>
      </c>
      <c r="H24" s="2">
        <f>AVERAGEIFS($I$2:$I$21,$H$2:$H$21,"&lt;&gt; -1")</f>
        <v>3996.4535</v>
      </c>
      <c r="I24" s="2">
        <f>MAX($B$2:$B$21)</f>
        <v>45.99</v>
      </c>
      <c r="J24" s="2">
        <f>MAX($D$2:$D$21)</f>
        <v>46.07</v>
      </c>
      <c r="K24" s="2">
        <f>MAX($F$2:$F$21)</f>
        <v>45.89</v>
      </c>
      <c r="L24" s="2">
        <f>_xlfn.MAXIFS($H$2:$H$21,$H$2:$H$21,"&lt;&gt; -1")</f>
        <v>59.58</v>
      </c>
      <c r="M24" s="2">
        <f>MIN($B$2:$B$21)</f>
        <v>31.49</v>
      </c>
      <c r="N24" s="2">
        <f>MIN($D$2:$D$21)</f>
        <v>31.53</v>
      </c>
      <c r="O24" s="2">
        <f>MIN($F$2:$F$21)</f>
        <v>31.47</v>
      </c>
      <c r="P24" s="2">
        <f>_xlfn.MINIFS($H$2:$H$21,$H$2:$H$21,"&lt;&gt; -1")</f>
        <v>35.05</v>
      </c>
      <c r="Q24" s="2">
        <f>MAX($C$2:$C$21)</f>
        <v>4005.39</v>
      </c>
      <c r="R24" s="2">
        <f>MAX($E$2:$E$21)</f>
        <v>4005.39</v>
      </c>
      <c r="S24" s="2">
        <f>MAX($G$2:$G$21)</f>
        <v>4421.9</v>
      </c>
      <c r="T24" s="2">
        <f>_xlfn.MAXIFS($I$2:$I$21,$H$2:$H$21,"&lt;&gt; -1")</f>
        <v>4235.31</v>
      </c>
      <c r="U24" s="2">
        <f>MIN($C$2:$C$21)</f>
        <v>3562.78</v>
      </c>
      <c r="V24" s="2">
        <f>MIN($E$2:$E$21)</f>
        <v>3562.78</v>
      </c>
      <c r="W24" s="2">
        <f>MIN($G$2:$G$21)</f>
        <v>3947.31</v>
      </c>
      <c r="X24" s="2">
        <f>_xlfn.MINIFS($I$2:$I$21,$H$2:$H$21,"&lt;&gt; -1")</f>
        <v>3806.32</v>
      </c>
      <c r="Y24" s="2">
        <f>(COUNTIFS($B$2:$B$21,"&gt;0.0",$B$2:$B$21,"&lt;100.0"))/20</f>
        <v>1</v>
      </c>
      <c r="Z24" s="2">
        <f>(COUNTIFS($D$2:$D$21,"&gt;0.0",$D$2:$D$21,"&lt;100.0"))/20</f>
        <v>1</v>
      </c>
      <c r="AA24" s="2">
        <f>(COUNTIFS($F$2:$F$21,"&gt;0.0",$F$2:$F$21,"&lt;100.0"))/20</f>
        <v>1</v>
      </c>
      <c r="AB24" s="2">
        <f>(COUNTIFS($H$2:$H$21,"&gt;0.0",$H$2:$H$21,"&lt;100.0"))/20</f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3"/>
  <sheetViews>
    <sheetView zoomScale="130" zoomScaleNormal="130" workbookViewId="0">
      <selection activeCell="A23" sqref="$A23:$XFD23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39.61</v>
      </c>
      <c r="C2">
        <v>3834.32</v>
      </c>
      <c r="D2">
        <v>39.63</v>
      </c>
      <c r="E2">
        <v>3834.32</v>
      </c>
      <c r="F2">
        <v>39.49</v>
      </c>
      <c r="G2">
        <v>4174.5</v>
      </c>
      <c r="H2">
        <v>46.82</v>
      </c>
      <c r="I2">
        <v>4089.45</v>
      </c>
    </row>
    <row r="3" spans="1:9">
      <c r="A3" t="s">
        <v>10</v>
      </c>
      <c r="B3">
        <v>50.25</v>
      </c>
      <c r="C3">
        <v>3789.82</v>
      </c>
      <c r="D3">
        <v>50.29</v>
      </c>
      <c r="E3">
        <v>3789.82</v>
      </c>
      <c r="F3">
        <v>50.05</v>
      </c>
      <c r="G3">
        <v>4121.08</v>
      </c>
      <c r="H3">
        <v>62.21</v>
      </c>
      <c r="I3">
        <v>3962.06</v>
      </c>
    </row>
    <row r="4" spans="1:9">
      <c r="A4" t="s">
        <v>11</v>
      </c>
      <c r="B4">
        <v>40.83</v>
      </c>
      <c r="C4">
        <v>3968.17</v>
      </c>
      <c r="D4">
        <v>40.88</v>
      </c>
      <c r="E4">
        <v>3968.17</v>
      </c>
      <c r="F4">
        <v>40.64</v>
      </c>
      <c r="G4">
        <v>4370.58</v>
      </c>
      <c r="H4">
        <v>60.23</v>
      </c>
      <c r="I4">
        <v>4139.04</v>
      </c>
    </row>
    <row r="5" spans="1:9">
      <c r="A5" t="s">
        <v>12</v>
      </c>
      <c r="B5">
        <v>50.09</v>
      </c>
      <c r="C5">
        <v>3758.45</v>
      </c>
      <c r="D5">
        <v>50.12</v>
      </c>
      <c r="E5">
        <v>3758.45</v>
      </c>
      <c r="F5">
        <v>49.94</v>
      </c>
      <c r="G5">
        <v>4190.76</v>
      </c>
      <c r="H5">
        <v>68.15</v>
      </c>
      <c r="I5">
        <v>3960.65</v>
      </c>
    </row>
    <row r="6" spans="1:9">
      <c r="A6" t="s">
        <v>13</v>
      </c>
      <c r="B6">
        <v>46.34</v>
      </c>
      <c r="C6">
        <v>3880.28</v>
      </c>
      <c r="D6">
        <v>46.39</v>
      </c>
      <c r="E6">
        <v>3880.28</v>
      </c>
      <c r="F6">
        <v>46.17</v>
      </c>
      <c r="G6">
        <v>4270.77</v>
      </c>
      <c r="H6">
        <v>60.14</v>
      </c>
      <c r="I6">
        <v>4052.73</v>
      </c>
    </row>
    <row r="7" spans="1:9">
      <c r="A7" t="s">
        <v>14</v>
      </c>
      <c r="B7">
        <v>42.53</v>
      </c>
      <c r="C7">
        <v>3875.95</v>
      </c>
      <c r="D7">
        <v>42.54</v>
      </c>
      <c r="E7">
        <v>3875.95</v>
      </c>
      <c r="F7">
        <v>42.44</v>
      </c>
      <c r="G7">
        <v>4275.23</v>
      </c>
      <c r="H7">
        <v>-1</v>
      </c>
      <c r="I7">
        <v>3448.03</v>
      </c>
    </row>
    <row r="8" spans="1:9">
      <c r="A8" t="s">
        <v>15</v>
      </c>
      <c r="B8">
        <v>46.04</v>
      </c>
      <c r="C8">
        <v>3720.94</v>
      </c>
      <c r="D8">
        <v>46.08</v>
      </c>
      <c r="E8">
        <v>3720.94</v>
      </c>
      <c r="F8">
        <v>45.87</v>
      </c>
      <c r="G8">
        <v>4079.41</v>
      </c>
      <c r="H8">
        <v>-1</v>
      </c>
      <c r="I8">
        <v>3972.9</v>
      </c>
    </row>
    <row r="9" spans="1:9">
      <c r="A9" t="s">
        <v>16</v>
      </c>
      <c r="B9">
        <v>49.06</v>
      </c>
      <c r="C9">
        <v>3686.9</v>
      </c>
      <c r="D9">
        <v>49.06</v>
      </c>
      <c r="E9">
        <v>3686.9</v>
      </c>
      <c r="F9">
        <v>48.9</v>
      </c>
      <c r="G9">
        <v>4069.31</v>
      </c>
      <c r="H9">
        <v>-1</v>
      </c>
      <c r="I9">
        <v>3242.57</v>
      </c>
    </row>
    <row r="10" spans="1:9">
      <c r="A10" t="s">
        <v>17</v>
      </c>
      <c r="B10">
        <v>42.07</v>
      </c>
      <c r="C10">
        <v>3881.08</v>
      </c>
      <c r="D10">
        <v>42.12</v>
      </c>
      <c r="E10">
        <v>3881.08</v>
      </c>
      <c r="F10">
        <v>41.96</v>
      </c>
      <c r="G10">
        <v>4250.21</v>
      </c>
      <c r="H10">
        <v>-1</v>
      </c>
      <c r="I10">
        <v>3270.16</v>
      </c>
    </row>
    <row r="11" spans="1:9">
      <c r="A11" t="s">
        <v>18</v>
      </c>
      <c r="B11">
        <v>45.28</v>
      </c>
      <c r="C11">
        <v>3932.34</v>
      </c>
      <c r="D11">
        <v>45.3</v>
      </c>
      <c r="E11">
        <v>3932.34</v>
      </c>
      <c r="F11">
        <v>45.15</v>
      </c>
      <c r="G11">
        <v>4320.99</v>
      </c>
      <c r="H11">
        <v>-1</v>
      </c>
      <c r="I11">
        <v>3508.64</v>
      </c>
    </row>
    <row r="12" spans="1:9">
      <c r="A12" t="s">
        <v>19</v>
      </c>
      <c r="B12">
        <v>40.08</v>
      </c>
      <c r="C12">
        <v>3807.92</v>
      </c>
      <c r="D12">
        <v>40.1</v>
      </c>
      <c r="E12">
        <v>3807.92</v>
      </c>
      <c r="F12">
        <v>39.98</v>
      </c>
      <c r="G12">
        <v>4188.33</v>
      </c>
      <c r="H12">
        <v>55.55</v>
      </c>
      <c r="I12">
        <v>4033.84</v>
      </c>
    </row>
    <row r="13" spans="1:9">
      <c r="A13" t="s">
        <v>20</v>
      </c>
      <c r="B13">
        <v>50.38</v>
      </c>
      <c r="C13">
        <v>3876.3</v>
      </c>
      <c r="D13">
        <v>50.49</v>
      </c>
      <c r="E13">
        <v>3876.3</v>
      </c>
      <c r="F13">
        <v>50.23</v>
      </c>
      <c r="G13">
        <v>4331.82</v>
      </c>
      <c r="H13">
        <v>66.23</v>
      </c>
      <c r="I13">
        <v>4101.96</v>
      </c>
    </row>
    <row r="14" spans="1:9">
      <c r="A14" t="s">
        <v>21</v>
      </c>
      <c r="B14">
        <v>37.24</v>
      </c>
      <c r="C14">
        <v>3762.11</v>
      </c>
      <c r="D14">
        <v>37.2</v>
      </c>
      <c r="E14">
        <v>3762.11</v>
      </c>
      <c r="F14">
        <v>36.97</v>
      </c>
      <c r="G14">
        <v>4090.93</v>
      </c>
      <c r="H14">
        <v>53.08</v>
      </c>
      <c r="I14">
        <v>3925.49</v>
      </c>
    </row>
    <row r="15" spans="1:9">
      <c r="A15" t="s">
        <v>22</v>
      </c>
      <c r="B15">
        <v>53.16</v>
      </c>
      <c r="C15">
        <v>4036.15</v>
      </c>
      <c r="D15">
        <v>53.16</v>
      </c>
      <c r="E15">
        <v>4036.15</v>
      </c>
      <c r="F15">
        <v>53.04</v>
      </c>
      <c r="G15">
        <v>4481.92</v>
      </c>
      <c r="H15">
        <v>65.08</v>
      </c>
      <c r="I15">
        <v>4311.79</v>
      </c>
    </row>
    <row r="16" spans="1:9">
      <c r="A16" t="s">
        <v>23</v>
      </c>
      <c r="B16">
        <v>37.18</v>
      </c>
      <c r="C16">
        <v>3622.87</v>
      </c>
      <c r="D16">
        <v>37.23</v>
      </c>
      <c r="E16">
        <v>3622.87</v>
      </c>
      <c r="F16">
        <v>37.03</v>
      </c>
      <c r="G16">
        <v>3934.37</v>
      </c>
      <c r="H16">
        <v>57.37</v>
      </c>
      <c r="I16">
        <v>3822.76</v>
      </c>
    </row>
    <row r="17" spans="1:9">
      <c r="A17" t="s">
        <v>24</v>
      </c>
      <c r="B17">
        <v>51.56</v>
      </c>
      <c r="C17">
        <v>3744.66</v>
      </c>
      <c r="D17">
        <v>51.58</v>
      </c>
      <c r="E17">
        <v>3744.66</v>
      </c>
      <c r="F17">
        <v>51.32</v>
      </c>
      <c r="G17">
        <v>4111.37</v>
      </c>
      <c r="H17">
        <v>-1</v>
      </c>
      <c r="I17">
        <v>3373.3</v>
      </c>
    </row>
    <row r="18" spans="1:9">
      <c r="A18" t="s">
        <v>25</v>
      </c>
      <c r="B18">
        <v>46.86</v>
      </c>
      <c r="C18">
        <v>3575.41</v>
      </c>
      <c r="D18">
        <v>46.88</v>
      </c>
      <c r="E18">
        <v>3575.41</v>
      </c>
      <c r="F18">
        <v>46.78</v>
      </c>
      <c r="G18">
        <v>3878.78</v>
      </c>
      <c r="H18">
        <v>58.02</v>
      </c>
      <c r="I18">
        <v>3766.07</v>
      </c>
    </row>
    <row r="19" spans="1:9">
      <c r="A19" t="s">
        <v>26</v>
      </c>
      <c r="B19">
        <v>44.55</v>
      </c>
      <c r="C19">
        <v>4058.44</v>
      </c>
      <c r="D19">
        <v>44.66</v>
      </c>
      <c r="E19">
        <v>4058.44</v>
      </c>
      <c r="F19">
        <v>44.37</v>
      </c>
      <c r="G19">
        <v>4398.06</v>
      </c>
      <c r="H19">
        <v>-1</v>
      </c>
      <c r="I19">
        <v>3540.61</v>
      </c>
    </row>
    <row r="20" spans="1:9">
      <c r="A20" t="s">
        <v>27</v>
      </c>
      <c r="B20">
        <v>49.04</v>
      </c>
      <c r="C20">
        <v>3699.74</v>
      </c>
      <c r="D20">
        <v>49.07</v>
      </c>
      <c r="E20">
        <v>3699.74</v>
      </c>
      <c r="F20">
        <v>48.95</v>
      </c>
      <c r="G20">
        <v>4137.95</v>
      </c>
      <c r="H20">
        <v>71.58</v>
      </c>
      <c r="I20">
        <v>4020.55</v>
      </c>
    </row>
    <row r="21" spans="1:9">
      <c r="A21" t="s">
        <v>28</v>
      </c>
      <c r="B21">
        <v>45.31</v>
      </c>
      <c r="C21">
        <v>3729.33</v>
      </c>
      <c r="D21">
        <v>45.32</v>
      </c>
      <c r="E21">
        <v>3729.33</v>
      </c>
      <c r="F21">
        <v>45.21</v>
      </c>
      <c r="G21">
        <v>4081.13</v>
      </c>
      <c r="H21">
        <v>60.79</v>
      </c>
      <c r="I21">
        <v>3920.65</v>
      </c>
    </row>
    <row r="23" spans="1:28">
      <c r="A23" s="2">
        <f>AVERAGE($B$2:$B$21)</f>
        <v>45.373</v>
      </c>
      <c r="B23" s="2">
        <f>AVERAGE($D$2:$D$21)</f>
        <v>45.405</v>
      </c>
      <c r="C23" s="2">
        <f>AVERAGE($F$2:$F$21)</f>
        <v>45.2245</v>
      </c>
      <c r="D23" s="2">
        <f>AVERAGEIF($H$2:$H$21,"&lt;&gt; -1")</f>
        <v>60.4038461538462</v>
      </c>
      <c r="E23" s="2">
        <f>AVERAGE($C$2:$C$21)</f>
        <v>3812.059</v>
      </c>
      <c r="F23" s="2">
        <f>AVERAGE($E$2:$E$21)</f>
        <v>3812.059</v>
      </c>
      <c r="G23" s="2">
        <f>AVERAGE($G$2:$G$21)</f>
        <v>4187.875</v>
      </c>
      <c r="H23" s="2">
        <f>AVERAGEIFS($I$2:$I$21,$H$2:$H$21,"&lt;&gt; -1")</f>
        <v>4008.23384615385</v>
      </c>
      <c r="I23" s="2">
        <f>MAX($B$2:$B$21)</f>
        <v>53.16</v>
      </c>
      <c r="J23" s="2">
        <f>MAX($D$2:$D$21)</f>
        <v>53.16</v>
      </c>
      <c r="K23" s="2">
        <f>MAX($F$2:$F$21)</f>
        <v>53.04</v>
      </c>
      <c r="L23" s="2">
        <f>_xlfn.MAXIFS($H$2:$H$21,$H$2:$H$21,"&lt;&gt; -1")</f>
        <v>71.58</v>
      </c>
      <c r="M23" s="2">
        <f>MIN($B$2:$B$21)</f>
        <v>37.18</v>
      </c>
      <c r="N23" s="2">
        <f>MIN($D$2:$D$21)</f>
        <v>37.2</v>
      </c>
      <c r="O23" s="2">
        <f>MIN($F$2:$F$21)</f>
        <v>36.97</v>
      </c>
      <c r="P23" s="2">
        <f>_xlfn.MINIFS($H$2:$H$21,$H$2:$H$21,"&lt;&gt; -1")</f>
        <v>46.82</v>
      </c>
      <c r="Q23" s="2">
        <f>MAX($C$2:$C$21)</f>
        <v>4058.44</v>
      </c>
      <c r="R23" s="2">
        <f>MAX($E$2:$E$21)</f>
        <v>4058.44</v>
      </c>
      <c r="S23" s="2">
        <f>MAX($G$2:$G$21)</f>
        <v>4481.92</v>
      </c>
      <c r="T23" s="2">
        <f>_xlfn.MAXIFS($I$2:$I$21,$H$2:$H$21,"&lt;&gt; -1")</f>
        <v>4311.79</v>
      </c>
      <c r="U23" s="2">
        <f>MIN($C$2:$C$21)</f>
        <v>3575.41</v>
      </c>
      <c r="V23" s="2">
        <f>MIN($E$2:$E$21)</f>
        <v>3575.41</v>
      </c>
      <c r="W23" s="2">
        <f>MIN($G$2:$G$21)</f>
        <v>3878.78</v>
      </c>
      <c r="X23" s="2">
        <f>_xlfn.MINIFS($I$2:$I$21,$H$2:$H$21,"&lt;&gt; -1")</f>
        <v>3766.07</v>
      </c>
      <c r="Y23" s="2">
        <f>(COUNTIFS($B$2:$B$21,"&gt;0.0",$B$2:$B$21,"&lt;100.0"))/20</f>
        <v>1</v>
      </c>
      <c r="Z23" s="2">
        <f>(COUNTIFS($D$2:$D$21,"&gt;0.0",$D$2:$D$21,"&lt;100.0"))/20</f>
        <v>1</v>
      </c>
      <c r="AA23" s="2">
        <f>(COUNTIFS($F$2:$F$21,"&gt;0.0",$F$2:$F$21,"&lt;100.0"))/20</f>
        <v>1</v>
      </c>
      <c r="AB23" s="2">
        <f>(COUNTIFS($H$2:$H$21,"&gt;0.0",$H$2:$H$21,"&lt;100.0"))/20</f>
        <v>0.65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3"/>
  <sheetViews>
    <sheetView zoomScale="115" zoomScaleNormal="115" workbookViewId="0">
      <selection activeCell="A23" sqref="$A23:$XFD23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50.24</v>
      </c>
      <c r="C2">
        <v>3864.17</v>
      </c>
      <c r="D2">
        <v>50.24</v>
      </c>
      <c r="E2">
        <v>3864.17</v>
      </c>
      <c r="F2">
        <v>50.12</v>
      </c>
      <c r="G2">
        <v>4213.3</v>
      </c>
      <c r="H2">
        <v>-1</v>
      </c>
      <c r="I2">
        <v>1766.24</v>
      </c>
    </row>
    <row r="3" spans="1:9">
      <c r="A3" t="s">
        <v>10</v>
      </c>
      <c r="B3">
        <v>55.33</v>
      </c>
      <c r="C3">
        <v>3717.6</v>
      </c>
      <c r="D3">
        <v>55.35</v>
      </c>
      <c r="E3">
        <v>3717.6</v>
      </c>
      <c r="F3">
        <v>55.22</v>
      </c>
      <c r="G3">
        <v>4122.62</v>
      </c>
      <c r="H3">
        <v>62.12</v>
      </c>
      <c r="I3">
        <v>3981.12</v>
      </c>
    </row>
    <row r="4" spans="1:9">
      <c r="A4" t="s">
        <v>11</v>
      </c>
      <c r="B4">
        <v>50.04</v>
      </c>
      <c r="C4">
        <v>3999.34</v>
      </c>
      <c r="D4">
        <v>50.07</v>
      </c>
      <c r="E4">
        <v>3999.34</v>
      </c>
      <c r="F4">
        <v>49.85</v>
      </c>
      <c r="G4">
        <v>4383.45</v>
      </c>
      <c r="H4">
        <v>-1</v>
      </c>
      <c r="I4">
        <v>3117.29</v>
      </c>
    </row>
    <row r="5" spans="1:9">
      <c r="A5" t="s">
        <v>12</v>
      </c>
      <c r="B5">
        <v>46.68</v>
      </c>
      <c r="C5">
        <v>3864.48</v>
      </c>
      <c r="D5">
        <v>46.69</v>
      </c>
      <c r="E5">
        <v>3864.48</v>
      </c>
      <c r="F5">
        <v>46.6</v>
      </c>
      <c r="G5">
        <v>4238.93</v>
      </c>
      <c r="H5">
        <v>-1</v>
      </c>
      <c r="I5">
        <v>3065.11</v>
      </c>
    </row>
    <row r="6" spans="1:9">
      <c r="A6" t="s">
        <v>13</v>
      </c>
      <c r="B6">
        <v>51.24</v>
      </c>
      <c r="C6">
        <v>3904.32</v>
      </c>
      <c r="D6">
        <v>51.24</v>
      </c>
      <c r="E6">
        <v>3904.32</v>
      </c>
      <c r="F6">
        <v>51.1</v>
      </c>
      <c r="G6">
        <v>4297.44</v>
      </c>
      <c r="H6">
        <v>-1</v>
      </c>
      <c r="I6">
        <v>3244.02</v>
      </c>
    </row>
    <row r="7" spans="1:9">
      <c r="A7" t="s">
        <v>14</v>
      </c>
      <c r="B7">
        <v>48.12</v>
      </c>
      <c r="C7">
        <v>3839.94</v>
      </c>
      <c r="D7">
        <v>48.14</v>
      </c>
      <c r="E7">
        <v>3839.94</v>
      </c>
      <c r="F7">
        <v>47.97</v>
      </c>
      <c r="G7">
        <v>4242.86</v>
      </c>
      <c r="H7">
        <v>-1</v>
      </c>
      <c r="I7">
        <v>2824.49</v>
      </c>
    </row>
    <row r="8" spans="1:9">
      <c r="A8" t="s">
        <v>15</v>
      </c>
      <c r="B8">
        <v>52.47</v>
      </c>
      <c r="C8">
        <v>3564.41</v>
      </c>
      <c r="D8">
        <v>52.48</v>
      </c>
      <c r="E8">
        <v>3564.41</v>
      </c>
      <c r="F8">
        <v>52.37</v>
      </c>
      <c r="G8">
        <v>3947.18</v>
      </c>
      <c r="H8">
        <v>59.97</v>
      </c>
      <c r="I8">
        <v>3818.46</v>
      </c>
    </row>
    <row r="9" spans="1:9">
      <c r="A9" t="s">
        <v>16</v>
      </c>
      <c r="B9">
        <v>47.05</v>
      </c>
      <c r="C9">
        <v>3931.56</v>
      </c>
      <c r="D9">
        <v>47.09</v>
      </c>
      <c r="E9">
        <v>3931.56</v>
      </c>
      <c r="F9">
        <v>46.75</v>
      </c>
      <c r="G9">
        <v>4260.6</v>
      </c>
      <c r="H9">
        <v>-1</v>
      </c>
      <c r="I9">
        <v>2978.36</v>
      </c>
    </row>
    <row r="10" spans="1:9">
      <c r="A10" t="s">
        <v>17</v>
      </c>
      <c r="B10">
        <v>53.51</v>
      </c>
      <c r="C10">
        <v>3967.94</v>
      </c>
      <c r="D10">
        <v>53.49</v>
      </c>
      <c r="E10">
        <v>3967.94</v>
      </c>
      <c r="F10">
        <v>53.29</v>
      </c>
      <c r="G10">
        <v>4402.84</v>
      </c>
      <c r="H10">
        <v>-1</v>
      </c>
      <c r="I10">
        <v>1901</v>
      </c>
    </row>
    <row r="11" spans="1:9">
      <c r="A11" t="s">
        <v>18</v>
      </c>
      <c r="B11">
        <v>50.4</v>
      </c>
      <c r="C11">
        <v>3904.16</v>
      </c>
      <c r="D11">
        <v>50.41</v>
      </c>
      <c r="E11">
        <v>3904.16</v>
      </c>
      <c r="F11">
        <v>50.22</v>
      </c>
      <c r="G11">
        <v>4295.88</v>
      </c>
      <c r="H11">
        <v>-1</v>
      </c>
      <c r="I11">
        <v>3079.49</v>
      </c>
    </row>
    <row r="12" spans="1:9">
      <c r="A12" t="s">
        <v>19</v>
      </c>
      <c r="B12">
        <v>46.32</v>
      </c>
      <c r="C12">
        <v>3601.48</v>
      </c>
      <c r="D12">
        <v>46.33</v>
      </c>
      <c r="E12">
        <v>3601.48</v>
      </c>
      <c r="F12">
        <v>46.22</v>
      </c>
      <c r="G12">
        <v>3963.37</v>
      </c>
      <c r="H12">
        <v>54.41</v>
      </c>
      <c r="I12">
        <v>3838.02</v>
      </c>
    </row>
    <row r="13" spans="1:9">
      <c r="A13" t="s">
        <v>20</v>
      </c>
      <c r="B13">
        <v>61.26</v>
      </c>
      <c r="C13">
        <v>3770.37</v>
      </c>
      <c r="D13">
        <v>61.11</v>
      </c>
      <c r="E13">
        <v>3770.37</v>
      </c>
      <c r="F13">
        <v>60.95</v>
      </c>
      <c r="G13">
        <v>4160.52</v>
      </c>
      <c r="H13">
        <v>-1</v>
      </c>
      <c r="I13">
        <v>3934.2</v>
      </c>
    </row>
    <row r="14" spans="1:9">
      <c r="A14" t="s">
        <v>21</v>
      </c>
      <c r="B14">
        <v>55.31</v>
      </c>
      <c r="C14">
        <v>3820.99</v>
      </c>
      <c r="D14">
        <v>55.31</v>
      </c>
      <c r="E14">
        <v>3820.99</v>
      </c>
      <c r="F14">
        <v>55.15</v>
      </c>
      <c r="G14">
        <v>4138.38</v>
      </c>
      <c r="H14">
        <v>-1</v>
      </c>
      <c r="I14">
        <v>2820.76</v>
      </c>
    </row>
    <row r="15" spans="1:9">
      <c r="A15" t="s">
        <v>22</v>
      </c>
      <c r="B15">
        <v>51.23</v>
      </c>
      <c r="C15">
        <v>3912.04</v>
      </c>
      <c r="D15">
        <v>51.25</v>
      </c>
      <c r="E15">
        <v>3912.04</v>
      </c>
      <c r="F15">
        <v>51.06</v>
      </c>
      <c r="G15">
        <v>4347.68</v>
      </c>
      <c r="H15">
        <v>76.59</v>
      </c>
      <c r="I15">
        <v>4143.95</v>
      </c>
    </row>
    <row r="16" spans="1:9">
      <c r="A16" t="s">
        <v>23</v>
      </c>
      <c r="B16">
        <v>47.78</v>
      </c>
      <c r="C16">
        <v>3781.34</v>
      </c>
      <c r="D16">
        <v>47.79</v>
      </c>
      <c r="E16">
        <v>3781.34</v>
      </c>
      <c r="F16">
        <v>47.62</v>
      </c>
      <c r="G16">
        <v>4145.56</v>
      </c>
      <c r="H16">
        <v>-1</v>
      </c>
      <c r="I16">
        <v>2722.57</v>
      </c>
    </row>
    <row r="17" spans="1:9">
      <c r="A17" t="s">
        <v>24</v>
      </c>
      <c r="B17">
        <v>50.64</v>
      </c>
      <c r="C17">
        <v>3732.54</v>
      </c>
      <c r="D17">
        <v>50.65</v>
      </c>
      <c r="E17">
        <v>3732.54</v>
      </c>
      <c r="F17">
        <v>50.56</v>
      </c>
      <c r="G17">
        <v>4102.18</v>
      </c>
      <c r="H17">
        <v>54.03</v>
      </c>
      <c r="I17">
        <v>4026.58</v>
      </c>
    </row>
    <row r="18" spans="1:9">
      <c r="A18" t="s">
        <v>25</v>
      </c>
      <c r="B18">
        <v>51.38</v>
      </c>
      <c r="C18">
        <v>3680.18</v>
      </c>
      <c r="D18">
        <v>51.39</v>
      </c>
      <c r="E18">
        <v>3680.18</v>
      </c>
      <c r="F18">
        <v>51.17</v>
      </c>
      <c r="G18">
        <v>4079.66</v>
      </c>
      <c r="H18">
        <v>-1</v>
      </c>
      <c r="I18">
        <v>3944.04</v>
      </c>
    </row>
    <row r="19" spans="1:9">
      <c r="A19" t="s">
        <v>26</v>
      </c>
      <c r="B19">
        <v>47.81</v>
      </c>
      <c r="C19">
        <v>4158.72</v>
      </c>
      <c r="D19">
        <v>47.96</v>
      </c>
      <c r="E19">
        <v>4158.72</v>
      </c>
      <c r="F19">
        <v>47.83</v>
      </c>
      <c r="G19">
        <v>4537.53</v>
      </c>
      <c r="H19">
        <v>-1</v>
      </c>
      <c r="I19">
        <v>1911.36</v>
      </c>
    </row>
    <row r="20" spans="1:9">
      <c r="A20" t="s">
        <v>27</v>
      </c>
      <c r="B20">
        <v>47.28</v>
      </c>
      <c r="C20">
        <v>3687.57</v>
      </c>
      <c r="D20">
        <v>47.28</v>
      </c>
      <c r="E20">
        <v>3687.57</v>
      </c>
      <c r="F20">
        <v>47.09</v>
      </c>
      <c r="G20">
        <v>4021.57</v>
      </c>
      <c r="H20">
        <v>59.27</v>
      </c>
      <c r="I20">
        <v>3934.31</v>
      </c>
    </row>
    <row r="21" spans="1:9">
      <c r="A21" t="s">
        <v>28</v>
      </c>
      <c r="B21">
        <v>53.27</v>
      </c>
      <c r="C21">
        <v>3696.89</v>
      </c>
      <c r="D21">
        <v>53.28</v>
      </c>
      <c r="E21">
        <v>3696.89</v>
      </c>
      <c r="F21">
        <v>53.15</v>
      </c>
      <c r="G21">
        <v>4019.82</v>
      </c>
      <c r="H21">
        <v>-1</v>
      </c>
      <c r="I21">
        <v>1818.08</v>
      </c>
    </row>
    <row r="23" spans="1:28">
      <c r="A23" s="2">
        <f>AVERAGE($B$2:$B$21)</f>
        <v>50.868</v>
      </c>
      <c r="B23" s="2">
        <f>AVERAGE($D$2:$D$21)</f>
        <v>50.8775</v>
      </c>
      <c r="C23" s="2">
        <f>AVERAGE($F$2:$F$21)</f>
        <v>50.7145</v>
      </c>
      <c r="D23" s="2">
        <f>AVERAGEIF($H$2:$H$21,"&lt;&gt; -1")</f>
        <v>61.065</v>
      </c>
      <c r="E23" s="2">
        <f>AVERAGE($C$2:$C$21)</f>
        <v>3820.002</v>
      </c>
      <c r="F23" s="2">
        <f>AVERAGE($E$2:$E$21)</f>
        <v>3820.002</v>
      </c>
      <c r="G23" s="2">
        <f>AVERAGE($G$2:$G$21)</f>
        <v>4196.0685</v>
      </c>
      <c r="H23" s="2">
        <f>AVERAGEIFS($I$2:$I$21,$H$2:$H$21,"&lt;&gt; -1")</f>
        <v>3957.07333333333</v>
      </c>
      <c r="I23" s="2">
        <f>MAX($B$2:$B$21)</f>
        <v>61.26</v>
      </c>
      <c r="J23" s="2">
        <f>MAX($D$2:$D$21)</f>
        <v>61.11</v>
      </c>
      <c r="K23" s="2">
        <f>MAX($F$2:$F$21)</f>
        <v>60.95</v>
      </c>
      <c r="L23" s="2">
        <f>_xlfn.MAXIFS($H$2:$H$21,$H$2:$H$21,"&lt;&gt; -1")</f>
        <v>76.59</v>
      </c>
      <c r="M23" s="2">
        <f>MIN($B$2:$B$21)</f>
        <v>46.32</v>
      </c>
      <c r="N23" s="2">
        <f>MIN($D$2:$D$21)</f>
        <v>46.33</v>
      </c>
      <c r="O23" s="2">
        <f>MIN($F$2:$F$21)</f>
        <v>46.22</v>
      </c>
      <c r="P23" s="2">
        <f>_xlfn.MINIFS($H$2:$H$21,$H$2:$H$21,"&lt;&gt; -1")</f>
        <v>54.03</v>
      </c>
      <c r="Q23" s="2">
        <f>MAX($C$2:$C$21)</f>
        <v>4158.72</v>
      </c>
      <c r="R23" s="2">
        <f>MAX($E$2:$E$21)</f>
        <v>4158.72</v>
      </c>
      <c r="S23" s="2">
        <f>MAX($G$2:$G$21)</f>
        <v>4537.53</v>
      </c>
      <c r="T23" s="2">
        <f>_xlfn.MAXIFS($I$2:$I$21,$H$2:$H$21,"&lt;&gt; -1")</f>
        <v>4143.95</v>
      </c>
      <c r="U23" s="2">
        <f>MIN($C$2:$C$21)</f>
        <v>3564.41</v>
      </c>
      <c r="V23" s="2">
        <f>MIN($E$2:$E$21)</f>
        <v>3564.41</v>
      </c>
      <c r="W23" s="2">
        <f>MIN($G$2:$G$21)</f>
        <v>3947.18</v>
      </c>
      <c r="X23" s="2">
        <f>_xlfn.MINIFS($I$2:$I$21,$H$2:$H$21,"&lt;&gt; -1")</f>
        <v>3818.46</v>
      </c>
      <c r="Y23" s="2">
        <f>(COUNTIFS($B$2:$B$21,"&gt;0.0",$B$2:$B$21,"&lt;100.0"))/20</f>
        <v>1</v>
      </c>
      <c r="Z23" s="2">
        <f>(COUNTIFS($D$2:$D$21,"&gt;0.0",$D$2:$D$21,"&lt;100.0"))/20</f>
        <v>1</v>
      </c>
      <c r="AA23" s="2">
        <f>(COUNTIFS($F$2:$F$21,"&gt;0.0",$F$2:$F$21,"&lt;100.0"))/20</f>
        <v>1</v>
      </c>
      <c r="AB23" s="2">
        <f>(COUNTIFS($H$2:$H$21,"&gt;0.0",$H$2:$H$21,"&lt;100.0"))/20</f>
        <v>0.3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3"/>
  <sheetViews>
    <sheetView workbookViewId="0">
      <selection activeCell="A23" sqref="$A23:$XFD23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57.2</v>
      </c>
      <c r="C2">
        <v>3680.61</v>
      </c>
      <c r="D2">
        <v>57.21</v>
      </c>
      <c r="E2">
        <v>3680.61</v>
      </c>
      <c r="F2">
        <v>57.07</v>
      </c>
      <c r="G2">
        <v>4079.95</v>
      </c>
      <c r="H2">
        <v>-1</v>
      </c>
      <c r="I2">
        <v>1312.05</v>
      </c>
    </row>
    <row r="3" spans="1:9">
      <c r="A3" t="s">
        <v>10</v>
      </c>
      <c r="B3">
        <v>50.96</v>
      </c>
      <c r="C3">
        <v>3834.12</v>
      </c>
      <c r="D3">
        <v>51</v>
      </c>
      <c r="E3">
        <v>3834.12</v>
      </c>
      <c r="F3">
        <v>50.79</v>
      </c>
      <c r="G3">
        <v>4213.02</v>
      </c>
      <c r="H3">
        <v>-1</v>
      </c>
      <c r="I3">
        <v>1553.84</v>
      </c>
    </row>
    <row r="4" spans="1:9">
      <c r="A4" t="s">
        <v>11</v>
      </c>
      <c r="B4">
        <v>52.89</v>
      </c>
      <c r="C4">
        <v>4071.67</v>
      </c>
      <c r="D4">
        <v>53.03</v>
      </c>
      <c r="E4">
        <v>4071.67</v>
      </c>
      <c r="F4">
        <v>52.71</v>
      </c>
      <c r="G4">
        <v>4487.17</v>
      </c>
      <c r="H4">
        <v>70.84</v>
      </c>
      <c r="I4">
        <v>4263.48</v>
      </c>
    </row>
    <row r="5" spans="1:9">
      <c r="A5" t="s">
        <v>12</v>
      </c>
      <c r="B5">
        <v>63.11</v>
      </c>
      <c r="C5">
        <v>3927.8</v>
      </c>
      <c r="D5">
        <v>63.12</v>
      </c>
      <c r="E5">
        <v>3927.8</v>
      </c>
      <c r="F5">
        <v>62.98</v>
      </c>
      <c r="G5">
        <v>4350.78</v>
      </c>
      <c r="H5">
        <v>-1</v>
      </c>
      <c r="I5">
        <v>3036.91</v>
      </c>
    </row>
    <row r="6" spans="1:9">
      <c r="A6" t="s">
        <v>13</v>
      </c>
      <c r="B6">
        <v>64.85</v>
      </c>
      <c r="C6">
        <v>3942.53</v>
      </c>
      <c r="D6">
        <v>64.78</v>
      </c>
      <c r="E6">
        <v>3942.53</v>
      </c>
      <c r="F6">
        <v>64.66</v>
      </c>
      <c r="G6">
        <v>4356.32</v>
      </c>
      <c r="H6">
        <v>75.18</v>
      </c>
      <c r="I6">
        <v>4120.32</v>
      </c>
    </row>
    <row r="7" spans="1:9">
      <c r="A7" t="s">
        <v>14</v>
      </c>
      <c r="B7">
        <v>63.47</v>
      </c>
      <c r="C7">
        <v>3962.02</v>
      </c>
      <c r="D7">
        <v>63.5</v>
      </c>
      <c r="E7">
        <v>3962.02</v>
      </c>
      <c r="F7">
        <v>63.17</v>
      </c>
      <c r="G7">
        <v>4410.97</v>
      </c>
      <c r="H7">
        <v>-1</v>
      </c>
      <c r="I7">
        <v>2990.37</v>
      </c>
    </row>
    <row r="8" spans="1:9">
      <c r="A8" t="s">
        <v>15</v>
      </c>
      <c r="B8">
        <v>65.79</v>
      </c>
      <c r="C8">
        <v>3767.65</v>
      </c>
      <c r="D8">
        <v>65.83</v>
      </c>
      <c r="E8">
        <v>3767.65</v>
      </c>
      <c r="F8">
        <v>65.61</v>
      </c>
      <c r="G8">
        <v>4116.13</v>
      </c>
      <c r="H8">
        <v>-1</v>
      </c>
      <c r="I8">
        <v>1332.73</v>
      </c>
    </row>
    <row r="9" spans="1:9">
      <c r="A9" t="s">
        <v>16</v>
      </c>
      <c r="B9">
        <v>58</v>
      </c>
      <c r="C9">
        <v>3619</v>
      </c>
      <c r="D9">
        <v>58.02</v>
      </c>
      <c r="E9">
        <v>3619</v>
      </c>
      <c r="F9">
        <v>57.89</v>
      </c>
      <c r="G9">
        <v>3979.37</v>
      </c>
      <c r="H9">
        <v>-1</v>
      </c>
      <c r="I9">
        <v>2116.27</v>
      </c>
    </row>
    <row r="10" spans="1:9">
      <c r="A10" t="s">
        <v>17</v>
      </c>
      <c r="B10">
        <v>53.49</v>
      </c>
      <c r="C10">
        <v>3901.99</v>
      </c>
      <c r="D10">
        <v>53.51</v>
      </c>
      <c r="E10">
        <v>3901.99</v>
      </c>
      <c r="F10">
        <v>53.38</v>
      </c>
      <c r="G10">
        <v>4296.14</v>
      </c>
      <c r="H10">
        <v>-1</v>
      </c>
      <c r="I10">
        <v>3197.88</v>
      </c>
    </row>
    <row r="11" spans="1:9">
      <c r="A11" t="s">
        <v>18</v>
      </c>
      <c r="B11">
        <v>59</v>
      </c>
      <c r="C11">
        <v>3895.22</v>
      </c>
      <c r="D11">
        <v>59.04</v>
      </c>
      <c r="E11">
        <v>3895.22</v>
      </c>
      <c r="F11">
        <v>58.89</v>
      </c>
      <c r="G11">
        <v>4270.56</v>
      </c>
      <c r="H11">
        <v>-1</v>
      </c>
      <c r="I11">
        <v>1331.35</v>
      </c>
    </row>
    <row r="12" spans="1:9">
      <c r="A12" t="s">
        <v>19</v>
      </c>
      <c r="B12">
        <v>58.07</v>
      </c>
      <c r="C12">
        <v>3870.14</v>
      </c>
      <c r="D12">
        <v>58.08</v>
      </c>
      <c r="E12">
        <v>3870.14</v>
      </c>
      <c r="F12">
        <v>57.95</v>
      </c>
      <c r="G12">
        <v>4294.95</v>
      </c>
      <c r="H12">
        <v>-1</v>
      </c>
      <c r="I12">
        <v>3865.03</v>
      </c>
    </row>
    <row r="13" spans="1:9">
      <c r="A13" t="s">
        <v>20</v>
      </c>
      <c r="B13">
        <v>52.14</v>
      </c>
      <c r="C13">
        <v>3807.9</v>
      </c>
      <c r="D13">
        <v>52.16</v>
      </c>
      <c r="E13">
        <v>3807.9</v>
      </c>
      <c r="F13">
        <v>52.05</v>
      </c>
      <c r="G13">
        <v>4205.95</v>
      </c>
      <c r="H13">
        <v>59.44</v>
      </c>
      <c r="I13">
        <v>3981.78</v>
      </c>
    </row>
    <row r="14" spans="1:9">
      <c r="A14" t="s">
        <v>21</v>
      </c>
      <c r="B14">
        <v>63.99</v>
      </c>
      <c r="C14">
        <v>3772.32</v>
      </c>
      <c r="D14">
        <v>64</v>
      </c>
      <c r="E14">
        <v>3772.32</v>
      </c>
      <c r="F14">
        <v>63.84</v>
      </c>
      <c r="G14">
        <v>4112.38</v>
      </c>
      <c r="H14">
        <v>-1</v>
      </c>
      <c r="I14">
        <v>2136.22</v>
      </c>
    </row>
    <row r="15" spans="1:9">
      <c r="A15" t="s">
        <v>22</v>
      </c>
      <c r="B15">
        <v>70.47</v>
      </c>
      <c r="C15">
        <v>3947.83</v>
      </c>
      <c r="D15">
        <v>70.51</v>
      </c>
      <c r="E15">
        <v>3947.83</v>
      </c>
      <c r="F15">
        <v>70.25</v>
      </c>
      <c r="G15">
        <v>4284.17</v>
      </c>
      <c r="H15">
        <v>-1</v>
      </c>
      <c r="I15">
        <v>2712.37</v>
      </c>
    </row>
    <row r="16" spans="1:9">
      <c r="A16" t="s">
        <v>23</v>
      </c>
      <c r="B16">
        <v>63.4</v>
      </c>
      <c r="C16">
        <v>3576.44</v>
      </c>
      <c r="D16">
        <v>63.41</v>
      </c>
      <c r="E16">
        <v>3576.44</v>
      </c>
      <c r="F16">
        <v>63.32</v>
      </c>
      <c r="G16">
        <v>3919.04</v>
      </c>
      <c r="H16">
        <v>87.17</v>
      </c>
      <c r="I16">
        <v>3757.17</v>
      </c>
    </row>
    <row r="17" spans="1:9">
      <c r="A17" t="s">
        <v>24</v>
      </c>
      <c r="B17">
        <v>63.92</v>
      </c>
      <c r="C17">
        <v>3766.13</v>
      </c>
      <c r="D17">
        <v>63.99</v>
      </c>
      <c r="E17">
        <v>3766.13</v>
      </c>
      <c r="F17">
        <v>63.71</v>
      </c>
      <c r="G17">
        <v>4171.79</v>
      </c>
      <c r="H17">
        <v>-1</v>
      </c>
      <c r="I17">
        <v>1804.63</v>
      </c>
    </row>
    <row r="18" spans="1:9">
      <c r="A18" t="s">
        <v>25</v>
      </c>
      <c r="B18">
        <v>66.5</v>
      </c>
      <c r="C18">
        <v>3869.41</v>
      </c>
      <c r="D18">
        <v>66.5</v>
      </c>
      <c r="E18">
        <v>3869.41</v>
      </c>
      <c r="F18">
        <v>66.32</v>
      </c>
      <c r="G18">
        <v>4293.89</v>
      </c>
      <c r="H18">
        <v>-1</v>
      </c>
      <c r="I18">
        <v>1677.09</v>
      </c>
    </row>
    <row r="19" spans="1:9">
      <c r="A19" t="s">
        <v>26</v>
      </c>
      <c r="B19">
        <v>61.23</v>
      </c>
      <c r="C19">
        <v>4041.04</v>
      </c>
      <c r="D19">
        <v>61.23</v>
      </c>
      <c r="E19">
        <v>4041.04</v>
      </c>
      <c r="F19">
        <v>61.03</v>
      </c>
      <c r="G19">
        <v>4425.69</v>
      </c>
      <c r="H19">
        <v>-1</v>
      </c>
      <c r="I19">
        <v>1759.33</v>
      </c>
    </row>
    <row r="20" spans="1:9">
      <c r="A20" t="s">
        <v>27</v>
      </c>
      <c r="B20">
        <v>52.19</v>
      </c>
      <c r="C20">
        <v>3746.43</v>
      </c>
      <c r="D20">
        <v>52.21</v>
      </c>
      <c r="E20">
        <v>3746.43</v>
      </c>
      <c r="F20">
        <v>52.07</v>
      </c>
      <c r="G20">
        <v>4134.69</v>
      </c>
      <c r="H20">
        <v>-1</v>
      </c>
      <c r="I20">
        <v>1264.03</v>
      </c>
    </row>
    <row r="21" spans="1:9">
      <c r="A21" t="s">
        <v>28</v>
      </c>
      <c r="B21">
        <v>54.49</v>
      </c>
      <c r="C21">
        <v>3602.95</v>
      </c>
      <c r="D21">
        <v>54.51</v>
      </c>
      <c r="E21">
        <v>3602.95</v>
      </c>
      <c r="F21">
        <v>54.35</v>
      </c>
      <c r="G21">
        <v>3965.64</v>
      </c>
      <c r="H21">
        <v>-1</v>
      </c>
      <c r="I21">
        <v>2713.15</v>
      </c>
    </row>
    <row r="23" spans="1:28">
      <c r="A23" s="2">
        <f>AVERAGE($B$2:$B$21)</f>
        <v>59.758</v>
      </c>
      <c r="B23" s="2">
        <f>AVERAGE($D$2:$D$21)</f>
        <v>59.782</v>
      </c>
      <c r="C23" s="2">
        <f>AVERAGE($F$2:$F$21)</f>
        <v>59.602</v>
      </c>
      <c r="D23" s="2">
        <f>AVERAGEIF($H$2:$H$21,"&lt;&gt; -1")</f>
        <v>73.1575</v>
      </c>
      <c r="E23" s="2">
        <f>AVERAGE($C$2:$C$21)</f>
        <v>3830.16</v>
      </c>
      <c r="F23" s="2">
        <f>AVERAGE($E$2:$E$21)</f>
        <v>3830.16</v>
      </c>
      <c r="G23" s="2">
        <f>AVERAGE($G$2:$G$21)</f>
        <v>4218.43</v>
      </c>
      <c r="H23" s="2">
        <f>AVERAGEIFS($I$2:$I$21,$H$2:$H$21,"&lt;&gt; -1")</f>
        <v>4030.6875</v>
      </c>
      <c r="I23" s="2">
        <f>MAX($B$2:$B$21)</f>
        <v>70.47</v>
      </c>
      <c r="J23" s="2">
        <f>MAX($D$2:$D$21)</f>
        <v>70.51</v>
      </c>
      <c r="K23" s="2">
        <f>MAX($F$2:$F$21)</f>
        <v>70.25</v>
      </c>
      <c r="L23" s="2">
        <f>_xlfn.MAXIFS($H$2:$H$21,$H$2:$H$21,"&lt;&gt; -1")</f>
        <v>87.17</v>
      </c>
      <c r="M23" s="2">
        <f>MIN($B$2:$B$21)</f>
        <v>50.96</v>
      </c>
      <c r="N23" s="2">
        <f>MIN($D$2:$D$21)</f>
        <v>51</v>
      </c>
      <c r="O23" s="2">
        <f>MIN($F$2:$F$21)</f>
        <v>50.79</v>
      </c>
      <c r="P23" s="2">
        <f>_xlfn.MINIFS($H$2:$H$21,$H$2:$H$21,"&lt;&gt; -1")</f>
        <v>59.44</v>
      </c>
      <c r="Q23" s="2">
        <f>MAX($C$2:$C$21)</f>
        <v>4071.67</v>
      </c>
      <c r="R23" s="2">
        <f>MAX($E$2:$E$21)</f>
        <v>4071.67</v>
      </c>
      <c r="S23" s="2">
        <f>MAX($G$2:$G$21)</f>
        <v>4487.17</v>
      </c>
      <c r="T23" s="2">
        <f>_xlfn.MAXIFS($I$2:$I$21,$H$2:$H$21,"&lt;&gt; -1")</f>
        <v>4263.48</v>
      </c>
      <c r="U23" s="2">
        <f>MIN($C$2:$C$21)</f>
        <v>3576.44</v>
      </c>
      <c r="V23" s="2">
        <f>MIN($E$2:$E$21)</f>
        <v>3576.44</v>
      </c>
      <c r="W23" s="2">
        <f>MIN($G$2:$G$21)</f>
        <v>3919.04</v>
      </c>
      <c r="X23" s="2">
        <f>_xlfn.MINIFS($I$2:$I$21,$H$2:$H$21,"&lt;&gt; -1")</f>
        <v>3757.17</v>
      </c>
      <c r="Y23" s="2">
        <f>(COUNTIFS($B$2:$B$21,"&gt;0.0",$B$2:$B$21,"&lt;100.0"))/20</f>
        <v>1</v>
      </c>
      <c r="Z23" s="2">
        <f>(COUNTIFS($D$2:$D$21,"&gt;0.0",$D$2:$D$21,"&lt;100.0"))/20</f>
        <v>1</v>
      </c>
      <c r="AA23" s="2">
        <f>(COUNTIFS($F$2:$F$21,"&gt;0.0",$F$2:$F$21,"&lt;100.0"))/20</f>
        <v>1</v>
      </c>
      <c r="AB23" s="2">
        <f>(COUNTIFS($H$2:$H$21,"&gt;0.0",$H$2:$H$21,"&lt;100.0"))/20</f>
        <v>0.2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3"/>
  <sheetViews>
    <sheetView workbookViewId="0">
      <selection activeCell="A23" sqref="$A23:$XFD23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63.81</v>
      </c>
      <c r="C2">
        <v>3761.69</v>
      </c>
      <c r="D2">
        <v>63.84</v>
      </c>
      <c r="E2">
        <v>3761.69</v>
      </c>
      <c r="F2">
        <v>63.58</v>
      </c>
      <c r="G2">
        <v>4136.28</v>
      </c>
      <c r="H2">
        <v>-1</v>
      </c>
      <c r="I2">
        <v>2623.59</v>
      </c>
    </row>
    <row r="3" spans="1:9">
      <c r="A3" t="s">
        <v>10</v>
      </c>
      <c r="B3">
        <v>62.09</v>
      </c>
      <c r="C3">
        <v>3810.87</v>
      </c>
      <c r="D3">
        <v>62.12</v>
      </c>
      <c r="E3">
        <v>3810.87</v>
      </c>
      <c r="F3">
        <v>61.92</v>
      </c>
      <c r="G3">
        <v>4184.29</v>
      </c>
      <c r="H3">
        <v>91.72</v>
      </c>
      <c r="I3">
        <v>4013.73</v>
      </c>
    </row>
    <row r="4" spans="1:9">
      <c r="A4" t="s">
        <v>11</v>
      </c>
      <c r="B4">
        <v>62.64</v>
      </c>
      <c r="C4">
        <v>4003.33</v>
      </c>
      <c r="D4">
        <v>62.77</v>
      </c>
      <c r="E4">
        <v>4003.33</v>
      </c>
      <c r="F4">
        <v>62.45</v>
      </c>
      <c r="G4">
        <v>4351.44</v>
      </c>
      <c r="H4">
        <v>-1</v>
      </c>
      <c r="I4">
        <v>3296.54</v>
      </c>
    </row>
    <row r="5" spans="1:9">
      <c r="A5" t="s">
        <v>12</v>
      </c>
      <c r="B5">
        <v>63.78</v>
      </c>
      <c r="C5">
        <v>3846.51</v>
      </c>
      <c r="D5">
        <v>63.94</v>
      </c>
      <c r="E5">
        <v>3846.51</v>
      </c>
      <c r="F5">
        <v>63.68</v>
      </c>
      <c r="G5">
        <v>4266.9</v>
      </c>
      <c r="H5">
        <v>-1</v>
      </c>
      <c r="I5">
        <v>2736.33</v>
      </c>
    </row>
    <row r="6" spans="1:9">
      <c r="A6" t="s">
        <v>13</v>
      </c>
      <c r="B6">
        <v>62.61</v>
      </c>
      <c r="C6">
        <v>3788.57</v>
      </c>
      <c r="D6">
        <v>62.63</v>
      </c>
      <c r="E6">
        <v>3788.57</v>
      </c>
      <c r="F6">
        <v>62.48</v>
      </c>
      <c r="G6">
        <v>4209.7</v>
      </c>
      <c r="H6">
        <v>73.53</v>
      </c>
      <c r="I6">
        <v>3948.37</v>
      </c>
    </row>
    <row r="7" spans="1:9">
      <c r="A7" t="s">
        <v>14</v>
      </c>
      <c r="B7">
        <v>70.74</v>
      </c>
      <c r="C7">
        <v>3810.5</v>
      </c>
      <c r="D7">
        <v>70.74</v>
      </c>
      <c r="E7">
        <v>3810.5</v>
      </c>
      <c r="F7">
        <v>70.67</v>
      </c>
      <c r="G7">
        <v>4201.33</v>
      </c>
      <c r="H7">
        <v>-1</v>
      </c>
      <c r="I7">
        <v>3252.5</v>
      </c>
    </row>
    <row r="8" spans="1:9">
      <c r="A8" t="s">
        <v>15</v>
      </c>
      <c r="B8">
        <v>72.73</v>
      </c>
      <c r="C8">
        <v>3943.34</v>
      </c>
      <c r="D8">
        <v>72.74</v>
      </c>
      <c r="E8">
        <v>3943.34</v>
      </c>
      <c r="F8">
        <v>72.59</v>
      </c>
      <c r="G8">
        <v>4304.21</v>
      </c>
      <c r="H8">
        <v>-1</v>
      </c>
      <c r="I8">
        <v>1541.9</v>
      </c>
    </row>
    <row r="9" spans="1:9">
      <c r="A9" t="s">
        <v>16</v>
      </c>
      <c r="B9">
        <v>64.09</v>
      </c>
      <c r="C9">
        <v>3512.7</v>
      </c>
      <c r="D9">
        <v>64.1</v>
      </c>
      <c r="E9">
        <v>3512.7</v>
      </c>
      <c r="F9">
        <v>63.98</v>
      </c>
      <c r="G9">
        <v>3834.97</v>
      </c>
      <c r="H9">
        <v>-1</v>
      </c>
      <c r="I9">
        <v>2765.05</v>
      </c>
    </row>
    <row r="10" spans="1:9">
      <c r="A10" t="s">
        <v>17</v>
      </c>
      <c r="B10">
        <v>69.7</v>
      </c>
      <c r="C10">
        <v>3883.05</v>
      </c>
      <c r="D10">
        <v>69.71</v>
      </c>
      <c r="E10">
        <v>3883.05</v>
      </c>
      <c r="F10">
        <v>69.56</v>
      </c>
      <c r="G10">
        <v>4276.44</v>
      </c>
      <c r="H10">
        <v>-1</v>
      </c>
      <c r="I10">
        <v>1651.71</v>
      </c>
    </row>
    <row r="11" spans="1:9">
      <c r="A11" t="s">
        <v>18</v>
      </c>
      <c r="B11">
        <v>62.39</v>
      </c>
      <c r="C11">
        <v>3760.92</v>
      </c>
      <c r="D11">
        <v>62.43</v>
      </c>
      <c r="E11">
        <v>3760.92</v>
      </c>
      <c r="F11">
        <v>62.32</v>
      </c>
      <c r="G11">
        <v>4140.46</v>
      </c>
      <c r="H11">
        <v>-1</v>
      </c>
      <c r="I11">
        <v>3391.35</v>
      </c>
    </row>
    <row r="12" spans="1:9">
      <c r="A12" t="s">
        <v>19</v>
      </c>
      <c r="B12">
        <v>65.06</v>
      </c>
      <c r="C12">
        <v>3654.17</v>
      </c>
      <c r="D12">
        <v>65.09</v>
      </c>
      <c r="E12">
        <v>3654.17</v>
      </c>
      <c r="F12">
        <v>64.93</v>
      </c>
      <c r="G12">
        <v>4031.57</v>
      </c>
      <c r="H12">
        <v>-1</v>
      </c>
      <c r="I12">
        <v>2871.14</v>
      </c>
    </row>
    <row r="13" spans="1:9">
      <c r="A13" t="s">
        <v>20</v>
      </c>
      <c r="B13">
        <v>67.92</v>
      </c>
      <c r="C13">
        <v>3767.27</v>
      </c>
      <c r="D13">
        <v>67.91</v>
      </c>
      <c r="E13">
        <v>3767.27</v>
      </c>
      <c r="F13">
        <v>67.82</v>
      </c>
      <c r="G13">
        <v>4142.39</v>
      </c>
      <c r="H13">
        <v>-1</v>
      </c>
      <c r="I13">
        <v>3154.23</v>
      </c>
    </row>
    <row r="14" spans="1:9">
      <c r="A14" t="s">
        <v>21</v>
      </c>
      <c r="B14">
        <v>60.39</v>
      </c>
      <c r="C14">
        <v>3602.59</v>
      </c>
      <c r="D14">
        <v>60.42</v>
      </c>
      <c r="E14">
        <v>3602.59</v>
      </c>
      <c r="F14">
        <v>60.13</v>
      </c>
      <c r="G14">
        <v>3956.61</v>
      </c>
      <c r="H14">
        <v>-1</v>
      </c>
      <c r="I14">
        <v>1428.15</v>
      </c>
    </row>
    <row r="15" spans="1:9">
      <c r="A15" t="s">
        <v>22</v>
      </c>
      <c r="B15">
        <v>64.67</v>
      </c>
      <c r="C15">
        <v>4018.47</v>
      </c>
      <c r="D15">
        <v>64.69</v>
      </c>
      <c r="E15">
        <v>4018.47</v>
      </c>
      <c r="F15">
        <v>64.54</v>
      </c>
      <c r="G15">
        <v>4372.45</v>
      </c>
      <c r="H15">
        <v>-1</v>
      </c>
      <c r="I15">
        <v>3186.17</v>
      </c>
    </row>
    <row r="16" spans="1:9">
      <c r="A16" t="s">
        <v>23</v>
      </c>
      <c r="B16">
        <v>62.47</v>
      </c>
      <c r="C16">
        <v>3737.34</v>
      </c>
      <c r="D16">
        <v>62.48</v>
      </c>
      <c r="E16">
        <v>3737.34</v>
      </c>
      <c r="F16">
        <v>62.31</v>
      </c>
      <c r="G16">
        <v>4069.18</v>
      </c>
      <c r="H16">
        <v>-1</v>
      </c>
      <c r="I16">
        <v>1406.92</v>
      </c>
    </row>
    <row r="17" spans="1:9">
      <c r="A17" t="s">
        <v>24</v>
      </c>
      <c r="B17">
        <v>63.08</v>
      </c>
      <c r="C17">
        <v>3681.56</v>
      </c>
      <c r="D17">
        <v>63.1</v>
      </c>
      <c r="E17">
        <v>3681.56</v>
      </c>
      <c r="F17">
        <v>62.97</v>
      </c>
      <c r="G17">
        <v>4086</v>
      </c>
      <c r="H17">
        <v>-1</v>
      </c>
      <c r="I17">
        <v>2816.03</v>
      </c>
    </row>
    <row r="18" spans="1:9">
      <c r="A18" t="s">
        <v>25</v>
      </c>
      <c r="B18">
        <v>60.71</v>
      </c>
      <c r="C18">
        <v>3794.46</v>
      </c>
      <c r="D18">
        <v>60.73</v>
      </c>
      <c r="E18">
        <v>3794.46</v>
      </c>
      <c r="F18">
        <v>60.57</v>
      </c>
      <c r="G18">
        <v>4205.49</v>
      </c>
      <c r="H18">
        <v>-1</v>
      </c>
      <c r="I18">
        <v>2894.23</v>
      </c>
    </row>
    <row r="19" spans="1:9">
      <c r="A19" t="s">
        <v>26</v>
      </c>
      <c r="B19">
        <v>63.61</v>
      </c>
      <c r="C19">
        <v>3912.05</v>
      </c>
      <c r="D19">
        <v>63.7</v>
      </c>
      <c r="E19">
        <v>3912.05</v>
      </c>
      <c r="F19">
        <v>63.41</v>
      </c>
      <c r="G19">
        <v>4304.15</v>
      </c>
      <c r="H19">
        <v>-1</v>
      </c>
      <c r="I19">
        <v>1876.32</v>
      </c>
    </row>
    <row r="20" spans="1:9">
      <c r="A20" t="s">
        <v>27</v>
      </c>
      <c r="B20">
        <v>66.35</v>
      </c>
      <c r="C20">
        <v>3587.04</v>
      </c>
      <c r="D20">
        <v>66.4</v>
      </c>
      <c r="E20">
        <v>3587.04</v>
      </c>
      <c r="F20">
        <v>66.24</v>
      </c>
      <c r="G20">
        <v>3935.97</v>
      </c>
      <c r="H20">
        <v>93.69</v>
      </c>
      <c r="I20">
        <v>3835.89</v>
      </c>
    </row>
    <row r="21" spans="1:9">
      <c r="A21" t="s">
        <v>28</v>
      </c>
      <c r="B21">
        <v>58.38</v>
      </c>
      <c r="C21">
        <v>3724.67</v>
      </c>
      <c r="D21">
        <v>58.41</v>
      </c>
      <c r="E21">
        <v>3724.67</v>
      </c>
      <c r="F21">
        <v>58.15</v>
      </c>
      <c r="G21">
        <v>4136.35</v>
      </c>
      <c r="H21">
        <v>-1</v>
      </c>
      <c r="I21">
        <v>1497.3</v>
      </c>
    </row>
    <row r="23" spans="1:28">
      <c r="A23" s="2">
        <f>AVERAGE($B$2:$B$21)</f>
        <v>64.361</v>
      </c>
      <c r="B23" s="2">
        <f>AVERAGE($D$2:$D$21)</f>
        <v>64.3975</v>
      </c>
      <c r="C23" s="2">
        <f>AVERAGE($F$2:$F$21)</f>
        <v>64.215</v>
      </c>
      <c r="D23" s="2">
        <f>AVERAGEIF($H$2:$H$21,"&lt;&gt; -1")</f>
        <v>86.3133333333333</v>
      </c>
      <c r="E23" s="2">
        <f>AVERAGE($C$2:$C$21)</f>
        <v>3780.055</v>
      </c>
      <c r="F23" s="2">
        <f>AVERAGE($E$2:$E$21)</f>
        <v>3780.055</v>
      </c>
      <c r="G23" s="2">
        <f>AVERAGE($G$2:$G$21)</f>
        <v>4157.309</v>
      </c>
      <c r="H23" s="2">
        <f>AVERAGEIFS($I$2:$I$21,$H$2:$H$21,"&lt;&gt; -1")</f>
        <v>3932.66333333333</v>
      </c>
      <c r="I23" s="2">
        <f>MAX($B$2:$B$21)</f>
        <v>72.73</v>
      </c>
      <c r="J23" s="2">
        <f>MAX($D$2:$D$21)</f>
        <v>72.74</v>
      </c>
      <c r="K23" s="2">
        <f>MAX($F$2:$F$21)</f>
        <v>72.59</v>
      </c>
      <c r="L23" s="2">
        <f>_xlfn.MAXIFS($H$2:$H$21,$H$2:$H$21,"&lt;&gt; -1")</f>
        <v>93.69</v>
      </c>
      <c r="M23" s="2">
        <f>MIN($B$2:$B$21)</f>
        <v>58.38</v>
      </c>
      <c r="N23" s="2">
        <f>MIN($D$2:$D$21)</f>
        <v>58.41</v>
      </c>
      <c r="O23" s="2">
        <f>MIN($F$2:$F$21)</f>
        <v>58.15</v>
      </c>
      <c r="P23" s="2">
        <f>_xlfn.MINIFS($H$2:$H$21,$H$2:$H$21,"&lt;&gt; -1")</f>
        <v>73.53</v>
      </c>
      <c r="Q23" s="2">
        <f>MAX($C$2:$C$21)</f>
        <v>4018.47</v>
      </c>
      <c r="R23" s="2">
        <f>MAX($E$2:$E$21)</f>
        <v>4018.47</v>
      </c>
      <c r="S23" s="2">
        <f>MAX($G$2:$G$21)</f>
        <v>4372.45</v>
      </c>
      <c r="T23" s="2">
        <f>_xlfn.MAXIFS($I$2:$I$21,$H$2:$H$21,"&lt;&gt; -1")</f>
        <v>4013.73</v>
      </c>
      <c r="U23" s="2">
        <f>MIN($C$2:$C$21)</f>
        <v>3512.7</v>
      </c>
      <c r="V23" s="2">
        <f>MIN($E$2:$E$21)</f>
        <v>3512.7</v>
      </c>
      <c r="W23" s="2">
        <f>MIN($G$2:$G$21)</f>
        <v>3834.97</v>
      </c>
      <c r="X23" s="2">
        <f>_xlfn.MINIFS($I$2:$I$21,$H$2:$H$21,"&lt;&gt; -1")</f>
        <v>3835.89</v>
      </c>
      <c r="Y23" s="2">
        <f>(COUNTIFS($B$2:$B$21,"&gt;0.0",$B$2:$B$21,"&lt;100.0"))/20</f>
        <v>1</v>
      </c>
      <c r="Z23" s="2">
        <f>(COUNTIFS($D$2:$D$21,"&gt;0.0",$D$2:$D$21,"&lt;100.0"))/20</f>
        <v>1</v>
      </c>
      <c r="AA23" s="2">
        <f>(COUNTIFS($F$2:$F$21,"&gt;0.0",$F$2:$F$21,"&lt;100.0"))/20</f>
        <v>1</v>
      </c>
      <c r="AB23" s="2">
        <f>(COUNTIFS($H$2:$H$21,"&gt;0.0",$H$2:$H$21,"&lt;100.0"))/20</f>
        <v>0.15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3"/>
  <sheetViews>
    <sheetView workbookViewId="0">
      <selection activeCell="A23" sqref="$A23:$XFD23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74.5</v>
      </c>
      <c r="C2">
        <v>3880.21</v>
      </c>
      <c r="D2">
        <v>74.52</v>
      </c>
      <c r="E2">
        <v>3880.21</v>
      </c>
      <c r="F2">
        <v>74.28</v>
      </c>
      <c r="G2">
        <v>4287.14</v>
      </c>
      <c r="H2">
        <v>-1</v>
      </c>
      <c r="I2">
        <v>2541.27</v>
      </c>
    </row>
    <row r="3" spans="1:9">
      <c r="A3" t="s">
        <v>10</v>
      </c>
      <c r="B3">
        <v>77.26</v>
      </c>
      <c r="C3">
        <v>3861.81</v>
      </c>
      <c r="D3">
        <v>77.26</v>
      </c>
      <c r="E3">
        <v>3861.81</v>
      </c>
      <c r="F3">
        <v>77.05</v>
      </c>
      <c r="G3">
        <v>4200.42</v>
      </c>
      <c r="H3">
        <v>-1</v>
      </c>
      <c r="I3">
        <v>1557.78</v>
      </c>
    </row>
    <row r="4" spans="1:9">
      <c r="A4" t="s">
        <v>11</v>
      </c>
      <c r="B4">
        <v>78.23</v>
      </c>
      <c r="C4">
        <v>3888.49</v>
      </c>
      <c r="D4">
        <v>78.25</v>
      </c>
      <c r="E4">
        <v>3888.49</v>
      </c>
      <c r="F4">
        <v>78.09</v>
      </c>
      <c r="G4">
        <v>4277.28</v>
      </c>
      <c r="H4">
        <v>-1</v>
      </c>
      <c r="I4">
        <v>1610.64</v>
      </c>
    </row>
    <row r="5" spans="1:9">
      <c r="A5" t="s">
        <v>12</v>
      </c>
      <c r="B5">
        <v>71.09</v>
      </c>
      <c r="C5">
        <v>3921.94</v>
      </c>
      <c r="D5">
        <v>71.08</v>
      </c>
      <c r="E5">
        <v>3921.94</v>
      </c>
      <c r="F5">
        <v>70.76</v>
      </c>
      <c r="G5">
        <v>4340.17</v>
      </c>
      <c r="H5">
        <v>-1</v>
      </c>
      <c r="I5">
        <v>1489.18</v>
      </c>
    </row>
    <row r="6" spans="1:9">
      <c r="A6" t="s">
        <v>13</v>
      </c>
      <c r="B6">
        <v>69.49</v>
      </c>
      <c r="C6">
        <v>4015.64</v>
      </c>
      <c r="D6">
        <v>69.56</v>
      </c>
      <c r="E6">
        <v>4015.64</v>
      </c>
      <c r="F6">
        <v>69.28</v>
      </c>
      <c r="G6">
        <v>4397.77</v>
      </c>
      <c r="H6">
        <v>-1</v>
      </c>
      <c r="I6">
        <v>1572.47</v>
      </c>
    </row>
    <row r="7" spans="1:9">
      <c r="A7" t="s">
        <v>14</v>
      </c>
      <c r="B7">
        <v>78.18</v>
      </c>
      <c r="C7">
        <v>4086.67</v>
      </c>
      <c r="D7">
        <v>78.21</v>
      </c>
      <c r="E7">
        <v>4086.67</v>
      </c>
      <c r="F7">
        <v>77.98</v>
      </c>
      <c r="G7">
        <v>4432.99</v>
      </c>
      <c r="H7">
        <v>-1</v>
      </c>
      <c r="I7">
        <v>1267.38</v>
      </c>
    </row>
    <row r="8" spans="1:9">
      <c r="A8" t="s">
        <v>15</v>
      </c>
      <c r="B8">
        <v>88.29</v>
      </c>
      <c r="C8">
        <v>3866.69</v>
      </c>
      <c r="D8">
        <v>88.31</v>
      </c>
      <c r="E8">
        <v>3866.69</v>
      </c>
      <c r="F8">
        <v>88.13</v>
      </c>
      <c r="G8">
        <v>4218.82</v>
      </c>
      <c r="H8">
        <v>-1</v>
      </c>
      <c r="I8">
        <v>909.78</v>
      </c>
    </row>
    <row r="9" spans="1:9">
      <c r="A9" t="s">
        <v>16</v>
      </c>
      <c r="B9">
        <v>76.04</v>
      </c>
      <c r="C9">
        <v>3723.93</v>
      </c>
      <c r="D9">
        <v>76.06</v>
      </c>
      <c r="E9">
        <v>3723.93</v>
      </c>
      <c r="F9">
        <v>75.87</v>
      </c>
      <c r="G9">
        <v>4103.21</v>
      </c>
      <c r="H9">
        <v>-1</v>
      </c>
      <c r="I9">
        <v>3884.12</v>
      </c>
    </row>
    <row r="10" spans="1:9">
      <c r="A10" t="s">
        <v>17</v>
      </c>
      <c r="B10">
        <v>76.37</v>
      </c>
      <c r="C10">
        <v>3769.81</v>
      </c>
      <c r="D10">
        <v>76.39</v>
      </c>
      <c r="E10">
        <v>3769.81</v>
      </c>
      <c r="F10">
        <v>76.2</v>
      </c>
      <c r="G10">
        <v>4165.53</v>
      </c>
      <c r="H10">
        <v>-1</v>
      </c>
      <c r="I10">
        <v>1794.45</v>
      </c>
    </row>
    <row r="11" spans="1:9">
      <c r="A11" t="s">
        <v>18</v>
      </c>
      <c r="B11">
        <v>72.02</v>
      </c>
      <c r="C11">
        <v>3751.71</v>
      </c>
      <c r="D11">
        <v>72.04</v>
      </c>
      <c r="E11">
        <v>3751.71</v>
      </c>
      <c r="F11">
        <v>71.88</v>
      </c>
      <c r="G11">
        <v>4133.65</v>
      </c>
      <c r="H11">
        <v>-1</v>
      </c>
      <c r="I11">
        <v>1614.45</v>
      </c>
    </row>
    <row r="12" spans="1:9">
      <c r="A12" t="s">
        <v>19</v>
      </c>
      <c r="B12">
        <v>69.83</v>
      </c>
      <c r="C12">
        <v>3712.33</v>
      </c>
      <c r="D12">
        <v>69.85</v>
      </c>
      <c r="E12">
        <v>3712.33</v>
      </c>
      <c r="F12">
        <v>69.58</v>
      </c>
      <c r="G12">
        <v>4086.41</v>
      </c>
      <c r="H12">
        <v>-1</v>
      </c>
      <c r="I12">
        <v>888.66</v>
      </c>
    </row>
    <row r="13" spans="1:9">
      <c r="A13" t="s">
        <v>20</v>
      </c>
      <c r="B13">
        <v>71.45</v>
      </c>
      <c r="C13">
        <v>3728.9</v>
      </c>
      <c r="D13">
        <v>71.44</v>
      </c>
      <c r="E13">
        <v>3728.9</v>
      </c>
      <c r="F13">
        <v>71.21</v>
      </c>
      <c r="G13">
        <v>4150.12</v>
      </c>
      <c r="H13">
        <v>-1</v>
      </c>
      <c r="I13">
        <v>1042.26</v>
      </c>
    </row>
    <row r="14" spans="1:9">
      <c r="A14" t="s">
        <v>21</v>
      </c>
      <c r="B14">
        <v>66.93</v>
      </c>
      <c r="C14">
        <v>3678.08</v>
      </c>
      <c r="D14">
        <v>66.95</v>
      </c>
      <c r="E14">
        <v>3678.08</v>
      </c>
      <c r="F14">
        <v>66.67</v>
      </c>
      <c r="G14">
        <v>4026.37</v>
      </c>
      <c r="H14">
        <v>-1</v>
      </c>
      <c r="I14">
        <v>1431.23</v>
      </c>
    </row>
    <row r="15" spans="1:9">
      <c r="A15" t="s">
        <v>22</v>
      </c>
      <c r="B15">
        <v>81.78</v>
      </c>
      <c r="C15">
        <v>3950.32</v>
      </c>
      <c r="D15">
        <v>81.77</v>
      </c>
      <c r="E15">
        <v>3950.32</v>
      </c>
      <c r="F15">
        <v>81.51</v>
      </c>
      <c r="G15">
        <v>4296.15</v>
      </c>
      <c r="H15">
        <v>-1</v>
      </c>
      <c r="I15">
        <v>1577.02</v>
      </c>
    </row>
    <row r="16" spans="1:9">
      <c r="A16" t="s">
        <v>23</v>
      </c>
      <c r="B16">
        <v>80.54</v>
      </c>
      <c r="C16">
        <v>3843.06</v>
      </c>
      <c r="D16">
        <v>80.44</v>
      </c>
      <c r="E16">
        <v>3843.06</v>
      </c>
      <c r="F16">
        <v>80.27</v>
      </c>
      <c r="G16">
        <v>4176.83</v>
      </c>
      <c r="H16">
        <v>-1</v>
      </c>
      <c r="I16">
        <v>1122.67</v>
      </c>
    </row>
    <row r="17" spans="1:9">
      <c r="A17" t="s">
        <v>24</v>
      </c>
      <c r="B17">
        <v>69.88</v>
      </c>
      <c r="C17">
        <v>3996.56</v>
      </c>
      <c r="D17">
        <v>69.88</v>
      </c>
      <c r="E17">
        <v>3996.56</v>
      </c>
      <c r="F17">
        <v>69.67</v>
      </c>
      <c r="G17">
        <v>4461.18</v>
      </c>
      <c r="H17">
        <v>-1</v>
      </c>
      <c r="I17">
        <v>1243.74</v>
      </c>
    </row>
    <row r="18" spans="1:9">
      <c r="A18" t="s">
        <v>25</v>
      </c>
      <c r="B18">
        <v>68.02</v>
      </c>
      <c r="C18">
        <v>3740.59</v>
      </c>
      <c r="D18">
        <v>68.02</v>
      </c>
      <c r="E18">
        <v>3740.59</v>
      </c>
      <c r="F18">
        <v>67.81</v>
      </c>
      <c r="G18">
        <v>4134.02</v>
      </c>
      <c r="H18">
        <v>-1</v>
      </c>
      <c r="I18">
        <v>1431.56</v>
      </c>
    </row>
    <row r="19" spans="1:9">
      <c r="A19" t="s">
        <v>26</v>
      </c>
      <c r="B19">
        <v>75.04</v>
      </c>
      <c r="C19">
        <v>4023.08</v>
      </c>
      <c r="D19">
        <v>75.05</v>
      </c>
      <c r="E19">
        <v>4023.08</v>
      </c>
      <c r="F19">
        <v>74.79</v>
      </c>
      <c r="G19">
        <v>4429.92</v>
      </c>
      <c r="H19">
        <v>-1</v>
      </c>
      <c r="I19">
        <v>3233.84</v>
      </c>
    </row>
    <row r="20" spans="1:9">
      <c r="A20" t="s">
        <v>27</v>
      </c>
      <c r="B20">
        <v>69.66</v>
      </c>
      <c r="C20">
        <v>3789.65</v>
      </c>
      <c r="D20">
        <v>69.65</v>
      </c>
      <c r="E20">
        <v>3789.65</v>
      </c>
      <c r="F20">
        <v>69.31</v>
      </c>
      <c r="G20">
        <v>4164.42</v>
      </c>
      <c r="H20">
        <v>-1</v>
      </c>
      <c r="I20">
        <v>1021.99</v>
      </c>
    </row>
    <row r="21" spans="1:9">
      <c r="A21" t="s">
        <v>28</v>
      </c>
      <c r="B21">
        <v>68.9</v>
      </c>
      <c r="C21">
        <v>3655.74</v>
      </c>
      <c r="D21">
        <v>68.9</v>
      </c>
      <c r="E21">
        <v>3655.74</v>
      </c>
      <c r="F21">
        <v>68.79</v>
      </c>
      <c r="G21">
        <v>3980.71</v>
      </c>
      <c r="H21">
        <v>-1</v>
      </c>
      <c r="I21">
        <v>3838.17</v>
      </c>
    </row>
    <row r="23" spans="1:28">
      <c r="A23" s="2">
        <f>AVERAGE($B$2:$B$21)</f>
        <v>74.175</v>
      </c>
      <c r="B23" s="2">
        <f>AVERAGE($D$2:$D$21)</f>
        <v>74.1815</v>
      </c>
      <c r="C23" s="2">
        <f>AVERAGE($F$2:$F$21)</f>
        <v>73.9565</v>
      </c>
      <c r="D23" s="2">
        <f>IFERROR(AVERAGEIF($H$2:$H$21,"&lt;&gt;-1"),0)</f>
        <v>0</v>
      </c>
      <c r="E23" s="2">
        <f>AVERAGE($C$2:$C$21)</f>
        <v>3844.2605</v>
      </c>
      <c r="F23" s="2">
        <f>AVERAGE($E$2:$E$21)</f>
        <v>3844.2605</v>
      </c>
      <c r="G23" s="2">
        <f>AVERAGE($G$2:$G$21)</f>
        <v>4223.1555</v>
      </c>
      <c r="H23" s="2">
        <f>IFERROR(AVERAGEIFS($I$2:$I$21,$H$2:$H$21,"&lt;&gt; -1"),0)</f>
        <v>0</v>
      </c>
      <c r="I23" s="2">
        <f>MAX($B$2:$B$21)</f>
        <v>88.29</v>
      </c>
      <c r="J23" s="2">
        <f>MAX($D$2:$D$21)</f>
        <v>88.31</v>
      </c>
      <c r="K23" s="2">
        <f>MAX($F$2:$F$21)</f>
        <v>88.13</v>
      </c>
      <c r="L23" s="2">
        <f>_xlfn.MAXIFS($H$2:$H$21,$H$2:$H$21,"&lt;&gt; -1")</f>
        <v>0</v>
      </c>
      <c r="M23" s="2">
        <f>MIN($B$2:$B$21)</f>
        <v>66.93</v>
      </c>
      <c r="N23" s="2">
        <f>MIN($D$2:$D$21)</f>
        <v>66.95</v>
      </c>
      <c r="O23" s="2">
        <f>MIN($F$2:$F$21)</f>
        <v>66.67</v>
      </c>
      <c r="P23" s="2">
        <f>_xlfn.MINIFS($H$2:$H$21,$H$2:$H$21,"&lt;&gt; -1")</f>
        <v>0</v>
      </c>
      <c r="Q23" s="2">
        <f>MAX($C$2:$C$21)</f>
        <v>4086.67</v>
      </c>
      <c r="R23" s="2">
        <f>MAX($E$2:$E$21)</f>
        <v>4086.67</v>
      </c>
      <c r="S23" s="2">
        <f>MAX($G$2:$G$21)</f>
        <v>4461.18</v>
      </c>
      <c r="T23" s="2">
        <f>_xlfn.MAXIFS($I$2:$I$21,$H$2:$H$21,"&lt;&gt; -1")</f>
        <v>0</v>
      </c>
      <c r="U23" s="2">
        <f>MIN($C$2:$C$21)</f>
        <v>3655.74</v>
      </c>
      <c r="V23" s="2">
        <f>MIN($E$2:$E$21)</f>
        <v>3655.74</v>
      </c>
      <c r="W23" s="2">
        <f>MIN($G$2:$G$21)</f>
        <v>3980.71</v>
      </c>
      <c r="X23" s="2">
        <f>_xlfn.MINIFS($I$2:$I$21,$H$2:$H$21,"&lt;&gt; -1")</f>
        <v>0</v>
      </c>
      <c r="Y23" s="2">
        <f>(COUNTIFS($B$2:$B$21,"&gt;0.0",$B$2:$B$21,"&lt;100.0"))/20</f>
        <v>1</v>
      </c>
      <c r="Z23" s="2">
        <f>(COUNTIFS($D$2:$D$21,"&gt;0.0",$D$2:$D$21,"&lt;100.0"))/20</f>
        <v>1</v>
      </c>
      <c r="AA23" s="2">
        <f>(COUNTIFS($F$2:$F$21,"&gt;0.0",$F$2:$F$21,"&lt;100.0"))/20</f>
        <v>1</v>
      </c>
      <c r="AB23" s="2">
        <f>(COUNTIFS($H$2:$H$21,"&gt;0.0",$H$2:$H$21,"&lt;100.0"))/20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"/>
  <sheetViews>
    <sheetView tabSelected="1" workbookViewId="0">
      <selection activeCell="E13" sqref="E13"/>
    </sheetView>
  </sheetViews>
  <sheetFormatPr defaultColWidth="8.72727272727273" defaultRowHeight="14" outlineLevelRow="6"/>
  <sheetData>
    <row r="1" spans="1:28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</row>
    <row r="2" spans="1:28">
      <c r="A2">
        <v>39.3735</v>
      </c>
      <c r="B2">
        <v>39.4345</v>
      </c>
      <c r="C2">
        <v>39.3275</v>
      </c>
      <c r="D2">
        <v>46.682</v>
      </c>
      <c r="E2">
        <v>3709.478</v>
      </c>
      <c r="F2">
        <v>3709.478</v>
      </c>
      <c r="G2">
        <v>4100.168</v>
      </c>
      <c r="H2">
        <v>3996.4535</v>
      </c>
      <c r="I2">
        <v>45.99</v>
      </c>
      <c r="J2">
        <v>46.07</v>
      </c>
      <c r="K2">
        <v>45.89</v>
      </c>
      <c r="L2">
        <v>59.58</v>
      </c>
      <c r="M2">
        <v>31.49</v>
      </c>
      <c r="N2">
        <v>31.53</v>
      </c>
      <c r="O2">
        <v>31.47</v>
      </c>
      <c r="P2">
        <v>35.05</v>
      </c>
      <c r="Q2">
        <v>4005.39</v>
      </c>
      <c r="R2">
        <v>4005.39</v>
      </c>
      <c r="S2">
        <v>4421.9</v>
      </c>
      <c r="T2">
        <v>4235.31</v>
      </c>
      <c r="U2">
        <v>3562.78</v>
      </c>
      <c r="V2">
        <v>3562.78</v>
      </c>
      <c r="W2">
        <v>3947.31</v>
      </c>
      <c r="X2">
        <v>3806.32</v>
      </c>
      <c r="Y2">
        <v>1</v>
      </c>
      <c r="Z2">
        <v>1</v>
      </c>
      <c r="AA2">
        <v>1</v>
      </c>
      <c r="AB2">
        <v>1</v>
      </c>
    </row>
    <row r="3" spans="1:28">
      <c r="A3">
        <v>45.373</v>
      </c>
      <c r="B3">
        <v>45.405</v>
      </c>
      <c r="C3">
        <v>45.2245</v>
      </c>
      <c r="D3">
        <v>60.4038461538462</v>
      </c>
      <c r="E3">
        <v>3812.059</v>
      </c>
      <c r="F3">
        <v>3812.059</v>
      </c>
      <c r="G3">
        <v>4187.875</v>
      </c>
      <c r="H3">
        <v>4008.23384615385</v>
      </c>
      <c r="I3">
        <v>53.16</v>
      </c>
      <c r="J3">
        <v>53.16</v>
      </c>
      <c r="K3">
        <v>53.04</v>
      </c>
      <c r="L3">
        <v>71.58</v>
      </c>
      <c r="M3">
        <v>37.18</v>
      </c>
      <c r="N3">
        <v>37.2</v>
      </c>
      <c r="O3">
        <v>36.97</v>
      </c>
      <c r="P3">
        <v>46.82</v>
      </c>
      <c r="Q3">
        <v>4058.44</v>
      </c>
      <c r="R3">
        <v>4058.44</v>
      </c>
      <c r="S3">
        <v>4481.92</v>
      </c>
      <c r="T3">
        <v>4311.79</v>
      </c>
      <c r="U3">
        <v>3575.41</v>
      </c>
      <c r="V3">
        <v>3575.41</v>
      </c>
      <c r="W3">
        <v>3878.78</v>
      </c>
      <c r="X3">
        <v>3766.07</v>
      </c>
      <c r="Y3">
        <v>1</v>
      </c>
      <c r="Z3">
        <v>1</v>
      </c>
      <c r="AA3">
        <v>1</v>
      </c>
      <c r="AB3">
        <v>0.65</v>
      </c>
    </row>
    <row r="4" spans="1:28">
      <c r="A4">
        <v>50.868</v>
      </c>
      <c r="B4">
        <v>50.8775</v>
      </c>
      <c r="C4">
        <v>50.7145</v>
      </c>
      <c r="D4">
        <v>61.065</v>
      </c>
      <c r="E4">
        <v>3820.002</v>
      </c>
      <c r="F4">
        <v>3820.002</v>
      </c>
      <c r="G4">
        <v>4196.0685</v>
      </c>
      <c r="H4">
        <v>3957.07333333333</v>
      </c>
      <c r="I4">
        <v>61.26</v>
      </c>
      <c r="J4">
        <v>61.11</v>
      </c>
      <c r="K4">
        <v>60.95</v>
      </c>
      <c r="L4">
        <v>76.59</v>
      </c>
      <c r="M4">
        <v>46.32</v>
      </c>
      <c r="N4">
        <v>46.33</v>
      </c>
      <c r="O4">
        <v>46.22</v>
      </c>
      <c r="P4">
        <v>54.03</v>
      </c>
      <c r="Q4">
        <v>4158.72</v>
      </c>
      <c r="R4">
        <v>4158.72</v>
      </c>
      <c r="S4">
        <v>4537.53</v>
      </c>
      <c r="T4">
        <v>4143.95</v>
      </c>
      <c r="U4">
        <v>3564.41</v>
      </c>
      <c r="V4">
        <v>3564.41</v>
      </c>
      <c r="W4">
        <v>3947.18</v>
      </c>
      <c r="X4">
        <v>3818.46</v>
      </c>
      <c r="Y4">
        <v>1</v>
      </c>
      <c r="Z4">
        <v>1</v>
      </c>
      <c r="AA4">
        <v>1</v>
      </c>
      <c r="AB4">
        <v>0.3</v>
      </c>
    </row>
    <row r="5" spans="1:28">
      <c r="A5">
        <v>59.758</v>
      </c>
      <c r="B5">
        <v>59.782</v>
      </c>
      <c r="C5">
        <v>59.602</v>
      </c>
      <c r="D5">
        <v>73.1575</v>
      </c>
      <c r="E5">
        <v>3830.16</v>
      </c>
      <c r="F5">
        <v>3830.16</v>
      </c>
      <c r="G5">
        <v>4218.43</v>
      </c>
      <c r="H5">
        <v>4030.6875</v>
      </c>
      <c r="I5">
        <v>70.47</v>
      </c>
      <c r="J5">
        <v>70.51</v>
      </c>
      <c r="K5">
        <v>70.25</v>
      </c>
      <c r="L5">
        <v>87.17</v>
      </c>
      <c r="M5">
        <v>50.96</v>
      </c>
      <c r="N5">
        <v>51</v>
      </c>
      <c r="O5">
        <v>50.79</v>
      </c>
      <c r="P5">
        <v>59.44</v>
      </c>
      <c r="Q5">
        <v>4071.67</v>
      </c>
      <c r="R5">
        <v>4071.67</v>
      </c>
      <c r="S5">
        <v>4487.17</v>
      </c>
      <c r="T5">
        <v>4263.48</v>
      </c>
      <c r="U5">
        <v>3576.44</v>
      </c>
      <c r="V5">
        <v>3576.44</v>
      </c>
      <c r="W5">
        <v>3919.04</v>
      </c>
      <c r="X5">
        <v>3757.17</v>
      </c>
      <c r="Y5">
        <v>1</v>
      </c>
      <c r="Z5">
        <v>1</v>
      </c>
      <c r="AA5">
        <v>1</v>
      </c>
      <c r="AB5">
        <v>0.2</v>
      </c>
    </row>
    <row r="6" spans="1:28">
      <c r="A6">
        <v>64.361</v>
      </c>
      <c r="B6">
        <v>64.3975</v>
      </c>
      <c r="C6">
        <v>64.215</v>
      </c>
      <c r="D6">
        <v>86.3133333333333</v>
      </c>
      <c r="E6">
        <v>3780.055</v>
      </c>
      <c r="F6">
        <v>3780.055</v>
      </c>
      <c r="G6">
        <v>4157.309</v>
      </c>
      <c r="H6">
        <v>3932.66333333333</v>
      </c>
      <c r="I6">
        <v>72.73</v>
      </c>
      <c r="J6">
        <v>72.74</v>
      </c>
      <c r="K6">
        <v>72.59</v>
      </c>
      <c r="L6">
        <v>93.69</v>
      </c>
      <c r="M6">
        <v>58.38</v>
      </c>
      <c r="N6">
        <v>58.41</v>
      </c>
      <c r="O6">
        <v>58.15</v>
      </c>
      <c r="P6">
        <v>73.53</v>
      </c>
      <c r="Q6">
        <v>4018.47</v>
      </c>
      <c r="R6">
        <v>4018.47</v>
      </c>
      <c r="S6">
        <v>4372.45</v>
      </c>
      <c r="T6">
        <v>4013.73</v>
      </c>
      <c r="U6">
        <v>3512.7</v>
      </c>
      <c r="V6">
        <v>3512.7</v>
      </c>
      <c r="W6">
        <v>3834.97</v>
      </c>
      <c r="X6">
        <v>3835.89</v>
      </c>
      <c r="Y6">
        <v>1</v>
      </c>
      <c r="Z6">
        <v>1</v>
      </c>
      <c r="AA6">
        <v>1</v>
      </c>
      <c r="AB6">
        <v>0.15</v>
      </c>
    </row>
    <row r="7" spans="1:28">
      <c r="A7">
        <v>74.175</v>
      </c>
      <c r="B7">
        <v>74.1815</v>
      </c>
      <c r="C7">
        <v>73.9565</v>
      </c>
      <c r="D7">
        <v>0</v>
      </c>
      <c r="E7">
        <v>3844.2605</v>
      </c>
      <c r="F7">
        <v>3844.2605</v>
      </c>
      <c r="G7">
        <v>4223.1555</v>
      </c>
      <c r="H7">
        <v>0</v>
      </c>
      <c r="I7">
        <v>88.29</v>
      </c>
      <c r="J7">
        <v>88.31</v>
      </c>
      <c r="K7">
        <v>88.13</v>
      </c>
      <c r="L7">
        <v>0</v>
      </c>
      <c r="M7">
        <v>66.93</v>
      </c>
      <c r="N7">
        <v>66.95</v>
      </c>
      <c r="O7">
        <v>66.67</v>
      </c>
      <c r="P7">
        <v>0</v>
      </c>
      <c r="Q7">
        <v>4086.67</v>
      </c>
      <c r="R7">
        <v>4086.67</v>
      </c>
      <c r="S7">
        <v>4461.18</v>
      </c>
      <c r="T7">
        <v>0</v>
      </c>
      <c r="U7">
        <v>3655.74</v>
      </c>
      <c r="V7">
        <v>3655.74</v>
      </c>
      <c r="W7">
        <v>3980.71</v>
      </c>
      <c r="X7">
        <v>0</v>
      </c>
      <c r="Y7">
        <v>1</v>
      </c>
      <c r="Z7">
        <v>1</v>
      </c>
      <c r="AA7">
        <v>1</v>
      </c>
      <c r="AB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2024-07-25T23:42:00Z</dcterms:created>
  <dcterms:modified xsi:type="dcterms:W3CDTF">2024-07-26T10:46:17Z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AD84A3E4FAB24275B92A42747FB500A0_12</vt:lpwstr>
  </property>
  <property fmtid="{D5CDD505-2E9C-101B-9397-08002B2CF9AE}" pid="3" name="KSOProductBuildVer">
    <vt:lpwstr>2052-12.1.0.17147</vt:lpwstr>
  </property>
</Properties>
</file>