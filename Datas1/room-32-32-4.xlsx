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92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<sst xmlns="http://schemas.openxmlformats.org/spreadsheetml/2006/main" count="230" uniqueCount="57">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</sst>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85" zoomScaleNormal="85" workbookViewId="0">
      <selection activeCell="A24" sqref="$A23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26.4</v>
      </c>
      <c r="C2">
        <v>4209.68</v>
      </c>
      <c r="D2">
        <v>26.44</v>
      </c>
      <c r="E2">
        <v>4209.68</v>
      </c>
      <c r="F2">
        <v>26.36</v>
      </c>
      <c r="G2">
        <v>4544.88</v>
      </c>
      <c r="H2">
        <v>-1</v>
      </c>
      <c r="I2">
        <v>4383.32</v>
      </c>
    </row>
    <row r="3" spans="1:9">
      <c r="A3" t="s">
        <v>10</v>
      </c>
      <c r="B3">
        <v>27.35</v>
      </c>
      <c r="C3">
        <v>4451.16</v>
      </c>
      <c r="D3">
        <v>27.32</v>
      </c>
      <c r="E3">
        <v>4451.16</v>
      </c>
      <c r="F3">
        <v>27.23</v>
      </c>
      <c r="G3">
        <v>4829.38</v>
      </c>
      <c r="H3">
        <v>35.72</v>
      </c>
      <c r="I3">
        <v>4907.44</v>
      </c>
    </row>
    <row r="4" spans="1:9">
      <c r="A4" t="s">
        <v>11</v>
      </c>
      <c r="B4">
        <v>38.05</v>
      </c>
      <c r="C4">
        <v>4163.32</v>
      </c>
      <c r="D4">
        <v>38.14</v>
      </c>
      <c r="E4">
        <v>4163.32</v>
      </c>
      <c r="F4">
        <v>37.9</v>
      </c>
      <c r="G4">
        <v>4549.86</v>
      </c>
      <c r="H4">
        <v>52.39</v>
      </c>
      <c r="I4">
        <v>4627.79</v>
      </c>
    </row>
    <row r="5" spans="1:9">
      <c r="A5" t="s">
        <v>12</v>
      </c>
      <c r="B5">
        <v>37.43</v>
      </c>
      <c r="C5">
        <v>4195.17</v>
      </c>
      <c r="D5">
        <v>37.59</v>
      </c>
      <c r="E5">
        <v>4195.17</v>
      </c>
      <c r="F5">
        <v>37.47</v>
      </c>
      <c r="G5">
        <v>4496.18</v>
      </c>
      <c r="H5">
        <v>48.06</v>
      </c>
      <c r="I5">
        <v>4658.3</v>
      </c>
    </row>
    <row r="6" spans="1:9">
      <c r="A6" t="s">
        <v>13</v>
      </c>
      <c r="B6">
        <v>39.01</v>
      </c>
      <c r="C6">
        <v>4400.85</v>
      </c>
      <c r="D6">
        <v>39.07</v>
      </c>
      <c r="E6">
        <v>4400.85</v>
      </c>
      <c r="F6">
        <v>39.05</v>
      </c>
      <c r="G6">
        <v>4723.64</v>
      </c>
      <c r="H6">
        <v>-1</v>
      </c>
      <c r="I6">
        <v>4628.9</v>
      </c>
    </row>
    <row r="7" spans="1:9">
      <c r="A7" t="s">
        <v>14</v>
      </c>
      <c r="B7">
        <v>38.59</v>
      </c>
      <c r="C7">
        <v>4402.9</v>
      </c>
      <c r="D7">
        <v>38.6</v>
      </c>
      <c r="E7">
        <v>4402.9</v>
      </c>
      <c r="F7">
        <v>38.5</v>
      </c>
      <c r="G7">
        <v>4713.4</v>
      </c>
      <c r="H7">
        <v>57.18</v>
      </c>
      <c r="I7">
        <v>4935.29</v>
      </c>
    </row>
    <row r="8" spans="1:9">
      <c r="A8" t="s">
        <v>15</v>
      </c>
      <c r="B8">
        <v>38.69</v>
      </c>
      <c r="C8">
        <v>4468.04</v>
      </c>
      <c r="D8">
        <v>38.93</v>
      </c>
      <c r="E8">
        <v>4468.04</v>
      </c>
      <c r="F8">
        <v>38.71</v>
      </c>
      <c r="G8">
        <v>4789.43</v>
      </c>
      <c r="H8">
        <v>60.36</v>
      </c>
      <c r="I8">
        <v>4947.94</v>
      </c>
    </row>
    <row r="9" spans="1:9">
      <c r="A9" t="s">
        <v>16</v>
      </c>
      <c r="B9">
        <v>39.84</v>
      </c>
      <c r="C9">
        <v>4592.15</v>
      </c>
      <c r="D9">
        <v>39.72</v>
      </c>
      <c r="E9">
        <v>4592.15</v>
      </c>
      <c r="F9">
        <v>39.58</v>
      </c>
      <c r="G9">
        <v>4953.22</v>
      </c>
      <c r="H9">
        <v>48.05</v>
      </c>
      <c r="I9">
        <v>5030.46</v>
      </c>
    </row>
    <row r="10" spans="1:9">
      <c r="A10" t="s">
        <v>17</v>
      </c>
      <c r="B10">
        <v>26.36</v>
      </c>
      <c r="C10">
        <v>4145.01</v>
      </c>
      <c r="D10">
        <v>26.43</v>
      </c>
      <c r="E10">
        <v>4145.01</v>
      </c>
      <c r="F10">
        <v>26.31</v>
      </c>
      <c r="G10">
        <v>4454.78</v>
      </c>
      <c r="H10">
        <v>30.33</v>
      </c>
      <c r="I10">
        <v>4511.38</v>
      </c>
    </row>
    <row r="11" spans="1:9">
      <c r="A11" t="s">
        <v>18</v>
      </c>
      <c r="B11">
        <v>26.74</v>
      </c>
      <c r="C11">
        <v>4488.83</v>
      </c>
      <c r="D11">
        <v>26.76</v>
      </c>
      <c r="E11">
        <v>4488.83</v>
      </c>
      <c r="F11">
        <v>26.69</v>
      </c>
      <c r="G11">
        <v>4758.34</v>
      </c>
      <c r="H11">
        <v>-1</v>
      </c>
      <c r="I11">
        <v>4927.56</v>
      </c>
    </row>
    <row r="12" spans="1:9">
      <c r="A12" t="s">
        <v>19</v>
      </c>
      <c r="B12">
        <v>28.05</v>
      </c>
      <c r="C12">
        <v>4503.04</v>
      </c>
      <c r="D12">
        <v>28.25</v>
      </c>
      <c r="E12">
        <v>4503.04</v>
      </c>
      <c r="F12">
        <v>28.16</v>
      </c>
      <c r="G12">
        <v>4831.25</v>
      </c>
      <c r="H12">
        <v>42.59</v>
      </c>
      <c r="I12">
        <v>4967.91</v>
      </c>
    </row>
    <row r="13" spans="1:9">
      <c r="A13" t="s">
        <v>20</v>
      </c>
      <c r="B13">
        <v>35.75</v>
      </c>
      <c r="C13">
        <v>4272.97</v>
      </c>
      <c r="D13">
        <v>35.82</v>
      </c>
      <c r="E13">
        <v>4272.97</v>
      </c>
      <c r="F13">
        <v>35.68</v>
      </c>
      <c r="G13">
        <v>4618.3</v>
      </c>
      <c r="H13">
        <v>-1</v>
      </c>
      <c r="I13">
        <v>4675.77</v>
      </c>
    </row>
    <row r="14" spans="1:9">
      <c r="A14" t="s">
        <v>21</v>
      </c>
      <c r="B14">
        <v>29.93</v>
      </c>
      <c r="C14">
        <v>4282.01</v>
      </c>
      <c r="D14">
        <v>30</v>
      </c>
      <c r="E14">
        <v>4282.01</v>
      </c>
      <c r="F14">
        <v>29.84</v>
      </c>
      <c r="G14">
        <v>4587.22</v>
      </c>
      <c r="H14">
        <v>-1</v>
      </c>
      <c r="I14">
        <v>4369.44</v>
      </c>
    </row>
    <row r="15" spans="1:9">
      <c r="A15" t="s">
        <v>22</v>
      </c>
      <c r="B15">
        <v>37.08</v>
      </c>
      <c r="C15">
        <v>4382.82</v>
      </c>
      <c r="D15">
        <v>37.16</v>
      </c>
      <c r="E15">
        <v>4382.82</v>
      </c>
      <c r="F15">
        <v>37.06</v>
      </c>
      <c r="G15">
        <v>4699.59</v>
      </c>
      <c r="H15">
        <v>-1</v>
      </c>
      <c r="I15">
        <v>4489.02</v>
      </c>
    </row>
    <row r="16" spans="1:9">
      <c r="A16" t="s">
        <v>23</v>
      </c>
      <c r="B16">
        <v>30.5</v>
      </c>
      <c r="C16">
        <v>4201.9</v>
      </c>
      <c r="D16">
        <v>30.6</v>
      </c>
      <c r="E16">
        <v>4201.9</v>
      </c>
      <c r="F16">
        <v>30.44</v>
      </c>
      <c r="G16">
        <v>4535.96</v>
      </c>
      <c r="H16">
        <v>-1</v>
      </c>
      <c r="I16">
        <v>4282.61</v>
      </c>
    </row>
    <row r="17" spans="1:9">
      <c r="A17" t="s">
        <v>24</v>
      </c>
      <c r="B17">
        <v>30.96</v>
      </c>
      <c r="C17">
        <v>4475.37</v>
      </c>
      <c r="D17">
        <v>30.99</v>
      </c>
      <c r="E17">
        <v>4475.37</v>
      </c>
      <c r="F17">
        <v>30.77</v>
      </c>
      <c r="G17">
        <v>4818.78</v>
      </c>
      <c r="H17">
        <v>35</v>
      </c>
      <c r="I17">
        <v>4940.42</v>
      </c>
    </row>
    <row r="18" spans="1:9">
      <c r="A18" t="s">
        <v>25</v>
      </c>
      <c r="B18">
        <v>33.88</v>
      </c>
      <c r="C18">
        <v>4198.82</v>
      </c>
      <c r="D18">
        <v>33.95</v>
      </c>
      <c r="E18">
        <v>4198.82</v>
      </c>
      <c r="F18">
        <v>33.75</v>
      </c>
      <c r="G18">
        <v>4525.22</v>
      </c>
      <c r="H18">
        <v>41.97</v>
      </c>
      <c r="I18">
        <v>4622.19</v>
      </c>
    </row>
    <row r="19" spans="1:9">
      <c r="A19" t="s">
        <v>26</v>
      </c>
      <c r="B19">
        <v>26.71</v>
      </c>
      <c r="C19">
        <v>4445.17</v>
      </c>
      <c r="D19">
        <v>26.77</v>
      </c>
      <c r="E19">
        <v>4445.17</v>
      </c>
      <c r="F19">
        <v>26.66</v>
      </c>
      <c r="G19">
        <v>4745.63</v>
      </c>
      <c r="H19">
        <v>37.07</v>
      </c>
      <c r="I19">
        <v>4813.33</v>
      </c>
    </row>
    <row r="20" spans="1:9">
      <c r="A20" t="s">
        <v>27</v>
      </c>
      <c r="B20">
        <v>36.23</v>
      </c>
      <c r="C20">
        <v>4144.21</v>
      </c>
      <c r="D20">
        <v>36.28</v>
      </c>
      <c r="E20">
        <v>4144.21</v>
      </c>
      <c r="F20">
        <v>36.16</v>
      </c>
      <c r="G20">
        <v>4455.25</v>
      </c>
      <c r="H20">
        <v>46.26</v>
      </c>
      <c r="I20">
        <v>4600.59</v>
      </c>
    </row>
    <row r="21" spans="1:9">
      <c r="A21" t="s">
        <v>28</v>
      </c>
      <c r="B21">
        <v>30.89</v>
      </c>
      <c r="C21">
        <v>4483.41</v>
      </c>
      <c r="D21">
        <v>30.85</v>
      </c>
      <c r="E21">
        <v>4483.41</v>
      </c>
      <c r="F21">
        <v>30.74</v>
      </c>
      <c r="G21">
        <v>4838.71</v>
      </c>
      <c r="H21">
        <v>53.77</v>
      </c>
      <c r="I21">
        <v>4939.68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2">
        <f>AVERAGE($B$2:$B$21)</f>
        <v>32.922</v>
      </c>
      <c r="B24" s="2">
        <f>AVERAGE($D$2:$D$21)</f>
        <v>32.9835</v>
      </c>
      <c r="C24" s="2">
        <f>AVERAGE($F$2:$F$21)</f>
        <v>32.853</v>
      </c>
      <c r="D24" s="2">
        <f>AVERAGEIF($H$2:$H$21,"&lt;&gt; -1")</f>
        <v>45.2884615384615</v>
      </c>
      <c r="E24" s="2">
        <f>AVERAGE($C$2:$C$21)</f>
        <v>4345.3415</v>
      </c>
      <c r="F24" s="2">
        <f>AVERAGE($E$2:$E$21)</f>
        <v>4345.3415</v>
      </c>
      <c r="G24" s="2">
        <f>AVERAGE($G$2:$G$21)</f>
        <v>4673.451</v>
      </c>
      <c r="H24" s="2">
        <f>AVERAGEIFS($I$2:$I$21,$H$2:$H$21,"&lt;&gt; -1")</f>
        <v>4807.90153846154</v>
      </c>
      <c r="I24" s="2">
        <f>MAX($B$2:$B$21)</f>
        <v>39.84</v>
      </c>
      <c r="J24" s="2">
        <f>MAX($D$2:$D$21)</f>
        <v>39.72</v>
      </c>
      <c r="K24" s="2">
        <f>MAX($F$2:$F$21)</f>
        <v>39.58</v>
      </c>
      <c r="L24" s="2">
        <f>_xlfn.MAXIFS($H$2:$H$21,$H$2:$H$21,"&lt;&gt; -1")</f>
        <v>60.36</v>
      </c>
      <c r="M24" s="2">
        <f>MIN($B$2:$B$21)</f>
        <v>26.36</v>
      </c>
      <c r="N24" s="2">
        <f>MIN($D$2:$D$21)</f>
        <v>26.43</v>
      </c>
      <c r="O24" s="2">
        <f>MIN($F$2:$F$21)</f>
        <v>26.31</v>
      </c>
      <c r="P24" s="2">
        <f>_xlfn.MINIFS($H$2:$H$21,$H$2:$H$21,"&lt;&gt; -1")</f>
        <v>30.33</v>
      </c>
      <c r="Q24" s="2">
        <f>MAX($C$2:$C$21)</f>
        <v>4592.15</v>
      </c>
      <c r="R24" s="2">
        <f>MAX($E$2:$E$21)</f>
        <v>4592.15</v>
      </c>
      <c r="S24" s="2">
        <f>MAX($G$2:$G$21)</f>
        <v>4953.22</v>
      </c>
      <c r="T24" s="2">
        <f>_xlfn.MAXIFS($I$2:$I$21,$H$2:$H$21,"&lt;&gt; -1")</f>
        <v>5030.46</v>
      </c>
      <c r="U24" s="2">
        <f>MIN($C$2:$C$21)</f>
        <v>4144.21</v>
      </c>
      <c r="V24" s="2">
        <f>MIN($E$2:$E$21)</f>
        <v>4144.21</v>
      </c>
      <c r="W24" s="2">
        <f>MIN($G$2:$G$21)</f>
        <v>4454.78</v>
      </c>
      <c r="X24" s="2">
        <f>_xlfn.MINIFS($I$2:$I$21,$H$2:$H$21,"&lt;&gt; -1")</f>
        <v>4511.38</v>
      </c>
      <c r="Y24" s="2">
        <f>(COUNTIFS($B$2:$B$21,"&gt;0.0",$B$2:$B$21,"&lt;100.0"))/20</f>
        <v>1</v>
      </c>
      <c r="Z24" s="2">
        <f>(COUNTIFS($D$2:$D$21,"&gt;0.0",$D$2:$D$21,"&lt;100.0"))/20</f>
        <v>1</v>
      </c>
      <c r="AA24" s="2">
        <f>(COUNTIFS($F$2:$F$21,"&gt;0.0",$F$2:$F$21,"&lt;100.0"))/20</f>
        <v>1</v>
      </c>
      <c r="AB24" s="2">
        <f>(COUNTIFS($H$2:$H$21,"&gt;0.0",$H$2:$H$21,"&lt;100.0"))/20</f>
        <v>0.65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36.26</v>
      </c>
      <c r="C2">
        <v>4235.33</v>
      </c>
      <c r="D2">
        <v>36.33</v>
      </c>
      <c r="E2">
        <v>4235.33</v>
      </c>
      <c r="F2">
        <v>36.03</v>
      </c>
      <c r="G2">
        <v>4538.76</v>
      </c>
      <c r="H2">
        <v>-1</v>
      </c>
      <c r="I2">
        <v>2975.86</v>
      </c>
    </row>
    <row r="3" spans="1:9">
      <c r="A3" t="s">
        <v>10</v>
      </c>
      <c r="B3">
        <v>43.11</v>
      </c>
      <c r="C3">
        <v>4606.91</v>
      </c>
      <c r="D3">
        <v>43.12</v>
      </c>
      <c r="E3">
        <v>4606.91</v>
      </c>
      <c r="F3">
        <v>42.99</v>
      </c>
      <c r="G3">
        <v>4996.79</v>
      </c>
      <c r="H3">
        <v>-1</v>
      </c>
      <c r="I3">
        <v>3117.01</v>
      </c>
    </row>
    <row r="4" spans="1:9">
      <c r="A4" t="s">
        <v>11</v>
      </c>
      <c r="B4">
        <v>29.2</v>
      </c>
      <c r="C4">
        <v>4403.42</v>
      </c>
      <c r="D4">
        <v>29.24</v>
      </c>
      <c r="E4">
        <v>4403.42</v>
      </c>
      <c r="F4">
        <v>29.01</v>
      </c>
      <c r="G4">
        <v>4736.26</v>
      </c>
      <c r="H4">
        <v>-1</v>
      </c>
      <c r="I4">
        <v>3940.94</v>
      </c>
    </row>
    <row r="5" spans="1:9">
      <c r="A5" t="s">
        <v>12</v>
      </c>
      <c r="B5">
        <v>30.36</v>
      </c>
      <c r="C5">
        <v>4546.08</v>
      </c>
      <c r="D5">
        <v>30.46</v>
      </c>
      <c r="E5">
        <v>4546.08</v>
      </c>
      <c r="F5">
        <v>30.18</v>
      </c>
      <c r="G5">
        <v>4904.41</v>
      </c>
      <c r="H5">
        <v>-1</v>
      </c>
      <c r="I5">
        <v>4039.42</v>
      </c>
    </row>
    <row r="6" spans="1:9">
      <c r="A6" t="s">
        <v>13</v>
      </c>
      <c r="B6">
        <v>32.8</v>
      </c>
      <c r="C6">
        <v>4616.31</v>
      </c>
      <c r="D6">
        <v>32.91</v>
      </c>
      <c r="E6">
        <v>4616.31</v>
      </c>
      <c r="F6">
        <v>32.58</v>
      </c>
      <c r="G6">
        <v>4970.69</v>
      </c>
      <c r="H6">
        <v>58.38</v>
      </c>
      <c r="I6">
        <v>5065.2</v>
      </c>
    </row>
    <row r="7" spans="1:9">
      <c r="A7" t="s">
        <v>14</v>
      </c>
      <c r="B7">
        <v>44.55</v>
      </c>
      <c r="C7">
        <v>4567</v>
      </c>
      <c r="D7">
        <v>44.59</v>
      </c>
      <c r="E7">
        <v>4567</v>
      </c>
      <c r="F7">
        <v>44.25</v>
      </c>
      <c r="G7">
        <v>4981.16</v>
      </c>
      <c r="H7">
        <v>-1</v>
      </c>
      <c r="I7">
        <v>3287.83</v>
      </c>
    </row>
    <row r="8" spans="1:9">
      <c r="A8" t="s">
        <v>15</v>
      </c>
      <c r="B8">
        <v>42.96</v>
      </c>
      <c r="C8">
        <v>4420.65</v>
      </c>
      <c r="D8">
        <v>42.98</v>
      </c>
      <c r="E8">
        <v>4420.65</v>
      </c>
      <c r="F8">
        <v>42.84</v>
      </c>
      <c r="G8">
        <v>4768.93</v>
      </c>
      <c r="H8">
        <v>-1</v>
      </c>
      <c r="I8">
        <v>3797.85</v>
      </c>
    </row>
    <row r="9" spans="1:9">
      <c r="A9" t="s">
        <v>16</v>
      </c>
      <c r="B9">
        <v>41.85</v>
      </c>
      <c r="C9">
        <v>4637.77</v>
      </c>
      <c r="D9">
        <v>41.86</v>
      </c>
      <c r="E9">
        <v>4637.77</v>
      </c>
      <c r="F9">
        <v>41.7</v>
      </c>
      <c r="G9">
        <v>4994.45</v>
      </c>
      <c r="H9">
        <v>-1</v>
      </c>
      <c r="I9">
        <v>4369.63</v>
      </c>
    </row>
    <row r="10" spans="1:9">
      <c r="A10" t="s">
        <v>17</v>
      </c>
      <c r="B10">
        <v>35.69</v>
      </c>
      <c r="C10">
        <v>4438.77</v>
      </c>
      <c r="D10">
        <v>35.71</v>
      </c>
      <c r="E10">
        <v>4438.77</v>
      </c>
      <c r="F10">
        <v>35.53</v>
      </c>
      <c r="G10">
        <v>4822.33</v>
      </c>
      <c r="H10">
        <v>-1</v>
      </c>
      <c r="I10">
        <v>3090.84</v>
      </c>
    </row>
    <row r="11" spans="1:9">
      <c r="A11" t="s">
        <v>18</v>
      </c>
      <c r="B11">
        <v>38.63</v>
      </c>
      <c r="C11">
        <v>4726.56</v>
      </c>
      <c r="D11">
        <v>38.66</v>
      </c>
      <c r="E11">
        <v>4726.56</v>
      </c>
      <c r="F11">
        <v>38.45</v>
      </c>
      <c r="G11">
        <v>5004.78</v>
      </c>
      <c r="H11">
        <v>-1</v>
      </c>
      <c r="I11">
        <v>3880.4</v>
      </c>
    </row>
    <row r="12" spans="1:9">
      <c r="A12" t="s">
        <v>19</v>
      </c>
      <c r="B12">
        <v>40.27</v>
      </c>
      <c r="C12">
        <v>4605.36</v>
      </c>
      <c r="D12">
        <v>40.3</v>
      </c>
      <c r="E12">
        <v>4605.36</v>
      </c>
      <c r="F12">
        <v>40.11</v>
      </c>
      <c r="G12">
        <v>5027.29</v>
      </c>
      <c r="H12">
        <v>-1</v>
      </c>
      <c r="I12">
        <v>4050.94</v>
      </c>
    </row>
    <row r="13" spans="1:9">
      <c r="A13" t="s">
        <v>20</v>
      </c>
      <c r="B13">
        <v>36.59</v>
      </c>
      <c r="C13">
        <v>4256.17</v>
      </c>
      <c r="D13">
        <v>36.61</v>
      </c>
      <c r="E13">
        <v>4256.17</v>
      </c>
      <c r="F13">
        <v>36.48</v>
      </c>
      <c r="G13">
        <v>4608.35</v>
      </c>
      <c r="H13">
        <v>-1</v>
      </c>
      <c r="I13">
        <v>2854.44</v>
      </c>
    </row>
    <row r="14" spans="1:9">
      <c r="A14" t="s">
        <v>21</v>
      </c>
      <c r="B14">
        <v>29.11</v>
      </c>
      <c r="C14">
        <v>4282.97</v>
      </c>
      <c r="D14">
        <v>29.12</v>
      </c>
      <c r="E14">
        <v>4282.97</v>
      </c>
      <c r="F14">
        <v>28.9</v>
      </c>
      <c r="G14">
        <v>4606.52</v>
      </c>
      <c r="H14">
        <v>-1</v>
      </c>
      <c r="I14">
        <v>2781.56</v>
      </c>
    </row>
    <row r="15" spans="1:9">
      <c r="A15" t="s">
        <v>22</v>
      </c>
      <c r="B15">
        <v>29.71</v>
      </c>
      <c r="C15">
        <v>4580.8</v>
      </c>
      <c r="D15">
        <v>29.74</v>
      </c>
      <c r="E15">
        <v>4580.8</v>
      </c>
      <c r="F15">
        <v>29.67</v>
      </c>
      <c r="G15">
        <v>4901.54</v>
      </c>
      <c r="H15">
        <v>-1</v>
      </c>
      <c r="I15">
        <v>4037.06</v>
      </c>
    </row>
    <row r="16" spans="1:9">
      <c r="A16" t="s">
        <v>23</v>
      </c>
      <c r="B16">
        <v>29.15</v>
      </c>
      <c r="C16">
        <v>4263.52</v>
      </c>
      <c r="D16">
        <v>29.26</v>
      </c>
      <c r="E16">
        <v>4263.52</v>
      </c>
      <c r="F16">
        <v>29.02</v>
      </c>
      <c r="G16">
        <v>4573.16</v>
      </c>
      <c r="H16">
        <v>-1</v>
      </c>
      <c r="I16">
        <v>3787.44</v>
      </c>
    </row>
    <row r="17" spans="1:9">
      <c r="A17" t="s">
        <v>24</v>
      </c>
      <c r="B17">
        <v>32.16</v>
      </c>
      <c r="C17">
        <v>4508.04</v>
      </c>
      <c r="D17">
        <v>32.19</v>
      </c>
      <c r="E17">
        <v>4508.04</v>
      </c>
      <c r="F17">
        <v>32.04</v>
      </c>
      <c r="G17">
        <v>4865.95</v>
      </c>
      <c r="H17">
        <v>-1</v>
      </c>
      <c r="I17">
        <v>3735.48</v>
      </c>
    </row>
    <row r="18" spans="1:9">
      <c r="A18" t="s">
        <v>25</v>
      </c>
      <c r="B18">
        <v>36.49</v>
      </c>
      <c r="C18">
        <v>4391.76</v>
      </c>
      <c r="D18">
        <v>36.53</v>
      </c>
      <c r="E18">
        <v>4391.76</v>
      </c>
      <c r="F18">
        <v>36.24</v>
      </c>
      <c r="G18">
        <v>4739.86</v>
      </c>
      <c r="H18">
        <v>52.8</v>
      </c>
      <c r="I18">
        <v>4603.75</v>
      </c>
    </row>
    <row r="19" spans="1:9">
      <c r="A19" t="s">
        <v>26</v>
      </c>
      <c r="B19">
        <v>37.99</v>
      </c>
      <c r="C19">
        <v>4852.73</v>
      </c>
      <c r="D19">
        <v>38.04</v>
      </c>
      <c r="E19">
        <v>4852.73</v>
      </c>
      <c r="F19">
        <v>37.76</v>
      </c>
      <c r="G19">
        <v>5232.23</v>
      </c>
      <c r="H19">
        <v>-1</v>
      </c>
      <c r="I19">
        <v>4325.87</v>
      </c>
    </row>
    <row r="20" spans="1:9">
      <c r="A20" t="s">
        <v>27</v>
      </c>
      <c r="B20">
        <v>35.11</v>
      </c>
      <c r="C20">
        <v>4682.81</v>
      </c>
      <c r="D20">
        <v>35.12</v>
      </c>
      <c r="E20">
        <v>4682.81</v>
      </c>
      <c r="F20">
        <v>34.99</v>
      </c>
      <c r="G20">
        <v>5000.08</v>
      </c>
      <c r="H20">
        <v>-1</v>
      </c>
      <c r="I20">
        <v>3076.12</v>
      </c>
    </row>
    <row r="21" spans="1:9">
      <c r="A21" t="s">
        <v>28</v>
      </c>
      <c r="B21">
        <v>38.83</v>
      </c>
      <c r="C21">
        <v>4604.35</v>
      </c>
      <c r="D21">
        <v>38.97</v>
      </c>
      <c r="E21">
        <v>4604.35</v>
      </c>
      <c r="F21">
        <v>38.47</v>
      </c>
      <c r="G21">
        <v>4956.02</v>
      </c>
      <c r="H21">
        <v>-1</v>
      </c>
      <c r="I21">
        <v>4042.45</v>
      </c>
    </row>
    <row r="24" spans="1:28">
      <c r="A24" s="2">
        <f>AVERAGE($B$2:$B$21)</f>
        <v>36.041</v>
      </c>
      <c r="B24" s="2">
        <f>AVERAGE($D$2:$D$21)</f>
        <v>36.087</v>
      </c>
      <c r="C24" s="2">
        <f>AVERAGE($F$2:$F$21)</f>
        <v>35.862</v>
      </c>
      <c r="D24" s="2">
        <f>AVERAGEIF($H$2:$H$21,"&lt;&gt; -1")</f>
        <v>55.59</v>
      </c>
      <c r="E24" s="2">
        <f>AVERAGE($C$2:$C$21)</f>
        <v>4511.3655</v>
      </c>
      <c r="F24" s="2">
        <f>AVERAGE($E$2:$E$21)</f>
        <v>4511.3655</v>
      </c>
      <c r="G24" s="2">
        <f>AVERAGE($G$2:$G$21)</f>
        <v>4861.478</v>
      </c>
      <c r="H24" s="2">
        <f>AVERAGEIFS($I$2:$I$21,$H$2:$H$21,"&lt;&gt; -1")</f>
        <v>4834.475</v>
      </c>
      <c r="I24" s="2">
        <f>MAX($B$2:$B$21)</f>
        <v>44.55</v>
      </c>
      <c r="J24" s="2">
        <f>MAX($D$2:$D$21)</f>
        <v>44.59</v>
      </c>
      <c r="K24" s="2">
        <f>MAX($F$2:$F$21)</f>
        <v>44.25</v>
      </c>
      <c r="L24" s="2">
        <f>_xlfn.MAXIFS($H$2:$H$21,$H$2:$H$21,"&lt;&gt; -1")</f>
        <v>58.38</v>
      </c>
      <c r="M24" s="2">
        <f>MIN($B$2:$B$21)</f>
        <v>29.11</v>
      </c>
      <c r="N24" s="2">
        <f>MIN($D$2:$D$21)</f>
        <v>29.12</v>
      </c>
      <c r="O24" s="2">
        <f>MIN($F$2:$F$21)</f>
        <v>28.9</v>
      </c>
      <c r="P24" s="2">
        <f>_xlfn.MINIFS($H$2:$H$21,$H$2:$H$21,"&lt;&gt; -1")</f>
        <v>52.8</v>
      </c>
      <c r="Q24" s="2">
        <f>MAX($C$2:$C$21)</f>
        <v>4852.73</v>
      </c>
      <c r="R24" s="2">
        <f>MAX($E$2:$E$21)</f>
        <v>4852.73</v>
      </c>
      <c r="S24" s="2">
        <f>MAX($G$2:$G$21)</f>
        <v>5232.23</v>
      </c>
      <c r="T24" s="2">
        <f>_xlfn.MAXIFS($I$2:$I$21,$H$2:$H$21,"&lt;&gt; -1")</f>
        <v>5065.2</v>
      </c>
      <c r="U24" s="2">
        <f>MIN($C$2:$C$21)</f>
        <v>4235.33</v>
      </c>
      <c r="V24" s="2">
        <f>MIN($E$2:$E$21)</f>
        <v>4235.33</v>
      </c>
      <c r="W24" s="2">
        <f>MIN($G$2:$G$21)</f>
        <v>4538.76</v>
      </c>
      <c r="X24" s="2">
        <f>_xlfn.MINIFS($I$2:$I$21,$H$2:$H$21,"&lt;&gt; -1")</f>
        <v>4603.75</v>
      </c>
      <c r="Y24" s="2">
        <f>(COUNTIFS($B$2:$B$21,"&gt;0.0",$B$2:$B$21,"&lt;100.0"))/20</f>
        <v>1</v>
      </c>
      <c r="Z24" s="2">
        <f>(COUNTIFS($D$2:$D$21,"&gt;0.0",$D$2:$D$21,"&lt;100.0"))/20</f>
        <v>1</v>
      </c>
      <c r="AA24" s="2">
        <f>(COUNTIFS($F$2:$F$21,"&gt;0.0",$F$2:$F$21,"&lt;100.0"))/20</f>
        <v>1</v>
      </c>
      <c r="AB24" s="2">
        <f>(COUNTIFS($H$2:$H$21,"&gt;0.0",$H$2:$H$21,"&lt;100.0"))/20</f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zoomScale="115" zoomScaleNormal="115"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38.71</v>
      </c>
      <c r="C2">
        <v>4261.85</v>
      </c>
      <c r="D2">
        <v>38.74</v>
      </c>
      <c r="E2">
        <v>4261.85</v>
      </c>
      <c r="F2">
        <v>38.62</v>
      </c>
      <c r="G2">
        <v>4641.85</v>
      </c>
      <c r="H2">
        <v>-1</v>
      </c>
      <c r="I2">
        <v>4491.21</v>
      </c>
    </row>
    <row r="3" spans="1:9">
      <c r="A3" t="s">
        <v>10</v>
      </c>
      <c r="B3">
        <v>37.72</v>
      </c>
      <c r="C3">
        <v>4658.57</v>
      </c>
      <c r="D3">
        <v>37.73</v>
      </c>
      <c r="E3">
        <v>4658.57</v>
      </c>
      <c r="F3">
        <v>37.54</v>
      </c>
      <c r="G3">
        <v>4982.75</v>
      </c>
      <c r="H3">
        <v>-1</v>
      </c>
      <c r="I3">
        <v>1833.77</v>
      </c>
    </row>
    <row r="4" spans="1:9">
      <c r="A4" t="s">
        <v>11</v>
      </c>
      <c r="B4">
        <v>33.64</v>
      </c>
      <c r="C4">
        <v>4331.09</v>
      </c>
      <c r="D4">
        <v>33.66</v>
      </c>
      <c r="E4">
        <v>4331.09</v>
      </c>
      <c r="F4">
        <v>33.46</v>
      </c>
      <c r="G4">
        <v>4705.39</v>
      </c>
      <c r="H4">
        <v>-1</v>
      </c>
      <c r="I4">
        <v>2397.81</v>
      </c>
    </row>
    <row r="5" spans="1:9">
      <c r="A5" t="s">
        <v>12</v>
      </c>
      <c r="B5">
        <v>36.51</v>
      </c>
      <c r="C5">
        <v>4529.4</v>
      </c>
      <c r="D5">
        <v>36.56</v>
      </c>
      <c r="E5">
        <v>4529.4</v>
      </c>
      <c r="F5">
        <v>36.24</v>
      </c>
      <c r="G5">
        <v>4920.57</v>
      </c>
      <c r="H5">
        <v>-1</v>
      </c>
      <c r="I5">
        <v>2729.23</v>
      </c>
    </row>
    <row r="6" spans="1:9">
      <c r="A6" t="s">
        <v>13</v>
      </c>
      <c r="B6">
        <v>44.2</v>
      </c>
      <c r="C6">
        <v>4591.95</v>
      </c>
      <c r="D6">
        <v>44.21</v>
      </c>
      <c r="E6">
        <v>4591.95</v>
      </c>
      <c r="F6">
        <v>43.96</v>
      </c>
      <c r="G6">
        <v>4968.59</v>
      </c>
      <c r="H6">
        <v>-1</v>
      </c>
      <c r="I6">
        <v>2830.24</v>
      </c>
    </row>
    <row r="7" spans="1:9">
      <c r="A7" t="s">
        <v>14</v>
      </c>
      <c r="B7">
        <v>52.22</v>
      </c>
      <c r="C7">
        <v>4708.09</v>
      </c>
      <c r="D7">
        <v>52.35</v>
      </c>
      <c r="E7">
        <v>4708.09</v>
      </c>
      <c r="F7">
        <v>51.86</v>
      </c>
      <c r="G7">
        <v>5103.55</v>
      </c>
      <c r="H7">
        <v>-1</v>
      </c>
      <c r="I7">
        <v>2291.73</v>
      </c>
    </row>
    <row r="8" spans="1:9">
      <c r="A8" t="s">
        <v>15</v>
      </c>
      <c r="B8">
        <v>35.78</v>
      </c>
      <c r="C8">
        <v>4670.99</v>
      </c>
      <c r="D8">
        <v>35.79</v>
      </c>
      <c r="E8">
        <v>4670.99</v>
      </c>
      <c r="F8">
        <v>35.61</v>
      </c>
      <c r="G8">
        <v>5060.58</v>
      </c>
      <c r="H8">
        <v>-1</v>
      </c>
      <c r="I8">
        <v>1602.34</v>
      </c>
    </row>
    <row r="9" spans="1:9">
      <c r="A9" t="s">
        <v>16</v>
      </c>
      <c r="B9">
        <v>42.41</v>
      </c>
      <c r="C9">
        <v>4702.07</v>
      </c>
      <c r="D9">
        <v>42.42</v>
      </c>
      <c r="E9">
        <v>4702.07</v>
      </c>
      <c r="F9">
        <v>42.21</v>
      </c>
      <c r="G9">
        <v>5116.16</v>
      </c>
      <c r="H9">
        <v>-1</v>
      </c>
      <c r="I9">
        <v>3393.39</v>
      </c>
    </row>
    <row r="10" spans="1:9">
      <c r="A10" t="s">
        <v>17</v>
      </c>
      <c r="B10">
        <v>44.06</v>
      </c>
      <c r="C10">
        <v>4462.84</v>
      </c>
      <c r="D10">
        <v>44.06</v>
      </c>
      <c r="E10">
        <v>4462.84</v>
      </c>
      <c r="F10">
        <v>43.75</v>
      </c>
      <c r="G10">
        <v>4796.86</v>
      </c>
      <c r="H10">
        <v>-1</v>
      </c>
      <c r="I10">
        <v>2079.77</v>
      </c>
    </row>
    <row r="11" spans="1:9">
      <c r="A11" t="s">
        <v>18</v>
      </c>
      <c r="B11">
        <v>41.29</v>
      </c>
      <c r="C11">
        <v>4571.11</v>
      </c>
      <c r="D11">
        <v>41.31</v>
      </c>
      <c r="E11">
        <v>4571.11</v>
      </c>
      <c r="F11">
        <v>41.08</v>
      </c>
      <c r="G11">
        <v>4910.86</v>
      </c>
      <c r="H11">
        <v>-1</v>
      </c>
      <c r="I11">
        <v>3487.2</v>
      </c>
    </row>
    <row r="12" spans="1:9">
      <c r="A12" t="s">
        <v>19</v>
      </c>
      <c r="B12">
        <v>39.28</v>
      </c>
      <c r="C12">
        <v>4567.87</v>
      </c>
      <c r="D12">
        <v>39.36</v>
      </c>
      <c r="E12">
        <v>4567.87</v>
      </c>
      <c r="F12">
        <v>38.98</v>
      </c>
      <c r="G12">
        <v>4934.1</v>
      </c>
      <c r="H12">
        <v>-1</v>
      </c>
      <c r="I12">
        <v>1951.3</v>
      </c>
    </row>
    <row r="13" spans="1:9">
      <c r="A13" t="s">
        <v>20</v>
      </c>
      <c r="B13">
        <v>45.02</v>
      </c>
      <c r="C13">
        <v>4296.39</v>
      </c>
      <c r="D13">
        <v>45.03</v>
      </c>
      <c r="E13">
        <v>4296.39</v>
      </c>
      <c r="F13">
        <v>44.76</v>
      </c>
      <c r="G13">
        <v>4647.53</v>
      </c>
      <c r="H13">
        <v>-1</v>
      </c>
      <c r="I13">
        <v>2423.3</v>
      </c>
    </row>
    <row r="14" spans="1:9">
      <c r="A14" t="s">
        <v>21</v>
      </c>
      <c r="B14">
        <v>45.84</v>
      </c>
      <c r="C14">
        <v>4468.65</v>
      </c>
      <c r="D14">
        <v>45.84</v>
      </c>
      <c r="E14">
        <v>4468.65</v>
      </c>
      <c r="F14">
        <v>45.71</v>
      </c>
      <c r="G14">
        <v>4782.06</v>
      </c>
      <c r="H14">
        <v>-1</v>
      </c>
      <c r="I14">
        <v>2954.42</v>
      </c>
    </row>
    <row r="15" spans="1:9">
      <c r="A15" t="s">
        <v>22</v>
      </c>
      <c r="B15">
        <v>47.48</v>
      </c>
      <c r="C15">
        <v>4590.11</v>
      </c>
      <c r="D15">
        <v>47.49</v>
      </c>
      <c r="E15">
        <v>4590.11</v>
      </c>
      <c r="F15">
        <v>47.3</v>
      </c>
      <c r="G15">
        <v>4907.44</v>
      </c>
      <c r="H15">
        <v>-1</v>
      </c>
      <c r="I15">
        <v>2412.25</v>
      </c>
    </row>
    <row r="16" spans="1:9">
      <c r="A16" t="s">
        <v>23</v>
      </c>
      <c r="B16">
        <v>33.84</v>
      </c>
      <c r="C16">
        <v>4784.05</v>
      </c>
      <c r="D16">
        <v>33.86</v>
      </c>
      <c r="E16">
        <v>4784.05</v>
      </c>
      <c r="F16">
        <v>33.65</v>
      </c>
      <c r="G16">
        <v>5160.49</v>
      </c>
      <c r="H16">
        <v>-1</v>
      </c>
      <c r="I16">
        <v>2583.66</v>
      </c>
    </row>
    <row r="17" spans="1:9">
      <c r="A17" t="s">
        <v>24</v>
      </c>
      <c r="B17">
        <v>45.87</v>
      </c>
      <c r="C17">
        <v>4560.27</v>
      </c>
      <c r="D17">
        <v>45.9</v>
      </c>
      <c r="E17">
        <v>4560.27</v>
      </c>
      <c r="F17">
        <v>45.64</v>
      </c>
      <c r="G17">
        <v>4990.99</v>
      </c>
      <c r="H17">
        <v>-1</v>
      </c>
      <c r="I17">
        <v>1978.96</v>
      </c>
    </row>
    <row r="18" spans="1:9">
      <c r="A18" t="s">
        <v>25</v>
      </c>
      <c r="B18">
        <v>41.86</v>
      </c>
      <c r="C18">
        <v>4602.91</v>
      </c>
      <c r="D18">
        <v>41.89</v>
      </c>
      <c r="E18">
        <v>4602.91</v>
      </c>
      <c r="F18">
        <v>41.63</v>
      </c>
      <c r="G18">
        <v>4976.17</v>
      </c>
      <c r="H18">
        <v>-1</v>
      </c>
      <c r="I18">
        <v>2451.14</v>
      </c>
    </row>
    <row r="19" spans="1:9">
      <c r="A19" t="s">
        <v>26</v>
      </c>
      <c r="B19">
        <v>37.07</v>
      </c>
      <c r="C19">
        <v>4725.36</v>
      </c>
      <c r="D19">
        <v>37.08</v>
      </c>
      <c r="E19">
        <v>4725.36</v>
      </c>
      <c r="F19">
        <v>36.81</v>
      </c>
      <c r="G19">
        <v>5129.1</v>
      </c>
      <c r="H19">
        <v>-1</v>
      </c>
      <c r="I19">
        <v>2252.25</v>
      </c>
    </row>
    <row r="20" spans="1:9">
      <c r="A20" t="s">
        <v>27</v>
      </c>
      <c r="B20">
        <v>35.25</v>
      </c>
      <c r="C20">
        <v>4743.72</v>
      </c>
      <c r="D20">
        <v>35.25</v>
      </c>
      <c r="E20">
        <v>4743.72</v>
      </c>
      <c r="F20">
        <v>35.11</v>
      </c>
      <c r="G20">
        <v>5126.45</v>
      </c>
      <c r="H20">
        <v>-1</v>
      </c>
      <c r="I20">
        <v>2278.76</v>
      </c>
    </row>
    <row r="21" spans="1:9">
      <c r="A21" t="s">
        <v>28</v>
      </c>
      <c r="B21">
        <v>48.86</v>
      </c>
      <c r="C21">
        <v>4837.87</v>
      </c>
      <c r="D21">
        <v>48.86</v>
      </c>
      <c r="E21">
        <v>4837.87</v>
      </c>
      <c r="F21">
        <v>48.66</v>
      </c>
      <c r="G21">
        <v>5178.86</v>
      </c>
      <c r="H21">
        <v>-1</v>
      </c>
      <c r="I21">
        <v>2484.31</v>
      </c>
    </row>
    <row r="23" spans="1:28">
      <c r="A23" s="2">
        <f>AVERAGE($B$2:$B$21)</f>
        <v>41.3455</v>
      </c>
      <c r="B23" s="2">
        <f>AVERAGE($D$2:$D$21)</f>
        <v>41.3695</v>
      </c>
      <c r="C23" s="2">
        <f>AVERAGE($F$2:$F$21)</f>
        <v>41.129</v>
      </c>
      <c r="D23" s="2">
        <f>IFERROR(AVERAGEIF($H$2:$H$21,"&lt;&gt;-1"),0)</f>
        <v>0</v>
      </c>
      <c r="E23" s="2">
        <f>AVERAGE($C$2:$C$21)</f>
        <v>4583.258</v>
      </c>
      <c r="F23" s="2">
        <f>AVERAGE($E$2:$E$21)</f>
        <v>4583.258</v>
      </c>
      <c r="G23" s="2">
        <f>AVERAGE($G$2:$G$21)</f>
        <v>4952.0175</v>
      </c>
      <c r="H23" s="2">
        <f>IFERROR(AVERAGEIFS($I$2:$I$21,$H$2:$H$21,"&lt;&gt; -1"),0)</f>
        <v>0</v>
      </c>
      <c r="I23" s="2">
        <f>MAX($B$2:$B$21)</f>
        <v>52.22</v>
      </c>
      <c r="J23" s="2">
        <f>MAX($D$2:$D$21)</f>
        <v>52.35</v>
      </c>
      <c r="K23" s="2">
        <f>MAX($F$2:$F$21)</f>
        <v>51.86</v>
      </c>
      <c r="L23" s="2">
        <f>_xlfn.MAXIFS($H$2:$H$21,$H$2:$H$21,"&lt;&gt; -1")</f>
        <v>0</v>
      </c>
      <c r="M23" s="2">
        <f>MIN($B$2:$B$21)</f>
        <v>33.64</v>
      </c>
      <c r="N23" s="2">
        <f>MIN($D$2:$D$21)</f>
        <v>33.66</v>
      </c>
      <c r="O23" s="2">
        <f>MIN($F$2:$F$21)</f>
        <v>33.46</v>
      </c>
      <c r="P23" s="2">
        <f>_xlfn.MINIFS($H$2:$H$21,$H$2:$H$21,"&lt;&gt; -1")</f>
        <v>0</v>
      </c>
      <c r="Q23" s="2">
        <f>MAX($C$2:$C$21)</f>
        <v>4837.87</v>
      </c>
      <c r="R23" s="2">
        <f>MAX($E$2:$E$21)</f>
        <v>4837.87</v>
      </c>
      <c r="S23" s="2">
        <f>MAX($G$2:$G$21)</f>
        <v>5178.86</v>
      </c>
      <c r="T23" s="2">
        <f>_xlfn.MAXIFS($I$2:$I$21,$H$2:$H$21,"&lt;&gt; -1")</f>
        <v>0</v>
      </c>
      <c r="U23" s="2">
        <f>MIN($C$2:$C$21)</f>
        <v>4261.85</v>
      </c>
      <c r="V23" s="2">
        <f>MIN($E$2:$E$21)</f>
        <v>4261.85</v>
      </c>
      <c r="W23" s="2">
        <f>MIN($G$2:$G$21)</f>
        <v>4641.85</v>
      </c>
      <c r="X23" s="2">
        <f>_xlfn.MINIFS($I$2:$I$21,$H$2:$H$21,"&lt;&gt; -1")</f>
        <v>0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37.67</v>
      </c>
      <c r="C2">
        <v>4223.29</v>
      </c>
      <c r="D2">
        <v>37.69</v>
      </c>
      <c r="E2">
        <v>4223.29</v>
      </c>
      <c r="F2">
        <v>37.42</v>
      </c>
      <c r="G2">
        <v>4503.93</v>
      </c>
      <c r="H2">
        <v>-1</v>
      </c>
      <c r="I2">
        <v>3121.33</v>
      </c>
    </row>
    <row r="3" spans="1:9">
      <c r="A3" t="s">
        <v>10</v>
      </c>
      <c r="B3">
        <v>39.23</v>
      </c>
      <c r="C3">
        <v>4480.33</v>
      </c>
      <c r="D3">
        <v>39.23</v>
      </c>
      <c r="E3">
        <v>4480.33</v>
      </c>
      <c r="F3">
        <v>39.05</v>
      </c>
      <c r="G3">
        <v>4823.27</v>
      </c>
      <c r="H3">
        <v>-1</v>
      </c>
      <c r="I3">
        <v>1721.77</v>
      </c>
    </row>
    <row r="4" spans="1:9">
      <c r="A4" t="s">
        <v>11</v>
      </c>
      <c r="B4">
        <v>39.7</v>
      </c>
      <c r="C4">
        <v>4574.85</v>
      </c>
      <c r="D4">
        <v>39.61</v>
      </c>
      <c r="E4">
        <v>4574.85</v>
      </c>
      <c r="F4">
        <v>39.27</v>
      </c>
      <c r="G4">
        <v>4918.24</v>
      </c>
      <c r="H4">
        <v>-1</v>
      </c>
      <c r="I4">
        <v>2215.08</v>
      </c>
    </row>
    <row r="5" spans="1:9">
      <c r="A5" t="s">
        <v>12</v>
      </c>
      <c r="B5">
        <v>46.75</v>
      </c>
      <c r="C5">
        <v>4296.29</v>
      </c>
      <c r="D5">
        <v>46.78</v>
      </c>
      <c r="E5">
        <v>4296.29</v>
      </c>
      <c r="F5">
        <v>46.58</v>
      </c>
      <c r="G5">
        <v>4632.06</v>
      </c>
      <c r="H5">
        <v>-1</v>
      </c>
      <c r="I5">
        <v>2613.11</v>
      </c>
    </row>
    <row r="6" spans="1:9">
      <c r="A6" t="s">
        <v>13</v>
      </c>
      <c r="B6">
        <v>57.86</v>
      </c>
      <c r="C6">
        <v>4540.32</v>
      </c>
      <c r="D6">
        <v>57.87</v>
      </c>
      <c r="E6">
        <v>4540.32</v>
      </c>
      <c r="F6">
        <v>57.62</v>
      </c>
      <c r="G6">
        <v>4939.81</v>
      </c>
      <c r="H6">
        <v>-1</v>
      </c>
      <c r="I6">
        <v>1980.01</v>
      </c>
    </row>
    <row r="7" spans="1:9">
      <c r="A7" t="s">
        <v>14</v>
      </c>
      <c r="B7">
        <v>47.73</v>
      </c>
      <c r="C7">
        <v>4755.41</v>
      </c>
      <c r="D7">
        <v>47.75</v>
      </c>
      <c r="E7">
        <v>4755.41</v>
      </c>
      <c r="F7">
        <v>47.56</v>
      </c>
      <c r="G7">
        <v>5106.62</v>
      </c>
      <c r="H7">
        <v>-1</v>
      </c>
      <c r="I7">
        <v>2407.52</v>
      </c>
    </row>
    <row r="8" spans="1:9">
      <c r="A8" t="s">
        <v>15</v>
      </c>
      <c r="B8">
        <v>50.73</v>
      </c>
      <c r="C8">
        <v>4570.49</v>
      </c>
      <c r="D8">
        <v>50.74</v>
      </c>
      <c r="E8">
        <v>4570.49</v>
      </c>
      <c r="F8">
        <v>50.44</v>
      </c>
      <c r="G8">
        <v>4947.62</v>
      </c>
      <c r="H8">
        <v>-1</v>
      </c>
      <c r="I8">
        <v>2036.31</v>
      </c>
    </row>
    <row r="9" spans="1:9">
      <c r="A9" t="s">
        <v>16</v>
      </c>
      <c r="B9">
        <v>40.46</v>
      </c>
      <c r="C9">
        <v>4688.01</v>
      </c>
      <c r="D9">
        <v>40.48</v>
      </c>
      <c r="E9">
        <v>4688.01</v>
      </c>
      <c r="F9">
        <v>40.23</v>
      </c>
      <c r="G9">
        <v>5110.59</v>
      </c>
      <c r="H9">
        <v>-1</v>
      </c>
      <c r="I9">
        <v>2022.26</v>
      </c>
    </row>
    <row r="10" spans="1:9">
      <c r="A10" t="s">
        <v>17</v>
      </c>
      <c r="B10">
        <v>39.09</v>
      </c>
      <c r="C10">
        <v>4831.77</v>
      </c>
      <c r="D10">
        <v>39.07</v>
      </c>
      <c r="E10">
        <v>4831.77</v>
      </c>
      <c r="F10">
        <v>38.9</v>
      </c>
      <c r="G10">
        <v>5269.97</v>
      </c>
      <c r="H10">
        <v>-1</v>
      </c>
      <c r="I10">
        <v>1447.35</v>
      </c>
    </row>
    <row r="11" spans="1:9">
      <c r="A11" t="s">
        <v>18</v>
      </c>
      <c r="B11">
        <v>42.1</v>
      </c>
      <c r="C11">
        <v>4449.43</v>
      </c>
      <c r="D11">
        <v>42.08</v>
      </c>
      <c r="E11">
        <v>4449.43</v>
      </c>
      <c r="F11">
        <v>41.84</v>
      </c>
      <c r="G11">
        <v>4836.15</v>
      </c>
      <c r="H11">
        <v>-1</v>
      </c>
      <c r="I11">
        <v>1879.2</v>
      </c>
    </row>
    <row r="12" spans="1:9">
      <c r="A12" t="s">
        <v>19</v>
      </c>
      <c r="B12">
        <v>50</v>
      </c>
      <c r="C12">
        <v>4630.64</v>
      </c>
      <c r="D12">
        <v>50</v>
      </c>
      <c r="E12">
        <v>4630.64</v>
      </c>
      <c r="F12">
        <v>49.78</v>
      </c>
      <c r="G12">
        <v>4973.64</v>
      </c>
      <c r="H12">
        <v>-1</v>
      </c>
      <c r="I12">
        <v>1893.06</v>
      </c>
    </row>
    <row r="13" spans="1:9">
      <c r="A13" t="s">
        <v>20</v>
      </c>
      <c r="B13">
        <v>39.18</v>
      </c>
      <c r="C13">
        <v>4335.19</v>
      </c>
      <c r="D13">
        <v>39.18</v>
      </c>
      <c r="E13">
        <v>4335.19</v>
      </c>
      <c r="F13">
        <v>39.05</v>
      </c>
      <c r="G13">
        <v>4648.79</v>
      </c>
      <c r="H13">
        <v>-1</v>
      </c>
      <c r="I13">
        <v>2019.63</v>
      </c>
    </row>
    <row r="14" spans="1:9">
      <c r="A14" t="s">
        <v>21</v>
      </c>
      <c r="B14">
        <v>41.81</v>
      </c>
      <c r="C14">
        <v>4518.2</v>
      </c>
      <c r="D14">
        <v>41.85</v>
      </c>
      <c r="E14">
        <v>4518.2</v>
      </c>
      <c r="F14">
        <v>41.54</v>
      </c>
      <c r="G14">
        <v>4913.18</v>
      </c>
      <c r="H14">
        <v>-1</v>
      </c>
      <c r="I14">
        <v>1586.67</v>
      </c>
    </row>
    <row r="15" spans="1:9">
      <c r="A15" t="s">
        <v>22</v>
      </c>
      <c r="B15">
        <v>42.53</v>
      </c>
      <c r="C15">
        <v>4578.01</v>
      </c>
      <c r="D15">
        <v>42.55</v>
      </c>
      <c r="E15">
        <v>4578.01</v>
      </c>
      <c r="F15">
        <v>42.36</v>
      </c>
      <c r="G15">
        <v>4899.64</v>
      </c>
      <c r="H15">
        <v>-1</v>
      </c>
      <c r="I15">
        <v>2427.98</v>
      </c>
    </row>
    <row r="16" spans="1:9">
      <c r="A16" t="s">
        <v>23</v>
      </c>
      <c r="B16">
        <v>45.27</v>
      </c>
      <c r="C16">
        <v>4490.17</v>
      </c>
      <c r="D16">
        <v>45.19</v>
      </c>
      <c r="E16">
        <v>4490.17</v>
      </c>
      <c r="F16">
        <v>44.92</v>
      </c>
      <c r="G16">
        <v>4890.28</v>
      </c>
      <c r="H16">
        <v>-1</v>
      </c>
      <c r="I16">
        <v>1972.74</v>
      </c>
    </row>
    <row r="17" spans="1:9">
      <c r="A17" t="s">
        <v>24</v>
      </c>
      <c r="B17">
        <v>47.71</v>
      </c>
      <c r="C17">
        <v>4590.39</v>
      </c>
      <c r="D17">
        <v>47.81</v>
      </c>
      <c r="E17">
        <v>4590.39</v>
      </c>
      <c r="F17">
        <v>47.48</v>
      </c>
      <c r="G17">
        <v>4942.89</v>
      </c>
      <c r="H17">
        <v>-1</v>
      </c>
      <c r="I17">
        <v>2957.71</v>
      </c>
    </row>
    <row r="18" spans="1:9">
      <c r="A18" t="s">
        <v>25</v>
      </c>
      <c r="B18">
        <v>45.85</v>
      </c>
      <c r="C18">
        <v>4384.6</v>
      </c>
      <c r="D18">
        <v>45.89</v>
      </c>
      <c r="E18">
        <v>4384.6</v>
      </c>
      <c r="F18">
        <v>45.66</v>
      </c>
      <c r="G18">
        <v>4761.02</v>
      </c>
      <c r="H18">
        <v>-1</v>
      </c>
      <c r="I18">
        <v>2639.62</v>
      </c>
    </row>
    <row r="19" spans="1:9">
      <c r="A19" t="s">
        <v>26</v>
      </c>
      <c r="B19">
        <v>43.06</v>
      </c>
      <c r="C19">
        <v>4881.2</v>
      </c>
      <c r="D19">
        <v>43.05</v>
      </c>
      <c r="E19">
        <v>4881.2</v>
      </c>
      <c r="F19">
        <v>42.85</v>
      </c>
      <c r="G19">
        <v>5288.26</v>
      </c>
      <c r="H19">
        <v>-1</v>
      </c>
      <c r="I19">
        <v>1730.29</v>
      </c>
    </row>
    <row r="20" spans="1:9">
      <c r="A20" t="s">
        <v>27</v>
      </c>
      <c r="B20">
        <v>50.68</v>
      </c>
      <c r="C20">
        <v>4645.29</v>
      </c>
      <c r="D20">
        <v>50.78</v>
      </c>
      <c r="E20">
        <v>4645.29</v>
      </c>
      <c r="F20">
        <v>50.47</v>
      </c>
      <c r="G20">
        <v>4994.81</v>
      </c>
      <c r="H20">
        <v>-1</v>
      </c>
      <c r="I20">
        <v>2805.41</v>
      </c>
    </row>
    <row r="21" spans="1:9">
      <c r="A21" t="s">
        <v>28</v>
      </c>
      <c r="B21">
        <v>55.15</v>
      </c>
      <c r="C21">
        <v>4572.52</v>
      </c>
      <c r="D21">
        <v>55.18</v>
      </c>
      <c r="E21">
        <v>4572.52</v>
      </c>
      <c r="F21">
        <v>54.98</v>
      </c>
      <c r="G21">
        <v>4955.85</v>
      </c>
      <c r="H21">
        <v>-1</v>
      </c>
      <c r="I21">
        <v>1807.5</v>
      </c>
    </row>
    <row r="25" spans="1:28">
      <c r="A25" s="2">
        <f>AVERAGE($B$2:$B$21)</f>
        <v>45.128</v>
      </c>
      <c r="B25" s="2">
        <f>AVERAGE($D$2:$D$21)</f>
        <v>45.139</v>
      </c>
      <c r="C25" s="2">
        <f>AVERAGE($F$2:$F$21)</f>
        <v>44.9</v>
      </c>
      <c r="D25" s="2">
        <f>IFERROR(AVERAGEIF($H$2:$H$21,"&lt;&gt;-1"),0)</f>
        <v>0</v>
      </c>
      <c r="E25" s="2">
        <f>AVERAGE($C$2:$C$21)</f>
        <v>4551.82</v>
      </c>
      <c r="F25" s="2">
        <f>AVERAGE($E$2:$E$21)</f>
        <v>4551.82</v>
      </c>
      <c r="G25" s="2">
        <f>AVERAGE($G$2:$G$21)</f>
        <v>4917.831</v>
      </c>
      <c r="H25" s="2">
        <f>IFERROR(AVERAGEIFS($I$2:$I$21,$H$2:$H$21,"&lt;&gt; -1"),0)</f>
        <v>0</v>
      </c>
      <c r="I25" s="2">
        <f>MAX($B$2:$B$21)</f>
        <v>57.86</v>
      </c>
      <c r="J25" s="2">
        <f>MAX($D$2:$D$21)</f>
        <v>57.87</v>
      </c>
      <c r="K25" s="2">
        <f>MAX($F$2:$F$21)</f>
        <v>57.62</v>
      </c>
      <c r="L25" s="2">
        <f>_xlfn.MAXIFS($H$2:$H$21,$H$2:$H$21,"&lt;&gt; -1")</f>
        <v>0</v>
      </c>
      <c r="M25" s="2">
        <f>MIN($B$2:$B$21)</f>
        <v>37.67</v>
      </c>
      <c r="N25" s="2">
        <f>MIN($D$2:$D$21)</f>
        <v>37.69</v>
      </c>
      <c r="O25" s="2">
        <f>MIN($F$2:$F$21)</f>
        <v>37.42</v>
      </c>
      <c r="P25" s="2">
        <f>_xlfn.MINIFS($H$2:$H$21,$H$2:$H$21,"&lt;&gt; -1")</f>
        <v>0</v>
      </c>
      <c r="Q25" s="2">
        <f>MAX($C$2:$C$21)</f>
        <v>4881.2</v>
      </c>
      <c r="R25" s="2">
        <f>MAX($E$2:$E$21)</f>
        <v>4881.2</v>
      </c>
      <c r="S25" s="2">
        <f>MAX($G$2:$G$21)</f>
        <v>5288.26</v>
      </c>
      <c r="T25" s="2">
        <f>_xlfn.MAXIFS($I$2:$I$21,$H$2:$H$21,"&lt;&gt; -1")</f>
        <v>0</v>
      </c>
      <c r="U25" s="2">
        <f>MIN($C$2:$C$21)</f>
        <v>4223.29</v>
      </c>
      <c r="V25" s="2">
        <f>MIN($E$2:$E$21)</f>
        <v>4223.29</v>
      </c>
      <c r="W25" s="2">
        <f>MIN($G$2:$G$21)</f>
        <v>4503.93</v>
      </c>
      <c r="X25" s="2">
        <f>_xlfn.MINIFS($I$2:$I$21,$H$2:$H$21,"&lt;&gt; -1")</f>
        <v>0</v>
      </c>
      <c r="Y25" s="2">
        <f>(COUNTIFS($B$2:$B$21,"&gt;0.0",$B$2:$B$21,"&lt;100.0"))/20</f>
        <v>1</v>
      </c>
      <c r="Z25" s="2">
        <f>(COUNTIFS($D$2:$D$21,"&gt;0.0",$D$2:$D$21,"&lt;100.0"))/20</f>
        <v>1</v>
      </c>
      <c r="AA25" s="2">
        <f>(COUNTIFS($F$2:$F$21,"&gt;0.0",$F$2:$F$21,"&lt;100.0"))/20</f>
        <v>1</v>
      </c>
      <c r="AB25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43.12</v>
      </c>
      <c r="C2">
        <v>4183.78</v>
      </c>
      <c r="D2">
        <v>43.15</v>
      </c>
      <c r="E2">
        <v>4183.78</v>
      </c>
      <c r="F2">
        <v>43</v>
      </c>
      <c r="G2">
        <v>4475.08</v>
      </c>
      <c r="H2">
        <v>-1</v>
      </c>
      <c r="I2">
        <v>3509.53</v>
      </c>
    </row>
    <row r="3" spans="1:9">
      <c r="A3" t="s">
        <v>10</v>
      </c>
      <c r="B3">
        <v>57.34</v>
      </c>
      <c r="C3">
        <v>4643.26</v>
      </c>
      <c r="D3">
        <v>57.36</v>
      </c>
      <c r="E3">
        <v>4643.26</v>
      </c>
      <c r="F3">
        <v>57.03</v>
      </c>
      <c r="G3">
        <v>5042.94</v>
      </c>
      <c r="H3">
        <v>-1</v>
      </c>
      <c r="I3">
        <v>2474.02</v>
      </c>
    </row>
    <row r="4" spans="1:9">
      <c r="A4" t="s">
        <v>11</v>
      </c>
      <c r="B4">
        <v>45.11</v>
      </c>
      <c r="C4">
        <v>4431.47</v>
      </c>
      <c r="D4">
        <v>45.11</v>
      </c>
      <c r="E4">
        <v>4431.47</v>
      </c>
      <c r="F4">
        <v>44.87</v>
      </c>
      <c r="G4">
        <v>4790.73</v>
      </c>
      <c r="H4">
        <v>-1</v>
      </c>
      <c r="I4">
        <v>1734.93</v>
      </c>
    </row>
    <row r="5" spans="1:9">
      <c r="A5" t="s">
        <v>12</v>
      </c>
      <c r="B5">
        <v>46.51</v>
      </c>
      <c r="C5">
        <v>4158.82</v>
      </c>
      <c r="D5">
        <v>46.51</v>
      </c>
      <c r="E5">
        <v>4158.82</v>
      </c>
      <c r="F5">
        <v>46.35</v>
      </c>
      <c r="G5">
        <v>4485.58</v>
      </c>
      <c r="H5">
        <v>-1</v>
      </c>
      <c r="I5">
        <v>2113.88</v>
      </c>
    </row>
    <row r="6" spans="1:9">
      <c r="A6" t="s">
        <v>13</v>
      </c>
      <c r="B6">
        <v>45.81</v>
      </c>
      <c r="C6">
        <v>4826.06</v>
      </c>
      <c r="D6">
        <v>45.82</v>
      </c>
      <c r="E6">
        <v>4826.06</v>
      </c>
      <c r="F6">
        <v>45.57</v>
      </c>
      <c r="G6">
        <v>5203.73</v>
      </c>
      <c r="H6">
        <v>-1</v>
      </c>
      <c r="I6">
        <v>1820.72</v>
      </c>
    </row>
    <row r="7" spans="1:9">
      <c r="A7" t="s">
        <v>14</v>
      </c>
      <c r="B7">
        <v>47.87</v>
      </c>
      <c r="C7">
        <v>4727.89</v>
      </c>
      <c r="D7">
        <v>47.89</v>
      </c>
      <c r="E7">
        <v>4727.89</v>
      </c>
      <c r="F7">
        <v>47.66</v>
      </c>
      <c r="G7">
        <v>5139.1</v>
      </c>
      <c r="H7">
        <v>-1</v>
      </c>
      <c r="I7">
        <v>2252.23</v>
      </c>
    </row>
    <row r="8" spans="1:9">
      <c r="A8" t="s">
        <v>15</v>
      </c>
      <c r="B8">
        <v>54.97</v>
      </c>
      <c r="C8">
        <v>4580.7</v>
      </c>
      <c r="D8">
        <v>55.01</v>
      </c>
      <c r="E8">
        <v>4580.7</v>
      </c>
      <c r="F8">
        <v>54.66</v>
      </c>
      <c r="G8">
        <v>4946.77</v>
      </c>
      <c r="H8">
        <v>-1</v>
      </c>
      <c r="I8">
        <v>2039.18</v>
      </c>
    </row>
    <row r="9" spans="1:9">
      <c r="A9" t="s">
        <v>16</v>
      </c>
      <c r="B9">
        <v>47.22</v>
      </c>
      <c r="C9">
        <v>4468.63</v>
      </c>
      <c r="D9">
        <v>47.23</v>
      </c>
      <c r="E9">
        <v>4468.63</v>
      </c>
      <c r="F9">
        <v>47.03</v>
      </c>
      <c r="G9">
        <v>4820.53</v>
      </c>
      <c r="H9">
        <v>-1</v>
      </c>
      <c r="I9">
        <v>2395.46</v>
      </c>
    </row>
    <row r="10" spans="1:9">
      <c r="A10" t="s">
        <v>17</v>
      </c>
      <c r="B10">
        <v>45.68</v>
      </c>
      <c r="C10">
        <v>4652.24</v>
      </c>
      <c r="D10">
        <v>45.69</v>
      </c>
      <c r="E10">
        <v>4652.24</v>
      </c>
      <c r="F10">
        <v>45.42</v>
      </c>
      <c r="G10">
        <v>5052.48</v>
      </c>
      <c r="H10">
        <v>-1</v>
      </c>
      <c r="I10">
        <v>2040.04</v>
      </c>
    </row>
    <row r="11" spans="1:9">
      <c r="A11" t="s">
        <v>18</v>
      </c>
      <c r="B11">
        <v>43.83</v>
      </c>
      <c r="C11">
        <v>4476.16</v>
      </c>
      <c r="D11">
        <v>43.83</v>
      </c>
      <c r="E11">
        <v>4476.16</v>
      </c>
      <c r="F11">
        <v>43.65</v>
      </c>
      <c r="G11">
        <v>4776.09</v>
      </c>
      <c r="H11">
        <v>-1</v>
      </c>
      <c r="I11">
        <v>2036.3</v>
      </c>
    </row>
    <row r="12" spans="1:9">
      <c r="A12" t="s">
        <v>19</v>
      </c>
      <c r="B12">
        <v>48.35</v>
      </c>
      <c r="C12">
        <v>4720.67</v>
      </c>
      <c r="D12">
        <v>48.38</v>
      </c>
      <c r="E12">
        <v>4720.67</v>
      </c>
      <c r="F12">
        <v>48.14</v>
      </c>
      <c r="G12">
        <v>5084.02</v>
      </c>
      <c r="H12">
        <v>-1</v>
      </c>
      <c r="I12">
        <v>3602.43</v>
      </c>
    </row>
    <row r="13" spans="1:9">
      <c r="A13" t="s">
        <v>20</v>
      </c>
      <c r="B13">
        <v>54.91</v>
      </c>
      <c r="C13">
        <v>4254.09</v>
      </c>
      <c r="D13">
        <v>54.91</v>
      </c>
      <c r="E13">
        <v>4254.09</v>
      </c>
      <c r="F13">
        <v>54.73</v>
      </c>
      <c r="G13">
        <v>4551.51</v>
      </c>
      <c r="H13">
        <v>-1</v>
      </c>
      <c r="I13">
        <v>1837.56</v>
      </c>
    </row>
    <row r="14" spans="1:9">
      <c r="A14" t="s">
        <v>21</v>
      </c>
      <c r="B14">
        <v>43.54</v>
      </c>
      <c r="C14">
        <v>4635.67</v>
      </c>
      <c r="D14">
        <v>43.54</v>
      </c>
      <c r="E14">
        <v>4635.67</v>
      </c>
      <c r="F14">
        <v>43.35</v>
      </c>
      <c r="G14">
        <v>5040.69</v>
      </c>
      <c r="H14">
        <v>-1</v>
      </c>
      <c r="I14">
        <v>2059.01</v>
      </c>
    </row>
    <row r="15" spans="1:9">
      <c r="A15" t="s">
        <v>22</v>
      </c>
      <c r="B15">
        <v>45.17</v>
      </c>
      <c r="C15">
        <v>4540.8</v>
      </c>
      <c r="D15">
        <v>45.16</v>
      </c>
      <c r="E15">
        <v>4540.8</v>
      </c>
      <c r="F15">
        <v>44.97</v>
      </c>
      <c r="G15">
        <v>4960.44</v>
      </c>
      <c r="H15">
        <v>-1</v>
      </c>
      <c r="I15">
        <v>820.18</v>
      </c>
    </row>
    <row r="16" spans="1:9">
      <c r="A16" t="s">
        <v>23</v>
      </c>
      <c r="B16">
        <v>42.6</v>
      </c>
      <c r="C16">
        <v>4507.29</v>
      </c>
      <c r="D16">
        <v>42.62</v>
      </c>
      <c r="E16">
        <v>4507.29</v>
      </c>
      <c r="F16">
        <v>42.44</v>
      </c>
      <c r="G16">
        <v>4900.41</v>
      </c>
      <c r="H16">
        <v>-1</v>
      </c>
      <c r="I16">
        <v>1766.58</v>
      </c>
    </row>
    <row r="17" spans="1:9">
      <c r="A17" t="s">
        <v>24</v>
      </c>
      <c r="B17">
        <v>46.74</v>
      </c>
      <c r="C17">
        <v>4773.42</v>
      </c>
      <c r="D17">
        <v>46.86</v>
      </c>
      <c r="E17">
        <v>4773.42</v>
      </c>
      <c r="F17">
        <v>46.56</v>
      </c>
      <c r="G17">
        <v>5174.93</v>
      </c>
      <c r="H17">
        <v>-1</v>
      </c>
      <c r="I17">
        <v>2499.85</v>
      </c>
    </row>
    <row r="18" spans="1:9">
      <c r="A18" t="s">
        <v>25</v>
      </c>
      <c r="B18">
        <v>43.46</v>
      </c>
      <c r="C18">
        <v>4397.65</v>
      </c>
      <c r="D18">
        <v>43.47</v>
      </c>
      <c r="E18">
        <v>4397.65</v>
      </c>
      <c r="F18">
        <v>43.27</v>
      </c>
      <c r="G18">
        <v>4755.8</v>
      </c>
      <c r="H18">
        <v>-1</v>
      </c>
      <c r="I18">
        <v>1950.69</v>
      </c>
    </row>
    <row r="19" spans="1:9">
      <c r="A19" t="s">
        <v>26</v>
      </c>
      <c r="B19">
        <v>50.61</v>
      </c>
      <c r="C19">
        <v>4702.33</v>
      </c>
      <c r="D19">
        <v>50.54</v>
      </c>
      <c r="E19">
        <v>4702.33</v>
      </c>
      <c r="F19">
        <v>50.31</v>
      </c>
      <c r="G19">
        <v>5062.33</v>
      </c>
      <c r="H19">
        <v>-1</v>
      </c>
      <c r="I19">
        <v>2114.68</v>
      </c>
    </row>
    <row r="20" spans="1:9">
      <c r="A20" t="s">
        <v>27</v>
      </c>
      <c r="B20">
        <v>46.16</v>
      </c>
      <c r="C20">
        <v>4488.78</v>
      </c>
      <c r="D20">
        <v>46.18</v>
      </c>
      <c r="E20">
        <v>4488.78</v>
      </c>
      <c r="F20">
        <v>46</v>
      </c>
      <c r="G20">
        <v>4858.31</v>
      </c>
      <c r="H20">
        <v>-1</v>
      </c>
      <c r="I20">
        <v>2219.42</v>
      </c>
    </row>
    <row r="21" spans="1:9">
      <c r="A21" t="s">
        <v>28</v>
      </c>
      <c r="B21">
        <v>47.83</v>
      </c>
      <c r="C21">
        <v>4690.45</v>
      </c>
      <c r="D21">
        <v>47.84</v>
      </c>
      <c r="E21">
        <v>4690.45</v>
      </c>
      <c r="F21">
        <v>47.68</v>
      </c>
      <c r="G21">
        <v>4995.42</v>
      </c>
      <c r="H21">
        <v>-1</v>
      </c>
      <c r="I21">
        <v>2657.59</v>
      </c>
    </row>
    <row r="25" spans="1:28">
      <c r="A25" s="2">
        <f>AVERAGE($B$2:$B$21)</f>
        <v>47.3415</v>
      </c>
      <c r="B25" s="2">
        <f>AVERAGE($D$2:$D$21)</f>
        <v>47.355</v>
      </c>
      <c r="C25" s="2">
        <f>AVERAGE($F$2:$F$21)</f>
        <v>47.1345</v>
      </c>
      <c r="D25" s="2">
        <f>IFERROR(AVERAGEIF($H$2:$H$21,"&lt;&gt;-1"),0)</f>
        <v>0</v>
      </c>
      <c r="E25" s="2">
        <f>AVERAGE($C$2:$C$21)</f>
        <v>4543.008</v>
      </c>
      <c r="F25" s="2">
        <f>AVERAGE($E$2:$E$21)</f>
        <v>4543.008</v>
      </c>
      <c r="G25" s="2">
        <f>AVERAGE($G$2:$G$21)</f>
        <v>4905.8445</v>
      </c>
      <c r="H25" s="2">
        <f>IFERROR(AVERAGEIFS($I$2:$I$21,$H$2:$H$21,"&lt;&gt; -1"),0)</f>
        <v>0</v>
      </c>
      <c r="I25" s="2">
        <f>MAX($B$2:$B$21)</f>
        <v>57.34</v>
      </c>
      <c r="J25" s="2">
        <f>MAX($D$2:$D$21)</f>
        <v>57.36</v>
      </c>
      <c r="K25" s="2">
        <f>MAX($F$2:$F$21)</f>
        <v>57.03</v>
      </c>
      <c r="L25" s="2">
        <f>_xlfn.MAXIFS($H$2:$H$21,$H$2:$H$21,"&lt;&gt; -1")</f>
        <v>0</v>
      </c>
      <c r="M25" s="2">
        <f>MIN($B$2:$B$21)</f>
        <v>42.6</v>
      </c>
      <c r="N25" s="2">
        <f>MIN($D$2:$D$21)</f>
        <v>42.62</v>
      </c>
      <c r="O25" s="2">
        <f>MIN($F$2:$F$21)</f>
        <v>42.44</v>
      </c>
      <c r="P25" s="2">
        <f>_xlfn.MINIFS($H$2:$H$21,$H$2:$H$21,"&lt;&gt; -1")</f>
        <v>0</v>
      </c>
      <c r="Q25" s="2">
        <f>MAX($C$2:$C$21)</f>
        <v>4826.06</v>
      </c>
      <c r="R25" s="2">
        <f>MAX($E$2:$E$21)</f>
        <v>4826.06</v>
      </c>
      <c r="S25" s="2">
        <f>MAX($G$2:$G$21)</f>
        <v>5203.73</v>
      </c>
      <c r="T25" s="2">
        <f>_xlfn.MAXIFS($I$2:$I$21,$H$2:$H$21,"&lt;&gt; -1")</f>
        <v>0</v>
      </c>
      <c r="U25" s="2">
        <f>MIN($C$2:$C$21)</f>
        <v>4158.82</v>
      </c>
      <c r="V25" s="2">
        <f>MIN($E$2:$E$21)</f>
        <v>4158.82</v>
      </c>
      <c r="W25" s="2">
        <f>MIN($G$2:$G$21)</f>
        <v>4475.08</v>
      </c>
      <c r="X25" s="2">
        <f>_xlfn.MINIFS($I$2:$I$21,$H$2:$H$21,"&lt;&gt; -1")</f>
        <v>0</v>
      </c>
      <c r="Y25" s="2">
        <f>(COUNTIFS($B$2:$B$21,"&gt;0.0",$B$2:$B$21,"&lt;100.0"))/20</f>
        <v>1</v>
      </c>
      <c r="Z25" s="2">
        <f>(COUNTIFS($D$2:$D$21,"&gt;0.0",$D$2:$D$21,"&lt;100.0"))/20</f>
        <v>1</v>
      </c>
      <c r="AA25" s="2">
        <f>(COUNTIFS($F$2:$F$21,"&gt;0.0",$F$2:$F$21,"&lt;100.0"))/20</f>
        <v>1</v>
      </c>
      <c r="AB25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A25" sqref="$A25:$XFD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46.06</v>
      </c>
      <c r="C2">
        <v>4408.56</v>
      </c>
      <c r="D2">
        <v>46.06</v>
      </c>
      <c r="E2">
        <v>4408.56</v>
      </c>
      <c r="F2">
        <v>45.8</v>
      </c>
      <c r="G2">
        <v>4808.87</v>
      </c>
      <c r="H2">
        <v>-1</v>
      </c>
      <c r="I2">
        <v>1256.27</v>
      </c>
    </row>
    <row r="3" spans="1:9">
      <c r="A3" t="s">
        <v>10</v>
      </c>
      <c r="B3">
        <v>50.13</v>
      </c>
      <c r="C3">
        <v>4527.04</v>
      </c>
      <c r="D3">
        <v>50.12</v>
      </c>
      <c r="E3">
        <v>4527.04</v>
      </c>
      <c r="F3">
        <v>49.89</v>
      </c>
      <c r="G3">
        <v>4893.43</v>
      </c>
      <c r="H3">
        <v>-1</v>
      </c>
      <c r="I3">
        <v>881.27</v>
      </c>
    </row>
    <row r="4" spans="1:9">
      <c r="A4" t="s">
        <v>11</v>
      </c>
      <c r="B4">
        <v>48.45</v>
      </c>
      <c r="C4">
        <v>4815.36</v>
      </c>
      <c r="D4">
        <v>48.47</v>
      </c>
      <c r="E4">
        <v>4815.36</v>
      </c>
      <c r="F4">
        <v>48.32</v>
      </c>
      <c r="G4">
        <v>5096.17</v>
      </c>
      <c r="H4">
        <v>-1</v>
      </c>
      <c r="I4">
        <v>2099.45</v>
      </c>
    </row>
    <row r="5" spans="1:9">
      <c r="A5" t="s">
        <v>12</v>
      </c>
      <c r="B5">
        <v>63.69</v>
      </c>
      <c r="C5">
        <v>4446.1</v>
      </c>
      <c r="D5">
        <v>63.7</v>
      </c>
      <c r="E5">
        <v>4446.1</v>
      </c>
      <c r="F5">
        <v>63.48</v>
      </c>
      <c r="G5">
        <v>4801.25</v>
      </c>
      <c r="H5">
        <v>-1</v>
      </c>
      <c r="I5">
        <v>1149.34</v>
      </c>
    </row>
    <row r="6" spans="1:9">
      <c r="A6" t="s">
        <v>13</v>
      </c>
      <c r="B6">
        <v>50.56</v>
      </c>
      <c r="C6">
        <v>4408.51</v>
      </c>
      <c r="D6">
        <v>50.57</v>
      </c>
      <c r="E6">
        <v>4408.51</v>
      </c>
      <c r="F6">
        <v>50.35</v>
      </c>
      <c r="G6">
        <v>4794.76</v>
      </c>
      <c r="H6">
        <v>-1</v>
      </c>
      <c r="I6">
        <v>1262.51</v>
      </c>
    </row>
    <row r="7" spans="1:9">
      <c r="A7" t="s">
        <v>14</v>
      </c>
      <c r="B7">
        <v>62.16</v>
      </c>
      <c r="C7">
        <v>4940.71</v>
      </c>
      <c r="D7">
        <v>62.17</v>
      </c>
      <c r="E7">
        <v>4940.71</v>
      </c>
      <c r="F7">
        <v>61.89</v>
      </c>
      <c r="G7">
        <v>5289.7</v>
      </c>
      <c r="H7">
        <v>-1</v>
      </c>
      <c r="I7">
        <v>2204.4</v>
      </c>
    </row>
    <row r="8" spans="1:9">
      <c r="A8" t="s">
        <v>15</v>
      </c>
      <c r="B8">
        <v>61.09</v>
      </c>
      <c r="C8">
        <v>4807.87</v>
      </c>
      <c r="D8">
        <v>61.11</v>
      </c>
      <c r="E8">
        <v>4807.87</v>
      </c>
      <c r="F8">
        <v>60.69</v>
      </c>
      <c r="G8">
        <v>5246.03</v>
      </c>
      <c r="H8">
        <v>-1</v>
      </c>
      <c r="I8">
        <v>1966.88</v>
      </c>
    </row>
    <row r="9" spans="1:9">
      <c r="A9" t="s">
        <v>16</v>
      </c>
      <c r="B9">
        <v>55.59</v>
      </c>
      <c r="C9">
        <v>4845.78</v>
      </c>
      <c r="D9">
        <v>55.59</v>
      </c>
      <c r="E9">
        <v>4845.78</v>
      </c>
      <c r="F9">
        <v>55.36</v>
      </c>
      <c r="G9">
        <v>5305.88</v>
      </c>
      <c r="H9">
        <v>-1</v>
      </c>
      <c r="I9">
        <v>848.04</v>
      </c>
    </row>
    <row r="10" spans="1:9">
      <c r="A10" t="s">
        <v>17</v>
      </c>
      <c r="B10">
        <v>59.91</v>
      </c>
      <c r="C10">
        <v>4665.94</v>
      </c>
      <c r="D10">
        <v>59.91</v>
      </c>
      <c r="E10">
        <v>4665.94</v>
      </c>
      <c r="F10">
        <v>59.52</v>
      </c>
      <c r="G10">
        <v>5088.5</v>
      </c>
      <c r="H10">
        <v>-1</v>
      </c>
      <c r="I10">
        <v>1018.42</v>
      </c>
    </row>
    <row r="11" spans="1:9">
      <c r="A11" t="s">
        <v>18</v>
      </c>
      <c r="B11">
        <v>56.55</v>
      </c>
      <c r="C11">
        <v>4559.45</v>
      </c>
      <c r="D11">
        <v>56.54</v>
      </c>
      <c r="E11">
        <v>4559.45</v>
      </c>
      <c r="F11">
        <v>56.15</v>
      </c>
      <c r="G11">
        <v>4851.08</v>
      </c>
      <c r="H11">
        <v>-1</v>
      </c>
      <c r="I11">
        <v>2012.98</v>
      </c>
    </row>
    <row r="12" spans="1:9">
      <c r="A12" t="s">
        <v>19</v>
      </c>
      <c r="B12">
        <v>57.17</v>
      </c>
      <c r="C12">
        <v>4720.09</v>
      </c>
      <c r="D12">
        <v>57.3</v>
      </c>
      <c r="E12">
        <v>4720.09</v>
      </c>
      <c r="F12">
        <v>56.83</v>
      </c>
      <c r="G12">
        <v>5124.01</v>
      </c>
      <c r="H12">
        <v>-1</v>
      </c>
      <c r="I12">
        <v>2247.97</v>
      </c>
    </row>
    <row r="13" spans="1:9">
      <c r="A13" t="s">
        <v>20</v>
      </c>
      <c r="B13">
        <v>59.27</v>
      </c>
      <c r="C13">
        <v>4495.21</v>
      </c>
      <c r="D13">
        <v>59.28</v>
      </c>
      <c r="E13">
        <v>4495.21</v>
      </c>
      <c r="F13">
        <v>59.06</v>
      </c>
      <c r="G13">
        <v>4881.13</v>
      </c>
      <c r="H13">
        <v>-1</v>
      </c>
      <c r="I13">
        <v>1708.51</v>
      </c>
    </row>
    <row r="14" spans="1:9">
      <c r="A14" t="s">
        <v>21</v>
      </c>
      <c r="B14">
        <v>59.6</v>
      </c>
      <c r="C14">
        <v>4558.21</v>
      </c>
      <c r="D14">
        <v>59.59</v>
      </c>
      <c r="E14">
        <v>4558.21</v>
      </c>
      <c r="F14">
        <v>59.19</v>
      </c>
      <c r="G14">
        <v>4897.84</v>
      </c>
      <c r="H14">
        <v>-1</v>
      </c>
      <c r="I14">
        <v>1940.66</v>
      </c>
    </row>
    <row r="15" spans="1:9">
      <c r="A15" t="s">
        <v>22</v>
      </c>
      <c r="B15">
        <v>53.15</v>
      </c>
      <c r="C15">
        <v>4592.54</v>
      </c>
      <c r="D15">
        <v>53.21</v>
      </c>
      <c r="E15">
        <v>4592.54</v>
      </c>
      <c r="F15">
        <v>52.83</v>
      </c>
      <c r="G15">
        <v>4934.18</v>
      </c>
      <c r="H15">
        <v>-1</v>
      </c>
      <c r="I15">
        <v>1554.61</v>
      </c>
    </row>
    <row r="16" spans="1:9">
      <c r="A16" t="s">
        <v>23</v>
      </c>
      <c r="B16">
        <v>56.15</v>
      </c>
      <c r="C16">
        <v>4589.57</v>
      </c>
      <c r="D16">
        <v>56.15</v>
      </c>
      <c r="E16">
        <v>4589.57</v>
      </c>
      <c r="F16">
        <v>55.8</v>
      </c>
      <c r="G16">
        <v>4996.3</v>
      </c>
      <c r="H16">
        <v>-1</v>
      </c>
      <c r="I16">
        <v>1634.22</v>
      </c>
    </row>
    <row r="17" spans="1:9">
      <c r="A17" t="s">
        <v>24</v>
      </c>
      <c r="B17">
        <v>61.73</v>
      </c>
      <c r="C17">
        <v>4827.06</v>
      </c>
      <c r="D17">
        <v>61.73</v>
      </c>
      <c r="E17">
        <v>4827.06</v>
      </c>
      <c r="F17">
        <v>61.47</v>
      </c>
      <c r="G17">
        <v>5210.29</v>
      </c>
      <c r="H17">
        <v>-1</v>
      </c>
      <c r="I17">
        <v>2012.07</v>
      </c>
    </row>
    <row r="18" spans="1:9">
      <c r="A18" t="s">
        <v>25</v>
      </c>
      <c r="B18">
        <v>46.5</v>
      </c>
      <c r="C18">
        <v>4574.06</v>
      </c>
      <c r="D18">
        <v>46.5</v>
      </c>
      <c r="E18">
        <v>4574.06</v>
      </c>
      <c r="F18">
        <v>46.07</v>
      </c>
      <c r="G18">
        <v>4997.1</v>
      </c>
      <c r="H18">
        <v>-1</v>
      </c>
      <c r="I18">
        <v>1084.53</v>
      </c>
    </row>
    <row r="19" spans="1:9">
      <c r="A19" t="s">
        <v>26</v>
      </c>
      <c r="B19">
        <v>58.56</v>
      </c>
      <c r="C19">
        <v>4816.99</v>
      </c>
      <c r="D19">
        <v>58.55</v>
      </c>
      <c r="E19">
        <v>4816.99</v>
      </c>
      <c r="F19">
        <v>58.25</v>
      </c>
      <c r="G19">
        <v>5246.45</v>
      </c>
      <c r="H19">
        <v>-1</v>
      </c>
      <c r="I19">
        <v>2269.17</v>
      </c>
    </row>
    <row r="20" spans="1:9">
      <c r="A20" t="s">
        <v>27</v>
      </c>
      <c r="B20">
        <v>49.98</v>
      </c>
      <c r="C20">
        <v>4747.98</v>
      </c>
      <c r="D20">
        <v>50</v>
      </c>
      <c r="E20">
        <v>4747.98</v>
      </c>
      <c r="F20">
        <v>49.69</v>
      </c>
      <c r="G20">
        <v>5132.12</v>
      </c>
      <c r="H20">
        <v>-1</v>
      </c>
      <c r="I20">
        <v>1868.16</v>
      </c>
    </row>
    <row r="21" spans="1:9">
      <c r="A21" t="s">
        <v>28</v>
      </c>
      <c r="B21">
        <v>57.96</v>
      </c>
      <c r="C21">
        <v>4648.04</v>
      </c>
      <c r="D21">
        <v>57.95</v>
      </c>
      <c r="E21">
        <v>4648.04</v>
      </c>
      <c r="F21">
        <v>57.66</v>
      </c>
      <c r="G21">
        <v>5114.04</v>
      </c>
      <c r="H21">
        <v>-1</v>
      </c>
      <c r="I21">
        <v>1487.42</v>
      </c>
    </row>
    <row r="25" spans="1:28">
      <c r="A25" s="2">
        <f>AVERAGE($B$2:$B$21)</f>
        <v>55.713</v>
      </c>
      <c r="B25" s="2">
        <f>AVERAGE($D$2:$D$21)</f>
        <v>55.725</v>
      </c>
      <c r="C25" s="2">
        <f>AVERAGE($F$2:$F$21)</f>
        <v>55.415</v>
      </c>
      <c r="D25" s="2">
        <f>IFERROR(AVERAGEIF($H$2:$H$21,"&lt;&gt;-1"),0)</f>
        <v>0</v>
      </c>
      <c r="E25" s="2">
        <f>AVERAGE($C$2:$C$21)</f>
        <v>4649.7535</v>
      </c>
      <c r="F25" s="2">
        <f>AVERAGE($E$2:$E$21)</f>
        <v>4649.7535</v>
      </c>
      <c r="G25" s="2">
        <f>AVERAGE($G$2:$G$21)</f>
        <v>5035.4565</v>
      </c>
      <c r="H25" s="2">
        <f>IFERROR(AVERAGEIFS($I$2:$I$21,$H$2:$H$21,"&lt;&gt; -1"),0)</f>
        <v>0</v>
      </c>
      <c r="I25" s="2">
        <f>MAX($B$2:$B$21)</f>
        <v>63.69</v>
      </c>
      <c r="J25" s="2">
        <f>MAX($D$2:$D$21)</f>
        <v>63.7</v>
      </c>
      <c r="K25" s="2">
        <f>MAX($F$2:$F$21)</f>
        <v>63.48</v>
      </c>
      <c r="L25" s="2">
        <f>_xlfn.MAXIFS($H$2:$H$21,$H$2:$H$21,"&lt;&gt; -1")</f>
        <v>0</v>
      </c>
      <c r="M25" s="2">
        <f>MIN($B$2:$B$21)</f>
        <v>46.06</v>
      </c>
      <c r="N25" s="2">
        <f>MIN($D$2:$D$21)</f>
        <v>46.06</v>
      </c>
      <c r="O25" s="2">
        <f>MIN($F$2:$F$21)</f>
        <v>45.8</v>
      </c>
      <c r="P25" s="2">
        <f>_xlfn.MINIFS($H$2:$H$21,$H$2:$H$21,"&lt;&gt; -1")</f>
        <v>0</v>
      </c>
      <c r="Q25" s="2">
        <f>MAX($C$2:$C$21)</f>
        <v>4940.71</v>
      </c>
      <c r="R25" s="2">
        <f>MAX($E$2:$E$21)</f>
        <v>4940.71</v>
      </c>
      <c r="S25" s="2">
        <f>MAX($G$2:$G$21)</f>
        <v>5305.88</v>
      </c>
      <c r="T25" s="2">
        <f>_xlfn.MAXIFS($I$2:$I$21,$H$2:$H$21,"&lt;&gt; -1")</f>
        <v>0</v>
      </c>
      <c r="U25" s="2">
        <f>MIN($C$2:$C$21)</f>
        <v>4408.51</v>
      </c>
      <c r="V25" s="2">
        <f>MIN($E$2:$E$21)</f>
        <v>4408.51</v>
      </c>
      <c r="W25" s="2">
        <f>MIN($G$2:$G$21)</f>
        <v>4794.76</v>
      </c>
      <c r="X25" s="2">
        <f>_xlfn.MINIFS($I$2:$I$21,$H$2:$H$21,"&lt;&gt; -1")</f>
        <v>0</v>
      </c>
      <c r="Y25" s="2">
        <f>(COUNTIFS($B$2:$B$21,"&gt;0.0",$B$2:$B$21,"&lt;100.0"))/20</f>
        <v>1</v>
      </c>
      <c r="Z25" s="2">
        <f>(COUNTIFS($D$2:$D$21,"&gt;0.0",$D$2:$D$21,"&lt;100.0"))/20</f>
        <v>1</v>
      </c>
      <c r="AA25" s="2">
        <f>(COUNTIFS($F$2:$F$21,"&gt;0.0",$F$2:$F$21,"&lt;100.0"))/20</f>
        <v>1</v>
      </c>
      <c r="AB25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I14" sqref="I14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32.922</v>
      </c>
      <c r="B2">
        <v>32.9835</v>
      </c>
      <c r="C2">
        <v>32.853</v>
      </c>
      <c r="D2">
        <v>45.2884615384615</v>
      </c>
      <c r="E2">
        <v>4345.3415</v>
      </c>
      <c r="F2">
        <v>4345.3415</v>
      </c>
      <c r="G2">
        <v>4673.451</v>
      </c>
      <c r="H2">
        <v>4807.90153846154</v>
      </c>
      <c r="I2">
        <v>39.84</v>
      </c>
      <c r="J2">
        <v>39.72</v>
      </c>
      <c r="K2">
        <v>39.58</v>
      </c>
      <c r="L2">
        <v>60.36</v>
      </c>
      <c r="M2">
        <v>26.36</v>
      </c>
      <c r="N2">
        <v>26.43</v>
      </c>
      <c r="O2">
        <v>26.31</v>
      </c>
      <c r="P2">
        <v>30.33</v>
      </c>
      <c r="Q2">
        <v>4592.15</v>
      </c>
      <c r="R2">
        <v>4592.15</v>
      </c>
      <c r="S2">
        <v>4953.22</v>
      </c>
      <c r="T2">
        <v>5030.46</v>
      </c>
      <c r="U2">
        <v>4144.21</v>
      </c>
      <c r="V2">
        <v>4144.21</v>
      </c>
      <c r="W2">
        <v>4454.78</v>
      </c>
      <c r="X2">
        <v>4511.38</v>
      </c>
      <c r="Y2">
        <v>1</v>
      </c>
      <c r="Z2">
        <v>1</v>
      </c>
      <c r="AA2">
        <v>1</v>
      </c>
      <c r="AB2">
        <v>0.65</v>
      </c>
    </row>
    <row r="3" spans="1:28">
      <c r="A3">
        <v>36.041</v>
      </c>
      <c r="B3">
        <v>36.087</v>
      </c>
      <c r="C3">
        <v>35.862</v>
      </c>
      <c r="D3">
        <v>55.59</v>
      </c>
      <c r="E3">
        <v>4511.3655</v>
      </c>
      <c r="F3">
        <v>4511.3655</v>
      </c>
      <c r="G3">
        <v>4861.478</v>
      </c>
      <c r="H3">
        <v>4834.475</v>
      </c>
      <c r="I3">
        <v>44.55</v>
      </c>
      <c r="J3">
        <v>44.59</v>
      </c>
      <c r="K3">
        <v>44.25</v>
      </c>
      <c r="L3">
        <v>58.38</v>
      </c>
      <c r="M3">
        <v>29.11</v>
      </c>
      <c r="N3">
        <v>29.12</v>
      </c>
      <c r="O3">
        <v>28.9</v>
      </c>
      <c r="P3">
        <v>52.8</v>
      </c>
      <c r="Q3">
        <v>4852.73</v>
      </c>
      <c r="R3">
        <v>4852.73</v>
      </c>
      <c r="S3">
        <v>5232.23</v>
      </c>
      <c r="T3">
        <v>5065.2</v>
      </c>
      <c r="U3">
        <v>4235.33</v>
      </c>
      <c r="V3">
        <v>4235.33</v>
      </c>
      <c r="W3">
        <v>4538.76</v>
      </c>
      <c r="X3">
        <v>4603.75</v>
      </c>
      <c r="Y3">
        <v>1</v>
      </c>
      <c r="Z3">
        <v>1</v>
      </c>
      <c r="AA3">
        <v>1</v>
      </c>
      <c r="AB3">
        <v>0.1</v>
      </c>
    </row>
    <row r="4" spans="1:28">
      <c r="A4">
        <v>41.3455</v>
      </c>
      <c r="B4">
        <v>41.3695</v>
      </c>
      <c r="C4">
        <v>41.129</v>
      </c>
      <c r="D4">
        <v>0</v>
      </c>
      <c r="E4">
        <v>4583.258</v>
      </c>
      <c r="F4">
        <v>4583.258</v>
      </c>
      <c r="G4">
        <v>4952.0175</v>
      </c>
      <c r="H4">
        <v>0</v>
      </c>
      <c r="I4">
        <v>52.22</v>
      </c>
      <c r="J4">
        <v>52.35</v>
      </c>
      <c r="K4">
        <v>51.86</v>
      </c>
      <c r="L4">
        <v>0</v>
      </c>
      <c r="M4">
        <v>33.64</v>
      </c>
      <c r="N4">
        <v>33.66</v>
      </c>
      <c r="O4">
        <v>33.46</v>
      </c>
      <c r="P4">
        <v>0</v>
      </c>
      <c r="Q4">
        <v>4837.87</v>
      </c>
      <c r="R4">
        <v>4837.87</v>
      </c>
      <c r="S4">
        <v>5178.86</v>
      </c>
      <c r="T4">
        <v>0</v>
      </c>
      <c r="U4">
        <v>4261.85</v>
      </c>
      <c r="V4">
        <v>4261.85</v>
      </c>
      <c r="W4">
        <v>4641.85</v>
      </c>
      <c r="X4">
        <v>0</v>
      </c>
      <c r="Y4">
        <v>1</v>
      </c>
      <c r="Z4">
        <v>1</v>
      </c>
      <c r="AA4">
        <v>1</v>
      </c>
      <c r="AB4">
        <v>0</v>
      </c>
    </row>
    <row r="5" spans="1:28">
      <c r="A5">
        <v>45.128</v>
      </c>
      <c r="B5">
        <v>45.139</v>
      </c>
      <c r="C5">
        <v>44.9</v>
      </c>
      <c r="D5">
        <v>0</v>
      </c>
      <c r="E5">
        <v>4551.82</v>
      </c>
      <c r="F5">
        <v>4551.82</v>
      </c>
      <c r="G5">
        <v>4917.831</v>
      </c>
      <c r="H5">
        <v>0</v>
      </c>
      <c r="I5">
        <v>57.86</v>
      </c>
      <c r="J5">
        <v>57.87</v>
      </c>
      <c r="K5">
        <v>57.62</v>
      </c>
      <c r="L5">
        <v>0</v>
      </c>
      <c r="M5">
        <v>37.67</v>
      </c>
      <c r="N5">
        <v>37.69</v>
      </c>
      <c r="O5">
        <v>37.42</v>
      </c>
      <c r="P5">
        <v>0</v>
      </c>
      <c r="Q5">
        <v>4881.2</v>
      </c>
      <c r="R5">
        <v>4881.2</v>
      </c>
      <c r="S5">
        <v>5288.26</v>
      </c>
      <c r="T5">
        <v>0</v>
      </c>
      <c r="U5">
        <v>4223.29</v>
      </c>
      <c r="V5">
        <v>4223.29</v>
      </c>
      <c r="W5">
        <v>4503.93</v>
      </c>
      <c r="X5">
        <v>0</v>
      </c>
      <c r="Y5">
        <v>1</v>
      </c>
      <c r="Z5">
        <v>1</v>
      </c>
      <c r="AA5">
        <v>1</v>
      </c>
      <c r="AB5">
        <v>0</v>
      </c>
    </row>
    <row r="6" spans="1:28">
      <c r="A6">
        <v>47.3415</v>
      </c>
      <c r="B6">
        <v>47.355</v>
      </c>
      <c r="C6">
        <v>47.1345</v>
      </c>
      <c r="D6">
        <v>0</v>
      </c>
      <c r="E6">
        <v>4543.008</v>
      </c>
      <c r="F6">
        <v>4543.008</v>
      </c>
      <c r="G6">
        <v>4905.8445</v>
      </c>
      <c r="H6">
        <v>0</v>
      </c>
      <c r="I6">
        <v>57.34</v>
      </c>
      <c r="J6">
        <v>57.36</v>
      </c>
      <c r="K6">
        <v>57.03</v>
      </c>
      <c r="L6">
        <v>0</v>
      </c>
      <c r="M6">
        <v>42.6</v>
      </c>
      <c r="N6">
        <v>42.62</v>
      </c>
      <c r="O6">
        <v>42.44</v>
      </c>
      <c r="P6">
        <v>0</v>
      </c>
      <c r="Q6">
        <v>4826.06</v>
      </c>
      <c r="R6">
        <v>4826.06</v>
      </c>
      <c r="S6">
        <v>5203.73</v>
      </c>
      <c r="T6">
        <v>0</v>
      </c>
      <c r="U6">
        <v>4158.82</v>
      </c>
      <c r="V6">
        <v>4158.82</v>
      </c>
      <c r="W6">
        <v>4475.08</v>
      </c>
      <c r="X6">
        <v>0</v>
      </c>
      <c r="Y6">
        <v>1</v>
      </c>
      <c r="Z6">
        <v>1</v>
      </c>
      <c r="AA6">
        <v>1</v>
      </c>
      <c r="AB6">
        <v>0</v>
      </c>
    </row>
    <row r="7" spans="1:28">
      <c r="A7">
        <v>55.713</v>
      </c>
      <c r="B7">
        <v>55.725</v>
      </c>
      <c r="C7">
        <v>55.415</v>
      </c>
      <c r="D7">
        <v>0</v>
      </c>
      <c r="E7">
        <v>4649.7535</v>
      </c>
      <c r="F7">
        <v>4649.7535</v>
      </c>
      <c r="G7">
        <v>5035.4565</v>
      </c>
      <c r="H7">
        <v>0</v>
      </c>
      <c r="I7">
        <v>63.69</v>
      </c>
      <c r="J7">
        <v>63.7</v>
      </c>
      <c r="K7">
        <v>63.48</v>
      </c>
      <c r="L7">
        <v>0</v>
      </c>
      <c r="M7">
        <v>46.06</v>
      </c>
      <c r="N7">
        <v>46.06</v>
      </c>
      <c r="O7">
        <v>45.8</v>
      </c>
      <c r="P7">
        <v>0</v>
      </c>
      <c r="Q7">
        <v>4940.71</v>
      </c>
      <c r="R7">
        <v>4940.71</v>
      </c>
      <c r="S7">
        <v>5305.88</v>
      </c>
      <c r="T7">
        <v>0</v>
      </c>
      <c r="U7">
        <v>4408.51</v>
      </c>
      <c r="V7">
        <v>4408.51</v>
      </c>
      <c r="W7">
        <v>4794.76</v>
      </c>
      <c r="X7">
        <v>0</v>
      </c>
      <c r="Y7">
        <v>1</v>
      </c>
      <c r="Z7">
        <v>1</v>
      </c>
      <c r="AA7">
        <v>1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2024-07-25T19:36:00Z</dcterms:created>
  <dcterms:modified xsi:type="dcterms:W3CDTF">2024-07-26T14:39:18Z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0A7D7BE0BB704517AECF616E9887DBA5_12</vt:lpwstr>
  </property>
  <property fmtid="{D5CDD505-2E9C-101B-9397-08002B2CF9AE}" pid="3" name="KSOProductBuildVer">
    <vt:lpwstr>2052-12.1.0.17147</vt:lpwstr>
  </property>
</Properties>
</file>