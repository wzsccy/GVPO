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910" windowHeight="7580" activeTab="6"/>
  </bookViews>
  <sheets>
    <sheet name="20_100" sheetId="1" r:id="rId1"/>
    <sheet name="40_100" sheetId="2" r:id="rId2"/>
    <sheet name="60_100" sheetId="3" r:id="rId3"/>
    <sheet name="80_100" sheetId="4" r:id="rId4"/>
    <sheet name="100_100" sheetId="5" r:id="rId5"/>
    <sheet name="120_100" sheetId="6" r:id="rId6"/>
    <sheet name="Sheet1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<sst xmlns="http://schemas.openxmlformats.org/spreadsheetml/2006/main" count="370" uniqueCount="57">
  <si>
    <t>scen</t>
  </si>
  <si>
    <t>L1_T</t>
  </si>
  <si>
    <t>L1_C</t>
  </si>
  <si>
    <t>L2_T</t>
  </si>
  <si>
    <t>L2_C</t>
  </si>
  <si>
    <t>P_T</t>
  </si>
  <si>
    <t>P_C</t>
  </si>
  <si>
    <t>E_T</t>
  </si>
  <si>
    <t>E_C</t>
  </si>
  <si>
    <t>random-1</t>
  </si>
  <si>
    <t>random-2</t>
  </si>
  <si>
    <t>random-3</t>
  </si>
  <si>
    <t>random-4</t>
  </si>
  <si>
    <t>random-5</t>
  </si>
  <si>
    <t>random-6</t>
  </si>
  <si>
    <t>random-7</t>
  </si>
  <si>
    <t>random-8</t>
  </si>
  <si>
    <t>random-9</t>
  </si>
  <si>
    <t>random-10</t>
  </si>
  <si>
    <t>random-11</t>
  </si>
  <si>
    <t>random-12</t>
  </si>
  <si>
    <t>random-13</t>
  </si>
  <si>
    <t>random-14</t>
  </si>
  <si>
    <t>random-15</t>
  </si>
  <si>
    <t>random-16</t>
  </si>
  <si>
    <t>random-17</t>
  </si>
  <si>
    <t>random-18</t>
  </si>
  <si>
    <t>random-19</t>
  </si>
  <si>
    <t>random-20</t>
  </si>
  <si>
    <t>lacam1_r</t>
  </si>
  <si>
    <t>lacam0_r</t>
  </si>
  <si>
    <t>pibt_r</t>
  </si>
  <si>
    <t>eecbs_r</t>
  </si>
  <si>
    <t>lacam1_s</t>
  </si>
  <si>
    <t>lacam0_s</t>
  </si>
  <si>
    <t>pibt_s</t>
  </si>
  <si>
    <t>eecbs_s</t>
  </si>
  <si>
    <t>lacam1_r_uper</t>
  </si>
  <si>
    <t>lacam0_r_uper</t>
  </si>
  <si>
    <t>PIBT_r_uper</t>
  </si>
  <si>
    <t>eecbs_r_uper</t>
  </si>
  <si>
    <t>lacam1_r_lower</t>
  </si>
  <si>
    <t>lacam0_r_lower</t>
  </si>
  <si>
    <t>PIBT_r_lower</t>
  </si>
  <si>
    <t>eecbs_r_lower</t>
  </si>
  <si>
    <t>lacam1_s_uper</t>
  </si>
  <si>
    <t>lacam0_s_uper</t>
  </si>
  <si>
    <t>PIBT_s_uper</t>
  </si>
  <si>
    <t>eecbs_s_uper</t>
  </si>
  <si>
    <t>lacam1_s_lower</t>
  </si>
  <si>
    <t>lacam0_s_lower</t>
  </si>
  <si>
    <t>PIBT_s_lower</t>
  </si>
  <si>
    <t>eecbs_s_lower</t>
  </si>
  <si>
    <t>lacam1_sr</t>
  </si>
  <si>
    <t>lacam0_sr</t>
  </si>
  <si>
    <t>pibt_sr</t>
  </si>
  <si>
    <t>eecbs_sr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</si>
</sst>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3C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/>
    <xf numFmtId="176" fontId="2" fillId="2" borderId="1" xfId="0" applyNumberFormat="1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24"/>
  <sheetViews>
    <sheetView workbookViewId="0">
      <selection activeCell="A24" sqref="A23:AB24"/>
    </sheetView>
  </sheetViews>
  <sheetFormatPr defaultColWidth="9" defaultRowHeight="14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135.73</v>
      </c>
      <c r="C2">
        <v>10749.52</v>
      </c>
      <c r="D2">
        <v>135.69</v>
      </c>
      <c r="E2">
        <v>10749.52</v>
      </c>
      <c r="F2">
        <v>135.25</v>
      </c>
      <c r="G2">
        <v>12100.14</v>
      </c>
      <c r="H2">
        <v>-1</v>
      </c>
      <c r="I2">
        <v>11904.07</v>
      </c>
    </row>
    <row r="3" spans="1:9">
      <c r="A3" t="s">
        <v>10</v>
      </c>
      <c r="B3">
        <v>188.98</v>
      </c>
      <c r="C3">
        <v>11415.29</v>
      </c>
      <c r="D3">
        <v>189.18</v>
      </c>
      <c r="E3">
        <v>11415.29</v>
      </c>
      <c r="F3">
        <v>188.49</v>
      </c>
      <c r="G3">
        <v>12782.87</v>
      </c>
      <c r="H3">
        <v>-1</v>
      </c>
      <c r="I3">
        <v>12768.39</v>
      </c>
    </row>
    <row r="4" spans="1:9">
      <c r="A4" t="s">
        <v>11</v>
      </c>
      <c r="B4">
        <v>156.72</v>
      </c>
      <c r="C4">
        <v>11047.92</v>
      </c>
      <c r="D4">
        <v>156.76</v>
      </c>
      <c r="E4">
        <v>11047.92</v>
      </c>
      <c r="F4">
        <v>156.42</v>
      </c>
      <c r="G4">
        <v>12494.61</v>
      </c>
      <c r="H4">
        <v>-1</v>
      </c>
      <c r="I4">
        <v>12229.66</v>
      </c>
    </row>
    <row r="5" spans="1:9">
      <c r="A5" t="s">
        <v>12</v>
      </c>
      <c r="B5">
        <v>156.11</v>
      </c>
      <c r="C5">
        <v>11450.33</v>
      </c>
      <c r="D5">
        <v>156.06</v>
      </c>
      <c r="E5">
        <v>11450.33</v>
      </c>
      <c r="F5">
        <v>155.77</v>
      </c>
      <c r="G5">
        <v>12863</v>
      </c>
      <c r="H5">
        <v>-1</v>
      </c>
      <c r="I5">
        <v>12802.94</v>
      </c>
    </row>
    <row r="6" spans="1:9">
      <c r="A6" t="s">
        <v>13</v>
      </c>
      <c r="B6">
        <v>156.82</v>
      </c>
      <c r="C6">
        <v>11191.88</v>
      </c>
      <c r="D6">
        <v>156.77</v>
      </c>
      <c r="E6">
        <v>11191.88</v>
      </c>
      <c r="F6">
        <v>156.45</v>
      </c>
      <c r="G6">
        <v>12493.28</v>
      </c>
      <c r="H6">
        <v>-1</v>
      </c>
      <c r="I6">
        <v>12424.76</v>
      </c>
    </row>
    <row r="7" spans="1:9">
      <c r="A7" t="s">
        <v>14</v>
      </c>
      <c r="B7">
        <v>154.83</v>
      </c>
      <c r="C7">
        <v>10732.69</v>
      </c>
      <c r="D7">
        <v>154.88</v>
      </c>
      <c r="E7">
        <v>10732.69</v>
      </c>
      <c r="F7">
        <v>154.56</v>
      </c>
      <c r="G7">
        <v>12052.68</v>
      </c>
      <c r="H7">
        <v>170.21</v>
      </c>
      <c r="I7">
        <v>12001.28</v>
      </c>
    </row>
    <row r="8" spans="1:9">
      <c r="A8" t="s">
        <v>15</v>
      </c>
      <c r="B8">
        <v>144.43</v>
      </c>
      <c r="C8">
        <v>11345.05</v>
      </c>
      <c r="D8">
        <v>144.39</v>
      </c>
      <c r="E8">
        <v>11345.05</v>
      </c>
      <c r="F8">
        <v>144.04</v>
      </c>
      <c r="G8">
        <v>12785.84</v>
      </c>
      <c r="H8">
        <v>163.13</v>
      </c>
      <c r="I8">
        <v>12767.7</v>
      </c>
    </row>
    <row r="9" spans="1:9">
      <c r="A9" t="s">
        <v>16</v>
      </c>
      <c r="B9">
        <v>138.88</v>
      </c>
      <c r="C9">
        <v>11423.49</v>
      </c>
      <c r="D9">
        <v>138.89</v>
      </c>
      <c r="E9">
        <v>11423.49</v>
      </c>
      <c r="F9">
        <v>138.65</v>
      </c>
      <c r="G9">
        <v>12838.9</v>
      </c>
      <c r="H9">
        <v>170.24</v>
      </c>
      <c r="I9">
        <v>12820.38</v>
      </c>
    </row>
    <row r="10" spans="1:9">
      <c r="A10" t="s">
        <v>17</v>
      </c>
      <c r="B10">
        <v>153.03</v>
      </c>
      <c r="C10">
        <v>10748.67</v>
      </c>
      <c r="D10">
        <v>152.94</v>
      </c>
      <c r="E10">
        <v>10748.67</v>
      </c>
      <c r="F10">
        <v>152.48</v>
      </c>
      <c r="G10">
        <v>12050.74</v>
      </c>
      <c r="H10">
        <v>-1</v>
      </c>
      <c r="I10">
        <v>11274.86</v>
      </c>
    </row>
    <row r="11" spans="1:9">
      <c r="A11" t="s">
        <v>18</v>
      </c>
      <c r="B11">
        <v>146.08</v>
      </c>
      <c r="C11">
        <v>10947.14</v>
      </c>
      <c r="D11">
        <v>146.14</v>
      </c>
      <c r="E11">
        <v>10947.14</v>
      </c>
      <c r="F11">
        <v>145.79</v>
      </c>
      <c r="G11">
        <v>12286.62</v>
      </c>
      <c r="H11">
        <v>-1</v>
      </c>
      <c r="I11">
        <v>12035.32</v>
      </c>
    </row>
    <row r="12" spans="1:9">
      <c r="A12" t="s">
        <v>19</v>
      </c>
      <c r="B12">
        <v>154.39</v>
      </c>
      <c r="C12">
        <v>11838.45</v>
      </c>
      <c r="D12">
        <v>154.43</v>
      </c>
      <c r="E12">
        <v>11838.45</v>
      </c>
      <c r="F12">
        <v>154.04</v>
      </c>
      <c r="G12">
        <v>13327.82</v>
      </c>
      <c r="H12">
        <v>-1</v>
      </c>
      <c r="I12">
        <v>13184.1</v>
      </c>
    </row>
    <row r="13" spans="1:9">
      <c r="A13" t="s">
        <v>20</v>
      </c>
      <c r="B13">
        <v>147.67</v>
      </c>
      <c r="C13">
        <v>10835.12</v>
      </c>
      <c r="D13">
        <v>147.76</v>
      </c>
      <c r="E13">
        <v>10835.12</v>
      </c>
      <c r="F13">
        <v>147.21</v>
      </c>
      <c r="G13">
        <v>12176.58</v>
      </c>
      <c r="H13">
        <v>187.77</v>
      </c>
      <c r="I13">
        <v>12115.75</v>
      </c>
    </row>
    <row r="14" spans="1:9">
      <c r="A14" t="s">
        <v>21</v>
      </c>
      <c r="B14">
        <v>143.62</v>
      </c>
      <c r="C14">
        <v>10804.2</v>
      </c>
      <c r="D14">
        <v>143.74</v>
      </c>
      <c r="E14">
        <v>10804.2</v>
      </c>
      <c r="F14">
        <v>143.34</v>
      </c>
      <c r="G14">
        <v>12100.36</v>
      </c>
      <c r="H14">
        <v>-1</v>
      </c>
      <c r="I14">
        <v>11031.77</v>
      </c>
    </row>
    <row r="15" spans="1:9">
      <c r="A15" t="s">
        <v>22</v>
      </c>
      <c r="B15">
        <v>159.67</v>
      </c>
      <c r="C15">
        <v>11421.69</v>
      </c>
      <c r="D15">
        <v>159.67</v>
      </c>
      <c r="E15">
        <v>11421.69</v>
      </c>
      <c r="F15">
        <v>158.52</v>
      </c>
      <c r="G15">
        <v>12792.39</v>
      </c>
      <c r="H15">
        <v>-1</v>
      </c>
      <c r="I15">
        <v>12688.49</v>
      </c>
    </row>
    <row r="16" spans="1:9">
      <c r="A16" t="s">
        <v>23</v>
      </c>
      <c r="B16">
        <v>160.41</v>
      </c>
      <c r="C16">
        <v>11557.57</v>
      </c>
      <c r="D16">
        <v>160.49</v>
      </c>
      <c r="E16">
        <v>11557.57</v>
      </c>
      <c r="F16">
        <v>160.09</v>
      </c>
      <c r="G16">
        <v>12970.29</v>
      </c>
      <c r="H16">
        <v>176.27</v>
      </c>
      <c r="I16">
        <v>12852.63</v>
      </c>
    </row>
    <row r="17" spans="1:9">
      <c r="A17" t="s">
        <v>24</v>
      </c>
      <c r="B17">
        <v>155.33</v>
      </c>
      <c r="C17">
        <v>10954.21</v>
      </c>
      <c r="D17">
        <v>155.34</v>
      </c>
      <c r="E17">
        <v>10954.21</v>
      </c>
      <c r="F17">
        <v>154.79</v>
      </c>
      <c r="G17">
        <v>12301.1</v>
      </c>
      <c r="H17">
        <v>-1</v>
      </c>
      <c r="I17">
        <v>12306.98</v>
      </c>
    </row>
    <row r="18" spans="1:9">
      <c r="A18" t="s">
        <v>25</v>
      </c>
      <c r="B18">
        <v>164.87</v>
      </c>
      <c r="C18">
        <v>11372.19</v>
      </c>
      <c r="D18">
        <v>165.11</v>
      </c>
      <c r="E18">
        <v>11372.19</v>
      </c>
      <c r="F18">
        <v>164.45</v>
      </c>
      <c r="G18">
        <v>12702.57</v>
      </c>
      <c r="H18">
        <v>198.41</v>
      </c>
      <c r="I18">
        <v>12571.57</v>
      </c>
    </row>
    <row r="19" spans="1:9">
      <c r="A19" t="s">
        <v>26</v>
      </c>
      <c r="B19">
        <v>151.29</v>
      </c>
      <c r="C19">
        <v>11001.86</v>
      </c>
      <c r="D19">
        <v>151.38</v>
      </c>
      <c r="E19">
        <v>11001.86</v>
      </c>
      <c r="F19">
        <v>150.84</v>
      </c>
      <c r="G19">
        <v>12289.42</v>
      </c>
      <c r="H19">
        <v>-1</v>
      </c>
      <c r="I19">
        <v>12147.68</v>
      </c>
    </row>
    <row r="20" spans="1:9">
      <c r="A20" t="s">
        <v>27</v>
      </c>
      <c r="B20">
        <v>145.86</v>
      </c>
      <c r="C20">
        <v>11458.07</v>
      </c>
      <c r="D20">
        <v>145.86</v>
      </c>
      <c r="E20">
        <v>11458.07</v>
      </c>
      <c r="F20">
        <v>145.71</v>
      </c>
      <c r="G20">
        <v>12766.2</v>
      </c>
      <c r="H20">
        <v>-1</v>
      </c>
      <c r="I20">
        <v>12634.23</v>
      </c>
    </row>
    <row r="21" spans="1:9">
      <c r="A21" t="s">
        <v>28</v>
      </c>
      <c r="B21">
        <v>159.01</v>
      </c>
      <c r="C21">
        <v>11088.03</v>
      </c>
      <c r="D21">
        <v>159.07</v>
      </c>
      <c r="E21">
        <v>11088.03</v>
      </c>
      <c r="F21">
        <v>158.75</v>
      </c>
      <c r="G21">
        <v>12455.38</v>
      </c>
      <c r="H21">
        <v>179.99</v>
      </c>
      <c r="I21">
        <v>12446.25</v>
      </c>
    </row>
    <row r="23" spans="1:28">
      <c r="A23" s="2" t="s">
        <v>29</v>
      </c>
      <c r="B23" s="2" t="s">
        <v>30</v>
      </c>
      <c r="C23" s="2" t="s">
        <v>31</v>
      </c>
      <c r="D23" s="3" t="s">
        <v>32</v>
      </c>
      <c r="E23" s="2" t="s">
        <v>33</v>
      </c>
      <c r="F23" s="2" t="s">
        <v>34</v>
      </c>
      <c r="G23" s="2" t="s">
        <v>35</v>
      </c>
      <c r="H23" s="3" t="s">
        <v>36</v>
      </c>
      <c r="I23" s="2" t="s">
        <v>37</v>
      </c>
      <c r="J23" s="2" t="s">
        <v>38</v>
      </c>
      <c r="K23" s="2" t="s">
        <v>39</v>
      </c>
      <c r="L23" s="3" t="s">
        <v>40</v>
      </c>
      <c r="M23" s="2" t="s">
        <v>41</v>
      </c>
      <c r="N23" s="2" t="s">
        <v>42</v>
      </c>
      <c r="O23" s="2" t="s">
        <v>43</v>
      </c>
      <c r="P23" s="3" t="s">
        <v>44</v>
      </c>
      <c r="Q23" s="2" t="s">
        <v>45</v>
      </c>
      <c r="R23" s="2" t="s">
        <v>46</v>
      </c>
      <c r="S23" s="2" t="s">
        <v>47</v>
      </c>
      <c r="T23" s="3" t="s">
        <v>48</v>
      </c>
      <c r="U23" s="2" t="s">
        <v>49</v>
      </c>
      <c r="V23" s="2" t="s">
        <v>50</v>
      </c>
      <c r="W23" s="2" t="s">
        <v>51</v>
      </c>
      <c r="X23" s="3" t="s">
        <v>52</v>
      </c>
      <c r="Y23" s="3" t="s">
        <v>53</v>
      </c>
      <c r="Z23" s="3" t="s">
        <v>54</v>
      </c>
      <c r="AA23" s="3" t="s">
        <v>55</v>
      </c>
      <c r="AB23" s="3" t="s">
        <v>56</v>
      </c>
    </row>
    <row r="24" spans="1:28">
      <c r="A24" s="4">
        <f>IFERROR(AVERAGEIF($B$2:$B$21,"&lt;200"),0)</f>
        <v>153.6865</v>
      </c>
      <c r="B24" s="4">
        <f>IFERROR(AVERAGEIF($D$2:$D$21,"&lt;200"),0)</f>
        <v>153.7275</v>
      </c>
      <c r="C24" s="4">
        <f>IFERROR(AVERAGEIF($F$2:$F$21,"&lt;200"),0)</f>
        <v>153.282</v>
      </c>
      <c r="D24" s="4">
        <f>IFERROR(AVERAGEIF($H$2:$H$21,"&lt;&gt;-1"),0)</f>
        <v>178.002857142857</v>
      </c>
      <c r="E24" s="4">
        <f>IFERROR(AVERAGEIFS($C$2:$C$21,$B$2:$B$21,"&lt;200"),0)</f>
        <v>11169.1685</v>
      </c>
      <c r="F24" s="4">
        <f>IFERROR(AVERAGEIFS($E$2:$E$21,$D$2:$D$21,"&lt;200"),0)</f>
        <v>11169.1685</v>
      </c>
      <c r="G24" s="4">
        <f>IFERROR(AVERAGEIFS($G$2:$G$21,$F$2:$F$21,"&lt;200"),0)</f>
        <v>12531.5395</v>
      </c>
      <c r="H24" s="4">
        <f>IFERROR(AVERAGEIFS($I$2:$I$21,$H$2:$H$21,"&lt;&gt; -1"),0)</f>
        <v>12510.7942857143</v>
      </c>
      <c r="I24" s="4">
        <f>_xlfn.MAXIFS($B$2:$B$21,$B$2:$B$21,"&lt; 200")</f>
        <v>188.98</v>
      </c>
      <c r="J24" s="4">
        <f>_xlfn.MAXIFS($D$2:$D$21,$D$2:$D$21,"&lt; 200")</f>
        <v>189.18</v>
      </c>
      <c r="K24" s="4">
        <f>_xlfn.MAXIFS($F$2:$F$21,$F$2:$F$21,"&lt; 200")</f>
        <v>188.49</v>
      </c>
      <c r="L24" s="4">
        <f>_xlfn.MAXIFS($H$2:$H$21,$H$2:$H$21,"&lt;&gt; -1")</f>
        <v>198.41</v>
      </c>
      <c r="M24" s="4">
        <f>_xlfn.MINIFS($B$2:$B$21,$B$2:$B$21,"&lt;200")</f>
        <v>135.73</v>
      </c>
      <c r="N24" s="4">
        <f>_xlfn.MINIFS($D$2:$D$21,$D$2:$D$21,"&lt;200")</f>
        <v>135.69</v>
      </c>
      <c r="O24" s="4">
        <f>_xlfn.MINIFS($F$2:$F$21,$F$2:$F$21,"&lt;200")</f>
        <v>135.25</v>
      </c>
      <c r="P24" s="4">
        <f>_xlfn.MINIFS($H$2:$H$21,$H$2:$H$21,"&lt;&gt; -1")</f>
        <v>163.13</v>
      </c>
      <c r="Q24" s="4">
        <f>_xlfn.MAXIFS($C$2:$C$21,$B$2:$B$21,"&lt; 200")</f>
        <v>11838.45</v>
      </c>
      <c r="R24" s="4">
        <f>_xlfn.MAXIFS($E$2:$E$21,D2:D21,"&lt; 200")</f>
        <v>11838.45</v>
      </c>
      <c r="S24" s="4">
        <f>_xlfn.MAXIFS($G$2:$G$21,$F$2:$F$21,"&lt; 200")</f>
        <v>13327.82</v>
      </c>
      <c r="T24" s="4">
        <f>_xlfn.MAXIFS($I$2:$I$21,$H$2:$H$21,"&lt;&gt; -1")</f>
        <v>12852.63</v>
      </c>
      <c r="U24" s="4">
        <f>_xlfn.MINIFS($C$2:$C$21,$B$2:$B$21,"&lt;200")</f>
        <v>10732.69</v>
      </c>
      <c r="V24" s="4">
        <f>_xlfn.MINIFS($E$2:$E$21,$D$2:$D$21,"&lt;200")</f>
        <v>10732.69</v>
      </c>
      <c r="W24" s="4">
        <f>_xlfn.MINIFS($G$2:$G$21,$F$2:$F$21,"&lt;200")</f>
        <v>12050.74</v>
      </c>
      <c r="X24" s="4">
        <f>_xlfn.MINIFS($I$2:$I$21,$H$2:$H$21,"&lt;&gt; -1")</f>
        <v>12001.28</v>
      </c>
      <c r="Y24" s="4">
        <f>(COUNTIFS($B$2:$B$21,"&gt;0.0",$B$2:$B$21,"&lt;200.0"))/20</f>
        <v>1</v>
      </c>
      <c r="Z24" s="4">
        <f>(COUNTIFS($D$2:$D$21,"&gt;0.0",$D$2:$D$21,"&lt;200.0"))/20</f>
        <v>1</v>
      </c>
      <c r="AA24" s="4">
        <f>(COUNTIFS($F$2:$F$21,"&gt;0.0",$F$2:$F$21,"&lt;200.0"))/20</f>
        <v>1</v>
      </c>
      <c r="AB24" s="4">
        <f>(COUNTIFS($H$2:$H$21,"&gt;0.0",$H$2:$H$21,"&lt;200.0"))/20</f>
        <v>0.35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24"/>
  <sheetViews>
    <sheetView workbookViewId="0">
      <selection activeCell="A24" sqref="$A24:$XFD24"/>
    </sheetView>
  </sheetViews>
  <sheetFormatPr defaultColWidth="9" defaultRowHeight="14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171.09</v>
      </c>
      <c r="C2">
        <v>10504.85</v>
      </c>
      <c r="D2">
        <v>170.95</v>
      </c>
      <c r="E2">
        <v>10504.85</v>
      </c>
      <c r="F2">
        <v>170.55</v>
      </c>
      <c r="G2">
        <v>11870.59</v>
      </c>
      <c r="H2">
        <v>-1</v>
      </c>
      <c r="I2">
        <v>6564.73</v>
      </c>
    </row>
    <row r="3" spans="1:9">
      <c r="A3" t="s">
        <v>10</v>
      </c>
      <c r="B3">
        <v>190.72</v>
      </c>
      <c r="C3">
        <v>11863.8</v>
      </c>
      <c r="D3">
        <v>189.86</v>
      </c>
      <c r="E3">
        <v>11863.8</v>
      </c>
      <c r="F3">
        <v>189.1</v>
      </c>
      <c r="G3">
        <v>13299.47</v>
      </c>
      <c r="H3">
        <v>-1</v>
      </c>
      <c r="I3">
        <v>9987.21</v>
      </c>
    </row>
    <row r="4" spans="1:9">
      <c r="A4" t="s">
        <v>11</v>
      </c>
      <c r="B4">
        <v>188.48</v>
      </c>
      <c r="C4">
        <v>11673.34</v>
      </c>
      <c r="D4">
        <v>188.49</v>
      </c>
      <c r="E4">
        <v>11673.34</v>
      </c>
      <c r="F4">
        <v>187.98</v>
      </c>
      <c r="G4">
        <v>13047.61</v>
      </c>
      <c r="H4">
        <v>-1</v>
      </c>
      <c r="I4">
        <v>9464.74</v>
      </c>
    </row>
    <row r="5" spans="1:9">
      <c r="A5" t="s">
        <v>12</v>
      </c>
      <c r="B5">
        <v>168.59</v>
      </c>
      <c r="C5">
        <v>11511.33</v>
      </c>
      <c r="D5">
        <v>168.64</v>
      </c>
      <c r="E5">
        <v>11511.33</v>
      </c>
      <c r="F5">
        <v>168</v>
      </c>
      <c r="G5">
        <v>12925.27</v>
      </c>
      <c r="H5">
        <v>-1</v>
      </c>
      <c r="I5">
        <v>7906.56</v>
      </c>
    </row>
    <row r="6" spans="1:9">
      <c r="A6" t="s">
        <v>13</v>
      </c>
      <c r="B6">
        <v>174.31</v>
      </c>
      <c r="C6">
        <v>11131.82</v>
      </c>
      <c r="D6">
        <v>174.43</v>
      </c>
      <c r="E6">
        <v>11131.82</v>
      </c>
      <c r="F6">
        <v>173.88</v>
      </c>
      <c r="G6">
        <v>12523.51</v>
      </c>
      <c r="H6">
        <v>-1</v>
      </c>
      <c r="I6">
        <v>6999.68</v>
      </c>
    </row>
    <row r="7" spans="1:9">
      <c r="A7" t="s">
        <v>14</v>
      </c>
      <c r="B7">
        <v>171.58</v>
      </c>
      <c r="C7">
        <v>11162.77</v>
      </c>
      <c r="D7">
        <v>171.67</v>
      </c>
      <c r="E7">
        <v>11162.77</v>
      </c>
      <c r="F7">
        <v>171.24</v>
      </c>
      <c r="G7">
        <v>12558.79</v>
      </c>
      <c r="H7">
        <v>-1</v>
      </c>
      <c r="I7">
        <v>8913.72</v>
      </c>
    </row>
    <row r="8" spans="1:9">
      <c r="A8" t="s">
        <v>15</v>
      </c>
      <c r="B8">
        <v>177.17</v>
      </c>
      <c r="C8">
        <v>11063.33</v>
      </c>
      <c r="D8">
        <v>176.81</v>
      </c>
      <c r="E8">
        <v>11063.33</v>
      </c>
      <c r="F8">
        <v>176.5</v>
      </c>
      <c r="G8">
        <v>12422.73</v>
      </c>
      <c r="H8">
        <v>-1</v>
      </c>
      <c r="I8">
        <v>9373.83</v>
      </c>
    </row>
    <row r="9" spans="1:9">
      <c r="A9" t="s">
        <v>16</v>
      </c>
      <c r="B9">
        <v>165.35</v>
      </c>
      <c r="C9">
        <v>11642.85</v>
      </c>
      <c r="D9">
        <v>165.36</v>
      </c>
      <c r="E9">
        <v>11642.85</v>
      </c>
      <c r="F9">
        <v>164.67</v>
      </c>
      <c r="G9">
        <v>13121.99</v>
      </c>
      <c r="H9">
        <v>-1</v>
      </c>
      <c r="I9">
        <v>10712.2</v>
      </c>
    </row>
    <row r="10" spans="1:9">
      <c r="A10" t="s">
        <v>17</v>
      </c>
      <c r="B10">
        <v>170.69</v>
      </c>
      <c r="C10">
        <v>11390.37</v>
      </c>
      <c r="D10">
        <v>170.69</v>
      </c>
      <c r="E10">
        <v>11390.37</v>
      </c>
      <c r="F10">
        <v>169.96</v>
      </c>
      <c r="G10">
        <v>12821.23</v>
      </c>
      <c r="H10">
        <v>-1</v>
      </c>
      <c r="I10">
        <v>7705.09</v>
      </c>
    </row>
    <row r="11" spans="1:9">
      <c r="A11" t="s">
        <v>18</v>
      </c>
      <c r="B11">
        <v>159.49</v>
      </c>
      <c r="C11">
        <v>10934.6</v>
      </c>
      <c r="D11">
        <v>159.53</v>
      </c>
      <c r="E11">
        <v>10934.6</v>
      </c>
      <c r="F11">
        <v>158.94</v>
      </c>
      <c r="G11">
        <v>12269.93</v>
      </c>
      <c r="H11">
        <v>-1</v>
      </c>
      <c r="I11">
        <v>7840.83</v>
      </c>
    </row>
    <row r="12" spans="1:9">
      <c r="A12" t="s">
        <v>19</v>
      </c>
      <c r="B12">
        <v>165.56</v>
      </c>
      <c r="C12">
        <v>11510.76</v>
      </c>
      <c r="D12">
        <v>165.57</v>
      </c>
      <c r="E12">
        <v>11510.76</v>
      </c>
      <c r="F12">
        <v>165.06</v>
      </c>
      <c r="G12">
        <v>13007.91</v>
      </c>
      <c r="H12">
        <v>-1</v>
      </c>
      <c r="I12">
        <v>9914.31</v>
      </c>
    </row>
    <row r="13" spans="1:9">
      <c r="A13" t="s">
        <v>20</v>
      </c>
      <c r="B13">
        <v>190.29</v>
      </c>
      <c r="C13">
        <v>11112.33</v>
      </c>
      <c r="D13">
        <v>190.38</v>
      </c>
      <c r="E13">
        <v>11112.33</v>
      </c>
      <c r="F13">
        <v>189.91</v>
      </c>
      <c r="G13">
        <v>12475.06</v>
      </c>
      <c r="H13">
        <v>-1</v>
      </c>
      <c r="I13">
        <v>5169.79</v>
      </c>
    </row>
    <row r="14" spans="1:9">
      <c r="A14" t="s">
        <v>21</v>
      </c>
      <c r="B14">
        <v>183.89</v>
      </c>
      <c r="C14">
        <v>10226.33</v>
      </c>
      <c r="D14">
        <v>183.81</v>
      </c>
      <c r="E14">
        <v>10226.33</v>
      </c>
      <c r="F14">
        <v>183.48</v>
      </c>
      <c r="G14">
        <v>11470.79</v>
      </c>
      <c r="H14">
        <v>-1</v>
      </c>
      <c r="I14">
        <v>6364.48</v>
      </c>
    </row>
    <row r="15" spans="1:9">
      <c r="A15" t="s">
        <v>22</v>
      </c>
      <c r="B15">
        <v>184.13</v>
      </c>
      <c r="C15">
        <v>11530.86</v>
      </c>
      <c r="D15">
        <v>184.15</v>
      </c>
      <c r="E15">
        <v>11530.86</v>
      </c>
      <c r="F15">
        <v>183.25</v>
      </c>
      <c r="G15">
        <v>12984.29</v>
      </c>
      <c r="H15">
        <v>-1</v>
      </c>
      <c r="I15">
        <v>12742.67</v>
      </c>
    </row>
    <row r="16" spans="1:9">
      <c r="A16" t="s">
        <v>23</v>
      </c>
      <c r="B16">
        <v>187.99</v>
      </c>
      <c r="C16">
        <v>11763.23</v>
      </c>
      <c r="D16">
        <v>187.9</v>
      </c>
      <c r="E16">
        <v>11763.23</v>
      </c>
      <c r="F16">
        <v>187.46</v>
      </c>
      <c r="G16">
        <v>13252.11</v>
      </c>
      <c r="H16">
        <v>-1</v>
      </c>
      <c r="I16">
        <v>8153.79</v>
      </c>
    </row>
    <row r="17" spans="1:9">
      <c r="A17" t="s">
        <v>24</v>
      </c>
      <c r="B17">
        <v>171.81</v>
      </c>
      <c r="C17">
        <v>11027.18</v>
      </c>
      <c r="D17">
        <v>171.91</v>
      </c>
      <c r="E17">
        <v>11027.18</v>
      </c>
      <c r="F17">
        <v>171.29</v>
      </c>
      <c r="G17">
        <v>12466.7</v>
      </c>
      <c r="H17">
        <v>-1</v>
      </c>
      <c r="I17">
        <v>12018.53</v>
      </c>
    </row>
    <row r="18" spans="1:9">
      <c r="A18" t="s">
        <v>25</v>
      </c>
      <c r="B18">
        <v>167.29</v>
      </c>
      <c r="C18">
        <v>11294.44</v>
      </c>
      <c r="D18">
        <v>167.28</v>
      </c>
      <c r="E18">
        <v>11294.44</v>
      </c>
      <c r="F18">
        <v>166.63</v>
      </c>
      <c r="G18">
        <v>12636.84</v>
      </c>
      <c r="H18">
        <v>-1</v>
      </c>
      <c r="I18">
        <v>7371.69</v>
      </c>
    </row>
    <row r="19" spans="1:9">
      <c r="A19" t="s">
        <v>26</v>
      </c>
      <c r="B19">
        <v>178.73</v>
      </c>
      <c r="C19">
        <v>11441.72</v>
      </c>
      <c r="D19">
        <v>178.75</v>
      </c>
      <c r="E19">
        <v>11441.72</v>
      </c>
      <c r="F19">
        <v>178.28</v>
      </c>
      <c r="G19">
        <v>12861.9</v>
      </c>
      <c r="H19">
        <v>-1</v>
      </c>
      <c r="I19">
        <v>9993.09</v>
      </c>
    </row>
    <row r="20" spans="1:9">
      <c r="A20" t="s">
        <v>27</v>
      </c>
      <c r="B20">
        <v>175.24</v>
      </c>
      <c r="C20">
        <v>11087.73</v>
      </c>
      <c r="D20">
        <v>175.31</v>
      </c>
      <c r="E20">
        <v>11087.73</v>
      </c>
      <c r="F20">
        <v>174.85</v>
      </c>
      <c r="G20">
        <v>12435.68</v>
      </c>
      <c r="H20">
        <v>-1</v>
      </c>
      <c r="I20">
        <v>7611.87</v>
      </c>
    </row>
    <row r="21" spans="1:9">
      <c r="A21" t="s">
        <v>28</v>
      </c>
      <c r="B21">
        <v>162.18</v>
      </c>
      <c r="C21">
        <v>10721.28</v>
      </c>
      <c r="D21">
        <v>162.69</v>
      </c>
      <c r="E21">
        <v>10721.28</v>
      </c>
      <c r="F21">
        <v>162.08</v>
      </c>
      <c r="G21">
        <v>12155.74</v>
      </c>
      <c r="H21">
        <v>-1</v>
      </c>
      <c r="I21">
        <v>8979.85</v>
      </c>
    </row>
    <row r="23" spans="1:28">
      <c r="A23" s="2" t="s">
        <v>29</v>
      </c>
      <c r="B23" s="2" t="s">
        <v>30</v>
      </c>
      <c r="C23" s="2" t="s">
        <v>31</v>
      </c>
      <c r="D23" s="3" t="s">
        <v>32</v>
      </c>
      <c r="E23" s="2" t="s">
        <v>33</v>
      </c>
      <c r="F23" s="2" t="s">
        <v>34</v>
      </c>
      <c r="G23" s="2" t="s">
        <v>35</v>
      </c>
      <c r="H23" s="3" t="s">
        <v>36</v>
      </c>
      <c r="I23" s="2" t="s">
        <v>37</v>
      </c>
      <c r="J23" s="2" t="s">
        <v>38</v>
      </c>
      <c r="K23" s="2" t="s">
        <v>39</v>
      </c>
      <c r="L23" s="3" t="s">
        <v>40</v>
      </c>
      <c r="M23" s="2" t="s">
        <v>41</v>
      </c>
      <c r="N23" s="2" t="s">
        <v>42</v>
      </c>
      <c r="O23" s="2" t="s">
        <v>43</v>
      </c>
      <c r="P23" s="3" t="s">
        <v>44</v>
      </c>
      <c r="Q23" s="2" t="s">
        <v>45</v>
      </c>
      <c r="R23" s="2" t="s">
        <v>46</v>
      </c>
      <c r="S23" s="2" t="s">
        <v>47</v>
      </c>
      <c r="T23" s="3" t="s">
        <v>48</v>
      </c>
      <c r="U23" s="2" t="s">
        <v>49</v>
      </c>
      <c r="V23" s="2" t="s">
        <v>50</v>
      </c>
      <c r="W23" s="2" t="s">
        <v>51</v>
      </c>
      <c r="X23" s="3" t="s">
        <v>52</v>
      </c>
      <c r="Y23" s="3" t="s">
        <v>53</v>
      </c>
      <c r="Z23" s="3" t="s">
        <v>54</v>
      </c>
      <c r="AA23" s="3" t="s">
        <v>55</v>
      </c>
      <c r="AB23" s="3" t="s">
        <v>56</v>
      </c>
    </row>
    <row r="24" spans="1:28">
      <c r="A24" s="4">
        <f>IFERROR(AVERAGEIF($B$2:$B$21,"&lt;200"),0)</f>
        <v>175.229</v>
      </c>
      <c r="B24" s="4">
        <f>IFERROR(AVERAGEIF($D$2:$D$21,"&lt;200"),0)</f>
        <v>175.209</v>
      </c>
      <c r="C24" s="4">
        <f>IFERROR(AVERAGEIF($F$2:$F$21,"&lt;200"),0)</f>
        <v>174.6555</v>
      </c>
      <c r="D24" s="4">
        <f>IFERROR(AVERAGEIF($H$2:$H$21,"&lt;&gt;-1"),0)</f>
        <v>0</v>
      </c>
      <c r="E24" s="4">
        <f>IFERROR(AVERAGEIFS($C$2:$C$21,$B$2:$B$21,"&lt;200"),0)</f>
        <v>11229.746</v>
      </c>
      <c r="F24" s="4">
        <f>IFERROR(AVERAGEIFS($E$2:$E$21,$D$2:$D$21,"&lt;200"),0)</f>
        <v>11229.746</v>
      </c>
      <c r="G24" s="4">
        <f>IFERROR(AVERAGEIFS($G$2:$G$21,$F$2:$F$21,"&lt;200"),0)</f>
        <v>12630.407</v>
      </c>
      <c r="H24" s="4">
        <f>IFERROR(AVERAGEIFS($I$2:$I$21,$H$2:$H$21,"&lt;&gt; -1"),0)</f>
        <v>0</v>
      </c>
      <c r="I24" s="4">
        <f>_xlfn.MAXIFS($B$2:$B$21,$B$2:$B$21,"&lt; 200")</f>
        <v>190.72</v>
      </c>
      <c r="J24" s="4">
        <f>_xlfn.MAXIFS($D$2:$D$21,$D$2:$D$21,"&lt; 200")</f>
        <v>190.38</v>
      </c>
      <c r="K24" s="4">
        <f>_xlfn.MAXIFS($F$2:$F$21,$F$2:$F$21,"&lt; 200")</f>
        <v>189.91</v>
      </c>
      <c r="L24" s="4">
        <f>_xlfn.MAXIFS($H$2:$H$21,$H$2:$H$21,"&lt;&gt; -1")</f>
        <v>0</v>
      </c>
      <c r="M24" s="4">
        <f>_xlfn.MINIFS($B$2:$B$21,$B$2:$B$21,"&lt;200")</f>
        <v>159.49</v>
      </c>
      <c r="N24" s="4">
        <f>_xlfn.MINIFS($D$2:$D$21,$D$2:$D$21,"&lt;200")</f>
        <v>159.53</v>
      </c>
      <c r="O24" s="4">
        <f>_xlfn.MINIFS($F$2:$F$21,$F$2:$F$21,"&lt;200")</f>
        <v>158.94</v>
      </c>
      <c r="P24" s="4">
        <f>_xlfn.MINIFS($H$2:$H$21,$H$2:$H$21,"&lt;&gt; -1")</f>
        <v>0</v>
      </c>
      <c r="Q24" s="4">
        <f>_xlfn.MAXIFS($C$2:$C$21,$B$2:$B$21,"&lt; 200")</f>
        <v>11863.8</v>
      </c>
      <c r="R24" s="4">
        <f>_xlfn.MAXIFS($E$2:$E$21,D2:D21,"&lt; 200")</f>
        <v>11863.8</v>
      </c>
      <c r="S24" s="4">
        <f>_xlfn.MAXIFS($G$2:$G$21,$F$2:$F$21,"&lt; 200")</f>
        <v>13299.47</v>
      </c>
      <c r="T24" s="4">
        <f>_xlfn.MAXIFS($I$2:$I$21,$H$2:$H$21,"&lt;&gt; -1")</f>
        <v>0</v>
      </c>
      <c r="U24" s="4">
        <f>_xlfn.MINIFS($C$2:$C$21,$B$2:$B$21,"&lt;200")</f>
        <v>10226.33</v>
      </c>
      <c r="V24" s="4">
        <f>_xlfn.MINIFS($E$2:$E$21,$D$2:$D$21,"&lt;200")</f>
        <v>10226.33</v>
      </c>
      <c r="W24" s="4">
        <f>_xlfn.MINIFS($G$2:$G$21,$F$2:$F$21,"&lt;200")</f>
        <v>11470.79</v>
      </c>
      <c r="X24" s="4">
        <f>_xlfn.MINIFS($I$2:$I$21,$H$2:$H$21,"&lt;&gt; -1")</f>
        <v>0</v>
      </c>
      <c r="Y24" s="4">
        <f>(COUNTIFS($B$2:$B$21,"&gt;0.0",$B$2:$B$21,"&lt;200.0"))/20</f>
        <v>1</v>
      </c>
      <c r="Z24" s="4">
        <f>(COUNTIFS($D$2:$D$21,"&gt;0.0",$D$2:$D$21,"&lt;200.0"))/20</f>
        <v>1</v>
      </c>
      <c r="AA24" s="4">
        <f>(COUNTIFS($F$2:$F$21,"&gt;0.0",$F$2:$F$21,"&lt;200.0"))/20</f>
        <v>1</v>
      </c>
      <c r="AB24" s="4">
        <f>(COUNTIFS($H$2:$H$21,"&gt;0.0",$H$2:$H$21,"&lt;200.0"))/20</f>
        <v>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24"/>
  <sheetViews>
    <sheetView workbookViewId="0">
      <selection activeCell="A24" sqref="$A24:$XFD24"/>
    </sheetView>
  </sheetViews>
  <sheetFormatPr defaultColWidth="9" defaultRowHeight="14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186.66</v>
      </c>
      <c r="C2">
        <v>10427.65</v>
      </c>
      <c r="D2">
        <v>186.72</v>
      </c>
      <c r="E2">
        <v>10427.65</v>
      </c>
      <c r="F2">
        <v>186.24</v>
      </c>
      <c r="G2">
        <v>11747.98</v>
      </c>
      <c r="H2">
        <v>-1</v>
      </c>
      <c r="I2">
        <v>5581.29</v>
      </c>
    </row>
    <row r="3" spans="1:9">
      <c r="A3" t="s">
        <v>10</v>
      </c>
      <c r="B3">
        <v>204.97</v>
      </c>
      <c r="C3">
        <v>11692.72</v>
      </c>
      <c r="D3">
        <v>205.07</v>
      </c>
      <c r="E3">
        <v>11692.72</v>
      </c>
      <c r="F3">
        <v>204.27</v>
      </c>
      <c r="G3">
        <v>13191.78</v>
      </c>
      <c r="H3">
        <v>-1</v>
      </c>
      <c r="I3">
        <v>5612.98</v>
      </c>
    </row>
    <row r="4" spans="1:9">
      <c r="A4" t="s">
        <v>11</v>
      </c>
      <c r="B4">
        <v>205.89</v>
      </c>
      <c r="C4">
        <v>11254.54</v>
      </c>
      <c r="D4">
        <v>205.88</v>
      </c>
      <c r="E4">
        <v>11254.54</v>
      </c>
      <c r="F4">
        <v>205.3</v>
      </c>
      <c r="G4">
        <v>12696.59</v>
      </c>
      <c r="H4">
        <v>-1</v>
      </c>
      <c r="I4">
        <v>5876.35</v>
      </c>
    </row>
    <row r="5" spans="1:9">
      <c r="A5" t="s">
        <v>12</v>
      </c>
      <c r="B5">
        <v>210.12</v>
      </c>
      <c r="C5">
        <v>11458.94</v>
      </c>
      <c r="D5">
        <v>210.21</v>
      </c>
      <c r="E5">
        <v>11458.94</v>
      </c>
      <c r="F5">
        <v>209.46</v>
      </c>
      <c r="G5">
        <v>12929.65</v>
      </c>
      <c r="H5">
        <v>-1</v>
      </c>
      <c r="I5">
        <v>6478.86</v>
      </c>
    </row>
    <row r="6" spans="1:9">
      <c r="A6" t="s">
        <v>13</v>
      </c>
      <c r="B6">
        <v>202.9</v>
      </c>
      <c r="C6">
        <v>11136.81</v>
      </c>
      <c r="D6">
        <v>202.93</v>
      </c>
      <c r="E6">
        <v>11136.81</v>
      </c>
      <c r="F6">
        <v>202.37</v>
      </c>
      <c r="G6">
        <v>12539.72</v>
      </c>
      <c r="H6">
        <v>-1</v>
      </c>
      <c r="I6">
        <v>5828.86</v>
      </c>
    </row>
    <row r="7" spans="1:9">
      <c r="A7" t="s">
        <v>14</v>
      </c>
      <c r="B7">
        <v>210.65</v>
      </c>
      <c r="C7">
        <v>10640.48</v>
      </c>
      <c r="D7">
        <v>210.57</v>
      </c>
      <c r="E7">
        <v>10640.48</v>
      </c>
      <c r="F7">
        <v>210.1</v>
      </c>
      <c r="G7">
        <v>12035.26</v>
      </c>
      <c r="H7">
        <v>-1</v>
      </c>
      <c r="I7">
        <v>5282.07</v>
      </c>
    </row>
    <row r="8" spans="1:9">
      <c r="A8" t="s">
        <v>15</v>
      </c>
      <c r="B8">
        <v>204.61</v>
      </c>
      <c r="C8">
        <v>10891.95</v>
      </c>
      <c r="D8">
        <v>204.44</v>
      </c>
      <c r="E8">
        <v>10891.95</v>
      </c>
      <c r="F8">
        <v>204.1</v>
      </c>
      <c r="G8">
        <v>12212.91</v>
      </c>
      <c r="H8">
        <v>-1</v>
      </c>
      <c r="I8">
        <v>8380.11</v>
      </c>
    </row>
    <row r="9" spans="1:9">
      <c r="A9" t="s">
        <v>16</v>
      </c>
      <c r="B9">
        <v>204.15</v>
      </c>
      <c r="C9">
        <v>11315.05</v>
      </c>
      <c r="D9">
        <v>204.29</v>
      </c>
      <c r="E9">
        <v>11315.05</v>
      </c>
      <c r="F9">
        <v>203.56</v>
      </c>
      <c r="G9">
        <v>12691.65</v>
      </c>
      <c r="H9">
        <v>-1</v>
      </c>
      <c r="I9">
        <v>7762.46</v>
      </c>
    </row>
    <row r="10" spans="1:9">
      <c r="A10" t="s">
        <v>17</v>
      </c>
      <c r="B10">
        <v>199.31</v>
      </c>
      <c r="C10">
        <v>11224.26</v>
      </c>
      <c r="D10">
        <v>199.64</v>
      </c>
      <c r="E10">
        <v>11224.26</v>
      </c>
      <c r="F10">
        <v>198.85</v>
      </c>
      <c r="G10">
        <v>12549.4</v>
      </c>
      <c r="H10">
        <v>-1</v>
      </c>
      <c r="I10">
        <v>5721.41</v>
      </c>
    </row>
    <row r="11" spans="1:9">
      <c r="A11" t="s">
        <v>18</v>
      </c>
      <c r="B11">
        <v>198.43</v>
      </c>
      <c r="C11">
        <v>11715.81</v>
      </c>
      <c r="D11">
        <v>198.5</v>
      </c>
      <c r="E11">
        <v>11715.81</v>
      </c>
      <c r="F11">
        <v>198.03</v>
      </c>
      <c r="G11">
        <v>13179.07</v>
      </c>
      <c r="H11">
        <v>-1</v>
      </c>
      <c r="I11">
        <v>4485.17</v>
      </c>
    </row>
    <row r="12" spans="1:9">
      <c r="A12" t="s">
        <v>19</v>
      </c>
      <c r="B12">
        <v>209.39</v>
      </c>
      <c r="C12">
        <v>11865.49</v>
      </c>
      <c r="D12">
        <v>209.38</v>
      </c>
      <c r="E12">
        <v>11865.49</v>
      </c>
      <c r="F12">
        <v>208.77</v>
      </c>
      <c r="G12">
        <v>13407.04</v>
      </c>
      <c r="H12">
        <v>-1</v>
      </c>
      <c r="I12">
        <v>6927.73</v>
      </c>
    </row>
    <row r="13" spans="1:9">
      <c r="A13" t="s">
        <v>20</v>
      </c>
      <c r="B13">
        <v>201.24</v>
      </c>
      <c r="C13">
        <v>11307.19</v>
      </c>
      <c r="D13">
        <v>201.25</v>
      </c>
      <c r="E13">
        <v>11307.19</v>
      </c>
      <c r="F13">
        <v>200.61</v>
      </c>
      <c r="G13">
        <v>12788.75</v>
      </c>
      <c r="H13">
        <v>-1</v>
      </c>
      <c r="I13">
        <v>3957.55</v>
      </c>
    </row>
    <row r="14" spans="1:9">
      <c r="A14" t="s">
        <v>21</v>
      </c>
      <c r="B14">
        <v>195.48</v>
      </c>
      <c r="C14">
        <v>10792</v>
      </c>
      <c r="D14">
        <v>195.44</v>
      </c>
      <c r="E14">
        <v>10792</v>
      </c>
      <c r="F14">
        <v>194.77</v>
      </c>
      <c r="G14">
        <v>12161.26</v>
      </c>
      <c r="H14">
        <v>-1</v>
      </c>
      <c r="I14">
        <v>5543.04</v>
      </c>
    </row>
    <row r="15" spans="1:9">
      <c r="A15" t="s">
        <v>22</v>
      </c>
      <c r="B15">
        <v>196.37</v>
      </c>
      <c r="C15">
        <v>11128.97</v>
      </c>
      <c r="D15">
        <v>196.39</v>
      </c>
      <c r="E15">
        <v>11128.97</v>
      </c>
      <c r="F15">
        <v>195.76</v>
      </c>
      <c r="G15">
        <v>12485.44</v>
      </c>
      <c r="H15">
        <v>-1</v>
      </c>
      <c r="I15">
        <v>8937.63</v>
      </c>
    </row>
    <row r="16" spans="1:9">
      <c r="A16" t="s">
        <v>23</v>
      </c>
      <c r="B16">
        <v>203.28</v>
      </c>
      <c r="C16">
        <v>11247.32</v>
      </c>
      <c r="D16">
        <v>203.19</v>
      </c>
      <c r="E16">
        <v>11247.32</v>
      </c>
      <c r="F16">
        <v>202.62</v>
      </c>
      <c r="G16">
        <v>12624</v>
      </c>
      <c r="H16">
        <v>-1</v>
      </c>
      <c r="I16">
        <v>9585.57</v>
      </c>
    </row>
    <row r="17" spans="1:9">
      <c r="A17" t="s">
        <v>24</v>
      </c>
      <c r="B17">
        <v>203.16</v>
      </c>
      <c r="C17">
        <v>10725.75</v>
      </c>
      <c r="D17">
        <v>203.1</v>
      </c>
      <c r="E17">
        <v>10725.75</v>
      </c>
      <c r="F17">
        <v>202.57</v>
      </c>
      <c r="G17">
        <v>12152.07</v>
      </c>
      <c r="H17">
        <v>-1</v>
      </c>
      <c r="I17">
        <v>4946.4</v>
      </c>
    </row>
    <row r="18" spans="1:9">
      <c r="A18" t="s">
        <v>25</v>
      </c>
      <c r="B18">
        <v>211.96</v>
      </c>
      <c r="C18">
        <v>11575.99</v>
      </c>
      <c r="D18">
        <v>212.06</v>
      </c>
      <c r="E18">
        <v>11575.99</v>
      </c>
      <c r="F18">
        <v>211.35</v>
      </c>
      <c r="G18">
        <v>13007.63</v>
      </c>
      <c r="H18">
        <v>-1</v>
      </c>
      <c r="I18">
        <v>4893.83</v>
      </c>
    </row>
    <row r="19" spans="1:9">
      <c r="A19" t="s">
        <v>26</v>
      </c>
      <c r="B19">
        <v>204.65</v>
      </c>
      <c r="C19">
        <v>11644.88</v>
      </c>
      <c r="D19">
        <v>204.71</v>
      </c>
      <c r="E19">
        <v>11644.88</v>
      </c>
      <c r="F19">
        <v>203.85</v>
      </c>
      <c r="G19">
        <v>13062.14</v>
      </c>
      <c r="H19">
        <v>-1</v>
      </c>
      <c r="I19">
        <v>4974.91</v>
      </c>
    </row>
    <row r="20" spans="1:9">
      <c r="A20" t="s">
        <v>27</v>
      </c>
      <c r="B20">
        <v>200.82</v>
      </c>
      <c r="C20">
        <v>11508.03</v>
      </c>
      <c r="D20">
        <v>200.97</v>
      </c>
      <c r="E20">
        <v>11508.03</v>
      </c>
      <c r="F20">
        <v>200.18</v>
      </c>
      <c r="G20">
        <v>12796.17</v>
      </c>
      <c r="H20">
        <v>-1</v>
      </c>
      <c r="I20">
        <v>4809.55</v>
      </c>
    </row>
    <row r="21" spans="1:9">
      <c r="A21" t="s">
        <v>28</v>
      </c>
      <c r="B21">
        <v>204.1</v>
      </c>
      <c r="C21">
        <v>10788.86</v>
      </c>
      <c r="D21">
        <v>204.22</v>
      </c>
      <c r="E21">
        <v>10788.86</v>
      </c>
      <c r="F21">
        <v>203.72</v>
      </c>
      <c r="G21">
        <v>12153.27</v>
      </c>
      <c r="H21">
        <v>-1</v>
      </c>
      <c r="I21">
        <v>4985.58</v>
      </c>
    </row>
    <row r="23" spans="1:28">
      <c r="A23" s="2" t="s">
        <v>29</v>
      </c>
      <c r="B23" s="2" t="s">
        <v>30</v>
      </c>
      <c r="C23" s="2" t="s">
        <v>31</v>
      </c>
      <c r="D23" s="3" t="s">
        <v>32</v>
      </c>
      <c r="E23" s="2" t="s">
        <v>33</v>
      </c>
      <c r="F23" s="2" t="s">
        <v>34</v>
      </c>
      <c r="G23" s="2" t="s">
        <v>35</v>
      </c>
      <c r="H23" s="3" t="s">
        <v>36</v>
      </c>
      <c r="I23" s="2" t="s">
        <v>37</v>
      </c>
      <c r="J23" s="2" t="s">
        <v>38</v>
      </c>
      <c r="K23" s="2" t="s">
        <v>39</v>
      </c>
      <c r="L23" s="3" t="s">
        <v>40</v>
      </c>
      <c r="M23" s="2" t="s">
        <v>41</v>
      </c>
      <c r="N23" s="2" t="s">
        <v>42</v>
      </c>
      <c r="O23" s="2" t="s">
        <v>43</v>
      </c>
      <c r="P23" s="3" t="s">
        <v>44</v>
      </c>
      <c r="Q23" s="2" t="s">
        <v>45</v>
      </c>
      <c r="R23" s="2" t="s">
        <v>46</v>
      </c>
      <c r="S23" s="2" t="s">
        <v>47</v>
      </c>
      <c r="T23" s="3" t="s">
        <v>48</v>
      </c>
      <c r="U23" s="2" t="s">
        <v>49</v>
      </c>
      <c r="V23" s="2" t="s">
        <v>50</v>
      </c>
      <c r="W23" s="2" t="s">
        <v>51</v>
      </c>
      <c r="X23" s="3" t="s">
        <v>52</v>
      </c>
      <c r="Y23" s="3" t="s">
        <v>53</v>
      </c>
      <c r="Z23" s="3" t="s">
        <v>54</v>
      </c>
      <c r="AA23" s="3" t="s">
        <v>55</v>
      </c>
      <c r="AB23" s="3" t="s">
        <v>56</v>
      </c>
    </row>
    <row r="24" spans="1:28">
      <c r="A24" s="4">
        <f>IFERROR(AVERAGEIF($B$2:$B$21,"&lt;200"),0)</f>
        <v>195.25</v>
      </c>
      <c r="B24" s="4">
        <f>IFERROR(AVERAGEIF($D$2:$D$21,"&lt;200"),0)</f>
        <v>195.338</v>
      </c>
      <c r="C24" s="4">
        <f>IFERROR(AVERAGEIF($F$2:$F$21,"&lt;200"),0)</f>
        <v>194.73</v>
      </c>
      <c r="D24" s="4">
        <f>IFERROR(AVERAGEIF($H$2:$H$21,"&lt;&gt;-1"),0)</f>
        <v>0</v>
      </c>
      <c r="E24" s="4">
        <f>IFERROR(AVERAGEIFS($C$2:$C$21,$B$2:$B$21,"&lt;200"),0)</f>
        <v>11057.738</v>
      </c>
      <c r="F24" s="4">
        <f>IFERROR(AVERAGEIFS($E$2:$E$21,$D$2:$D$21,"&lt;200"),0)</f>
        <v>11057.738</v>
      </c>
      <c r="G24" s="4">
        <f>IFERROR(AVERAGEIFS($G$2:$G$21,$F$2:$F$21,"&lt;200"),0)</f>
        <v>12424.63</v>
      </c>
      <c r="H24" s="4">
        <f>IFERROR(AVERAGEIFS($I$2:$I$21,$H$2:$H$21,"&lt;&gt; -1"),0)</f>
        <v>0</v>
      </c>
      <c r="I24" s="4">
        <f>_xlfn.MAXIFS($B$2:$B$21,$B$2:$B$21,"&lt; 200")</f>
        <v>199.31</v>
      </c>
      <c r="J24" s="4">
        <f>_xlfn.MAXIFS($D$2:$D$21,$D$2:$D$21,"&lt; 200")</f>
        <v>199.64</v>
      </c>
      <c r="K24" s="4">
        <f>_xlfn.MAXIFS($F$2:$F$21,$F$2:$F$21,"&lt; 200")</f>
        <v>198.85</v>
      </c>
      <c r="L24" s="4">
        <f>_xlfn.MAXIFS($H$2:$H$21,$H$2:$H$21,"&lt;&gt; -1")</f>
        <v>0</v>
      </c>
      <c r="M24" s="4">
        <f>_xlfn.MINIFS($B$2:$B$21,$B$2:$B$21,"&lt;200")</f>
        <v>186.66</v>
      </c>
      <c r="N24" s="4">
        <f>_xlfn.MINIFS($D$2:$D$21,$D$2:$D$21,"&lt;200")</f>
        <v>186.72</v>
      </c>
      <c r="O24" s="4">
        <f>_xlfn.MINIFS($F$2:$F$21,$F$2:$F$21,"&lt;200")</f>
        <v>186.24</v>
      </c>
      <c r="P24" s="4">
        <f>_xlfn.MINIFS($H$2:$H$21,$H$2:$H$21,"&lt;&gt; -1")</f>
        <v>0</v>
      </c>
      <c r="Q24" s="4">
        <f>_xlfn.MAXIFS($C$2:$C$21,$B$2:$B$21,"&lt; 200")</f>
        <v>11715.81</v>
      </c>
      <c r="R24" s="4">
        <f>_xlfn.MAXIFS($E$2:$E$21,D2:D21,"&lt; 200")</f>
        <v>11715.81</v>
      </c>
      <c r="S24" s="4">
        <f>_xlfn.MAXIFS($G$2:$G$21,$F$2:$F$21,"&lt; 200")</f>
        <v>13179.07</v>
      </c>
      <c r="T24" s="4">
        <f>_xlfn.MAXIFS($I$2:$I$21,$H$2:$H$21,"&lt;&gt; -1")</f>
        <v>0</v>
      </c>
      <c r="U24" s="4">
        <f>_xlfn.MINIFS($C$2:$C$21,$B$2:$B$21,"&lt;200")</f>
        <v>10427.65</v>
      </c>
      <c r="V24" s="4">
        <f>_xlfn.MINIFS($E$2:$E$21,$D$2:$D$21,"&lt;200")</f>
        <v>10427.65</v>
      </c>
      <c r="W24" s="4">
        <f>_xlfn.MINIFS($G$2:$G$21,$F$2:$F$21,"&lt;200")</f>
        <v>11747.98</v>
      </c>
      <c r="X24" s="4">
        <f>_xlfn.MINIFS($I$2:$I$21,$H$2:$H$21,"&lt;&gt; -1")</f>
        <v>0</v>
      </c>
      <c r="Y24" s="4">
        <f>(COUNTIFS($B$2:$B$21,"&gt;0.0",$B$2:$B$21,"&lt;200.0"))/20</f>
        <v>0.25</v>
      </c>
      <c r="Z24" s="4">
        <f>(COUNTIFS($D$2:$D$21,"&gt;0.0",$D$2:$D$21,"&lt;200.0"))/20</f>
        <v>0.25</v>
      </c>
      <c r="AA24" s="4">
        <f>(COUNTIFS($F$2:$F$21,"&gt;0.0",$F$2:$F$21,"&lt;200.0"))/20</f>
        <v>0.25</v>
      </c>
      <c r="AB24" s="4">
        <f>(COUNTIFS($H$2:$H$21,"&gt;0.0",$H$2:$H$21,"&lt;200.0"))/20</f>
        <v>0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24"/>
  <sheetViews>
    <sheetView workbookViewId="0">
      <selection activeCell="A24" sqref="$A24:$XFD24"/>
    </sheetView>
  </sheetViews>
  <sheetFormatPr defaultColWidth="9" defaultRowHeight="14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225.54</v>
      </c>
      <c r="C2">
        <v>11421.84</v>
      </c>
      <c r="D2">
        <v>225.44</v>
      </c>
      <c r="E2">
        <v>11421.84</v>
      </c>
      <c r="F2">
        <v>224.71</v>
      </c>
      <c r="G2">
        <v>12850.28</v>
      </c>
      <c r="H2">
        <v>-1</v>
      </c>
      <c r="I2">
        <v>4251.67</v>
      </c>
    </row>
    <row r="3" spans="1:9">
      <c r="A3" t="s">
        <v>10</v>
      </c>
      <c r="B3">
        <v>234.94</v>
      </c>
      <c r="C3">
        <v>12129.49</v>
      </c>
      <c r="D3">
        <v>234.92</v>
      </c>
      <c r="E3">
        <v>12129.49</v>
      </c>
      <c r="F3">
        <v>234.52</v>
      </c>
      <c r="G3">
        <v>13649.5</v>
      </c>
      <c r="H3">
        <v>-1</v>
      </c>
      <c r="I3">
        <v>4039.64</v>
      </c>
    </row>
    <row r="4" spans="1:9">
      <c r="A4" t="s">
        <v>11</v>
      </c>
      <c r="B4">
        <v>235.73</v>
      </c>
      <c r="C4">
        <v>11577.95</v>
      </c>
      <c r="D4">
        <v>235.88</v>
      </c>
      <c r="E4">
        <v>11577.95</v>
      </c>
      <c r="F4">
        <v>234.84</v>
      </c>
      <c r="G4">
        <v>13031.96</v>
      </c>
      <c r="H4">
        <v>-1</v>
      </c>
      <c r="I4">
        <v>3764.81</v>
      </c>
    </row>
    <row r="5" spans="1:9">
      <c r="A5" t="s">
        <v>12</v>
      </c>
      <c r="B5">
        <v>241.78</v>
      </c>
      <c r="C5">
        <v>11692.45</v>
      </c>
      <c r="D5">
        <v>241.68</v>
      </c>
      <c r="E5">
        <v>11692.45</v>
      </c>
      <c r="F5">
        <v>240.63</v>
      </c>
      <c r="G5">
        <v>13193.57</v>
      </c>
      <c r="H5">
        <v>-1</v>
      </c>
      <c r="I5">
        <v>4683.22</v>
      </c>
    </row>
    <row r="6" spans="1:9">
      <c r="A6" t="s">
        <v>13</v>
      </c>
      <c r="B6">
        <v>239.27</v>
      </c>
      <c r="C6">
        <v>11782.4</v>
      </c>
      <c r="D6">
        <v>239.2</v>
      </c>
      <c r="E6">
        <v>11782.4</v>
      </c>
      <c r="F6">
        <v>238.34</v>
      </c>
      <c r="G6">
        <v>13311</v>
      </c>
      <c r="H6">
        <v>-1</v>
      </c>
      <c r="I6">
        <v>5240.93</v>
      </c>
    </row>
    <row r="7" spans="1:9">
      <c r="A7" t="s">
        <v>14</v>
      </c>
      <c r="B7">
        <v>233.72</v>
      </c>
      <c r="C7">
        <v>11277.07</v>
      </c>
      <c r="D7">
        <v>233.64</v>
      </c>
      <c r="E7">
        <v>11277.07</v>
      </c>
      <c r="F7">
        <v>233.17</v>
      </c>
      <c r="G7">
        <v>12772.51</v>
      </c>
      <c r="H7">
        <v>-1</v>
      </c>
      <c r="I7">
        <v>8759.22</v>
      </c>
    </row>
    <row r="8" spans="1:9">
      <c r="A8" t="s">
        <v>15</v>
      </c>
      <c r="B8">
        <v>233.83</v>
      </c>
      <c r="C8">
        <v>11780.28</v>
      </c>
      <c r="D8">
        <v>233.9</v>
      </c>
      <c r="E8">
        <v>11780.28</v>
      </c>
      <c r="F8">
        <v>233.26</v>
      </c>
      <c r="G8">
        <v>13287.91</v>
      </c>
      <c r="H8">
        <v>-1</v>
      </c>
      <c r="I8">
        <v>6262.73</v>
      </c>
    </row>
    <row r="9" spans="1:9">
      <c r="A9" t="s">
        <v>16</v>
      </c>
      <c r="B9">
        <v>236.5</v>
      </c>
      <c r="C9">
        <v>11628.99</v>
      </c>
      <c r="D9">
        <v>236.67</v>
      </c>
      <c r="E9">
        <v>11628.99</v>
      </c>
      <c r="F9">
        <v>235.84</v>
      </c>
      <c r="G9">
        <v>13091.83</v>
      </c>
      <c r="H9">
        <v>-1</v>
      </c>
      <c r="I9">
        <v>4817.2</v>
      </c>
    </row>
    <row r="10" spans="1:9">
      <c r="A10" t="s">
        <v>17</v>
      </c>
      <c r="B10">
        <v>232.41</v>
      </c>
      <c r="C10">
        <v>10734.31</v>
      </c>
      <c r="D10">
        <v>232.32</v>
      </c>
      <c r="E10">
        <v>10734.31</v>
      </c>
      <c r="F10">
        <v>232.28</v>
      </c>
      <c r="G10">
        <v>12043.91</v>
      </c>
      <c r="H10">
        <v>-1</v>
      </c>
      <c r="I10">
        <v>2845.85</v>
      </c>
    </row>
    <row r="11" spans="1:9">
      <c r="A11" t="s">
        <v>18</v>
      </c>
      <c r="B11">
        <v>239.04</v>
      </c>
      <c r="C11">
        <v>11105.87</v>
      </c>
      <c r="D11">
        <v>239.13</v>
      </c>
      <c r="E11">
        <v>11105.87</v>
      </c>
      <c r="F11">
        <v>238.21</v>
      </c>
      <c r="G11">
        <v>12472.98</v>
      </c>
      <c r="H11">
        <v>-1</v>
      </c>
      <c r="I11">
        <v>5334.64</v>
      </c>
    </row>
    <row r="12" spans="1:9">
      <c r="A12" t="s">
        <v>19</v>
      </c>
      <c r="B12">
        <v>238.39</v>
      </c>
      <c r="C12">
        <v>11594.49</v>
      </c>
      <c r="D12">
        <v>238.36</v>
      </c>
      <c r="E12">
        <v>11594.49</v>
      </c>
      <c r="F12">
        <v>237.63</v>
      </c>
      <c r="G12">
        <v>13138.72</v>
      </c>
      <c r="H12">
        <v>-1</v>
      </c>
      <c r="I12">
        <v>3281.24</v>
      </c>
    </row>
    <row r="13" spans="1:9">
      <c r="A13" t="s">
        <v>20</v>
      </c>
      <c r="B13">
        <v>248.64</v>
      </c>
      <c r="C13">
        <v>11403.25</v>
      </c>
      <c r="D13">
        <v>247.97</v>
      </c>
      <c r="E13">
        <v>11403.25</v>
      </c>
      <c r="F13">
        <v>247.18</v>
      </c>
      <c r="G13">
        <v>12868.53</v>
      </c>
      <c r="H13">
        <v>-1</v>
      </c>
      <c r="I13">
        <v>4675.75</v>
      </c>
    </row>
    <row r="14" spans="1:9">
      <c r="A14" t="s">
        <v>21</v>
      </c>
      <c r="B14">
        <v>218.31</v>
      </c>
      <c r="C14">
        <v>11367.4</v>
      </c>
      <c r="D14">
        <v>218.2</v>
      </c>
      <c r="E14">
        <v>11367.4</v>
      </c>
      <c r="F14">
        <v>217.48</v>
      </c>
      <c r="G14">
        <v>12792.39</v>
      </c>
      <c r="H14">
        <v>-1</v>
      </c>
      <c r="I14">
        <v>4767.11</v>
      </c>
    </row>
    <row r="15" spans="1:9">
      <c r="A15" t="s">
        <v>22</v>
      </c>
      <c r="B15">
        <v>225.85</v>
      </c>
      <c r="C15">
        <v>11095.24</v>
      </c>
      <c r="D15">
        <v>225.92</v>
      </c>
      <c r="E15">
        <v>11095.24</v>
      </c>
      <c r="F15">
        <v>225.33</v>
      </c>
      <c r="G15">
        <v>12411.98</v>
      </c>
      <c r="H15">
        <v>-1</v>
      </c>
      <c r="I15">
        <v>2952.75</v>
      </c>
    </row>
    <row r="16" spans="1:9">
      <c r="A16" t="s">
        <v>23</v>
      </c>
      <c r="B16">
        <v>234.22</v>
      </c>
      <c r="C16">
        <v>12515.97</v>
      </c>
      <c r="D16">
        <v>234.11</v>
      </c>
      <c r="E16">
        <v>12515.97</v>
      </c>
      <c r="F16">
        <v>233.4</v>
      </c>
      <c r="G16">
        <v>14021.6</v>
      </c>
      <c r="H16">
        <v>-1</v>
      </c>
      <c r="I16">
        <v>5150.25</v>
      </c>
    </row>
    <row r="17" spans="1:9">
      <c r="A17" t="s">
        <v>24</v>
      </c>
      <c r="B17">
        <v>222.63</v>
      </c>
      <c r="C17">
        <v>11033.02</v>
      </c>
      <c r="D17">
        <v>222.71</v>
      </c>
      <c r="E17">
        <v>11033.02</v>
      </c>
      <c r="F17">
        <v>221.89</v>
      </c>
      <c r="G17">
        <v>12487.55</v>
      </c>
      <c r="H17">
        <v>-1</v>
      </c>
      <c r="I17">
        <v>4527.63</v>
      </c>
    </row>
    <row r="18" spans="1:9">
      <c r="A18" t="s">
        <v>25</v>
      </c>
      <c r="B18">
        <v>228.28</v>
      </c>
      <c r="C18">
        <v>11850.46</v>
      </c>
      <c r="D18">
        <v>228.4</v>
      </c>
      <c r="E18">
        <v>11850.46</v>
      </c>
      <c r="F18">
        <v>227.73</v>
      </c>
      <c r="G18">
        <v>13309.37</v>
      </c>
      <c r="H18">
        <v>-1</v>
      </c>
      <c r="I18">
        <v>5595.04</v>
      </c>
    </row>
    <row r="19" spans="1:9">
      <c r="A19" t="s">
        <v>26</v>
      </c>
      <c r="B19">
        <v>219.46</v>
      </c>
      <c r="C19">
        <v>11533.26</v>
      </c>
      <c r="D19">
        <v>219.55</v>
      </c>
      <c r="E19">
        <v>11533.26</v>
      </c>
      <c r="F19">
        <v>218.94</v>
      </c>
      <c r="G19">
        <v>13002.34</v>
      </c>
      <c r="H19">
        <v>-1</v>
      </c>
      <c r="I19">
        <v>2976.31</v>
      </c>
    </row>
    <row r="20" spans="1:9">
      <c r="A20" t="s">
        <v>27</v>
      </c>
      <c r="B20">
        <v>224.87</v>
      </c>
      <c r="C20">
        <v>11547.72</v>
      </c>
      <c r="D20">
        <v>225.57</v>
      </c>
      <c r="E20">
        <v>11547.72</v>
      </c>
      <c r="F20">
        <v>224.64</v>
      </c>
      <c r="G20">
        <v>12958.3</v>
      </c>
      <c r="H20">
        <v>-1</v>
      </c>
      <c r="I20">
        <v>5674.57</v>
      </c>
    </row>
    <row r="21" spans="1:9">
      <c r="A21" t="s">
        <v>28</v>
      </c>
      <c r="B21">
        <v>225.36</v>
      </c>
      <c r="C21">
        <v>11294.82</v>
      </c>
      <c r="D21">
        <v>225.66</v>
      </c>
      <c r="E21">
        <v>11294.82</v>
      </c>
      <c r="F21">
        <v>224.91</v>
      </c>
      <c r="G21">
        <v>12743.47</v>
      </c>
      <c r="H21">
        <v>-1</v>
      </c>
      <c r="I21">
        <v>4402.25</v>
      </c>
    </row>
    <row r="23" spans="1:28">
      <c r="A23" s="2" t="s">
        <v>29</v>
      </c>
      <c r="B23" s="2" t="s">
        <v>30</v>
      </c>
      <c r="C23" s="2" t="s">
        <v>31</v>
      </c>
      <c r="D23" s="3" t="s">
        <v>32</v>
      </c>
      <c r="E23" s="2" t="s">
        <v>33</v>
      </c>
      <c r="F23" s="2" t="s">
        <v>34</v>
      </c>
      <c r="G23" s="2" t="s">
        <v>35</v>
      </c>
      <c r="H23" s="3" t="s">
        <v>36</v>
      </c>
      <c r="I23" s="2" t="s">
        <v>37</v>
      </c>
      <c r="J23" s="2" t="s">
        <v>38</v>
      </c>
      <c r="K23" s="2" t="s">
        <v>39</v>
      </c>
      <c r="L23" s="3" t="s">
        <v>40</v>
      </c>
      <c r="M23" s="2" t="s">
        <v>41</v>
      </c>
      <c r="N23" s="2" t="s">
        <v>42</v>
      </c>
      <c r="O23" s="2" t="s">
        <v>43</v>
      </c>
      <c r="P23" s="3" t="s">
        <v>44</v>
      </c>
      <c r="Q23" s="2" t="s">
        <v>45</v>
      </c>
      <c r="R23" s="2" t="s">
        <v>46</v>
      </c>
      <c r="S23" s="2" t="s">
        <v>47</v>
      </c>
      <c r="T23" s="3" t="s">
        <v>48</v>
      </c>
      <c r="U23" s="2" t="s">
        <v>49</v>
      </c>
      <c r="V23" s="2" t="s">
        <v>50</v>
      </c>
      <c r="W23" s="2" t="s">
        <v>51</v>
      </c>
      <c r="X23" s="3" t="s">
        <v>52</v>
      </c>
      <c r="Y23" s="3" t="s">
        <v>53</v>
      </c>
      <c r="Z23" s="3" t="s">
        <v>54</v>
      </c>
      <c r="AA23" s="3" t="s">
        <v>55</v>
      </c>
      <c r="AB23" s="3" t="s">
        <v>56</v>
      </c>
    </row>
    <row r="24" spans="1:28">
      <c r="A24" s="4">
        <f>IFERROR(AVERAGEIF($B$2:$B$21,"&lt;200"),0)</f>
        <v>0</v>
      </c>
      <c r="B24" s="4">
        <f>IFERROR(AVERAGEIF($D$2:$D$21,"&lt;200"),0)</f>
        <v>0</v>
      </c>
      <c r="C24" s="4">
        <f>IFERROR(AVERAGEIF($F$2:$F$21,"&lt;200"),0)</f>
        <v>0</v>
      </c>
      <c r="D24" s="4">
        <f>IFERROR(AVERAGEIF($H$2:$H$21,"&lt;&gt;-1"),0)</f>
        <v>0</v>
      </c>
      <c r="E24" s="4">
        <f>IFERROR(AVERAGEIFS($C$2:$C$21,$B$2:$B$21,"&lt;200"),0)</f>
        <v>0</v>
      </c>
      <c r="F24" s="4">
        <f>IFERROR(AVERAGEIFS($E$2:$E$21,$D$2:$D$21,"&lt;200"),0)</f>
        <v>0</v>
      </c>
      <c r="G24" s="4">
        <f>IFERROR(AVERAGEIFS($G$2:$G$21,$F$2:$F$21,"&lt;200"),0)</f>
        <v>0</v>
      </c>
      <c r="H24" s="4">
        <f>IFERROR(AVERAGEIFS($I$2:$I$21,$H$2:$H$21,"&lt;&gt; -1"),0)</f>
        <v>0</v>
      </c>
      <c r="I24" s="4">
        <f>_xlfn.MAXIFS($B$2:$B$21,$B$2:$B$21,"&lt; 200")</f>
        <v>0</v>
      </c>
      <c r="J24" s="4">
        <f>_xlfn.MAXIFS($D$2:$D$21,$D$2:$D$21,"&lt; 200")</f>
        <v>0</v>
      </c>
      <c r="K24" s="4">
        <f>_xlfn.MAXIFS($F$2:$F$21,$F$2:$F$21,"&lt; 200")</f>
        <v>0</v>
      </c>
      <c r="L24" s="4">
        <f>_xlfn.MAXIFS($H$2:$H$21,$H$2:$H$21,"&lt;&gt; -1")</f>
        <v>0</v>
      </c>
      <c r="M24" s="4">
        <f>_xlfn.MINIFS($B$2:$B$21,$B$2:$B$21,"&lt;200")</f>
        <v>0</v>
      </c>
      <c r="N24" s="4">
        <f>_xlfn.MINIFS($D$2:$D$21,$D$2:$D$21,"&lt;200")</f>
        <v>0</v>
      </c>
      <c r="O24" s="4">
        <f>_xlfn.MINIFS($F$2:$F$21,$F$2:$F$21,"&lt;200")</f>
        <v>0</v>
      </c>
      <c r="P24" s="4">
        <f>_xlfn.MINIFS($H$2:$H$21,$H$2:$H$21,"&lt;&gt; -1")</f>
        <v>0</v>
      </c>
      <c r="Q24" s="4">
        <f>_xlfn.MAXIFS($C$2:$C$21,$B$2:$B$21,"&lt; 200")</f>
        <v>0</v>
      </c>
      <c r="R24" s="4">
        <f>_xlfn.MAXIFS($E$2:$E$21,D2:D21,"&lt; 200")</f>
        <v>0</v>
      </c>
      <c r="S24" s="4">
        <f>_xlfn.MAXIFS($G$2:$G$21,$F$2:$F$21,"&lt; 200")</f>
        <v>0</v>
      </c>
      <c r="T24" s="4">
        <f>_xlfn.MAXIFS($I$2:$I$21,$H$2:$H$21,"&lt;&gt; -1")</f>
        <v>0</v>
      </c>
      <c r="U24" s="4">
        <f>_xlfn.MINIFS($C$2:$C$21,$B$2:$B$21,"&lt;200")</f>
        <v>0</v>
      </c>
      <c r="V24" s="4">
        <f>_xlfn.MINIFS($E$2:$E$21,$D$2:$D$21,"&lt;200")</f>
        <v>0</v>
      </c>
      <c r="W24" s="4">
        <f>_xlfn.MINIFS($G$2:$G$21,$F$2:$F$21,"&lt;200")</f>
        <v>0</v>
      </c>
      <c r="X24" s="4">
        <f>_xlfn.MINIFS($I$2:$I$21,$H$2:$H$21,"&lt;&gt; -1")</f>
        <v>0</v>
      </c>
      <c r="Y24" s="4">
        <f>(COUNTIFS($B$2:$B$21,"&gt;0.0",$B$2:$B$21,"&lt;200.0"))/20</f>
        <v>0</v>
      </c>
      <c r="Z24" s="4">
        <f>(COUNTIFS($D$2:$D$21,"&gt;0.0",$D$2:$D$21,"&lt;200.0"))/20</f>
        <v>0</v>
      </c>
      <c r="AA24" s="4">
        <f>(COUNTIFS($F$2:$F$21,"&gt;0.0",$F$2:$F$21,"&lt;200.0"))/20</f>
        <v>0</v>
      </c>
      <c r="AB24" s="4">
        <f>(COUNTIFS($H$2:$H$21,"&gt;0.0",$H$2:$H$21,"&lt;200.0"))/20</f>
        <v>0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24"/>
  <sheetViews>
    <sheetView workbookViewId="0">
      <selection activeCell="A24" sqref="$A24:$XFD24"/>
    </sheetView>
  </sheetViews>
  <sheetFormatPr defaultColWidth="9" defaultRowHeight="14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246.09</v>
      </c>
      <c r="C2">
        <v>11885.43</v>
      </c>
      <c r="D2">
        <v>245.55</v>
      </c>
      <c r="E2">
        <v>11885.43</v>
      </c>
      <c r="F2">
        <v>244.89</v>
      </c>
      <c r="G2">
        <v>13378.16</v>
      </c>
      <c r="H2">
        <v>-1</v>
      </c>
      <c r="I2">
        <v>1434.14</v>
      </c>
    </row>
    <row r="3" spans="1:9">
      <c r="A3" t="s">
        <v>10</v>
      </c>
      <c r="B3">
        <v>261.11</v>
      </c>
      <c r="C3">
        <v>11486.12</v>
      </c>
      <c r="D3">
        <v>261.02</v>
      </c>
      <c r="E3">
        <v>11486.12</v>
      </c>
      <c r="F3">
        <v>260.57</v>
      </c>
      <c r="G3">
        <v>12984.29</v>
      </c>
      <c r="H3">
        <v>-1</v>
      </c>
      <c r="I3">
        <v>4279.95</v>
      </c>
    </row>
    <row r="4" spans="1:9">
      <c r="A4" t="s">
        <v>11</v>
      </c>
      <c r="B4">
        <v>262.8</v>
      </c>
      <c r="C4">
        <v>11859.14</v>
      </c>
      <c r="D4">
        <v>262.86</v>
      </c>
      <c r="E4">
        <v>11859.14</v>
      </c>
      <c r="F4">
        <v>262.27</v>
      </c>
      <c r="G4">
        <v>13413.21</v>
      </c>
      <c r="H4">
        <v>-1</v>
      </c>
      <c r="I4">
        <v>3899.9</v>
      </c>
    </row>
    <row r="5" spans="1:9">
      <c r="A5" t="s">
        <v>12</v>
      </c>
      <c r="B5">
        <v>257.05</v>
      </c>
      <c r="C5">
        <v>11632.81</v>
      </c>
      <c r="D5">
        <v>256.66</v>
      </c>
      <c r="E5">
        <v>11632.81</v>
      </c>
      <c r="F5">
        <v>255.88</v>
      </c>
      <c r="G5">
        <v>13099.55</v>
      </c>
      <c r="H5">
        <v>-1</v>
      </c>
      <c r="I5">
        <v>2939.57</v>
      </c>
    </row>
    <row r="6" spans="1:9">
      <c r="A6" t="s">
        <v>13</v>
      </c>
      <c r="B6">
        <v>261.16</v>
      </c>
      <c r="C6">
        <v>11476.71</v>
      </c>
      <c r="D6">
        <v>261.13</v>
      </c>
      <c r="E6">
        <v>11476.71</v>
      </c>
      <c r="F6">
        <v>260.63</v>
      </c>
      <c r="G6">
        <v>12849.02</v>
      </c>
      <c r="H6">
        <v>-1</v>
      </c>
      <c r="I6">
        <v>2313.51</v>
      </c>
    </row>
    <row r="7" spans="1:9">
      <c r="A7" t="s">
        <v>14</v>
      </c>
      <c r="B7">
        <v>253.08</v>
      </c>
      <c r="C7">
        <v>11697.52</v>
      </c>
      <c r="D7">
        <v>253.2</v>
      </c>
      <c r="E7">
        <v>11697.52</v>
      </c>
      <c r="F7">
        <v>252.38</v>
      </c>
      <c r="G7">
        <v>13252.34</v>
      </c>
      <c r="H7">
        <v>-1</v>
      </c>
      <c r="I7">
        <v>2809.43</v>
      </c>
    </row>
    <row r="8" spans="1:9">
      <c r="A8" t="s">
        <v>15</v>
      </c>
      <c r="B8">
        <v>248.01</v>
      </c>
      <c r="C8">
        <v>11225.01</v>
      </c>
      <c r="D8">
        <v>248.01</v>
      </c>
      <c r="E8">
        <v>11225.01</v>
      </c>
      <c r="F8">
        <v>247.47</v>
      </c>
      <c r="G8">
        <v>12635.54</v>
      </c>
      <c r="H8">
        <v>-1</v>
      </c>
      <c r="I8">
        <v>3065.81</v>
      </c>
    </row>
    <row r="9" spans="1:9">
      <c r="A9" t="s">
        <v>16</v>
      </c>
      <c r="B9">
        <v>258.19</v>
      </c>
      <c r="C9">
        <v>11104.95</v>
      </c>
      <c r="D9">
        <v>258.14</v>
      </c>
      <c r="E9">
        <v>11104.95</v>
      </c>
      <c r="F9">
        <v>257.41</v>
      </c>
      <c r="G9">
        <v>12506.02</v>
      </c>
      <c r="H9">
        <v>-1</v>
      </c>
      <c r="I9">
        <v>2922</v>
      </c>
    </row>
    <row r="10" spans="1:9">
      <c r="A10" t="s">
        <v>17</v>
      </c>
      <c r="B10">
        <v>254.19</v>
      </c>
      <c r="C10">
        <v>11749.15</v>
      </c>
      <c r="D10">
        <v>254.26</v>
      </c>
      <c r="E10">
        <v>11749.15</v>
      </c>
      <c r="F10">
        <v>253.87</v>
      </c>
      <c r="G10">
        <v>13185.29</v>
      </c>
      <c r="H10">
        <v>-1</v>
      </c>
      <c r="I10">
        <v>4632.03</v>
      </c>
    </row>
    <row r="11" spans="1:9">
      <c r="A11" t="s">
        <v>18</v>
      </c>
      <c r="B11">
        <v>316.97</v>
      </c>
      <c r="C11">
        <v>11815.5</v>
      </c>
      <c r="D11">
        <v>316.65</v>
      </c>
      <c r="E11">
        <v>11815.5</v>
      </c>
      <c r="F11">
        <v>315.77</v>
      </c>
      <c r="G11">
        <v>13238.54</v>
      </c>
      <c r="H11">
        <v>-1</v>
      </c>
      <c r="I11">
        <v>3482.59</v>
      </c>
    </row>
    <row r="12" spans="1:9">
      <c r="A12" t="s">
        <v>19</v>
      </c>
      <c r="B12">
        <v>318.92</v>
      </c>
      <c r="C12">
        <v>11366.57</v>
      </c>
      <c r="D12">
        <v>319.11</v>
      </c>
      <c r="E12">
        <v>11366.57</v>
      </c>
      <c r="F12">
        <v>318.85</v>
      </c>
      <c r="G12">
        <v>12836.33</v>
      </c>
      <c r="H12">
        <v>-1</v>
      </c>
      <c r="I12">
        <v>4189.81</v>
      </c>
    </row>
    <row r="13" spans="1:9">
      <c r="A13" t="s">
        <v>20</v>
      </c>
      <c r="B13">
        <v>255.3</v>
      </c>
      <c r="C13">
        <v>12230.71</v>
      </c>
      <c r="D13">
        <v>255</v>
      </c>
      <c r="E13">
        <v>12230.71</v>
      </c>
      <c r="F13">
        <v>254.13</v>
      </c>
      <c r="G13">
        <v>13912.38</v>
      </c>
      <c r="H13">
        <v>-1</v>
      </c>
      <c r="I13">
        <v>2349.36</v>
      </c>
    </row>
    <row r="14" spans="1:9">
      <c r="A14" t="s">
        <v>21</v>
      </c>
      <c r="B14">
        <v>246.03</v>
      </c>
      <c r="C14">
        <v>11540.07</v>
      </c>
      <c r="D14">
        <v>246.26</v>
      </c>
      <c r="E14">
        <v>11540.07</v>
      </c>
      <c r="F14">
        <v>245.3</v>
      </c>
      <c r="G14">
        <v>13040.78</v>
      </c>
      <c r="H14">
        <v>-1</v>
      </c>
      <c r="I14">
        <v>3136.83</v>
      </c>
    </row>
    <row r="15" spans="1:9">
      <c r="A15" t="s">
        <v>22</v>
      </c>
      <c r="B15">
        <v>322.25</v>
      </c>
      <c r="C15">
        <v>11682.03</v>
      </c>
      <c r="D15">
        <v>321.99</v>
      </c>
      <c r="E15">
        <v>11682.03</v>
      </c>
      <c r="F15">
        <v>321.29</v>
      </c>
      <c r="G15">
        <v>13153.75</v>
      </c>
      <c r="H15">
        <v>-1</v>
      </c>
      <c r="I15">
        <v>2887.21</v>
      </c>
    </row>
    <row r="16" spans="1:9">
      <c r="A16" t="s">
        <v>23</v>
      </c>
      <c r="B16">
        <v>2771.2</v>
      </c>
      <c r="C16">
        <v>12220.29</v>
      </c>
      <c r="D16">
        <v>2771.12</v>
      </c>
      <c r="E16">
        <v>12220.29</v>
      </c>
      <c r="F16">
        <v>2770.51</v>
      </c>
      <c r="G16">
        <v>13827</v>
      </c>
      <c r="H16">
        <v>-1</v>
      </c>
      <c r="I16">
        <v>3672.81</v>
      </c>
    </row>
    <row r="17" spans="1:9">
      <c r="A17" t="s">
        <v>24</v>
      </c>
      <c r="B17">
        <v>237.53</v>
      </c>
      <c r="C17">
        <v>11465.96</v>
      </c>
      <c r="D17">
        <v>237.43</v>
      </c>
      <c r="E17">
        <v>11465.96</v>
      </c>
      <c r="F17">
        <v>236.63</v>
      </c>
      <c r="G17">
        <v>13072.3</v>
      </c>
      <c r="H17">
        <v>-1</v>
      </c>
      <c r="I17">
        <v>3284.7</v>
      </c>
    </row>
    <row r="18" spans="1:9">
      <c r="A18" t="s">
        <v>25</v>
      </c>
      <c r="B18">
        <v>252.7</v>
      </c>
      <c r="C18">
        <v>12138.59</v>
      </c>
      <c r="D18">
        <v>252.62</v>
      </c>
      <c r="E18">
        <v>12138.59</v>
      </c>
      <c r="F18">
        <v>251.96</v>
      </c>
      <c r="G18">
        <v>13614.56</v>
      </c>
      <c r="H18">
        <v>-1</v>
      </c>
      <c r="I18">
        <v>3876.57</v>
      </c>
    </row>
    <row r="19" spans="1:9">
      <c r="A19" t="s">
        <v>26</v>
      </c>
      <c r="B19">
        <v>275.02</v>
      </c>
      <c r="C19">
        <v>11722.95</v>
      </c>
      <c r="D19">
        <v>274.62</v>
      </c>
      <c r="E19">
        <v>11722.95</v>
      </c>
      <c r="F19">
        <v>273.67</v>
      </c>
      <c r="G19">
        <v>13167.45</v>
      </c>
      <c r="H19">
        <v>-1</v>
      </c>
      <c r="I19">
        <v>5074.97</v>
      </c>
    </row>
    <row r="20" spans="1:9">
      <c r="A20" t="s">
        <v>27</v>
      </c>
      <c r="B20">
        <v>328.72</v>
      </c>
      <c r="C20">
        <v>12371.83</v>
      </c>
      <c r="D20">
        <v>328.54</v>
      </c>
      <c r="E20">
        <v>12371.83</v>
      </c>
      <c r="F20">
        <v>327.83</v>
      </c>
      <c r="G20">
        <v>13909.87</v>
      </c>
      <c r="H20">
        <v>-1</v>
      </c>
      <c r="I20">
        <v>1697.41</v>
      </c>
    </row>
    <row r="21" spans="1:9">
      <c r="A21" t="s">
        <v>28</v>
      </c>
      <c r="B21">
        <v>317.73</v>
      </c>
      <c r="C21">
        <v>11871.39</v>
      </c>
      <c r="D21">
        <v>317.96</v>
      </c>
      <c r="E21">
        <v>11871.39</v>
      </c>
      <c r="F21">
        <v>316.98</v>
      </c>
      <c r="G21">
        <v>13423.44</v>
      </c>
      <c r="H21">
        <v>-1</v>
      </c>
      <c r="I21">
        <v>4175.24</v>
      </c>
    </row>
    <row r="23" spans="1:28">
      <c r="A23" s="2" t="s">
        <v>29</v>
      </c>
      <c r="B23" s="2" t="s">
        <v>30</v>
      </c>
      <c r="C23" s="2" t="s">
        <v>31</v>
      </c>
      <c r="D23" s="3" t="s">
        <v>32</v>
      </c>
      <c r="E23" s="2" t="s">
        <v>33</v>
      </c>
      <c r="F23" s="2" t="s">
        <v>34</v>
      </c>
      <c r="G23" s="2" t="s">
        <v>35</v>
      </c>
      <c r="H23" s="3" t="s">
        <v>36</v>
      </c>
      <c r="I23" s="2" t="s">
        <v>37</v>
      </c>
      <c r="J23" s="2" t="s">
        <v>38</v>
      </c>
      <c r="K23" s="2" t="s">
        <v>39</v>
      </c>
      <c r="L23" s="3" t="s">
        <v>40</v>
      </c>
      <c r="M23" s="2" t="s">
        <v>41</v>
      </c>
      <c r="N23" s="2" t="s">
        <v>42</v>
      </c>
      <c r="O23" s="2" t="s">
        <v>43</v>
      </c>
      <c r="P23" s="3" t="s">
        <v>44</v>
      </c>
      <c r="Q23" s="2" t="s">
        <v>45</v>
      </c>
      <c r="R23" s="2" t="s">
        <v>46</v>
      </c>
      <c r="S23" s="2" t="s">
        <v>47</v>
      </c>
      <c r="T23" s="3" t="s">
        <v>48</v>
      </c>
      <c r="U23" s="2" t="s">
        <v>49</v>
      </c>
      <c r="V23" s="2" t="s">
        <v>50</v>
      </c>
      <c r="W23" s="2" t="s">
        <v>51</v>
      </c>
      <c r="X23" s="3" t="s">
        <v>52</v>
      </c>
      <c r="Y23" s="3" t="s">
        <v>53</v>
      </c>
      <c r="Z23" s="3" t="s">
        <v>54</v>
      </c>
      <c r="AA23" s="3" t="s">
        <v>55</v>
      </c>
      <c r="AB23" s="3" t="s">
        <v>56</v>
      </c>
    </row>
    <row r="24" spans="1:28">
      <c r="A24" s="4">
        <f>IFERROR(AVERAGEIF($B$2:$B$21,"&lt;200"),0)</f>
        <v>0</v>
      </c>
      <c r="B24" s="4">
        <f>IFERROR(AVERAGEIF($D$2:$D$21,"&lt;200"),0)</f>
        <v>0</v>
      </c>
      <c r="C24" s="4">
        <f>IFERROR(AVERAGEIF($F$2:$F$21,"&lt;200"),0)</f>
        <v>0</v>
      </c>
      <c r="D24" s="4">
        <f>IFERROR(AVERAGEIF($H$2:$H$21,"&lt;&gt;-1"),0)</f>
        <v>0</v>
      </c>
      <c r="E24" s="4">
        <f>IFERROR(AVERAGEIFS($C$2:$C$21,$B$2:$B$21,"&lt;200"),0)</f>
        <v>0</v>
      </c>
      <c r="F24" s="4">
        <f>IFERROR(AVERAGEIFS($E$2:$E$21,$D$2:$D$21,"&lt;200"),0)</f>
        <v>0</v>
      </c>
      <c r="G24" s="4">
        <f>IFERROR(AVERAGEIFS($G$2:$G$21,$F$2:$F$21,"&lt;200"),0)</f>
        <v>0</v>
      </c>
      <c r="H24" s="4">
        <f>IFERROR(AVERAGEIFS($I$2:$I$21,$H$2:$H$21,"&lt;&gt; -1"),0)</f>
        <v>0</v>
      </c>
      <c r="I24" s="4">
        <f>_xlfn.MAXIFS($B$2:$B$21,$B$2:$B$21,"&lt; 200")</f>
        <v>0</v>
      </c>
      <c r="J24" s="4">
        <f>_xlfn.MAXIFS($D$2:$D$21,$D$2:$D$21,"&lt; 200")</f>
        <v>0</v>
      </c>
      <c r="K24" s="4">
        <f>_xlfn.MAXIFS($F$2:$F$21,$F$2:$F$21,"&lt; 200")</f>
        <v>0</v>
      </c>
      <c r="L24" s="4">
        <f>_xlfn.MAXIFS($H$2:$H$21,$H$2:$H$21,"&lt;&gt; -1")</f>
        <v>0</v>
      </c>
      <c r="M24" s="4">
        <f>_xlfn.MINIFS($B$2:$B$21,$B$2:$B$21,"&lt;200")</f>
        <v>0</v>
      </c>
      <c r="N24" s="4">
        <f>_xlfn.MINIFS($D$2:$D$21,$D$2:$D$21,"&lt;200")</f>
        <v>0</v>
      </c>
      <c r="O24" s="4">
        <f>_xlfn.MINIFS($F$2:$F$21,$F$2:$F$21,"&lt;200")</f>
        <v>0</v>
      </c>
      <c r="P24" s="4">
        <f>_xlfn.MINIFS($H$2:$H$21,$H$2:$H$21,"&lt;&gt; -1")</f>
        <v>0</v>
      </c>
      <c r="Q24" s="4">
        <f>_xlfn.MAXIFS($C$2:$C$21,$B$2:$B$21,"&lt; 200")</f>
        <v>0</v>
      </c>
      <c r="R24" s="4">
        <f>_xlfn.MAXIFS($E$2:$E$21,D2:D21,"&lt; 200")</f>
        <v>0</v>
      </c>
      <c r="S24" s="4">
        <f>_xlfn.MAXIFS($G$2:$G$21,$F$2:$F$21,"&lt; 200")</f>
        <v>0</v>
      </c>
      <c r="T24" s="4">
        <f>_xlfn.MAXIFS($I$2:$I$21,$H$2:$H$21,"&lt;&gt; -1")</f>
        <v>0</v>
      </c>
      <c r="U24" s="4">
        <f>_xlfn.MINIFS($C$2:$C$21,$B$2:$B$21,"&lt;200")</f>
        <v>0</v>
      </c>
      <c r="V24" s="4">
        <f>_xlfn.MINIFS($E$2:$E$21,$D$2:$D$21,"&lt;200")</f>
        <v>0</v>
      </c>
      <c r="W24" s="4">
        <f>_xlfn.MINIFS($G$2:$G$21,$F$2:$F$21,"&lt;200")</f>
        <v>0</v>
      </c>
      <c r="X24" s="4">
        <f>_xlfn.MINIFS($I$2:$I$21,$H$2:$H$21,"&lt;&gt; -1")</f>
        <v>0</v>
      </c>
      <c r="Y24" s="4">
        <f>(COUNTIFS($B$2:$B$21,"&gt;0.0",$B$2:$B$21,"&lt;200.0"))/20</f>
        <v>0</v>
      </c>
      <c r="Z24" s="4">
        <f>(COUNTIFS($D$2:$D$21,"&gt;0.0",$D$2:$D$21,"&lt;200.0"))/20</f>
        <v>0</v>
      </c>
      <c r="AA24" s="4">
        <f>(COUNTIFS($F$2:$F$21,"&gt;0.0",$F$2:$F$21,"&lt;200.0"))/20</f>
        <v>0</v>
      </c>
      <c r="AB24" s="4">
        <f>(COUNTIFS($H$2:$H$21,"&gt;0.0",$H$2:$H$21,"&lt;200.0"))/20</f>
        <v>0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24"/>
  <sheetViews>
    <sheetView zoomScale="70" zoomScaleNormal="70" workbookViewId="0">
      <selection activeCell="K8" sqref="K8"/>
    </sheetView>
  </sheetViews>
  <sheetFormatPr defaultColWidth="9" defaultRowHeight="14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355.31</v>
      </c>
      <c r="C2">
        <v>11760.91</v>
      </c>
      <c r="D2">
        <v>354.9</v>
      </c>
      <c r="E2">
        <v>11760.91</v>
      </c>
      <c r="F2">
        <v>354.88</v>
      </c>
      <c r="G2">
        <v>13275.25</v>
      </c>
      <c r="H2">
        <v>-1</v>
      </c>
      <c r="I2">
        <v>3521.8</v>
      </c>
    </row>
    <row r="3" spans="1:9">
      <c r="A3" t="s">
        <v>10</v>
      </c>
      <c r="B3">
        <v>364.06</v>
      </c>
      <c r="C3">
        <v>12694.38</v>
      </c>
      <c r="D3">
        <v>363.98</v>
      </c>
      <c r="E3">
        <v>12694.38</v>
      </c>
      <c r="F3">
        <v>362.97</v>
      </c>
      <c r="G3">
        <v>14223.25</v>
      </c>
      <c r="H3">
        <v>-1</v>
      </c>
      <c r="I3">
        <v>3695.54</v>
      </c>
    </row>
    <row r="4" spans="1:9">
      <c r="A4" t="s">
        <v>11</v>
      </c>
      <c r="B4">
        <v>371.81</v>
      </c>
      <c r="C4">
        <v>12240.68</v>
      </c>
      <c r="D4">
        <v>371.56</v>
      </c>
      <c r="E4">
        <v>12240.68</v>
      </c>
      <c r="F4">
        <v>370.59</v>
      </c>
      <c r="G4">
        <v>13901.23</v>
      </c>
      <c r="H4">
        <v>-1</v>
      </c>
      <c r="I4">
        <v>3306.86</v>
      </c>
    </row>
    <row r="5" spans="1:9">
      <c r="A5" t="s">
        <v>12</v>
      </c>
      <c r="B5">
        <v>349.58</v>
      </c>
      <c r="C5">
        <v>11969.99</v>
      </c>
      <c r="D5">
        <v>349.63</v>
      </c>
      <c r="E5">
        <v>11969.99</v>
      </c>
      <c r="F5">
        <v>348.28</v>
      </c>
      <c r="G5">
        <v>13513.82</v>
      </c>
      <c r="H5">
        <v>-1</v>
      </c>
      <c r="I5">
        <v>2032.26</v>
      </c>
    </row>
    <row r="6" spans="1:9">
      <c r="A6" t="s">
        <v>13</v>
      </c>
      <c r="B6">
        <v>362.34</v>
      </c>
      <c r="C6">
        <v>12118.68</v>
      </c>
      <c r="D6">
        <v>362.69</v>
      </c>
      <c r="E6">
        <v>12118.68</v>
      </c>
      <c r="F6">
        <v>361.8</v>
      </c>
      <c r="G6">
        <v>13632.71</v>
      </c>
      <c r="H6">
        <v>-1</v>
      </c>
      <c r="I6">
        <v>3933.8</v>
      </c>
    </row>
    <row r="7" spans="1:9">
      <c r="A7" t="s">
        <v>14</v>
      </c>
      <c r="B7">
        <v>310.91</v>
      </c>
      <c r="C7">
        <v>11695.7</v>
      </c>
      <c r="D7">
        <v>311.01</v>
      </c>
      <c r="E7">
        <v>11695.7</v>
      </c>
      <c r="F7">
        <v>310.23</v>
      </c>
      <c r="G7">
        <v>13234.26</v>
      </c>
      <c r="H7">
        <v>-1</v>
      </c>
      <c r="I7">
        <v>2960.94</v>
      </c>
    </row>
    <row r="8" spans="1:9">
      <c r="A8" t="s">
        <v>15</v>
      </c>
      <c r="B8">
        <v>291.61</v>
      </c>
      <c r="C8">
        <v>11467.16</v>
      </c>
      <c r="D8">
        <v>291.58</v>
      </c>
      <c r="E8">
        <v>11467.16</v>
      </c>
      <c r="F8">
        <v>290.61</v>
      </c>
      <c r="G8">
        <v>12935.99</v>
      </c>
      <c r="H8">
        <v>-1</v>
      </c>
      <c r="I8">
        <v>2793</v>
      </c>
    </row>
    <row r="9" spans="1:9">
      <c r="A9" t="s">
        <v>16</v>
      </c>
      <c r="B9">
        <v>304.81</v>
      </c>
      <c r="C9">
        <v>12351.91</v>
      </c>
      <c r="D9">
        <v>304.87</v>
      </c>
      <c r="E9">
        <v>12351.91</v>
      </c>
      <c r="F9">
        <v>303.77</v>
      </c>
      <c r="G9">
        <v>13831.91</v>
      </c>
      <c r="H9">
        <v>-1</v>
      </c>
      <c r="I9">
        <v>3772.59</v>
      </c>
    </row>
    <row r="10" spans="1:9">
      <c r="A10" t="s">
        <v>17</v>
      </c>
      <c r="B10">
        <v>348.13</v>
      </c>
      <c r="C10">
        <v>11803.04</v>
      </c>
      <c r="D10">
        <v>348.23</v>
      </c>
      <c r="E10">
        <v>11803.04</v>
      </c>
      <c r="F10">
        <v>347.42</v>
      </c>
      <c r="G10">
        <v>13274.58</v>
      </c>
      <c r="H10">
        <v>-1</v>
      </c>
      <c r="I10">
        <v>2439.03</v>
      </c>
    </row>
    <row r="11" spans="1:9">
      <c r="A11" t="s">
        <v>18</v>
      </c>
      <c r="B11">
        <v>280.23</v>
      </c>
      <c r="C11">
        <v>11814.21</v>
      </c>
      <c r="D11">
        <v>280.01</v>
      </c>
      <c r="E11">
        <v>11814.21</v>
      </c>
      <c r="F11">
        <v>278.74</v>
      </c>
      <c r="G11">
        <v>13256.79</v>
      </c>
      <c r="H11">
        <v>-1</v>
      </c>
      <c r="I11">
        <v>3514.57</v>
      </c>
    </row>
    <row r="12" spans="1:9">
      <c r="A12" t="s">
        <v>19</v>
      </c>
      <c r="B12">
        <v>306.47</v>
      </c>
      <c r="C12">
        <v>12609.8</v>
      </c>
      <c r="D12">
        <v>306.21</v>
      </c>
      <c r="E12">
        <v>12609.8</v>
      </c>
      <c r="F12">
        <v>304.85</v>
      </c>
      <c r="G12">
        <v>14298.64</v>
      </c>
      <c r="H12">
        <v>-1</v>
      </c>
      <c r="I12">
        <v>3623.48</v>
      </c>
    </row>
    <row r="13" spans="1:9">
      <c r="A13" t="s">
        <v>20</v>
      </c>
      <c r="B13">
        <v>301.12</v>
      </c>
      <c r="C13">
        <v>11856.58</v>
      </c>
      <c r="D13">
        <v>301.23</v>
      </c>
      <c r="E13">
        <v>11856.58</v>
      </c>
      <c r="F13">
        <v>300.96</v>
      </c>
      <c r="G13">
        <v>13391.73</v>
      </c>
      <c r="H13">
        <v>-1</v>
      </c>
      <c r="I13">
        <v>2831.71</v>
      </c>
    </row>
    <row r="14" spans="1:9">
      <c r="A14" t="s">
        <v>21</v>
      </c>
      <c r="B14">
        <v>267.11</v>
      </c>
      <c r="C14">
        <v>11433.81</v>
      </c>
      <c r="D14">
        <v>266.82</v>
      </c>
      <c r="E14">
        <v>11433.81</v>
      </c>
      <c r="F14">
        <v>266.24</v>
      </c>
      <c r="G14">
        <v>12759.16</v>
      </c>
      <c r="H14">
        <v>-1</v>
      </c>
      <c r="I14">
        <v>5266.82</v>
      </c>
    </row>
    <row r="15" spans="1:9">
      <c r="A15" t="s">
        <v>22</v>
      </c>
      <c r="B15">
        <v>271.92</v>
      </c>
      <c r="C15">
        <v>12254.25</v>
      </c>
      <c r="D15">
        <v>272.24</v>
      </c>
      <c r="E15">
        <v>12254.25</v>
      </c>
      <c r="F15">
        <v>271.06</v>
      </c>
      <c r="G15">
        <v>13783.01</v>
      </c>
      <c r="H15">
        <v>-1</v>
      </c>
      <c r="I15">
        <v>2828.88</v>
      </c>
    </row>
    <row r="16" spans="1:9">
      <c r="A16" t="s">
        <v>23</v>
      </c>
      <c r="B16">
        <v>259.65</v>
      </c>
      <c r="C16">
        <v>12496.4</v>
      </c>
      <c r="D16">
        <v>259.61</v>
      </c>
      <c r="E16">
        <v>12496.4</v>
      </c>
      <c r="F16">
        <v>258.59</v>
      </c>
      <c r="G16">
        <v>14068.56</v>
      </c>
      <c r="H16">
        <v>-1</v>
      </c>
      <c r="I16">
        <v>3008.33</v>
      </c>
    </row>
    <row r="17" spans="1:9">
      <c r="A17" t="s">
        <v>24</v>
      </c>
      <c r="B17">
        <v>280.12</v>
      </c>
      <c r="C17">
        <v>11427.21</v>
      </c>
      <c r="D17">
        <v>280.17</v>
      </c>
      <c r="E17">
        <v>11427.21</v>
      </c>
      <c r="F17">
        <v>279.71</v>
      </c>
      <c r="G17">
        <v>13005.95</v>
      </c>
      <c r="H17">
        <v>-1</v>
      </c>
      <c r="I17">
        <v>2963.58</v>
      </c>
    </row>
    <row r="18" spans="1:9">
      <c r="A18" t="s">
        <v>25</v>
      </c>
      <c r="B18">
        <v>248.11</v>
      </c>
      <c r="C18">
        <v>12065.35</v>
      </c>
      <c r="D18">
        <v>248.03</v>
      </c>
      <c r="E18">
        <v>12065.35</v>
      </c>
      <c r="F18">
        <v>247.39</v>
      </c>
      <c r="G18">
        <v>13509.75</v>
      </c>
      <c r="H18">
        <v>-1</v>
      </c>
      <c r="I18">
        <v>4113.13</v>
      </c>
    </row>
    <row r="19" spans="1:9">
      <c r="A19" t="s">
        <v>26</v>
      </c>
      <c r="B19">
        <v>253.41</v>
      </c>
      <c r="C19">
        <v>12350.86</v>
      </c>
      <c r="D19">
        <v>253.32</v>
      </c>
      <c r="E19">
        <v>12350.86</v>
      </c>
      <c r="F19">
        <v>252.67</v>
      </c>
      <c r="G19">
        <v>13920.58</v>
      </c>
      <c r="H19">
        <v>-1</v>
      </c>
      <c r="I19">
        <v>2914.59</v>
      </c>
    </row>
    <row r="20" spans="1:9">
      <c r="A20" t="s">
        <v>27</v>
      </c>
      <c r="B20">
        <v>246.09</v>
      </c>
      <c r="C20">
        <v>12092.48</v>
      </c>
      <c r="D20">
        <v>246.08</v>
      </c>
      <c r="E20">
        <v>12092.48</v>
      </c>
      <c r="F20">
        <v>245.39</v>
      </c>
      <c r="G20">
        <v>13579.86</v>
      </c>
      <c r="H20">
        <v>-1</v>
      </c>
      <c r="I20">
        <v>3266.61</v>
      </c>
    </row>
    <row r="21" spans="1:9">
      <c r="A21" t="s">
        <v>28</v>
      </c>
      <c r="B21">
        <v>269.81</v>
      </c>
      <c r="C21">
        <v>11824.65</v>
      </c>
      <c r="D21">
        <v>269.73</v>
      </c>
      <c r="E21">
        <v>11824.65</v>
      </c>
      <c r="F21">
        <v>268.88</v>
      </c>
      <c r="G21">
        <v>13343.84</v>
      </c>
      <c r="H21">
        <v>-1</v>
      </c>
      <c r="I21">
        <v>2643.43</v>
      </c>
    </row>
    <row r="23" spans="1:28">
      <c r="A23" s="2" t="s">
        <v>29</v>
      </c>
      <c r="B23" s="2" t="s">
        <v>30</v>
      </c>
      <c r="C23" s="2" t="s">
        <v>31</v>
      </c>
      <c r="D23" s="3" t="s">
        <v>32</v>
      </c>
      <c r="E23" s="2" t="s">
        <v>33</v>
      </c>
      <c r="F23" s="2" t="s">
        <v>34</v>
      </c>
      <c r="G23" s="2" t="s">
        <v>35</v>
      </c>
      <c r="H23" s="3" t="s">
        <v>36</v>
      </c>
      <c r="I23" s="2" t="s">
        <v>37</v>
      </c>
      <c r="J23" s="2" t="s">
        <v>38</v>
      </c>
      <c r="K23" s="2" t="s">
        <v>39</v>
      </c>
      <c r="L23" s="3" t="s">
        <v>40</v>
      </c>
      <c r="M23" s="2" t="s">
        <v>41</v>
      </c>
      <c r="N23" s="2" t="s">
        <v>42</v>
      </c>
      <c r="O23" s="2" t="s">
        <v>43</v>
      </c>
      <c r="P23" s="3" t="s">
        <v>44</v>
      </c>
      <c r="Q23" s="2" t="s">
        <v>45</v>
      </c>
      <c r="R23" s="2" t="s">
        <v>46</v>
      </c>
      <c r="S23" s="2" t="s">
        <v>47</v>
      </c>
      <c r="T23" s="3" t="s">
        <v>48</v>
      </c>
      <c r="U23" s="2" t="s">
        <v>49</v>
      </c>
      <c r="V23" s="2" t="s">
        <v>50</v>
      </c>
      <c r="W23" s="2" t="s">
        <v>51</v>
      </c>
      <c r="X23" s="3" t="s">
        <v>52</v>
      </c>
      <c r="Y23" s="3" t="s">
        <v>53</v>
      </c>
      <c r="Z23" s="3" t="s">
        <v>54</v>
      </c>
      <c r="AA23" s="3" t="s">
        <v>55</v>
      </c>
      <c r="AB23" s="3" t="s">
        <v>56</v>
      </c>
    </row>
    <row r="24" spans="1:28">
      <c r="A24" s="4">
        <f>IFERROR(AVERAGEIF($B$2:$B$21,"&lt;200"),0)</f>
        <v>0</v>
      </c>
      <c r="B24" s="4">
        <f>IFERROR(AVERAGEIF($D$2:$D$21,"&lt;200"),0)</f>
        <v>0</v>
      </c>
      <c r="C24" s="4">
        <f>IFERROR(AVERAGEIF($F$2:$F$21,"&lt;200"),0)</f>
        <v>0</v>
      </c>
      <c r="D24" s="4">
        <f>IFERROR(AVERAGEIF($H$2:$H$21,"&lt;&gt;-1"),0)</f>
        <v>0</v>
      </c>
      <c r="E24" s="4">
        <f>IFERROR(AVERAGEIFS($C$2:$C$21,$B$2:$B$21,"&lt;200"),0)</f>
        <v>0</v>
      </c>
      <c r="F24" s="4">
        <f>IFERROR(AVERAGEIFS($E$2:$E$21,$D$2:$D$21,"&lt;200"),0)</f>
        <v>0</v>
      </c>
      <c r="G24" s="4">
        <f>IFERROR(AVERAGEIFS($G$2:$G$21,$F$2:$F$21,"&lt;200"),0)</f>
        <v>0</v>
      </c>
      <c r="H24" s="4">
        <f>IFERROR(AVERAGEIFS($I$2:$I$21,$H$2:$H$21,"&lt;&gt; -1"),0)</f>
        <v>0</v>
      </c>
      <c r="I24" s="4">
        <f>_xlfn.MAXIFS($B$2:$B$21,$B$2:$B$21,"&lt; 200")</f>
        <v>0</v>
      </c>
      <c r="J24" s="4">
        <f>_xlfn.MAXIFS($D$2:$D$21,$D$2:$D$21,"&lt; 200")</f>
        <v>0</v>
      </c>
      <c r="K24" s="4">
        <f>_xlfn.MAXIFS($F$2:$F$21,$F$2:$F$21,"&lt; 200")</f>
        <v>0</v>
      </c>
      <c r="L24" s="4">
        <f>_xlfn.MAXIFS($H$2:$H$21,$H$2:$H$21,"&lt;&gt; -1")</f>
        <v>0</v>
      </c>
      <c r="M24" s="4">
        <f>_xlfn.MINIFS($B$2:$B$21,$B$2:$B$21,"&lt;200")</f>
        <v>0</v>
      </c>
      <c r="N24" s="4">
        <f>_xlfn.MINIFS($D$2:$D$21,$D$2:$D$21,"&lt;200")</f>
        <v>0</v>
      </c>
      <c r="O24" s="4">
        <f>_xlfn.MINIFS($F$2:$F$21,$F$2:$F$21,"&lt;200")</f>
        <v>0</v>
      </c>
      <c r="P24" s="4">
        <f>_xlfn.MINIFS($H$2:$H$21,$H$2:$H$21,"&lt;&gt; -1")</f>
        <v>0</v>
      </c>
      <c r="Q24" s="4">
        <f>_xlfn.MAXIFS($C$2:$C$21,$B$2:$B$21,"&lt; 200")</f>
        <v>0</v>
      </c>
      <c r="R24" s="4">
        <f>_xlfn.MAXIFS($E$2:$E$21,D2:D21,"&lt; 200")</f>
        <v>0</v>
      </c>
      <c r="S24" s="4">
        <f>_xlfn.MAXIFS($G$2:$G$21,$F$2:$F$21,"&lt; 200")</f>
        <v>0</v>
      </c>
      <c r="T24" s="4">
        <f>_xlfn.MAXIFS($I$2:$I$21,$H$2:$H$21,"&lt;&gt; -1")</f>
        <v>0</v>
      </c>
      <c r="U24" s="4">
        <f>_xlfn.MINIFS($C$2:$C$21,$B$2:$B$21,"&lt;200")</f>
        <v>0</v>
      </c>
      <c r="V24" s="4">
        <f>_xlfn.MINIFS($E$2:$E$21,$D$2:$D$21,"&lt;200")</f>
        <v>0</v>
      </c>
      <c r="W24" s="4">
        <f>_xlfn.MINIFS($G$2:$G$21,$F$2:$F$21,"&lt;200")</f>
        <v>0</v>
      </c>
      <c r="X24" s="4">
        <f>_xlfn.MINIFS($I$2:$I$21,$H$2:$H$21,"&lt;&gt; -1")</f>
        <v>0</v>
      </c>
      <c r="Y24" s="4">
        <f>(COUNTIFS($B$2:$B$21,"&gt;0.0",$B$2:$B$21,"&lt;200.0"))/20</f>
        <v>0</v>
      </c>
      <c r="Z24" s="4">
        <f>(COUNTIFS($D$2:$D$21,"&gt;0.0",$D$2:$D$21,"&lt;200.0"))/20</f>
        <v>0</v>
      </c>
      <c r="AA24" s="4">
        <f>(COUNTIFS($F$2:$F$21,"&gt;0.0",$F$2:$F$21,"&lt;200.0"))/20</f>
        <v>0</v>
      </c>
      <c r="AB24" s="4">
        <f>(COUNTIFS($H$2:$H$21,"&gt;0.0",$H$2:$H$21,"&lt;200.0"))/20</f>
        <v>0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7"/>
  <sheetViews>
    <sheetView tabSelected="1" workbookViewId="0">
      <selection activeCell="C8" sqref="C8"/>
    </sheetView>
  </sheetViews>
  <sheetFormatPr defaultColWidth="8.72727272727273" defaultRowHeight="14" outlineLevelRow="6"/>
  <sheetData>
    <row r="1" spans="1:28">
      <c r="A1" t="s">
        <v>29</v>
      </c>
      <c r="B1" t="s">
        <v>30</v>
      </c>
      <c r="C1" t="s">
        <v>31</v>
      </c>
      <c r="D1" t="s">
        <v>32</v>
      </c>
      <c r="E1" t="s">
        <v>33</v>
      </c>
      <c r="F1" t="s">
        <v>34</v>
      </c>
      <c r="G1" t="s">
        <v>35</v>
      </c>
      <c r="H1" t="s">
        <v>36</v>
      </c>
      <c r="I1" t="s">
        <v>37</v>
      </c>
      <c r="J1" t="s">
        <v>38</v>
      </c>
      <c r="K1" t="s">
        <v>39</v>
      </c>
      <c r="L1" t="s">
        <v>40</v>
      </c>
      <c r="M1" t="s">
        <v>41</v>
      </c>
      <c r="N1" t="s">
        <v>42</v>
      </c>
      <c r="O1" t="s">
        <v>43</v>
      </c>
      <c r="P1" t="s">
        <v>44</v>
      </c>
      <c r="Q1" t="s">
        <v>45</v>
      </c>
      <c r="R1" t="s">
        <v>46</v>
      </c>
      <c r="S1" t="s">
        <v>47</v>
      </c>
      <c r="T1" t="s">
        <v>48</v>
      </c>
      <c r="U1" t="s">
        <v>49</v>
      </c>
      <c r="V1" t="s">
        <v>50</v>
      </c>
      <c r="W1" t="s">
        <v>51</v>
      </c>
      <c r="X1" t="s">
        <v>52</v>
      </c>
      <c r="Y1" t="s">
        <v>53</v>
      </c>
      <c r="Z1" t="s">
        <v>54</v>
      </c>
      <c r="AA1" t="s">
        <v>55</v>
      </c>
      <c r="AB1" t="s">
        <v>56</v>
      </c>
    </row>
    <row r="2" spans="1:28">
      <c r="A2">
        <v>153.6865</v>
      </c>
      <c r="B2">
        <v>153.7275</v>
      </c>
      <c r="C2">
        <v>153.282</v>
      </c>
      <c r="D2">
        <v>178.002857142857</v>
      </c>
      <c r="E2">
        <v>11169.1685</v>
      </c>
      <c r="F2">
        <v>11169.1685</v>
      </c>
      <c r="G2">
        <v>12531.5395</v>
      </c>
      <c r="H2">
        <v>12510.7942857143</v>
      </c>
      <c r="I2">
        <v>188.98</v>
      </c>
      <c r="J2">
        <v>189.18</v>
      </c>
      <c r="K2">
        <v>188.49</v>
      </c>
      <c r="L2">
        <v>198.41</v>
      </c>
      <c r="M2">
        <v>135.73</v>
      </c>
      <c r="N2">
        <v>135.69</v>
      </c>
      <c r="O2">
        <v>135.25</v>
      </c>
      <c r="P2">
        <v>163.13</v>
      </c>
      <c r="Q2">
        <v>11838.45</v>
      </c>
      <c r="R2">
        <v>11838.45</v>
      </c>
      <c r="S2">
        <v>13327.82</v>
      </c>
      <c r="T2">
        <v>12852.63</v>
      </c>
      <c r="U2">
        <v>10732.69</v>
      </c>
      <c r="V2">
        <v>10732.69</v>
      </c>
      <c r="W2">
        <v>12050.74</v>
      </c>
      <c r="X2">
        <v>12001.28</v>
      </c>
      <c r="Y2">
        <v>1</v>
      </c>
      <c r="Z2">
        <v>1</v>
      </c>
      <c r="AA2">
        <v>1</v>
      </c>
      <c r="AB2">
        <v>0.35</v>
      </c>
    </row>
    <row r="3" spans="1:28">
      <c r="A3">
        <v>175.229</v>
      </c>
      <c r="B3">
        <v>175.209</v>
      </c>
      <c r="C3">
        <v>174.6555</v>
      </c>
      <c r="D3">
        <v>0</v>
      </c>
      <c r="E3">
        <v>11229.746</v>
      </c>
      <c r="F3">
        <v>11229.746</v>
      </c>
      <c r="G3">
        <v>12630.407</v>
      </c>
      <c r="H3">
        <v>0</v>
      </c>
      <c r="I3">
        <v>190.72</v>
      </c>
      <c r="J3">
        <v>190.38</v>
      </c>
      <c r="K3">
        <v>189.91</v>
      </c>
      <c r="L3">
        <v>0</v>
      </c>
      <c r="M3">
        <v>159.49</v>
      </c>
      <c r="N3">
        <v>159.53</v>
      </c>
      <c r="O3">
        <v>158.94</v>
      </c>
      <c r="P3">
        <v>0</v>
      </c>
      <c r="Q3">
        <v>11863.8</v>
      </c>
      <c r="R3">
        <v>11863.8</v>
      </c>
      <c r="S3">
        <v>13299.47</v>
      </c>
      <c r="T3">
        <v>0</v>
      </c>
      <c r="U3">
        <v>10226.33</v>
      </c>
      <c r="V3">
        <v>10226.33</v>
      </c>
      <c r="W3">
        <v>11470.79</v>
      </c>
      <c r="X3">
        <v>0</v>
      </c>
      <c r="Y3">
        <v>1</v>
      </c>
      <c r="Z3">
        <v>1</v>
      </c>
      <c r="AA3">
        <v>1</v>
      </c>
      <c r="AB3">
        <v>0</v>
      </c>
    </row>
    <row r="4" spans="1:28">
      <c r="A4">
        <v>195.25</v>
      </c>
      <c r="B4">
        <v>195.338</v>
      </c>
      <c r="C4">
        <v>194.73</v>
      </c>
      <c r="D4">
        <v>0</v>
      </c>
      <c r="E4">
        <v>11057.738</v>
      </c>
      <c r="F4">
        <v>11057.738</v>
      </c>
      <c r="G4">
        <v>12424.63</v>
      </c>
      <c r="H4">
        <v>0</v>
      </c>
      <c r="I4">
        <v>199.31</v>
      </c>
      <c r="J4">
        <v>199.64</v>
      </c>
      <c r="K4">
        <v>198.85</v>
      </c>
      <c r="L4">
        <v>0</v>
      </c>
      <c r="M4">
        <v>186.66</v>
      </c>
      <c r="N4">
        <v>186.72</v>
      </c>
      <c r="O4">
        <v>186.24</v>
      </c>
      <c r="P4">
        <v>0</v>
      </c>
      <c r="Q4">
        <v>11715.81</v>
      </c>
      <c r="R4">
        <v>11715.81</v>
      </c>
      <c r="S4">
        <v>13179.07</v>
      </c>
      <c r="T4">
        <v>0</v>
      </c>
      <c r="U4">
        <v>10427.65</v>
      </c>
      <c r="V4">
        <v>10427.65</v>
      </c>
      <c r="W4">
        <v>11747.98</v>
      </c>
      <c r="X4">
        <v>0</v>
      </c>
      <c r="Y4">
        <v>0.25</v>
      </c>
      <c r="Z4">
        <v>0.25</v>
      </c>
      <c r="AA4">
        <v>0.25</v>
      </c>
      <c r="AB4">
        <v>0</v>
      </c>
    </row>
    <row r="5" spans="1:28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</row>
    <row r="6" spans="1:28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</row>
    <row r="7" spans="1:28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20_100</vt:lpstr>
      <vt:lpstr>40_100</vt:lpstr>
      <vt:lpstr>60_100</vt:lpstr>
      <vt:lpstr>80_100</vt:lpstr>
      <vt:lpstr>100_100</vt:lpstr>
      <vt:lpstr>120_100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傲雪剑豪</cp:lastModifiedBy>
  <dcterms:created xsi:type="dcterms:W3CDTF">2024-07-26T07:42:00Z</dcterms:created>
  <dcterms:modified xsi:type="dcterms:W3CDTF">2024-07-30T12:29:05Z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CF74B3C375C24121A9F9F6E3717C3A7D_12</vt:lpwstr>
  </property>
  <property fmtid="{D5CDD505-2E9C-101B-9397-08002B2CF9AE}" pid="3" name="KSOProductBuildVer">
    <vt:lpwstr>2052-12.1.0.17147</vt:lpwstr>
  </property>
</Properties>
</file>