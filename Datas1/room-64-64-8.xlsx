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0" windowHeight="75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<sst xmlns="http://schemas.openxmlformats.org/spreadsheetml/2006/main" count="370" uniqueCount="57">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</sst>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3" sqref="A23:AB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120.51</v>
      </c>
      <c r="C2">
        <v>9237.3</v>
      </c>
      <c r="D2">
        <v>120.48</v>
      </c>
      <c r="E2">
        <v>9237.3</v>
      </c>
      <c r="F2">
        <v>120.25</v>
      </c>
      <c r="G2">
        <v>10243.8</v>
      </c>
      <c r="H2">
        <v>171.53</v>
      </c>
      <c r="I2">
        <v>10268.67</v>
      </c>
    </row>
    <row r="3" spans="1:9">
      <c r="A3" t="s">
        <v>10</v>
      </c>
      <c r="B3">
        <v>132.19</v>
      </c>
      <c r="C3">
        <v>10469.31</v>
      </c>
      <c r="D3">
        <v>132.19</v>
      </c>
      <c r="E3">
        <v>10469.31</v>
      </c>
      <c r="F3">
        <v>131.83</v>
      </c>
      <c r="G3">
        <v>11592.65</v>
      </c>
      <c r="H3">
        <v>152.98</v>
      </c>
      <c r="I3">
        <v>11598.74</v>
      </c>
    </row>
    <row r="4" spans="1:9">
      <c r="A4" t="s">
        <v>11</v>
      </c>
      <c r="B4">
        <v>125.47</v>
      </c>
      <c r="C4">
        <v>9448.32</v>
      </c>
      <c r="D4">
        <v>125.53</v>
      </c>
      <c r="E4">
        <v>9448.32</v>
      </c>
      <c r="F4">
        <v>125.19</v>
      </c>
      <c r="G4">
        <v>10483.37</v>
      </c>
      <c r="H4">
        <v>156.73</v>
      </c>
      <c r="I4">
        <v>10425.5</v>
      </c>
    </row>
    <row r="5" spans="1:9">
      <c r="A5" t="s">
        <v>12</v>
      </c>
      <c r="B5">
        <v>128.36</v>
      </c>
      <c r="C5">
        <v>10037.41</v>
      </c>
      <c r="D5">
        <v>128.4</v>
      </c>
      <c r="E5">
        <v>10037.41</v>
      </c>
      <c r="F5">
        <v>127.96</v>
      </c>
      <c r="G5">
        <v>11158.05</v>
      </c>
      <c r="H5">
        <v>164.91</v>
      </c>
      <c r="I5">
        <v>11016.63</v>
      </c>
    </row>
    <row r="6" spans="1:9">
      <c r="A6" t="s">
        <v>13</v>
      </c>
      <c r="B6">
        <v>128.52</v>
      </c>
      <c r="C6">
        <v>10097.79</v>
      </c>
      <c r="D6">
        <v>128.64</v>
      </c>
      <c r="E6">
        <v>10097.79</v>
      </c>
      <c r="F6">
        <v>128.31</v>
      </c>
      <c r="G6">
        <v>11228.51</v>
      </c>
      <c r="H6">
        <v>175.92</v>
      </c>
      <c r="I6">
        <v>11173.25</v>
      </c>
    </row>
    <row r="7" spans="1:9">
      <c r="A7" t="s">
        <v>14</v>
      </c>
      <c r="B7">
        <v>127.89</v>
      </c>
      <c r="C7">
        <v>9691.5</v>
      </c>
      <c r="D7">
        <v>128.06</v>
      </c>
      <c r="E7">
        <v>9691.5</v>
      </c>
      <c r="F7">
        <v>127.65</v>
      </c>
      <c r="G7">
        <v>10753.51</v>
      </c>
      <c r="H7">
        <v>-1</v>
      </c>
      <c r="I7">
        <v>10782.86</v>
      </c>
    </row>
    <row r="8" spans="1:9">
      <c r="A8" t="s">
        <v>15</v>
      </c>
      <c r="B8">
        <v>123.81</v>
      </c>
      <c r="C8">
        <v>9636.53</v>
      </c>
      <c r="D8">
        <v>123.75</v>
      </c>
      <c r="E8">
        <v>9636.53</v>
      </c>
      <c r="F8">
        <v>123.5</v>
      </c>
      <c r="G8">
        <v>10697.56</v>
      </c>
      <c r="H8">
        <v>199.09</v>
      </c>
      <c r="I8">
        <v>10750.69</v>
      </c>
    </row>
    <row r="9" spans="1:9">
      <c r="A9" t="s">
        <v>16</v>
      </c>
      <c r="B9">
        <v>132.25</v>
      </c>
      <c r="C9">
        <v>10698.44</v>
      </c>
      <c r="D9">
        <v>132.34</v>
      </c>
      <c r="E9">
        <v>10698.44</v>
      </c>
      <c r="F9">
        <v>131.95</v>
      </c>
      <c r="G9">
        <v>11923.85</v>
      </c>
      <c r="H9">
        <v>149.34</v>
      </c>
      <c r="I9">
        <v>11893.2</v>
      </c>
    </row>
    <row r="10" spans="1:9">
      <c r="A10" t="s">
        <v>17</v>
      </c>
      <c r="B10">
        <v>125.01</v>
      </c>
      <c r="C10">
        <v>10120.74</v>
      </c>
      <c r="D10">
        <v>125.14</v>
      </c>
      <c r="E10">
        <v>10120.74</v>
      </c>
      <c r="F10">
        <v>124.78</v>
      </c>
      <c r="G10">
        <v>11221.52</v>
      </c>
      <c r="H10">
        <v>156</v>
      </c>
      <c r="I10">
        <v>11190.19</v>
      </c>
    </row>
    <row r="11" spans="1:9">
      <c r="A11" t="s">
        <v>18</v>
      </c>
      <c r="B11">
        <v>130.75</v>
      </c>
      <c r="C11">
        <v>9860.34</v>
      </c>
      <c r="D11">
        <v>130.79</v>
      </c>
      <c r="E11">
        <v>9860.34</v>
      </c>
      <c r="F11">
        <v>130.35</v>
      </c>
      <c r="G11">
        <v>10995.93</v>
      </c>
      <c r="H11">
        <v>166.84</v>
      </c>
      <c r="I11">
        <v>10959.94</v>
      </c>
    </row>
    <row r="12" spans="1:9">
      <c r="A12" t="s">
        <v>19</v>
      </c>
      <c r="B12">
        <v>129.59</v>
      </c>
      <c r="C12">
        <v>9893.28</v>
      </c>
      <c r="D12">
        <v>129.77</v>
      </c>
      <c r="E12">
        <v>9893.28</v>
      </c>
      <c r="F12">
        <v>129.39</v>
      </c>
      <c r="G12">
        <v>11023.02</v>
      </c>
      <c r="H12">
        <v>-1</v>
      </c>
      <c r="I12">
        <v>11005.49</v>
      </c>
    </row>
    <row r="13" spans="1:9">
      <c r="A13" t="s">
        <v>20</v>
      </c>
      <c r="B13">
        <v>129.03</v>
      </c>
      <c r="C13">
        <v>9815.82</v>
      </c>
      <c r="D13">
        <v>128.67</v>
      </c>
      <c r="E13">
        <v>9815.82</v>
      </c>
      <c r="F13">
        <v>128.39</v>
      </c>
      <c r="G13">
        <v>10981.12</v>
      </c>
      <c r="H13">
        <v>-1</v>
      </c>
      <c r="I13">
        <v>10819.17</v>
      </c>
    </row>
    <row r="14" spans="1:9">
      <c r="A14" t="s">
        <v>21</v>
      </c>
      <c r="B14">
        <v>119.69</v>
      </c>
      <c r="C14">
        <v>9567.31</v>
      </c>
      <c r="D14">
        <v>119.7</v>
      </c>
      <c r="E14">
        <v>9567.31</v>
      </c>
      <c r="F14">
        <v>119.38</v>
      </c>
      <c r="G14">
        <v>10618.1</v>
      </c>
      <c r="H14">
        <v>142.04</v>
      </c>
      <c r="I14">
        <v>10582.43</v>
      </c>
    </row>
    <row r="15" spans="1:9">
      <c r="A15" t="s">
        <v>22</v>
      </c>
      <c r="B15">
        <v>127.35</v>
      </c>
      <c r="C15">
        <v>9683.96</v>
      </c>
      <c r="D15">
        <v>127.39</v>
      </c>
      <c r="E15">
        <v>9683.96</v>
      </c>
      <c r="F15">
        <v>127.1</v>
      </c>
      <c r="G15">
        <v>10779.28</v>
      </c>
      <c r="H15">
        <v>145.5</v>
      </c>
      <c r="I15">
        <v>10748.16</v>
      </c>
    </row>
    <row r="16" spans="1:9">
      <c r="A16" t="s">
        <v>23</v>
      </c>
      <c r="B16">
        <v>121.36</v>
      </c>
      <c r="C16">
        <v>9424.27</v>
      </c>
      <c r="D16">
        <v>121.35</v>
      </c>
      <c r="E16">
        <v>9424.27</v>
      </c>
      <c r="F16">
        <v>121.09</v>
      </c>
      <c r="G16">
        <v>10457.34</v>
      </c>
      <c r="H16">
        <v>143.69</v>
      </c>
      <c r="I16">
        <v>10386.51</v>
      </c>
    </row>
    <row r="17" spans="1:9">
      <c r="A17" t="s">
        <v>24</v>
      </c>
      <c r="B17">
        <v>135.79</v>
      </c>
      <c r="C17">
        <v>10581.81</v>
      </c>
      <c r="D17">
        <v>135.86</v>
      </c>
      <c r="E17">
        <v>10581.81</v>
      </c>
      <c r="F17">
        <v>135.38</v>
      </c>
      <c r="G17">
        <v>11811.24</v>
      </c>
      <c r="H17">
        <v>177.8</v>
      </c>
      <c r="I17">
        <v>11673.31</v>
      </c>
    </row>
    <row r="18" spans="1:9">
      <c r="A18" t="s">
        <v>25</v>
      </c>
      <c r="B18">
        <v>122.76</v>
      </c>
      <c r="C18">
        <v>9998.1</v>
      </c>
      <c r="D18">
        <v>122.9</v>
      </c>
      <c r="E18">
        <v>9998.1</v>
      </c>
      <c r="F18">
        <v>122.52</v>
      </c>
      <c r="G18">
        <v>11132.09</v>
      </c>
      <c r="H18">
        <v>170.04</v>
      </c>
      <c r="I18">
        <v>11083.14</v>
      </c>
    </row>
    <row r="19" spans="1:9">
      <c r="A19" t="s">
        <v>26</v>
      </c>
      <c r="B19">
        <v>126.61</v>
      </c>
      <c r="C19">
        <v>9850.44</v>
      </c>
      <c r="D19">
        <v>126.62</v>
      </c>
      <c r="E19">
        <v>9850.44</v>
      </c>
      <c r="F19">
        <v>126.26</v>
      </c>
      <c r="G19">
        <v>10957.61</v>
      </c>
      <c r="H19">
        <v>-1</v>
      </c>
      <c r="I19">
        <v>10792.71</v>
      </c>
    </row>
    <row r="20" spans="1:9">
      <c r="A20" t="s">
        <v>27</v>
      </c>
      <c r="B20">
        <v>130.77</v>
      </c>
      <c r="C20">
        <v>9915.18</v>
      </c>
      <c r="D20">
        <v>130.73</v>
      </c>
      <c r="E20">
        <v>9915.18</v>
      </c>
      <c r="F20">
        <v>130.46</v>
      </c>
      <c r="G20">
        <v>11075.91</v>
      </c>
      <c r="H20">
        <v>149.98</v>
      </c>
      <c r="I20">
        <v>10963.97</v>
      </c>
    </row>
    <row r="21" spans="1:9">
      <c r="A21" t="s">
        <v>28</v>
      </c>
      <c r="B21">
        <v>118.34</v>
      </c>
      <c r="C21">
        <v>8906.92</v>
      </c>
      <c r="D21">
        <v>118.31</v>
      </c>
      <c r="E21">
        <v>8906.92</v>
      </c>
      <c r="F21">
        <v>118.03</v>
      </c>
      <c r="G21">
        <v>9912.69</v>
      </c>
      <c r="H21">
        <v>131.58</v>
      </c>
      <c r="I21">
        <v>9911.79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126.8025</v>
      </c>
      <c r="B24" s="4">
        <f>AVERAGE($D$2:$D$21)</f>
        <v>126.831</v>
      </c>
      <c r="C24" s="4">
        <f>AVERAGE($F$2:$F$21)</f>
        <v>126.4885</v>
      </c>
      <c r="D24" s="4">
        <f>IFERROR(AVERAGEIF($H$2:$H$21,"&lt;&gt;-1"),0)</f>
        <v>159.623125</v>
      </c>
      <c r="E24" s="4">
        <f>AVERAGE($C$2:$C$21)</f>
        <v>9846.7385</v>
      </c>
      <c r="F24" s="4">
        <f>AVERAGE($E$2:$E$21)</f>
        <v>9846.7385</v>
      </c>
      <c r="G24" s="4">
        <f>AVERAGE($G$2:$G$21)</f>
        <v>10952.3575</v>
      </c>
      <c r="H24" s="4">
        <f>IFERROR(AVERAGEIFS($I$2:$I$21,$H$2:$H$21,"&lt;&gt; -1"),0)</f>
        <v>10914.1325</v>
      </c>
      <c r="I24" s="4">
        <f>MAX($B$2:$B$21)</f>
        <v>135.79</v>
      </c>
      <c r="J24" s="4">
        <f>MAX($D$2:$D$21)</f>
        <v>135.86</v>
      </c>
      <c r="K24" s="4">
        <f>MAX($F$2:$F$21)</f>
        <v>135.38</v>
      </c>
      <c r="L24" s="4">
        <f>_xlfn.MAXIFS($H$2:$H$21,$H$2:$H$21,"&lt;&gt; -1")</f>
        <v>199.09</v>
      </c>
      <c r="M24" s="4">
        <f>MIN($B$2:$B$21)</f>
        <v>118.34</v>
      </c>
      <c r="N24" s="4">
        <f>MIN($D$2:$D$21)</f>
        <v>118.31</v>
      </c>
      <c r="O24" s="4">
        <f>MIN($F$2:$F$21)</f>
        <v>118.03</v>
      </c>
      <c r="P24" s="4">
        <f>_xlfn.MINIFS($H$2:$H$21,$H$2:$H$21,"&lt;&gt; -1")</f>
        <v>131.58</v>
      </c>
      <c r="Q24" s="4">
        <f>MAX($C$2:$C$21)</f>
        <v>10698.44</v>
      </c>
      <c r="R24" s="4">
        <f>MAX($E$2:$E$21)</f>
        <v>10698.44</v>
      </c>
      <c r="S24" s="4">
        <f>MAX($G$2:$G$21)</f>
        <v>11923.85</v>
      </c>
      <c r="T24" s="4">
        <f>_xlfn.MAXIFS($I$2:$I$21,$H$2:$H$21,"&lt;&gt; -1")</f>
        <v>11893.2</v>
      </c>
      <c r="U24" s="4">
        <f>MIN($C$2:$C$21)</f>
        <v>8906.92</v>
      </c>
      <c r="V24" s="4">
        <f>MIN($E$2:$E$21)</f>
        <v>8906.92</v>
      </c>
      <c r="W24" s="4">
        <f>MIN($G$2:$G$21)</f>
        <v>9912.69</v>
      </c>
      <c r="X24" s="4">
        <f>_xlfn.MINIFS($I$2:$I$21,$H$2:$H$21,"&lt;&gt; -1")</f>
        <v>9911.79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139.49</v>
      </c>
      <c r="C2">
        <v>9950.4</v>
      </c>
      <c r="D2">
        <v>139.49</v>
      </c>
      <c r="E2">
        <v>9950.4</v>
      </c>
      <c r="F2">
        <v>139.55</v>
      </c>
      <c r="G2">
        <v>11089.9</v>
      </c>
      <c r="H2">
        <v>-1</v>
      </c>
      <c r="I2">
        <v>9091.06</v>
      </c>
    </row>
    <row r="3" spans="1:9">
      <c r="A3" t="s">
        <v>10</v>
      </c>
      <c r="B3">
        <v>146.38</v>
      </c>
      <c r="C3">
        <v>10110.61</v>
      </c>
      <c r="D3">
        <v>146.25</v>
      </c>
      <c r="E3">
        <v>10110.61</v>
      </c>
      <c r="F3">
        <v>145.88</v>
      </c>
      <c r="G3">
        <v>11265.99</v>
      </c>
      <c r="H3">
        <v>-1</v>
      </c>
      <c r="I3">
        <v>7161.17</v>
      </c>
    </row>
    <row r="4" spans="1:9">
      <c r="A4" t="s">
        <v>11</v>
      </c>
      <c r="B4">
        <v>140.22</v>
      </c>
      <c r="C4">
        <v>9796.67</v>
      </c>
      <c r="D4">
        <v>140.67</v>
      </c>
      <c r="E4">
        <v>9796.67</v>
      </c>
      <c r="F4">
        <v>140.28</v>
      </c>
      <c r="G4">
        <v>10873.6</v>
      </c>
      <c r="H4">
        <v>-1</v>
      </c>
      <c r="I4">
        <v>6771.51</v>
      </c>
    </row>
    <row r="5" spans="1:9">
      <c r="A5" t="s">
        <v>12</v>
      </c>
      <c r="B5">
        <v>138.67</v>
      </c>
      <c r="C5">
        <v>10008.88</v>
      </c>
      <c r="D5">
        <v>138.74</v>
      </c>
      <c r="E5">
        <v>10008.88</v>
      </c>
      <c r="F5">
        <v>137.97</v>
      </c>
      <c r="G5">
        <v>11052.67</v>
      </c>
      <c r="H5">
        <v>-1</v>
      </c>
      <c r="I5">
        <v>9150.92</v>
      </c>
    </row>
    <row r="6" spans="1:9">
      <c r="A6" t="s">
        <v>13</v>
      </c>
      <c r="B6">
        <v>143.43</v>
      </c>
      <c r="C6">
        <v>9702.28</v>
      </c>
      <c r="D6">
        <v>143.58</v>
      </c>
      <c r="E6">
        <v>9702.28</v>
      </c>
      <c r="F6">
        <v>143.05</v>
      </c>
      <c r="G6">
        <v>10794.47</v>
      </c>
      <c r="H6">
        <v>-1</v>
      </c>
      <c r="I6">
        <v>8694.4</v>
      </c>
    </row>
    <row r="7" spans="1:9">
      <c r="A7" t="s">
        <v>14</v>
      </c>
      <c r="B7">
        <v>140.4</v>
      </c>
      <c r="C7">
        <v>9873.26</v>
      </c>
      <c r="D7">
        <v>140.54</v>
      </c>
      <c r="E7">
        <v>9873.26</v>
      </c>
      <c r="F7">
        <v>140.09</v>
      </c>
      <c r="G7">
        <v>10954.63</v>
      </c>
      <c r="H7">
        <v>-1</v>
      </c>
      <c r="I7">
        <v>8797.73</v>
      </c>
    </row>
    <row r="8" spans="1:9">
      <c r="A8" t="s">
        <v>15</v>
      </c>
      <c r="B8">
        <v>134.98</v>
      </c>
      <c r="C8">
        <v>9315.32</v>
      </c>
      <c r="D8">
        <v>134.98</v>
      </c>
      <c r="E8">
        <v>9315.32</v>
      </c>
      <c r="F8">
        <v>134.66</v>
      </c>
      <c r="G8">
        <v>10386.11</v>
      </c>
      <c r="H8">
        <v>-1</v>
      </c>
      <c r="I8">
        <v>6638.49</v>
      </c>
    </row>
    <row r="9" spans="1:9">
      <c r="A9" t="s">
        <v>16</v>
      </c>
      <c r="B9">
        <v>145.4</v>
      </c>
      <c r="C9">
        <v>10294.43</v>
      </c>
      <c r="D9">
        <v>145.35</v>
      </c>
      <c r="E9">
        <v>10294.43</v>
      </c>
      <c r="F9">
        <v>144.88</v>
      </c>
      <c r="G9">
        <v>11427.68</v>
      </c>
      <c r="H9">
        <v>-1</v>
      </c>
      <c r="I9">
        <v>9229.48</v>
      </c>
    </row>
    <row r="10" spans="1:9">
      <c r="A10" t="s">
        <v>17</v>
      </c>
      <c r="B10">
        <v>138.68</v>
      </c>
      <c r="C10">
        <v>10088.9</v>
      </c>
      <c r="D10">
        <v>138.77</v>
      </c>
      <c r="E10">
        <v>10088.9</v>
      </c>
      <c r="F10">
        <v>138.25</v>
      </c>
      <c r="G10">
        <v>11191.03</v>
      </c>
      <c r="H10">
        <v>-1</v>
      </c>
      <c r="I10">
        <v>7238.56</v>
      </c>
    </row>
    <row r="11" spans="1:9">
      <c r="A11" t="s">
        <v>18</v>
      </c>
      <c r="B11">
        <v>146.17</v>
      </c>
      <c r="C11">
        <v>9960.77</v>
      </c>
      <c r="D11">
        <v>146.18</v>
      </c>
      <c r="E11">
        <v>9960.77</v>
      </c>
      <c r="F11">
        <v>145.77</v>
      </c>
      <c r="G11">
        <v>11144.89</v>
      </c>
      <c r="H11">
        <v>-1</v>
      </c>
      <c r="I11">
        <v>6986.8</v>
      </c>
    </row>
    <row r="12" spans="1:9">
      <c r="A12" t="s">
        <v>19</v>
      </c>
      <c r="B12">
        <v>149.59</v>
      </c>
      <c r="C12">
        <v>10119.84</v>
      </c>
      <c r="D12">
        <v>149.41</v>
      </c>
      <c r="E12">
        <v>10119.84</v>
      </c>
      <c r="F12">
        <v>148.91</v>
      </c>
      <c r="G12">
        <v>11184.62</v>
      </c>
      <c r="H12">
        <v>-1</v>
      </c>
      <c r="I12">
        <v>6394.92</v>
      </c>
    </row>
    <row r="13" spans="1:9">
      <c r="A13" t="s">
        <v>20</v>
      </c>
      <c r="B13">
        <v>151.34</v>
      </c>
      <c r="C13">
        <v>9620.44</v>
      </c>
      <c r="D13">
        <v>151.22</v>
      </c>
      <c r="E13">
        <v>9620.44</v>
      </c>
      <c r="F13">
        <v>150.62</v>
      </c>
      <c r="G13">
        <v>10761.26</v>
      </c>
      <c r="H13">
        <v>-1</v>
      </c>
      <c r="I13">
        <v>6862.72</v>
      </c>
    </row>
    <row r="14" spans="1:9">
      <c r="A14" t="s">
        <v>21</v>
      </c>
      <c r="B14">
        <v>136.6</v>
      </c>
      <c r="C14">
        <v>9410.4</v>
      </c>
      <c r="D14">
        <v>136.55</v>
      </c>
      <c r="E14">
        <v>9410.4</v>
      </c>
      <c r="F14">
        <v>136.21</v>
      </c>
      <c r="G14">
        <v>10457.25</v>
      </c>
      <c r="H14">
        <v>-1</v>
      </c>
      <c r="I14">
        <v>8189.59</v>
      </c>
    </row>
    <row r="15" spans="1:9">
      <c r="A15" t="s">
        <v>22</v>
      </c>
      <c r="B15">
        <v>141.59</v>
      </c>
      <c r="C15">
        <v>10014.43</v>
      </c>
      <c r="D15">
        <v>141.72</v>
      </c>
      <c r="E15">
        <v>10014.43</v>
      </c>
      <c r="F15">
        <v>141.19</v>
      </c>
      <c r="G15">
        <v>11162.46</v>
      </c>
      <c r="H15">
        <v>-1</v>
      </c>
      <c r="I15">
        <v>8520.07</v>
      </c>
    </row>
    <row r="16" spans="1:9">
      <c r="A16" t="s">
        <v>23</v>
      </c>
      <c r="B16">
        <v>143.73</v>
      </c>
      <c r="C16">
        <v>9821.72</v>
      </c>
      <c r="D16">
        <v>143.85</v>
      </c>
      <c r="E16">
        <v>9821.72</v>
      </c>
      <c r="F16">
        <v>143.26</v>
      </c>
      <c r="G16">
        <v>10803.33</v>
      </c>
      <c r="H16">
        <v>-1</v>
      </c>
      <c r="I16">
        <v>10763.15</v>
      </c>
    </row>
    <row r="17" spans="1:9">
      <c r="A17" t="s">
        <v>24</v>
      </c>
      <c r="B17">
        <v>155.31</v>
      </c>
      <c r="C17">
        <v>10665.64</v>
      </c>
      <c r="D17">
        <v>155.37</v>
      </c>
      <c r="E17">
        <v>10665.64</v>
      </c>
      <c r="F17">
        <v>154.81</v>
      </c>
      <c r="G17">
        <v>11828.49</v>
      </c>
      <c r="H17">
        <v>-1</v>
      </c>
      <c r="I17">
        <v>7373.82</v>
      </c>
    </row>
    <row r="18" spans="1:9">
      <c r="A18" t="s">
        <v>25</v>
      </c>
      <c r="B18">
        <v>149.22</v>
      </c>
      <c r="C18">
        <v>9949.64</v>
      </c>
      <c r="D18">
        <v>149.52</v>
      </c>
      <c r="E18">
        <v>9949.64</v>
      </c>
      <c r="F18">
        <v>148.81</v>
      </c>
      <c r="G18">
        <v>11051.61</v>
      </c>
      <c r="H18">
        <v>-1</v>
      </c>
      <c r="I18">
        <v>8999.8</v>
      </c>
    </row>
    <row r="19" spans="1:9">
      <c r="A19" t="s">
        <v>26</v>
      </c>
      <c r="B19">
        <v>154.43</v>
      </c>
      <c r="C19">
        <v>10160.26</v>
      </c>
      <c r="D19">
        <v>154.59</v>
      </c>
      <c r="E19">
        <v>10160.26</v>
      </c>
      <c r="F19">
        <v>153.97</v>
      </c>
      <c r="G19">
        <v>11310.11</v>
      </c>
      <c r="H19">
        <v>-1</v>
      </c>
      <c r="I19">
        <v>9188.72</v>
      </c>
    </row>
    <row r="20" spans="1:9">
      <c r="A20" t="s">
        <v>27</v>
      </c>
      <c r="B20">
        <v>149.42</v>
      </c>
      <c r="C20">
        <v>10203.79</v>
      </c>
      <c r="D20">
        <v>149.4</v>
      </c>
      <c r="E20">
        <v>10203.79</v>
      </c>
      <c r="F20">
        <v>148.75</v>
      </c>
      <c r="G20">
        <v>11386.18</v>
      </c>
      <c r="H20">
        <v>-1</v>
      </c>
      <c r="I20">
        <v>7340.63</v>
      </c>
    </row>
    <row r="21" spans="1:9">
      <c r="A21" t="s">
        <v>28</v>
      </c>
      <c r="B21">
        <v>137.44</v>
      </c>
      <c r="C21">
        <v>9506.66</v>
      </c>
      <c r="D21">
        <v>137.99</v>
      </c>
      <c r="E21">
        <v>9506.66</v>
      </c>
      <c r="F21">
        <v>137.49</v>
      </c>
      <c r="G21">
        <v>10540.78</v>
      </c>
      <c r="H21">
        <v>185.01</v>
      </c>
      <c r="I21">
        <v>10490.48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144.1245</v>
      </c>
      <c r="B24" s="4">
        <f>AVERAGE($D$2:$D$21)</f>
        <v>144.2085</v>
      </c>
      <c r="C24" s="4">
        <f>AVERAGE($F$2:$F$21)</f>
        <v>143.72</v>
      </c>
      <c r="D24" s="4">
        <f>IFERROR(AVERAGEIF($H$2:$H$21,"&lt;&gt;-1"),0)</f>
        <v>185.01</v>
      </c>
      <c r="E24" s="4">
        <f>AVERAGE($C$2:$C$21)</f>
        <v>9928.717</v>
      </c>
      <c r="F24" s="4">
        <f>AVERAGE($E$2:$E$21)</f>
        <v>9928.717</v>
      </c>
      <c r="G24" s="4">
        <f>AVERAGE($G$2:$G$21)</f>
        <v>11033.353</v>
      </c>
      <c r="H24" s="4">
        <f>IFERROR(AVERAGEIFS($I$2:$I$21,$H$2:$H$21,"&lt;&gt; -1"),0)</f>
        <v>10490.48</v>
      </c>
      <c r="I24" s="4">
        <f>MAX($B$2:$B$21)</f>
        <v>155.31</v>
      </c>
      <c r="J24" s="4">
        <f>MAX($D$2:$D$21)</f>
        <v>155.37</v>
      </c>
      <c r="K24" s="4">
        <f>MAX($F$2:$F$21)</f>
        <v>154.81</v>
      </c>
      <c r="L24" s="4">
        <f>_xlfn.MAXIFS($H$2:$H$21,$H$2:$H$21,"&lt;&gt; -1")</f>
        <v>185.01</v>
      </c>
      <c r="M24" s="4">
        <f>MIN($B$2:$B$21)</f>
        <v>134.98</v>
      </c>
      <c r="N24" s="4">
        <f>MIN($D$2:$D$21)</f>
        <v>134.98</v>
      </c>
      <c r="O24" s="4">
        <f>MIN($F$2:$F$21)</f>
        <v>134.66</v>
      </c>
      <c r="P24" s="4">
        <f>_xlfn.MINIFS($H$2:$H$21,$H$2:$H$21,"&lt;&gt; -1")</f>
        <v>185.01</v>
      </c>
      <c r="Q24" s="4">
        <f>MAX($C$2:$C$21)</f>
        <v>10665.64</v>
      </c>
      <c r="R24" s="4">
        <f>MAX($E$2:$E$21)</f>
        <v>10665.64</v>
      </c>
      <c r="S24" s="4">
        <f>MAX($G$2:$G$21)</f>
        <v>11828.49</v>
      </c>
      <c r="T24" s="4">
        <f>_xlfn.MAXIFS($I$2:$I$21,$H$2:$H$21,"&lt;&gt; -1")</f>
        <v>10490.48</v>
      </c>
      <c r="U24" s="4">
        <f>MIN($C$2:$C$21)</f>
        <v>9315.32</v>
      </c>
      <c r="V24" s="4">
        <f>MIN($E$2:$E$21)</f>
        <v>9315.32</v>
      </c>
      <c r="W24" s="4">
        <f>MIN($G$2:$G$21)</f>
        <v>10386.11</v>
      </c>
      <c r="X24" s="4">
        <f>_xlfn.MINIFS($I$2:$I$21,$H$2:$H$21,"&lt;&gt; -1")</f>
        <v>10490.48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0.05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165.4</v>
      </c>
      <c r="C2">
        <v>9797.31</v>
      </c>
      <c r="D2">
        <v>165.31</v>
      </c>
      <c r="E2">
        <v>9797.31</v>
      </c>
      <c r="F2">
        <v>164.88</v>
      </c>
      <c r="G2">
        <v>10904.17</v>
      </c>
      <c r="H2">
        <v>-1</v>
      </c>
      <c r="I2">
        <v>5180.69</v>
      </c>
    </row>
    <row r="3" spans="1:9">
      <c r="A3" t="s">
        <v>10</v>
      </c>
      <c r="B3">
        <v>177.47</v>
      </c>
      <c r="C3">
        <v>10422.88</v>
      </c>
      <c r="D3">
        <v>177.34</v>
      </c>
      <c r="E3">
        <v>10422.88</v>
      </c>
      <c r="F3">
        <v>177</v>
      </c>
      <c r="G3">
        <v>11619.12</v>
      </c>
      <c r="H3">
        <v>-1</v>
      </c>
      <c r="I3">
        <v>4565.66</v>
      </c>
    </row>
    <row r="4" spans="1:9">
      <c r="A4" t="s">
        <v>11</v>
      </c>
      <c r="B4">
        <v>178.87</v>
      </c>
      <c r="C4">
        <v>9969.98</v>
      </c>
      <c r="D4">
        <v>178.79</v>
      </c>
      <c r="E4">
        <v>9969.98</v>
      </c>
      <c r="F4">
        <v>178.26</v>
      </c>
      <c r="G4">
        <v>11101.72</v>
      </c>
      <c r="H4">
        <v>-1</v>
      </c>
      <c r="I4">
        <v>5692.7</v>
      </c>
    </row>
    <row r="5" spans="1:9">
      <c r="A5" t="s">
        <v>12</v>
      </c>
      <c r="B5">
        <v>175.36</v>
      </c>
      <c r="C5">
        <v>9676.15</v>
      </c>
      <c r="D5">
        <v>175.37</v>
      </c>
      <c r="E5">
        <v>9676.15</v>
      </c>
      <c r="F5">
        <v>175.04</v>
      </c>
      <c r="G5">
        <v>10750.27</v>
      </c>
      <c r="H5">
        <v>-1</v>
      </c>
      <c r="I5">
        <v>10691.21</v>
      </c>
    </row>
    <row r="6" spans="1:9">
      <c r="A6" t="s">
        <v>13</v>
      </c>
      <c r="B6">
        <v>167.78</v>
      </c>
      <c r="C6">
        <v>10188.52</v>
      </c>
      <c r="D6">
        <v>167.85</v>
      </c>
      <c r="E6">
        <v>10188.52</v>
      </c>
      <c r="F6">
        <v>167.4</v>
      </c>
      <c r="G6">
        <v>11407.28</v>
      </c>
      <c r="H6">
        <v>-1</v>
      </c>
      <c r="I6">
        <v>4697.47</v>
      </c>
    </row>
    <row r="7" spans="1:9">
      <c r="A7" t="s">
        <v>14</v>
      </c>
      <c r="B7">
        <v>175.89</v>
      </c>
      <c r="C7">
        <v>9666.77</v>
      </c>
      <c r="D7">
        <v>176</v>
      </c>
      <c r="E7">
        <v>9666.77</v>
      </c>
      <c r="F7">
        <v>175.59</v>
      </c>
      <c r="G7">
        <v>10751.66</v>
      </c>
      <c r="H7">
        <v>-1</v>
      </c>
      <c r="I7">
        <v>10798.13</v>
      </c>
    </row>
    <row r="8" spans="1:9">
      <c r="A8" t="s">
        <v>15</v>
      </c>
      <c r="B8">
        <v>165.36</v>
      </c>
      <c r="C8">
        <v>9357.06</v>
      </c>
      <c r="D8">
        <v>165.37</v>
      </c>
      <c r="E8">
        <v>9357.06</v>
      </c>
      <c r="F8">
        <v>164.75</v>
      </c>
      <c r="G8">
        <v>10375.39</v>
      </c>
      <c r="H8">
        <v>-1</v>
      </c>
      <c r="I8">
        <v>3125.05</v>
      </c>
    </row>
    <row r="9" spans="1:9">
      <c r="A9" t="s">
        <v>16</v>
      </c>
      <c r="B9">
        <v>174.09</v>
      </c>
      <c r="C9">
        <v>10182.23</v>
      </c>
      <c r="D9">
        <v>173.95</v>
      </c>
      <c r="E9">
        <v>10182.23</v>
      </c>
      <c r="F9">
        <v>173.44</v>
      </c>
      <c r="G9">
        <v>11255.79</v>
      </c>
      <c r="H9">
        <v>-1</v>
      </c>
      <c r="I9">
        <v>5252.61</v>
      </c>
    </row>
    <row r="10" spans="1:9">
      <c r="A10" t="s">
        <v>17</v>
      </c>
      <c r="B10">
        <v>169.32</v>
      </c>
      <c r="C10">
        <v>10099.23</v>
      </c>
      <c r="D10">
        <v>169.4</v>
      </c>
      <c r="E10">
        <v>10099.23</v>
      </c>
      <c r="F10">
        <v>168.75</v>
      </c>
      <c r="G10">
        <v>11179.84</v>
      </c>
      <c r="H10">
        <v>-1</v>
      </c>
      <c r="I10">
        <v>4814.72</v>
      </c>
    </row>
    <row r="11" spans="1:9">
      <c r="A11" t="s">
        <v>18</v>
      </c>
      <c r="B11">
        <v>174.72</v>
      </c>
      <c r="C11">
        <v>9791.73</v>
      </c>
      <c r="D11">
        <v>174.68</v>
      </c>
      <c r="E11">
        <v>9791.73</v>
      </c>
      <c r="F11">
        <v>174.23</v>
      </c>
      <c r="G11">
        <v>10836.43</v>
      </c>
      <c r="H11">
        <v>-1</v>
      </c>
      <c r="I11">
        <v>4020.98</v>
      </c>
    </row>
    <row r="12" spans="1:9">
      <c r="A12" t="s">
        <v>19</v>
      </c>
      <c r="B12">
        <v>175.98</v>
      </c>
      <c r="C12">
        <v>9867.59</v>
      </c>
      <c r="D12">
        <v>176.01</v>
      </c>
      <c r="E12">
        <v>9867.59</v>
      </c>
      <c r="F12">
        <v>175.52</v>
      </c>
      <c r="G12">
        <v>11002.12</v>
      </c>
      <c r="H12">
        <v>-1</v>
      </c>
      <c r="I12">
        <v>5170.01</v>
      </c>
    </row>
    <row r="13" spans="1:9">
      <c r="A13" t="s">
        <v>20</v>
      </c>
      <c r="B13">
        <v>172.25</v>
      </c>
      <c r="C13">
        <v>9889.92</v>
      </c>
      <c r="D13">
        <v>172.24</v>
      </c>
      <c r="E13">
        <v>9889.92</v>
      </c>
      <c r="F13">
        <v>171.79</v>
      </c>
      <c r="G13">
        <v>11035.58</v>
      </c>
      <c r="H13">
        <v>-1</v>
      </c>
      <c r="I13">
        <v>4651.11</v>
      </c>
    </row>
    <row r="14" spans="1:9">
      <c r="A14" t="s">
        <v>21</v>
      </c>
      <c r="B14">
        <v>174.09</v>
      </c>
      <c r="C14">
        <v>9936.14</v>
      </c>
      <c r="D14">
        <v>174.28</v>
      </c>
      <c r="E14">
        <v>9936.14</v>
      </c>
      <c r="F14">
        <v>173.43</v>
      </c>
      <c r="G14">
        <v>11052.45</v>
      </c>
      <c r="H14">
        <v>-1</v>
      </c>
      <c r="I14">
        <v>5148.36</v>
      </c>
    </row>
    <row r="15" spans="1:9">
      <c r="A15" t="s">
        <v>22</v>
      </c>
      <c r="B15">
        <v>168.65</v>
      </c>
      <c r="C15">
        <v>9902.54</v>
      </c>
      <c r="D15">
        <v>168.77</v>
      </c>
      <c r="E15">
        <v>9902.54</v>
      </c>
      <c r="F15">
        <v>168.4</v>
      </c>
      <c r="G15">
        <v>10983.98</v>
      </c>
      <c r="H15">
        <v>-1</v>
      </c>
      <c r="I15">
        <v>5243.53</v>
      </c>
    </row>
    <row r="16" spans="1:9">
      <c r="A16" t="s">
        <v>23</v>
      </c>
      <c r="B16">
        <v>170</v>
      </c>
      <c r="C16">
        <v>10227.06</v>
      </c>
      <c r="D16">
        <v>169.96</v>
      </c>
      <c r="E16">
        <v>10227.06</v>
      </c>
      <c r="F16">
        <v>169.48</v>
      </c>
      <c r="G16">
        <v>11293.69</v>
      </c>
      <c r="H16">
        <v>-1</v>
      </c>
      <c r="I16">
        <v>4756.54</v>
      </c>
    </row>
    <row r="17" spans="1:9">
      <c r="A17" t="s">
        <v>24</v>
      </c>
      <c r="B17">
        <v>174.57</v>
      </c>
      <c r="C17">
        <v>10253.07</v>
      </c>
      <c r="D17">
        <v>174.51</v>
      </c>
      <c r="E17">
        <v>10253.07</v>
      </c>
      <c r="F17">
        <v>173.93</v>
      </c>
      <c r="G17">
        <v>11369.67</v>
      </c>
      <c r="H17">
        <v>-1</v>
      </c>
      <c r="I17">
        <v>6652.74</v>
      </c>
    </row>
    <row r="18" spans="1:9">
      <c r="A18" t="s">
        <v>25</v>
      </c>
      <c r="B18">
        <v>183.01</v>
      </c>
      <c r="C18">
        <v>10269.67</v>
      </c>
      <c r="D18">
        <v>183.02</v>
      </c>
      <c r="E18">
        <v>10269.67</v>
      </c>
      <c r="F18">
        <v>182.59</v>
      </c>
      <c r="G18">
        <v>11391.42</v>
      </c>
      <c r="H18">
        <v>-1</v>
      </c>
      <c r="I18">
        <v>7791.47</v>
      </c>
    </row>
    <row r="19" spans="1:9">
      <c r="A19" t="s">
        <v>26</v>
      </c>
      <c r="B19">
        <v>175.41</v>
      </c>
      <c r="C19">
        <v>10400.02</v>
      </c>
      <c r="D19">
        <v>175.34</v>
      </c>
      <c r="E19">
        <v>10400.02</v>
      </c>
      <c r="F19">
        <v>174.93</v>
      </c>
      <c r="G19">
        <v>11548.16</v>
      </c>
      <c r="H19">
        <v>-1</v>
      </c>
      <c r="I19">
        <v>6993.49</v>
      </c>
    </row>
    <row r="20" spans="1:9">
      <c r="A20" t="s">
        <v>27</v>
      </c>
      <c r="B20">
        <v>183.67</v>
      </c>
      <c r="C20">
        <v>10391.23</v>
      </c>
      <c r="D20">
        <v>183.58</v>
      </c>
      <c r="E20">
        <v>10391.23</v>
      </c>
      <c r="F20">
        <v>182.82</v>
      </c>
      <c r="G20">
        <v>11605.06</v>
      </c>
      <c r="H20">
        <v>-1</v>
      </c>
      <c r="I20">
        <v>5407.9</v>
      </c>
    </row>
    <row r="21" spans="1:9">
      <c r="A21" t="s">
        <v>28</v>
      </c>
      <c r="B21">
        <v>155.12</v>
      </c>
      <c r="C21">
        <v>9386.84</v>
      </c>
      <c r="D21">
        <v>154.73</v>
      </c>
      <c r="E21">
        <v>9386.84</v>
      </c>
      <c r="F21">
        <v>154.33</v>
      </c>
      <c r="G21">
        <v>10460.53</v>
      </c>
      <c r="H21">
        <v>-1</v>
      </c>
      <c r="I21">
        <v>4307.58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IFERROR(AVERAGEIF($B$2:$B$21,"&lt;200"),0)</f>
        <v>172.8505</v>
      </c>
      <c r="B24" s="4">
        <f>IFERROR(AVERAGEIF($D$2:$D$21,"&lt;200"),0)</f>
        <v>172.825</v>
      </c>
      <c r="C24" s="4">
        <f>IFERROR(AVERAGEIF($F$2:$F$21,"&lt;200"),0)</f>
        <v>172.328</v>
      </c>
      <c r="D24" s="4">
        <f>IFERROR(AVERAGEIF($H$2:$H$21,"&lt;&gt;-1"),0)</f>
        <v>0</v>
      </c>
      <c r="E24" s="4">
        <f>IFERROR(AVERAGEIFS($C$2:$C$21,$B$2:$B$21,"&lt;200"),0)</f>
        <v>9983.797</v>
      </c>
      <c r="F24" s="4">
        <f>IFERROR(AVERAGEIFS($E$2:$E$21,$D$2:$D$21,"&lt;200"),0)</f>
        <v>9983.797</v>
      </c>
      <c r="G24" s="4">
        <f>IFERROR(AVERAGEIFS($G$2:$G$21,$F$2:$F$21,"&lt;200"),0)</f>
        <v>11096.2165</v>
      </c>
      <c r="H24" s="4">
        <f>IFERROR(AVERAGEIFS($I$2:$I$21,$H$2:$H$21,"&lt;&gt; -1"),0)</f>
        <v>0</v>
      </c>
      <c r="I24" s="4">
        <f>_xlfn.MAXIFS($B$2:$B$21,$B$2:$B$21,"&lt; 200")</f>
        <v>183.67</v>
      </c>
      <c r="J24" s="4">
        <f>_xlfn.MAXIFS($D$2:$D$21,$D$2:$D$21,"&lt; 200")</f>
        <v>183.58</v>
      </c>
      <c r="K24" s="4">
        <f>_xlfn.MAXIFS($F$2:$F$21,$F$2:$F$21,"&lt; 200")</f>
        <v>182.82</v>
      </c>
      <c r="L24" s="4">
        <f>_xlfn.MAXIFS($H$2:$H$21,$H$2:$H$21,"&lt;&gt; -1")</f>
        <v>0</v>
      </c>
      <c r="M24" s="4">
        <f>_xlfn.MINIFS($B$2:$B$21,$B$2:$B$21,"&lt;200")</f>
        <v>155.12</v>
      </c>
      <c r="N24" s="4">
        <f>_xlfn.MINIFS($D$2:$D$21,$D$2:$D$21,"&lt;200")</f>
        <v>154.73</v>
      </c>
      <c r="O24" s="4">
        <f>_xlfn.MINIFS($F$2:$F$21,$F$2:$F$21,"&lt;200")</f>
        <v>154.33</v>
      </c>
      <c r="P24" s="4">
        <f>_xlfn.MINIFS($H$2:$H$21,$H$2:$H$21,"&lt;&gt; -1")</f>
        <v>0</v>
      </c>
      <c r="Q24" s="4">
        <f>_xlfn.MAXIFS($C$2:$C$21,$B$2:$B$21,"&lt; 200")</f>
        <v>10422.88</v>
      </c>
      <c r="R24" s="4">
        <f>_xlfn.MAXIFS($E$2:$E$21,D2:D21,"&lt; 200")</f>
        <v>10422.88</v>
      </c>
      <c r="S24" s="4">
        <f>_xlfn.MAXIFS($G$2:$G$21,$F$2:$F$21,"&lt; 200")</f>
        <v>11619.12</v>
      </c>
      <c r="T24" s="4">
        <f>_xlfn.MAXIFS($I$2:$I$21,$H$2:$H$21,"&lt;&gt; -1")</f>
        <v>0</v>
      </c>
      <c r="U24" s="4">
        <f>_xlfn.MINIFS($C$2:$C$21,$B$2:$B$21,"&lt;200")</f>
        <v>9357.06</v>
      </c>
      <c r="V24" s="4">
        <f>_xlfn.MINIFS($E$2:$E$21,$D$2:$D$21,"&lt;200")</f>
        <v>9357.06</v>
      </c>
      <c r="W24" s="4">
        <f>_xlfn.MINIFS($G$2:$G$21,$F$2:$F$21,"&lt;200")</f>
        <v>10375.39</v>
      </c>
      <c r="X24" s="4">
        <f>_xlfn.MINIFS($I$2:$I$21,$H$2:$H$21,"&lt;&gt; -1")</f>
        <v>0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183.62</v>
      </c>
      <c r="C2">
        <v>9746.46</v>
      </c>
      <c r="D2">
        <v>183.57</v>
      </c>
      <c r="E2">
        <v>9746.46</v>
      </c>
      <c r="F2">
        <v>183.1</v>
      </c>
      <c r="G2">
        <v>10812.02</v>
      </c>
      <c r="H2">
        <v>-1</v>
      </c>
      <c r="I2">
        <v>3729.16</v>
      </c>
    </row>
    <row r="3" spans="1:9">
      <c r="A3" t="s">
        <v>10</v>
      </c>
      <c r="B3">
        <v>194.25</v>
      </c>
      <c r="C3">
        <v>10832.62</v>
      </c>
      <c r="D3">
        <v>194.31</v>
      </c>
      <c r="E3">
        <v>10832.62</v>
      </c>
      <c r="F3">
        <v>193.66</v>
      </c>
      <c r="G3">
        <v>12071.33</v>
      </c>
      <c r="H3">
        <v>-1</v>
      </c>
      <c r="I3">
        <v>3185.38</v>
      </c>
    </row>
    <row r="4" spans="1:9">
      <c r="A4" t="s">
        <v>11</v>
      </c>
      <c r="B4">
        <v>192.31</v>
      </c>
      <c r="C4">
        <v>9694.52</v>
      </c>
      <c r="D4">
        <v>192.36</v>
      </c>
      <c r="E4">
        <v>9694.52</v>
      </c>
      <c r="F4">
        <v>191.77</v>
      </c>
      <c r="G4">
        <v>10793.9</v>
      </c>
      <c r="H4">
        <v>-1</v>
      </c>
      <c r="I4">
        <v>8224.83</v>
      </c>
    </row>
    <row r="5" spans="1:9">
      <c r="A5" t="s">
        <v>12</v>
      </c>
      <c r="B5">
        <v>192.68</v>
      </c>
      <c r="C5">
        <v>9934.27</v>
      </c>
      <c r="D5">
        <v>192.71</v>
      </c>
      <c r="E5">
        <v>9934.27</v>
      </c>
      <c r="F5">
        <v>191.99</v>
      </c>
      <c r="G5">
        <v>10995.54</v>
      </c>
      <c r="H5">
        <v>-1</v>
      </c>
      <c r="I5">
        <v>3825.62</v>
      </c>
    </row>
    <row r="6" spans="1:9">
      <c r="A6" t="s">
        <v>13</v>
      </c>
      <c r="B6">
        <v>183.5</v>
      </c>
      <c r="C6">
        <v>9480.57</v>
      </c>
      <c r="D6">
        <v>183.48</v>
      </c>
      <c r="E6">
        <v>9480.57</v>
      </c>
      <c r="F6">
        <v>183.19</v>
      </c>
      <c r="G6">
        <v>10594.58</v>
      </c>
      <c r="H6">
        <v>-1</v>
      </c>
      <c r="I6">
        <v>10452.62</v>
      </c>
    </row>
    <row r="7" spans="1:9">
      <c r="A7" t="s">
        <v>14</v>
      </c>
      <c r="B7">
        <v>179.85</v>
      </c>
      <c r="C7">
        <v>9484.78</v>
      </c>
      <c r="D7">
        <v>180.16</v>
      </c>
      <c r="E7">
        <v>9484.78</v>
      </c>
      <c r="F7">
        <v>179.41</v>
      </c>
      <c r="G7">
        <v>10544.07</v>
      </c>
      <c r="H7">
        <v>-1</v>
      </c>
      <c r="I7">
        <v>5916.26</v>
      </c>
    </row>
    <row r="8" spans="1:9">
      <c r="A8" t="s">
        <v>15</v>
      </c>
      <c r="B8">
        <v>181.15</v>
      </c>
      <c r="C8">
        <v>9523.45</v>
      </c>
      <c r="D8">
        <v>181.05</v>
      </c>
      <c r="E8">
        <v>9523.45</v>
      </c>
      <c r="F8">
        <v>180.68</v>
      </c>
      <c r="G8">
        <v>10543.24</v>
      </c>
      <c r="H8">
        <v>-1</v>
      </c>
      <c r="I8">
        <v>2507.13</v>
      </c>
    </row>
    <row r="9" spans="1:9">
      <c r="A9" t="s">
        <v>16</v>
      </c>
      <c r="B9">
        <v>188.77</v>
      </c>
      <c r="C9">
        <v>10268.43</v>
      </c>
      <c r="D9">
        <v>188.78</v>
      </c>
      <c r="E9">
        <v>10268.43</v>
      </c>
      <c r="F9">
        <v>188.35</v>
      </c>
      <c r="G9">
        <v>11392.86</v>
      </c>
      <c r="H9">
        <v>-1</v>
      </c>
      <c r="I9">
        <v>5400.8</v>
      </c>
    </row>
    <row r="10" spans="1:9">
      <c r="A10" t="s">
        <v>17</v>
      </c>
      <c r="B10">
        <v>187.77</v>
      </c>
      <c r="C10">
        <v>10098.74</v>
      </c>
      <c r="D10">
        <v>187.75</v>
      </c>
      <c r="E10">
        <v>10098.74</v>
      </c>
      <c r="F10">
        <v>187.07</v>
      </c>
      <c r="G10">
        <v>11226.81</v>
      </c>
      <c r="H10">
        <v>-1</v>
      </c>
      <c r="I10">
        <v>5134.8</v>
      </c>
    </row>
    <row r="11" spans="1:9">
      <c r="A11" t="s">
        <v>18</v>
      </c>
      <c r="B11">
        <v>194.47</v>
      </c>
      <c r="C11">
        <v>10649.83</v>
      </c>
      <c r="D11">
        <v>194.48</v>
      </c>
      <c r="E11">
        <v>10649.83</v>
      </c>
      <c r="F11">
        <v>193.9</v>
      </c>
      <c r="G11">
        <v>11826.74</v>
      </c>
      <c r="H11">
        <v>-1</v>
      </c>
      <c r="I11">
        <v>4603.99</v>
      </c>
    </row>
    <row r="12" spans="1:9">
      <c r="A12" t="s">
        <v>19</v>
      </c>
      <c r="B12">
        <v>187.01</v>
      </c>
      <c r="C12">
        <v>10191.34</v>
      </c>
      <c r="D12">
        <v>187.05</v>
      </c>
      <c r="E12">
        <v>10191.34</v>
      </c>
      <c r="F12">
        <v>186.13</v>
      </c>
      <c r="G12">
        <v>11257.63</v>
      </c>
      <c r="H12">
        <v>-1</v>
      </c>
      <c r="I12">
        <v>6593.33</v>
      </c>
    </row>
    <row r="13" spans="1:9">
      <c r="A13" t="s">
        <v>20</v>
      </c>
      <c r="B13">
        <v>188.38</v>
      </c>
      <c r="C13">
        <v>10163.02</v>
      </c>
      <c r="D13">
        <v>188.28</v>
      </c>
      <c r="E13">
        <v>10163.02</v>
      </c>
      <c r="F13">
        <v>188.05</v>
      </c>
      <c r="G13">
        <v>11314.78</v>
      </c>
      <c r="H13">
        <v>-1</v>
      </c>
      <c r="I13">
        <v>7292.87</v>
      </c>
    </row>
    <row r="14" spans="1:9">
      <c r="A14" t="s">
        <v>21</v>
      </c>
      <c r="B14">
        <v>179.59</v>
      </c>
      <c r="C14">
        <v>9817.02</v>
      </c>
      <c r="D14">
        <v>179.18</v>
      </c>
      <c r="E14">
        <v>9817.02</v>
      </c>
      <c r="F14">
        <v>178.75</v>
      </c>
      <c r="G14">
        <v>10964.7</v>
      </c>
      <c r="H14">
        <v>-1</v>
      </c>
      <c r="I14">
        <v>3830.55</v>
      </c>
    </row>
    <row r="15" spans="1:9">
      <c r="A15" t="s">
        <v>22</v>
      </c>
      <c r="B15">
        <v>187.28</v>
      </c>
      <c r="C15">
        <v>10226.75</v>
      </c>
      <c r="D15">
        <v>187.26</v>
      </c>
      <c r="E15">
        <v>10226.75</v>
      </c>
      <c r="F15">
        <v>186.73</v>
      </c>
      <c r="G15">
        <v>11370.41</v>
      </c>
      <c r="H15">
        <v>-1</v>
      </c>
      <c r="I15">
        <v>7646.73</v>
      </c>
    </row>
    <row r="16" spans="1:9">
      <c r="A16" t="s">
        <v>23</v>
      </c>
      <c r="B16">
        <v>186.58</v>
      </c>
      <c r="C16">
        <v>9992.15</v>
      </c>
      <c r="D16">
        <v>186.47</v>
      </c>
      <c r="E16">
        <v>9992.15</v>
      </c>
      <c r="F16">
        <v>185.91</v>
      </c>
      <c r="G16">
        <v>11120.62</v>
      </c>
      <c r="H16">
        <v>-1</v>
      </c>
      <c r="I16">
        <v>4502.21</v>
      </c>
    </row>
    <row r="17" spans="1:9">
      <c r="A17" t="s">
        <v>24</v>
      </c>
      <c r="B17">
        <v>187.6</v>
      </c>
      <c r="C17">
        <v>9945.59</v>
      </c>
      <c r="D17">
        <v>187.08</v>
      </c>
      <c r="E17">
        <v>9945.59</v>
      </c>
      <c r="F17">
        <v>186.55</v>
      </c>
      <c r="G17">
        <v>11077.12</v>
      </c>
      <c r="H17">
        <v>-1</v>
      </c>
      <c r="I17">
        <v>3859.13</v>
      </c>
    </row>
    <row r="18" spans="1:9">
      <c r="A18" t="s">
        <v>25</v>
      </c>
      <c r="B18">
        <v>187.24</v>
      </c>
      <c r="C18">
        <v>9809.47</v>
      </c>
      <c r="D18">
        <v>187.11</v>
      </c>
      <c r="E18">
        <v>9809.47</v>
      </c>
      <c r="F18">
        <v>186.66</v>
      </c>
      <c r="G18">
        <v>10859.65</v>
      </c>
      <c r="H18">
        <v>-1</v>
      </c>
      <c r="I18">
        <v>5677.7</v>
      </c>
    </row>
    <row r="19" spans="1:9">
      <c r="A19" t="s">
        <v>26</v>
      </c>
      <c r="B19">
        <v>183.77</v>
      </c>
      <c r="C19">
        <v>10484.5</v>
      </c>
      <c r="D19">
        <v>183.89</v>
      </c>
      <c r="E19">
        <v>10484.5</v>
      </c>
      <c r="F19">
        <v>183.21</v>
      </c>
      <c r="G19">
        <v>11617.98</v>
      </c>
      <c r="H19">
        <v>-1</v>
      </c>
      <c r="I19">
        <v>5361.82</v>
      </c>
    </row>
    <row r="20" spans="1:9">
      <c r="A20" t="s">
        <v>27</v>
      </c>
      <c r="B20">
        <v>193.73</v>
      </c>
      <c r="C20">
        <v>10140.55</v>
      </c>
      <c r="D20">
        <v>193.73</v>
      </c>
      <c r="E20">
        <v>10140.55</v>
      </c>
      <c r="F20">
        <v>193.33</v>
      </c>
      <c r="G20">
        <v>11315.86</v>
      </c>
      <c r="H20">
        <v>-1</v>
      </c>
      <c r="I20">
        <v>4258.16</v>
      </c>
    </row>
    <row r="21" spans="1:9">
      <c r="A21" t="s">
        <v>28</v>
      </c>
      <c r="B21">
        <v>175.19</v>
      </c>
      <c r="C21">
        <v>9189.6</v>
      </c>
      <c r="D21">
        <v>175.11</v>
      </c>
      <c r="E21">
        <v>9189.6</v>
      </c>
      <c r="F21">
        <v>174.38</v>
      </c>
      <c r="G21">
        <v>10247.88</v>
      </c>
      <c r="H21">
        <v>-1</v>
      </c>
      <c r="I21">
        <v>2941.78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186.737</v>
      </c>
      <c r="B24" s="4">
        <f>AVERAGE($D$2:$D$21)</f>
        <v>186.6905</v>
      </c>
      <c r="C24" s="4">
        <f>AVERAGE($F$2:$F$21)</f>
        <v>186.141</v>
      </c>
      <c r="D24" s="4">
        <f>IFERROR(AVERAGEIF($H$2:$H$21,"&lt;&gt;-1"),0)</f>
        <v>0</v>
      </c>
      <c r="E24" s="4">
        <f>AVERAGE($C$2:$C$21)</f>
        <v>9983.683</v>
      </c>
      <c r="F24" s="4">
        <f>AVERAGE($E$2:$E$21)</f>
        <v>9983.683</v>
      </c>
      <c r="G24" s="4">
        <f>AVERAGE($G$2:$G$21)</f>
        <v>11097.386</v>
      </c>
      <c r="H24" s="4">
        <f>IFERROR(AVERAGEIFS($I$2:$I$21,$H$2:$H$21,"&lt;&gt; -1"),0)</f>
        <v>0</v>
      </c>
      <c r="I24" s="4">
        <f>MAX($B$2:$B$21)</f>
        <v>194.47</v>
      </c>
      <c r="J24" s="4">
        <f>MAX($D$2:$D$21)</f>
        <v>194.48</v>
      </c>
      <c r="K24" s="4">
        <f>MAX($F$2:$F$21)</f>
        <v>193.9</v>
      </c>
      <c r="L24" s="4">
        <f>_xlfn.MAXIFS($H$2:$H$21,$H$2:$H$21,"&lt;&gt; -1")</f>
        <v>0</v>
      </c>
      <c r="M24" s="4">
        <f>MIN($B$2:$B$21)</f>
        <v>175.19</v>
      </c>
      <c r="N24" s="4">
        <f>MIN($D$2:$D$21)</f>
        <v>175.11</v>
      </c>
      <c r="O24" s="4">
        <f>MIN($F$2:$F$21)</f>
        <v>174.38</v>
      </c>
      <c r="P24" s="4">
        <f>_xlfn.MINIFS($H$2:$H$21,$H$2:$H$21,"&lt;&gt; -1")</f>
        <v>0</v>
      </c>
      <c r="Q24" s="4">
        <f>MAX($C$2:$C$21)</f>
        <v>10832.62</v>
      </c>
      <c r="R24" s="4">
        <f>MAX($E$2:$E$21)</f>
        <v>10832.62</v>
      </c>
      <c r="S24" s="4">
        <f>MAX($G$2:$G$21)</f>
        <v>12071.33</v>
      </c>
      <c r="T24" s="4">
        <f>_xlfn.MAXIFS($I$2:$I$21,$H$2:$H$21,"&lt;&gt; -1")</f>
        <v>0</v>
      </c>
      <c r="U24" s="4">
        <f>MIN($C$2:$C$21)</f>
        <v>9189.6</v>
      </c>
      <c r="V24" s="4">
        <f>MIN($E$2:$E$21)</f>
        <v>9189.6</v>
      </c>
      <c r="W24" s="4">
        <f>MIN($G$2:$G$21)</f>
        <v>10247.88</v>
      </c>
      <c r="X24" s="4">
        <f>_xlfn.MINIFS($I$2:$I$21,$H$2:$H$21,"&lt;&gt; -1")</f>
        <v>0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cols>
    <col min="5" max="6" width="9.54545454545454"/>
    <col min="7" max="7" width="10.6363636363636"/>
    <col min="17" max="18" width="9.54545454545454"/>
    <col min="19" max="19" width="10.6363636363636"/>
    <col min="21" max="22" width="9.54545454545454"/>
    <col min="23" max="23" width="10.6363636363636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209.19</v>
      </c>
      <c r="C2">
        <v>9917.49</v>
      </c>
      <c r="D2">
        <v>209.27</v>
      </c>
      <c r="E2">
        <v>9917.49</v>
      </c>
      <c r="F2">
        <v>208.74</v>
      </c>
      <c r="G2">
        <v>10863.16</v>
      </c>
      <c r="H2">
        <v>-1</v>
      </c>
      <c r="I2">
        <v>5834.2</v>
      </c>
    </row>
    <row r="3" spans="1:9">
      <c r="A3" t="s">
        <v>10</v>
      </c>
      <c r="B3">
        <v>234.75</v>
      </c>
      <c r="C3">
        <v>10632.77</v>
      </c>
      <c r="D3">
        <v>234.71</v>
      </c>
      <c r="E3">
        <v>10632.77</v>
      </c>
      <c r="F3">
        <v>234.16</v>
      </c>
      <c r="G3">
        <v>11873.83</v>
      </c>
      <c r="H3">
        <v>-1</v>
      </c>
      <c r="I3">
        <v>4923.32</v>
      </c>
    </row>
    <row r="4" spans="1:9">
      <c r="A4" t="s">
        <v>11</v>
      </c>
      <c r="B4">
        <v>236.06</v>
      </c>
      <c r="C4">
        <v>9666.19</v>
      </c>
      <c r="D4">
        <v>236.31</v>
      </c>
      <c r="E4">
        <v>9666.19</v>
      </c>
      <c r="F4">
        <v>235.4</v>
      </c>
      <c r="G4">
        <v>10694.27</v>
      </c>
      <c r="H4">
        <v>-1</v>
      </c>
      <c r="I4">
        <v>4355.02</v>
      </c>
    </row>
    <row r="5" spans="1:9">
      <c r="A5" t="s">
        <v>12</v>
      </c>
      <c r="B5">
        <v>270.09</v>
      </c>
      <c r="C5">
        <v>10200.22</v>
      </c>
      <c r="D5">
        <v>270.55</v>
      </c>
      <c r="E5">
        <v>10200.22</v>
      </c>
      <c r="F5">
        <v>269.09</v>
      </c>
      <c r="G5">
        <v>11390.07</v>
      </c>
      <c r="H5">
        <v>-1</v>
      </c>
      <c r="I5">
        <v>3971.62</v>
      </c>
    </row>
    <row r="6" spans="1:9">
      <c r="A6" t="s">
        <v>13</v>
      </c>
      <c r="B6">
        <v>241.04</v>
      </c>
      <c r="C6">
        <v>9785.34</v>
      </c>
      <c r="D6">
        <v>241.1</v>
      </c>
      <c r="E6">
        <v>9785.34</v>
      </c>
      <c r="F6">
        <v>240.28</v>
      </c>
      <c r="G6">
        <v>10876.3</v>
      </c>
      <c r="H6">
        <v>-1</v>
      </c>
      <c r="I6">
        <v>3740.42</v>
      </c>
    </row>
    <row r="7" spans="1:9">
      <c r="A7" t="s">
        <v>14</v>
      </c>
      <c r="B7">
        <v>196.55</v>
      </c>
      <c r="C7">
        <v>9284.86</v>
      </c>
      <c r="D7">
        <v>196.44</v>
      </c>
      <c r="E7">
        <v>9284.86</v>
      </c>
      <c r="F7">
        <v>196.07</v>
      </c>
      <c r="G7">
        <v>10330.16</v>
      </c>
      <c r="H7">
        <v>-1</v>
      </c>
      <c r="I7">
        <v>3888.91</v>
      </c>
    </row>
    <row r="8" spans="1:9">
      <c r="A8" t="s">
        <v>15</v>
      </c>
      <c r="B8">
        <v>195.2</v>
      </c>
      <c r="C8">
        <v>9548.31</v>
      </c>
      <c r="D8">
        <v>195.03</v>
      </c>
      <c r="E8">
        <v>9548.31</v>
      </c>
      <c r="F8">
        <v>194.46</v>
      </c>
      <c r="G8">
        <v>10571.35</v>
      </c>
      <c r="H8">
        <v>-1</v>
      </c>
      <c r="I8">
        <v>3863.93</v>
      </c>
    </row>
    <row r="9" spans="1:9">
      <c r="A9" t="s">
        <v>16</v>
      </c>
      <c r="B9">
        <v>226.26</v>
      </c>
      <c r="C9">
        <v>10572.71</v>
      </c>
      <c r="D9">
        <v>226.06</v>
      </c>
      <c r="E9">
        <v>10572.71</v>
      </c>
      <c r="F9">
        <v>225.41</v>
      </c>
      <c r="G9">
        <v>11726.69</v>
      </c>
      <c r="H9">
        <v>-1</v>
      </c>
      <c r="I9">
        <v>5230.74</v>
      </c>
    </row>
    <row r="10" spans="1:9">
      <c r="A10" t="s">
        <v>17</v>
      </c>
      <c r="B10">
        <v>263.22</v>
      </c>
      <c r="C10">
        <v>10355.42</v>
      </c>
      <c r="D10">
        <v>263.49</v>
      </c>
      <c r="E10">
        <v>10355.42</v>
      </c>
      <c r="F10">
        <v>262.74</v>
      </c>
      <c r="G10">
        <v>11456.82</v>
      </c>
      <c r="H10">
        <v>-1</v>
      </c>
      <c r="I10">
        <v>5529.98</v>
      </c>
    </row>
    <row r="11" spans="1:9">
      <c r="A11" t="s">
        <v>18</v>
      </c>
      <c r="B11">
        <v>216.03</v>
      </c>
      <c r="C11">
        <v>9872.15</v>
      </c>
      <c r="D11">
        <v>216.12</v>
      </c>
      <c r="E11">
        <v>9872.15</v>
      </c>
      <c r="F11">
        <v>215.62</v>
      </c>
      <c r="G11">
        <v>10967.35</v>
      </c>
      <c r="H11">
        <v>-1</v>
      </c>
      <c r="I11">
        <v>5884.87</v>
      </c>
    </row>
    <row r="12" spans="1:9">
      <c r="A12" t="s">
        <v>19</v>
      </c>
      <c r="B12">
        <v>193.13</v>
      </c>
      <c r="C12">
        <v>9912.76</v>
      </c>
      <c r="D12">
        <v>193.64</v>
      </c>
      <c r="E12">
        <v>9912.76</v>
      </c>
      <c r="F12">
        <v>192.84</v>
      </c>
      <c r="G12">
        <v>10978.97</v>
      </c>
      <c r="H12">
        <v>-1</v>
      </c>
      <c r="I12">
        <v>6137.88</v>
      </c>
    </row>
    <row r="13" spans="1:9">
      <c r="A13" t="s">
        <v>20</v>
      </c>
      <c r="B13">
        <v>194.08</v>
      </c>
      <c r="C13">
        <v>9875.75</v>
      </c>
      <c r="D13">
        <v>193.97</v>
      </c>
      <c r="E13">
        <v>9875.75</v>
      </c>
      <c r="F13">
        <v>193.52</v>
      </c>
      <c r="G13">
        <v>10994.85</v>
      </c>
      <c r="H13">
        <v>-1</v>
      </c>
      <c r="I13">
        <v>4622.6</v>
      </c>
    </row>
    <row r="14" spans="1:9">
      <c r="A14" t="s">
        <v>21</v>
      </c>
      <c r="B14">
        <v>201.31</v>
      </c>
      <c r="C14">
        <v>10268.48</v>
      </c>
      <c r="D14">
        <v>201.37</v>
      </c>
      <c r="E14">
        <v>10268.48</v>
      </c>
      <c r="F14">
        <v>200.61</v>
      </c>
      <c r="G14">
        <v>11477.16</v>
      </c>
      <c r="H14">
        <v>-1</v>
      </c>
      <c r="I14">
        <v>3537.53</v>
      </c>
    </row>
    <row r="15" spans="1:9">
      <c r="A15" t="s">
        <v>22</v>
      </c>
      <c r="B15">
        <v>221.94</v>
      </c>
      <c r="C15">
        <v>9686.92</v>
      </c>
      <c r="D15">
        <v>221.25</v>
      </c>
      <c r="E15">
        <v>9686.92</v>
      </c>
      <c r="F15">
        <v>220.35</v>
      </c>
      <c r="G15">
        <v>10744.49</v>
      </c>
      <c r="H15">
        <v>-1</v>
      </c>
      <c r="I15">
        <v>3815.18</v>
      </c>
    </row>
    <row r="16" spans="1:9">
      <c r="A16" t="s">
        <v>23</v>
      </c>
      <c r="B16">
        <v>232.49</v>
      </c>
      <c r="C16">
        <v>10340.17</v>
      </c>
      <c r="D16">
        <v>232.3</v>
      </c>
      <c r="E16">
        <v>10340.17</v>
      </c>
      <c r="F16">
        <v>231.95</v>
      </c>
      <c r="G16">
        <v>11477.62</v>
      </c>
      <c r="H16">
        <v>-1</v>
      </c>
      <c r="I16">
        <v>4432.08</v>
      </c>
    </row>
    <row r="17" spans="1:9">
      <c r="A17" t="s">
        <v>24</v>
      </c>
      <c r="B17">
        <v>271.18</v>
      </c>
      <c r="C17">
        <v>9746.26</v>
      </c>
      <c r="D17">
        <v>271.6</v>
      </c>
      <c r="E17">
        <v>9746.26</v>
      </c>
      <c r="F17">
        <v>271.15</v>
      </c>
      <c r="G17">
        <v>10866.87</v>
      </c>
      <c r="H17">
        <v>-1</v>
      </c>
      <c r="I17">
        <v>4930.78</v>
      </c>
    </row>
    <row r="18" spans="1:9">
      <c r="A18" t="s">
        <v>25</v>
      </c>
      <c r="B18">
        <v>270.4</v>
      </c>
      <c r="C18">
        <v>10061.58</v>
      </c>
      <c r="D18">
        <v>270.48</v>
      </c>
      <c r="E18">
        <v>10061.58</v>
      </c>
      <c r="F18">
        <v>269.76</v>
      </c>
      <c r="G18">
        <v>11129.47</v>
      </c>
      <c r="H18">
        <v>-1</v>
      </c>
      <c r="I18">
        <v>3841.51</v>
      </c>
    </row>
    <row r="19" spans="1:9">
      <c r="A19" t="s">
        <v>26</v>
      </c>
      <c r="B19">
        <v>258.26</v>
      </c>
      <c r="C19">
        <v>9921.64</v>
      </c>
      <c r="D19">
        <v>258.31</v>
      </c>
      <c r="E19">
        <v>9921.64</v>
      </c>
      <c r="F19">
        <v>257.55</v>
      </c>
      <c r="G19">
        <v>10997.37</v>
      </c>
      <c r="H19">
        <v>-1</v>
      </c>
      <c r="I19">
        <v>3850.34</v>
      </c>
    </row>
    <row r="20" spans="1:9">
      <c r="A20" t="s">
        <v>27</v>
      </c>
      <c r="B20">
        <v>258.34</v>
      </c>
      <c r="C20">
        <v>9881.08</v>
      </c>
      <c r="D20">
        <v>258.17</v>
      </c>
      <c r="E20">
        <v>9881.08</v>
      </c>
      <c r="F20">
        <v>257.62</v>
      </c>
      <c r="G20">
        <v>11102.99</v>
      </c>
      <c r="H20">
        <v>-1</v>
      </c>
      <c r="I20">
        <v>4923</v>
      </c>
    </row>
    <row r="21" spans="1:9">
      <c r="A21" t="s">
        <v>28</v>
      </c>
      <c r="B21">
        <v>239.82</v>
      </c>
      <c r="C21">
        <v>9136.29</v>
      </c>
      <c r="D21">
        <v>239.62</v>
      </c>
      <c r="E21">
        <v>9136.29</v>
      </c>
      <c r="F21">
        <v>238.89</v>
      </c>
      <c r="G21">
        <v>10179.71</v>
      </c>
      <c r="H21">
        <v>-1</v>
      </c>
      <c r="I21">
        <v>3212.62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IFERROR(AVERAGEIF($B$2:$B$21,"&lt;200"),0)</f>
        <v>194.74</v>
      </c>
      <c r="B24" s="4">
        <f>IFERROR(AVERAGEIF($D$2:$D$21,"&lt;200"),0)</f>
        <v>194.77</v>
      </c>
      <c r="C24" s="4">
        <f>IFERROR(AVERAGEIF($F$2:$F$21,"&lt;200"),0)</f>
        <v>194.2225</v>
      </c>
      <c r="D24" s="4">
        <f>IFERROR(AVERAGEIF($H$2:$H$21,"&lt;&gt;-1"),0)</f>
        <v>0</v>
      </c>
      <c r="E24" s="4">
        <f>IFERROR(AVERAGEIFS($C$2:$C$21,$B$2:$B$21,"&lt;200"),0)</f>
        <v>9655.42</v>
      </c>
      <c r="F24" s="4">
        <f>IFERROR(AVERAGEIFS($E$2:$E$21,$D$2:$D$21,"&lt;200"),0)</f>
        <v>9655.42</v>
      </c>
      <c r="G24" s="4">
        <f>IFERROR(AVERAGEIFS($G$2:$G$21,$F$2:$F$21,"&lt;200"),0)</f>
        <v>10718.8325</v>
      </c>
      <c r="H24" s="4">
        <f>IFERROR(AVERAGEIFS($I$2:$I$21,$H$2:$H$21,"&lt;&gt; -1"),0)</f>
        <v>0</v>
      </c>
      <c r="I24" s="4">
        <f>_xlfn.MAXIFS($B$2:$B$21,$B$2:$B$21,"&lt; 200")</f>
        <v>196.55</v>
      </c>
      <c r="J24" s="4">
        <f>_xlfn.MAXIFS($D$2:$D$21,$D$2:$D$21,"&lt; 200")</f>
        <v>196.44</v>
      </c>
      <c r="K24" s="4">
        <f>_xlfn.MAXIFS($F$2:$F$21,$F$2:$F$21,"&lt; 200")</f>
        <v>196.07</v>
      </c>
      <c r="L24" s="4">
        <f>_xlfn.MAXIFS($H$2:$H$21,$H$2:$H$21,"&lt;&gt; -1")</f>
        <v>0</v>
      </c>
      <c r="M24" s="4">
        <f>_xlfn.MINIFS($B$2:$B$21,$B$2:$B$21,"&lt;200")</f>
        <v>193.13</v>
      </c>
      <c r="N24" s="4">
        <f>_xlfn.MINIFS($D$2:$D$21,$D$2:$D$21,"&lt;200")</f>
        <v>193.64</v>
      </c>
      <c r="O24" s="4">
        <f>_xlfn.MINIFS($F$2:$F$21,$F$2:$F$21,"&lt;200")</f>
        <v>192.84</v>
      </c>
      <c r="P24" s="4">
        <f>_xlfn.MINIFS($H$2:$H$21,$H$2:$H$21,"&lt;&gt; -1")</f>
        <v>0</v>
      </c>
      <c r="Q24" s="4">
        <f>_xlfn.MAXIFS($C$2:$C$21,$B$2:$B$21,"&lt; 200")</f>
        <v>9912.76</v>
      </c>
      <c r="R24" s="4">
        <f>_xlfn.MAXIFS($E$2:$E$21,D2:D21,"&lt; 200")</f>
        <v>9912.76</v>
      </c>
      <c r="S24" s="4">
        <f>_xlfn.MAXIFS($G$2:$G$21,$F$2:$F$21,"&lt; 200")</f>
        <v>10994.85</v>
      </c>
      <c r="T24" s="4">
        <f>_xlfn.MAXIFS($I$2:$I$21,$H$2:$H$21,"&lt;&gt; -1")</f>
        <v>0</v>
      </c>
      <c r="U24" s="4">
        <f>_xlfn.MINIFS($C$2:$C$21,$B$2:$B$21,"&lt;200")</f>
        <v>9284.86</v>
      </c>
      <c r="V24" s="4">
        <f>_xlfn.MINIFS($E$2:$E$21,$D$2:$D$21,"&lt;200")</f>
        <v>9284.86</v>
      </c>
      <c r="W24" s="4">
        <f>_xlfn.MINIFS($G$2:$G$21,$F$2:$F$21,"&lt;200")</f>
        <v>10330.16</v>
      </c>
      <c r="X24" s="4">
        <f>_xlfn.MINIFS($I$2:$I$21,$H$2:$H$21,"&lt;&gt; -1")</f>
        <v>0</v>
      </c>
      <c r="Y24" s="4">
        <f>(COUNTIFS($B$2:$B$21,"&gt;0.0",$B$2:$B$21,"&lt;200.0"))/20</f>
        <v>0.2</v>
      </c>
      <c r="Z24" s="4">
        <f>(COUNTIFS($D$2:$D$21,"&gt;0.0",$D$2:$D$21,"&lt;200.0"))/20</f>
        <v>0.2</v>
      </c>
      <c r="AA24" s="4">
        <f>(COUNTIFS($F$2:$F$21,"&gt;0.0",$F$2:$F$21,"&lt;200.0"))/20</f>
        <v>0.2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I7" sqref="I7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295</v>
      </c>
      <c r="C2">
        <v>10056.46</v>
      </c>
      <c r="D2">
        <v>295.58</v>
      </c>
      <c r="E2">
        <v>10056.46</v>
      </c>
      <c r="F2">
        <v>294.55</v>
      </c>
      <c r="G2">
        <v>11181.58</v>
      </c>
      <c r="H2">
        <v>-1</v>
      </c>
      <c r="I2">
        <v>2633.45</v>
      </c>
    </row>
    <row r="3" spans="1:9">
      <c r="A3" t="s">
        <v>10</v>
      </c>
      <c r="B3">
        <v>313.86</v>
      </c>
      <c r="C3">
        <v>10860.61</v>
      </c>
      <c r="D3">
        <v>314.06</v>
      </c>
      <c r="E3">
        <v>10860.61</v>
      </c>
      <c r="F3">
        <v>313.08</v>
      </c>
      <c r="G3">
        <v>12183.66</v>
      </c>
      <c r="H3">
        <v>-1</v>
      </c>
      <c r="I3">
        <v>5590.12</v>
      </c>
    </row>
    <row r="4" spans="1:9">
      <c r="A4" t="s">
        <v>11</v>
      </c>
      <c r="B4">
        <v>284.9</v>
      </c>
      <c r="C4">
        <v>9585.88</v>
      </c>
      <c r="D4">
        <v>285.4</v>
      </c>
      <c r="E4">
        <v>9585.88</v>
      </c>
      <c r="F4">
        <v>284.09</v>
      </c>
      <c r="G4">
        <v>10634.9</v>
      </c>
      <c r="H4">
        <v>-1</v>
      </c>
      <c r="I4">
        <v>3025.04</v>
      </c>
    </row>
    <row r="5" spans="1:9">
      <c r="A5" t="s">
        <v>12</v>
      </c>
      <c r="B5">
        <v>288.28</v>
      </c>
      <c r="C5">
        <v>9859.26</v>
      </c>
      <c r="D5">
        <v>288.58</v>
      </c>
      <c r="E5">
        <v>9859.26</v>
      </c>
      <c r="F5">
        <v>287.81</v>
      </c>
      <c r="G5">
        <v>10928</v>
      </c>
      <c r="H5">
        <v>-1</v>
      </c>
      <c r="I5">
        <v>4059.81</v>
      </c>
    </row>
    <row r="6" spans="1:9">
      <c r="A6" t="s">
        <v>13</v>
      </c>
      <c r="B6">
        <v>288.99</v>
      </c>
      <c r="C6">
        <v>10008.68</v>
      </c>
      <c r="D6">
        <v>288.62</v>
      </c>
      <c r="E6">
        <v>10008.68</v>
      </c>
      <c r="F6">
        <v>287.92</v>
      </c>
      <c r="G6">
        <v>11160.36</v>
      </c>
      <c r="H6">
        <v>-1</v>
      </c>
      <c r="I6">
        <v>4398.76</v>
      </c>
    </row>
    <row r="7" spans="1:9">
      <c r="A7" t="s">
        <v>14</v>
      </c>
      <c r="B7">
        <v>287.2</v>
      </c>
      <c r="C7">
        <v>9566.8</v>
      </c>
      <c r="D7">
        <v>287.17</v>
      </c>
      <c r="E7">
        <v>9566.8</v>
      </c>
      <c r="F7">
        <v>286.52</v>
      </c>
      <c r="G7">
        <v>10731.71</v>
      </c>
      <c r="H7">
        <v>-1</v>
      </c>
      <c r="I7">
        <v>2977</v>
      </c>
    </row>
    <row r="8" spans="1:9">
      <c r="A8" t="s">
        <v>15</v>
      </c>
      <c r="B8">
        <v>250.1</v>
      </c>
      <c r="C8">
        <v>9796.64</v>
      </c>
      <c r="D8">
        <v>250.27</v>
      </c>
      <c r="E8">
        <v>9796.64</v>
      </c>
      <c r="F8">
        <v>249.3</v>
      </c>
      <c r="G8">
        <v>10854.76</v>
      </c>
      <c r="H8">
        <v>-1</v>
      </c>
      <c r="I8">
        <v>4142.19</v>
      </c>
    </row>
    <row r="9" spans="1:9">
      <c r="A9" t="s">
        <v>16</v>
      </c>
      <c r="B9">
        <v>258.04</v>
      </c>
      <c r="C9">
        <v>10309.61</v>
      </c>
      <c r="D9">
        <v>257.96</v>
      </c>
      <c r="E9">
        <v>10309.61</v>
      </c>
      <c r="F9">
        <v>257.2</v>
      </c>
      <c r="G9">
        <v>11454.02</v>
      </c>
      <c r="H9">
        <v>-1</v>
      </c>
      <c r="I9">
        <v>4638.72</v>
      </c>
    </row>
    <row r="10" spans="1:9">
      <c r="A10" t="s">
        <v>17</v>
      </c>
      <c r="B10">
        <v>254.88</v>
      </c>
      <c r="C10">
        <v>9787</v>
      </c>
      <c r="D10">
        <v>254.88</v>
      </c>
      <c r="E10">
        <v>9787</v>
      </c>
      <c r="F10">
        <v>254.04</v>
      </c>
      <c r="G10">
        <v>10823.2</v>
      </c>
      <c r="H10">
        <v>-1</v>
      </c>
      <c r="I10">
        <v>4589.79</v>
      </c>
    </row>
    <row r="11" spans="1:9">
      <c r="A11" t="s">
        <v>18</v>
      </c>
      <c r="B11">
        <v>248.33</v>
      </c>
      <c r="C11">
        <v>9954.25</v>
      </c>
      <c r="D11">
        <v>248.55</v>
      </c>
      <c r="E11">
        <v>9954.25</v>
      </c>
      <c r="F11">
        <v>247.15</v>
      </c>
      <c r="G11">
        <v>11080.76</v>
      </c>
      <c r="H11">
        <v>-1</v>
      </c>
      <c r="I11">
        <v>2768</v>
      </c>
    </row>
    <row r="12" spans="1:9">
      <c r="A12" t="s">
        <v>19</v>
      </c>
      <c r="B12">
        <v>259.75</v>
      </c>
      <c r="C12">
        <v>9359.81</v>
      </c>
      <c r="D12">
        <v>259.71</v>
      </c>
      <c r="E12">
        <v>9359.81</v>
      </c>
      <c r="F12">
        <v>259.41</v>
      </c>
      <c r="G12">
        <v>10350.43</v>
      </c>
      <c r="H12">
        <v>-1</v>
      </c>
      <c r="I12">
        <v>3044.88</v>
      </c>
    </row>
    <row r="13" spans="1:9">
      <c r="A13" t="s">
        <v>20</v>
      </c>
      <c r="B13">
        <v>216.23</v>
      </c>
      <c r="C13">
        <v>9637.85</v>
      </c>
      <c r="D13">
        <v>216.13</v>
      </c>
      <c r="E13">
        <v>9637.85</v>
      </c>
      <c r="F13">
        <v>215.19</v>
      </c>
      <c r="G13">
        <v>10771.88</v>
      </c>
      <c r="H13">
        <v>-1</v>
      </c>
      <c r="I13">
        <v>3241.98</v>
      </c>
    </row>
    <row r="14" spans="1:9">
      <c r="A14" t="s">
        <v>21</v>
      </c>
      <c r="B14">
        <v>275.22</v>
      </c>
      <c r="C14">
        <v>10119.31</v>
      </c>
      <c r="D14">
        <v>275.17</v>
      </c>
      <c r="E14">
        <v>10119.31</v>
      </c>
      <c r="F14">
        <v>274.45</v>
      </c>
      <c r="G14">
        <v>11345.1</v>
      </c>
      <c r="H14">
        <v>-1</v>
      </c>
      <c r="I14">
        <v>2881.95</v>
      </c>
    </row>
    <row r="15" spans="1:9">
      <c r="A15" t="s">
        <v>22</v>
      </c>
      <c r="B15">
        <v>260.17</v>
      </c>
      <c r="C15">
        <v>10338.7</v>
      </c>
      <c r="D15">
        <v>260.03</v>
      </c>
      <c r="E15">
        <v>10338.7</v>
      </c>
      <c r="F15">
        <v>259.37</v>
      </c>
      <c r="G15">
        <v>11474.22</v>
      </c>
      <c r="H15">
        <v>-1</v>
      </c>
      <c r="I15">
        <v>2801.3</v>
      </c>
    </row>
    <row r="16" spans="1:9">
      <c r="A16" t="s">
        <v>23</v>
      </c>
      <c r="B16">
        <v>230.3</v>
      </c>
      <c r="C16">
        <v>9805.15</v>
      </c>
      <c r="D16">
        <v>230.31</v>
      </c>
      <c r="E16">
        <v>9805.15</v>
      </c>
      <c r="F16">
        <v>229.83</v>
      </c>
      <c r="G16">
        <v>10937.7</v>
      </c>
      <c r="H16">
        <v>-1</v>
      </c>
      <c r="I16">
        <v>3958.71</v>
      </c>
    </row>
    <row r="17" spans="1:9">
      <c r="A17" t="s">
        <v>24</v>
      </c>
      <c r="B17">
        <v>239.58</v>
      </c>
      <c r="C17">
        <v>10056.08</v>
      </c>
      <c r="D17">
        <v>239.58</v>
      </c>
      <c r="E17">
        <v>10056.08</v>
      </c>
      <c r="F17">
        <v>239.1</v>
      </c>
      <c r="G17">
        <v>11231.53</v>
      </c>
      <c r="H17">
        <v>-1</v>
      </c>
      <c r="I17">
        <v>3852.39</v>
      </c>
    </row>
    <row r="18" spans="1:9">
      <c r="A18" t="s">
        <v>25</v>
      </c>
      <c r="B18">
        <v>226.78</v>
      </c>
      <c r="C18">
        <v>9924.24</v>
      </c>
      <c r="D18">
        <v>226.97</v>
      </c>
      <c r="E18">
        <v>9924.24</v>
      </c>
      <c r="F18">
        <v>226.06</v>
      </c>
      <c r="G18">
        <v>11018.18</v>
      </c>
      <c r="H18">
        <v>-1</v>
      </c>
      <c r="I18">
        <v>4897.67</v>
      </c>
    </row>
    <row r="19" spans="1:9">
      <c r="A19" t="s">
        <v>26</v>
      </c>
      <c r="B19">
        <v>249.54</v>
      </c>
      <c r="C19">
        <v>10143.02</v>
      </c>
      <c r="D19">
        <v>249.44</v>
      </c>
      <c r="E19">
        <v>10143.02</v>
      </c>
      <c r="F19">
        <v>248.57</v>
      </c>
      <c r="G19">
        <v>11320.67</v>
      </c>
      <c r="H19">
        <v>-1</v>
      </c>
      <c r="I19">
        <v>3032.23</v>
      </c>
    </row>
    <row r="20" spans="1:9">
      <c r="A20" t="s">
        <v>27</v>
      </c>
      <c r="B20">
        <v>236.2</v>
      </c>
      <c r="C20">
        <v>10125.82</v>
      </c>
      <c r="D20">
        <v>236.64</v>
      </c>
      <c r="E20">
        <v>10125.82</v>
      </c>
      <c r="F20">
        <v>235.45</v>
      </c>
      <c r="G20">
        <v>11221.92</v>
      </c>
      <c r="H20">
        <v>-1</v>
      </c>
      <c r="I20">
        <v>2980.98</v>
      </c>
    </row>
    <row r="21" spans="1:9">
      <c r="A21" t="s">
        <v>28</v>
      </c>
      <c r="B21">
        <v>200.53</v>
      </c>
      <c r="C21">
        <v>9188.49</v>
      </c>
      <c r="D21">
        <v>200.54</v>
      </c>
      <c r="E21">
        <v>9188.49</v>
      </c>
      <c r="F21">
        <v>200.01</v>
      </c>
      <c r="G21">
        <v>10182.4</v>
      </c>
      <c r="H21">
        <v>-1</v>
      </c>
      <c r="I21">
        <v>4385.66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IFERROR(AVERAGEIF($B$2:$B$21,"&lt;200"),0)</f>
        <v>0</v>
      </c>
      <c r="B24" s="4">
        <f>IFERROR(AVERAGEIF($D$2:$D$21,"&lt;200"),0)</f>
        <v>0</v>
      </c>
      <c r="C24" s="4">
        <f>IFERROR(AVERAGEIF($F$2:$F$21,"&lt;200"),0)</f>
        <v>0</v>
      </c>
      <c r="D24" s="4">
        <f>IFERROR(AVERAGEIF($H$2:$H$21,"&lt;&gt;-1"),0)</f>
        <v>0</v>
      </c>
      <c r="E24" s="4">
        <f>IFERROR(AVERAGEIFS($C$2:$C$21,$B$2:$B$21,"&lt;200"),0)</f>
        <v>0</v>
      </c>
      <c r="F24" s="4">
        <f>IFERROR(AVERAGEIFS($E$2:$E$21,$D$2:$D$21,"&lt;200"),0)</f>
        <v>0</v>
      </c>
      <c r="G24" s="4">
        <f>IFERROR(AVERAGEIFS($G$2:$G$21,$F$2:$F$21,"&lt;200"),0)</f>
        <v>0</v>
      </c>
      <c r="H24" s="4">
        <f>IFERROR(AVERAGEIFS($I$2:$I$21,$H$2:$H$21,"&lt;&gt; -1"),0)</f>
        <v>0</v>
      </c>
      <c r="I24" s="4">
        <f>_xlfn.MAXIFS($B$2:$B$21,$B$2:$B$21,"&lt; 200")</f>
        <v>0</v>
      </c>
      <c r="J24" s="4">
        <f>_xlfn.MAXIFS($D$2:$D$21,$D$2:$D$21,"&lt; 200")</f>
        <v>0</v>
      </c>
      <c r="K24" s="4">
        <f>_xlfn.MAXIFS($F$2:$F$21,$F$2:$F$21,"&lt; 200")</f>
        <v>0</v>
      </c>
      <c r="L24" s="4">
        <f>_xlfn.MAXIFS($H$2:$H$21,$H$2:$H$21,"&lt;&gt; -1")</f>
        <v>0</v>
      </c>
      <c r="M24" s="4">
        <f>_xlfn.MINIFS($B$2:$B$21,$B$2:$B$21,"&lt;200")</f>
        <v>0</v>
      </c>
      <c r="N24" s="4">
        <f>_xlfn.MINIFS($D$2:$D$21,$D$2:$D$21,"&lt;200")</f>
        <v>0</v>
      </c>
      <c r="O24" s="4">
        <f>_xlfn.MINIFS($F$2:$F$21,$F$2:$F$21,"&lt;200")</f>
        <v>0</v>
      </c>
      <c r="P24" s="4">
        <f>_xlfn.MINIFS($H$2:$H$21,$H$2:$H$21,"&lt;&gt; -1")</f>
        <v>0</v>
      </c>
      <c r="Q24" s="4">
        <f>_xlfn.MAXIFS($C$2:$C$21,$B$2:$B$21,"&lt; 200")</f>
        <v>0</v>
      </c>
      <c r="R24" s="4">
        <f>_xlfn.MAXIFS($E$2:$E$21,D2:D21,"&lt; 200")</f>
        <v>0</v>
      </c>
      <c r="S24" s="4">
        <f>_xlfn.MAXIFS($G$2:$G$21,$F$2:$F$21,"&lt; 200")</f>
        <v>0</v>
      </c>
      <c r="T24" s="4">
        <f>_xlfn.MAXIFS($I$2:$I$21,$H$2:$H$21,"&lt;&gt; -1")</f>
        <v>0</v>
      </c>
      <c r="U24" s="4">
        <f>_xlfn.MINIFS($C$2:$C$21,$B$2:$B$21,"&lt;200")</f>
        <v>0</v>
      </c>
      <c r="V24" s="4">
        <f>_xlfn.MINIFS($E$2:$E$21,$D$2:$D$21,"&lt;200")</f>
        <v>0</v>
      </c>
      <c r="W24" s="4">
        <f>_xlfn.MINIFS($G$2:$G$21,$F$2:$F$21,"&lt;200")</f>
        <v>0</v>
      </c>
      <c r="X24" s="4">
        <f>_xlfn.MINIFS($I$2:$I$21,$H$2:$H$21,"&lt;&gt; -1")</f>
        <v>0</v>
      </c>
      <c r="Y24" s="4">
        <f>(COUNTIFS($B$2:$B$21,"&gt;0.0",$B$2:$B$21,"&lt;200.0"))/20</f>
        <v>0</v>
      </c>
      <c r="Z24" s="4">
        <f>(COUNTIFS($D$2:$D$21,"&gt;0.0",$D$2:$D$21,"&lt;200.0"))/20</f>
        <v>0</v>
      </c>
      <c r="AA24" s="4">
        <f>(COUNTIFS($F$2:$F$21,"&gt;0.0",$F$2:$F$21,"&lt;200.0"))/20</f>
        <v>0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zoomScale="115" zoomScaleNormal="115" workbookViewId="0">
      <selection activeCell="F9" sqref="F9"/>
    </sheetView>
  </sheetViews>
  <sheetFormatPr defaultColWidth="8.72727272727273" defaultRowHeight="14" outlineLevelRow="6"/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126.8025</v>
      </c>
      <c r="B2">
        <v>126.831</v>
      </c>
      <c r="C2">
        <v>126.4885</v>
      </c>
      <c r="D2">
        <v>159.623125</v>
      </c>
      <c r="E2">
        <v>9846.7385</v>
      </c>
      <c r="F2">
        <v>9846.7385</v>
      </c>
      <c r="G2">
        <v>10952.3575</v>
      </c>
      <c r="H2">
        <v>10914.1325</v>
      </c>
      <c r="I2">
        <v>135.79</v>
      </c>
      <c r="J2">
        <v>135.86</v>
      </c>
      <c r="K2">
        <v>135.38</v>
      </c>
      <c r="L2">
        <v>199.09</v>
      </c>
      <c r="M2">
        <v>118.34</v>
      </c>
      <c r="N2">
        <v>118.31</v>
      </c>
      <c r="O2">
        <v>118.03</v>
      </c>
      <c r="P2">
        <v>131.58</v>
      </c>
      <c r="Q2">
        <v>10698.44</v>
      </c>
      <c r="R2">
        <v>10698.44</v>
      </c>
      <c r="S2">
        <v>11923.85</v>
      </c>
      <c r="T2">
        <v>11893.2</v>
      </c>
      <c r="U2">
        <v>8906.92</v>
      </c>
      <c r="V2">
        <v>8906.92</v>
      </c>
      <c r="W2">
        <v>9912.69</v>
      </c>
      <c r="X2">
        <v>9911.79</v>
      </c>
      <c r="Y2">
        <v>1</v>
      </c>
      <c r="Z2">
        <v>1</v>
      </c>
      <c r="AA2">
        <v>1</v>
      </c>
      <c r="AB2">
        <v>0.8</v>
      </c>
    </row>
    <row r="3" spans="1:28">
      <c r="A3">
        <v>144.1245</v>
      </c>
      <c r="B3">
        <v>144.2085</v>
      </c>
      <c r="C3">
        <v>143.72</v>
      </c>
      <c r="D3">
        <v>185.01</v>
      </c>
      <c r="E3">
        <v>9928.717</v>
      </c>
      <c r="F3">
        <v>9928.717</v>
      </c>
      <c r="G3">
        <v>11033.353</v>
      </c>
      <c r="H3">
        <v>10490.48</v>
      </c>
      <c r="I3">
        <v>155.31</v>
      </c>
      <c r="J3">
        <v>155.37</v>
      </c>
      <c r="K3">
        <v>154.81</v>
      </c>
      <c r="L3">
        <v>185.01</v>
      </c>
      <c r="M3">
        <v>134.98</v>
      </c>
      <c r="N3">
        <v>134.98</v>
      </c>
      <c r="O3">
        <v>134.66</v>
      </c>
      <c r="P3">
        <v>185.01</v>
      </c>
      <c r="Q3">
        <v>10665.64</v>
      </c>
      <c r="R3">
        <v>10665.64</v>
      </c>
      <c r="S3">
        <v>11828.49</v>
      </c>
      <c r="T3">
        <v>10490.48</v>
      </c>
      <c r="U3">
        <v>9315.32</v>
      </c>
      <c r="V3">
        <v>9315.32</v>
      </c>
      <c r="W3">
        <v>10386.11</v>
      </c>
      <c r="X3">
        <v>10490.48</v>
      </c>
      <c r="Y3">
        <v>1</v>
      </c>
      <c r="Z3">
        <v>1</v>
      </c>
      <c r="AA3">
        <v>1</v>
      </c>
      <c r="AB3">
        <v>0.05</v>
      </c>
    </row>
    <row r="4" spans="1:28">
      <c r="A4">
        <v>172.8505</v>
      </c>
      <c r="B4">
        <v>172.825</v>
      </c>
      <c r="C4">
        <v>172.328</v>
      </c>
      <c r="D4">
        <v>0</v>
      </c>
      <c r="E4">
        <v>9983.797</v>
      </c>
      <c r="F4">
        <v>9983.797</v>
      </c>
      <c r="G4">
        <v>11096.2165</v>
      </c>
      <c r="H4">
        <v>0</v>
      </c>
      <c r="I4">
        <v>183.67</v>
      </c>
      <c r="J4">
        <v>183.58</v>
      </c>
      <c r="K4">
        <v>182.82</v>
      </c>
      <c r="L4">
        <v>0</v>
      </c>
      <c r="M4">
        <v>155.12</v>
      </c>
      <c r="N4">
        <v>154.73</v>
      </c>
      <c r="O4">
        <v>154.33</v>
      </c>
      <c r="P4">
        <v>0</v>
      </c>
      <c r="Q4">
        <v>10422.88</v>
      </c>
      <c r="R4">
        <v>10422.88</v>
      </c>
      <c r="S4">
        <v>11619.12</v>
      </c>
      <c r="T4">
        <v>0</v>
      </c>
      <c r="U4">
        <v>9357.06</v>
      </c>
      <c r="V4">
        <v>9357.06</v>
      </c>
      <c r="W4">
        <v>10375.39</v>
      </c>
      <c r="X4">
        <v>0</v>
      </c>
      <c r="Y4">
        <v>1</v>
      </c>
      <c r="Z4">
        <v>1</v>
      </c>
      <c r="AA4">
        <v>1</v>
      </c>
      <c r="AB4">
        <v>0</v>
      </c>
    </row>
    <row r="5" spans="1:28">
      <c r="A5">
        <v>186.737</v>
      </c>
      <c r="B5">
        <v>186.6905</v>
      </c>
      <c r="C5">
        <v>186.141</v>
      </c>
      <c r="D5">
        <v>0</v>
      </c>
      <c r="E5">
        <v>9983.683</v>
      </c>
      <c r="F5">
        <v>9983.683</v>
      </c>
      <c r="G5">
        <v>11097.386</v>
      </c>
      <c r="H5">
        <v>0</v>
      </c>
      <c r="I5">
        <v>194.47</v>
      </c>
      <c r="J5">
        <v>194.48</v>
      </c>
      <c r="K5">
        <v>193.9</v>
      </c>
      <c r="L5">
        <v>0</v>
      </c>
      <c r="M5">
        <v>175.19</v>
      </c>
      <c r="N5">
        <v>175.11</v>
      </c>
      <c r="O5">
        <v>174.38</v>
      </c>
      <c r="P5">
        <v>0</v>
      </c>
      <c r="Q5">
        <v>10832.62</v>
      </c>
      <c r="R5">
        <v>10832.62</v>
      </c>
      <c r="S5">
        <v>12071.33</v>
      </c>
      <c r="T5">
        <v>0</v>
      </c>
      <c r="U5">
        <v>9189.6</v>
      </c>
      <c r="V5">
        <v>9189.6</v>
      </c>
      <c r="W5">
        <v>10247.88</v>
      </c>
      <c r="X5">
        <v>0</v>
      </c>
      <c r="Y5">
        <v>1</v>
      </c>
      <c r="Z5">
        <v>1</v>
      </c>
      <c r="AA5">
        <v>1</v>
      </c>
      <c r="AB5">
        <v>0</v>
      </c>
    </row>
    <row r="6" spans="1:28">
      <c r="A6">
        <v>194.74</v>
      </c>
      <c r="B6">
        <v>194.77</v>
      </c>
      <c r="C6">
        <v>194.2225</v>
      </c>
      <c r="D6">
        <v>0</v>
      </c>
      <c r="E6">
        <v>9655.42</v>
      </c>
      <c r="F6">
        <v>9655.42</v>
      </c>
      <c r="G6">
        <v>10718.8325</v>
      </c>
      <c r="H6">
        <v>0</v>
      </c>
      <c r="I6">
        <v>196.55</v>
      </c>
      <c r="J6">
        <v>196.44</v>
      </c>
      <c r="K6">
        <v>196.07</v>
      </c>
      <c r="L6">
        <v>0</v>
      </c>
      <c r="M6">
        <v>193.13</v>
      </c>
      <c r="N6">
        <v>193.64</v>
      </c>
      <c r="O6">
        <v>192.84</v>
      </c>
      <c r="P6">
        <v>0</v>
      </c>
      <c r="Q6">
        <v>9912.76</v>
      </c>
      <c r="R6">
        <v>9912.76</v>
      </c>
      <c r="S6">
        <v>10994.85</v>
      </c>
      <c r="T6">
        <v>0</v>
      </c>
      <c r="U6">
        <v>9284.86</v>
      </c>
      <c r="V6">
        <v>9284.86</v>
      </c>
      <c r="W6">
        <v>10330.16</v>
      </c>
      <c r="X6">
        <v>0</v>
      </c>
      <c r="Y6">
        <v>0.2</v>
      </c>
      <c r="Z6">
        <v>0.2</v>
      </c>
      <c r="AA6">
        <v>0.2</v>
      </c>
      <c r="AB6">
        <v>0</v>
      </c>
    </row>
    <row r="7" spans="1:28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2024-07-26T06:21:00Z</dcterms:created>
  <dcterms:modified xsi:type="dcterms:W3CDTF">2024-07-30T12:29:08Z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34A176248B034CC4B3D26C3A46A92D5E_12</vt:lpwstr>
  </property>
  <property fmtid="{D5CDD505-2E9C-101B-9397-08002B2CF9AE}" pid="3" name="KSOProductBuildVer">
    <vt:lpwstr>2052-12.1.0.17147</vt:lpwstr>
  </property>
</Properties>
</file>