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0" windowHeight="937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<sst xmlns="http://schemas.openxmlformats.org/spreadsheetml/2006/main" count="371" uniqueCount="57">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</sst>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3" sqref="A23:AB24"/>
    </sheetView>
  </sheetViews>
  <sheetFormatPr defaultColWidth="9" defaultRowHeight="14"/>
  <cols>
    <col min="1" max="3" width="9.54545454545454"/>
    <col min="5" max="7" width="10.6363636363636"/>
    <col min="9" max="11" width="9.54545454545454"/>
    <col min="13" max="15" width="9.54545454545454"/>
    <col min="17" max="19" width="10.6363636363636"/>
    <col min="21" max="23" width="10.6363636363636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</row>
    <row r="2" spans="1:9">
      <c r="A2" t="s">
        <v>9</v>
      </c>
      <c r="B2">
        <v>1062.14</v>
      </c>
      <c r="C2">
        <v>29992.22</v>
      </c>
      <c r="D2">
        <v>1062.36</v>
      </c>
      <c r="E2">
        <v>29992.22</v>
      </c>
      <c r="F2">
        <v>1061.31</v>
      </c>
      <c r="G2">
        <v>34673.84</v>
      </c>
      <c r="H2" s="2">
        <v>-1</v>
      </c>
      <c r="I2" s="2">
        <v>0</v>
      </c>
    </row>
    <row r="3" spans="1:9">
      <c r="A3" t="s">
        <v>10</v>
      </c>
      <c r="B3">
        <v>1085.63</v>
      </c>
      <c r="C3">
        <v>33769.99</v>
      </c>
      <c r="D3">
        <v>1085.83</v>
      </c>
      <c r="E3">
        <v>33769.99</v>
      </c>
      <c r="F3">
        <v>1084.13</v>
      </c>
      <c r="G3">
        <v>38727.5</v>
      </c>
      <c r="H3" s="2">
        <v>-1</v>
      </c>
      <c r="I3" s="2">
        <v>0</v>
      </c>
    </row>
    <row r="4" spans="1:9">
      <c r="A4" t="s">
        <v>11</v>
      </c>
      <c r="B4">
        <v>1083.79</v>
      </c>
      <c r="C4">
        <v>32328.75</v>
      </c>
      <c r="D4">
        <v>1083.75</v>
      </c>
      <c r="E4">
        <v>32328.75</v>
      </c>
      <c r="F4">
        <v>1082.49</v>
      </c>
      <c r="G4">
        <v>37326.94</v>
      </c>
      <c r="H4" s="2">
        <v>-1</v>
      </c>
      <c r="I4" s="2">
        <v>0</v>
      </c>
    </row>
    <row r="5" spans="1:9">
      <c r="A5" t="s">
        <v>12</v>
      </c>
      <c r="B5">
        <v>1096.55</v>
      </c>
      <c r="C5">
        <v>33577.9</v>
      </c>
      <c r="D5">
        <v>1096.76</v>
      </c>
      <c r="E5">
        <v>33577.9</v>
      </c>
      <c r="F5">
        <v>1095.37</v>
      </c>
      <c r="G5">
        <v>38999.13</v>
      </c>
      <c r="H5" s="2">
        <v>-1</v>
      </c>
      <c r="I5" s="2">
        <v>0</v>
      </c>
    </row>
    <row r="6" spans="1:9">
      <c r="A6" t="s">
        <v>13</v>
      </c>
      <c r="B6">
        <v>1081.17</v>
      </c>
      <c r="C6">
        <v>32015.94</v>
      </c>
      <c r="D6">
        <v>1081.01</v>
      </c>
      <c r="E6">
        <v>32015.94</v>
      </c>
      <c r="F6">
        <v>1079.84</v>
      </c>
      <c r="G6">
        <v>36957.96</v>
      </c>
      <c r="H6" s="2">
        <v>-1</v>
      </c>
      <c r="I6" s="2">
        <v>0</v>
      </c>
    </row>
    <row r="7" spans="1:9">
      <c r="A7" t="s">
        <v>14</v>
      </c>
      <c r="B7">
        <v>1123.06</v>
      </c>
      <c r="C7">
        <v>34476.47</v>
      </c>
      <c r="D7">
        <v>1123.01</v>
      </c>
      <c r="E7">
        <v>34476.47</v>
      </c>
      <c r="F7">
        <v>1121.78</v>
      </c>
      <c r="G7">
        <v>39607.55</v>
      </c>
      <c r="H7" s="2">
        <v>-1</v>
      </c>
      <c r="I7" s="2">
        <v>0</v>
      </c>
    </row>
    <row r="8" spans="1:9">
      <c r="A8" t="s">
        <v>15</v>
      </c>
      <c r="B8">
        <v>1079.6</v>
      </c>
      <c r="C8">
        <v>33128.52</v>
      </c>
      <c r="D8">
        <v>1079.66</v>
      </c>
      <c r="E8">
        <v>33128.52</v>
      </c>
      <c r="F8">
        <v>1078.02</v>
      </c>
      <c r="G8">
        <v>38269.84</v>
      </c>
      <c r="H8" s="2">
        <v>-1</v>
      </c>
      <c r="I8" s="2">
        <v>0</v>
      </c>
    </row>
    <row r="9" spans="1:9">
      <c r="A9" t="s">
        <v>16</v>
      </c>
      <c r="B9">
        <v>1059.34</v>
      </c>
      <c r="C9">
        <v>31779.47</v>
      </c>
      <c r="D9">
        <v>1059.1</v>
      </c>
      <c r="E9">
        <v>31779.47</v>
      </c>
      <c r="F9">
        <v>1057.86</v>
      </c>
      <c r="G9">
        <v>36656.7</v>
      </c>
      <c r="H9" s="2">
        <v>-1</v>
      </c>
      <c r="I9" s="2">
        <v>0</v>
      </c>
    </row>
    <row r="10" spans="1:9">
      <c r="A10" t="s">
        <v>17</v>
      </c>
      <c r="B10">
        <v>1075.14</v>
      </c>
      <c r="C10">
        <v>33071.54</v>
      </c>
      <c r="D10">
        <v>1074.91</v>
      </c>
      <c r="E10">
        <v>33071.54</v>
      </c>
      <c r="F10">
        <v>1073.65</v>
      </c>
      <c r="G10">
        <v>38380.79</v>
      </c>
      <c r="H10" s="2">
        <v>-1</v>
      </c>
      <c r="I10" s="2">
        <v>0</v>
      </c>
    </row>
    <row r="11" spans="1:9">
      <c r="A11" t="s">
        <v>18</v>
      </c>
      <c r="B11">
        <v>1117.21</v>
      </c>
      <c r="C11">
        <v>34775.08</v>
      </c>
      <c r="D11">
        <v>1116.89</v>
      </c>
      <c r="E11">
        <v>34775.08</v>
      </c>
      <c r="F11">
        <v>1115.52</v>
      </c>
      <c r="G11">
        <v>40143.81</v>
      </c>
      <c r="H11" s="2">
        <v>-1</v>
      </c>
      <c r="I11" s="2">
        <v>0</v>
      </c>
    </row>
    <row r="12" spans="1:9">
      <c r="A12" t="s">
        <v>19</v>
      </c>
      <c r="B12">
        <v>1084.3</v>
      </c>
      <c r="C12">
        <v>33567.3</v>
      </c>
      <c r="D12">
        <v>1084.08</v>
      </c>
      <c r="E12">
        <v>33567.3</v>
      </c>
      <c r="F12">
        <v>1082.5</v>
      </c>
      <c r="G12">
        <v>38602.48</v>
      </c>
      <c r="H12" s="2">
        <v>-1</v>
      </c>
      <c r="I12" s="2">
        <v>0</v>
      </c>
    </row>
    <row r="13" spans="1:9">
      <c r="A13" t="s">
        <v>20</v>
      </c>
      <c r="B13">
        <v>1082.35</v>
      </c>
      <c r="C13">
        <v>33181.6</v>
      </c>
      <c r="D13">
        <v>1082.21</v>
      </c>
      <c r="E13">
        <v>33181.6</v>
      </c>
      <c r="F13">
        <v>1081.01</v>
      </c>
      <c r="G13">
        <v>38347.62</v>
      </c>
      <c r="H13" s="2">
        <v>-1</v>
      </c>
      <c r="I13" s="2">
        <v>0</v>
      </c>
    </row>
    <row r="14" spans="1:9">
      <c r="A14" t="s">
        <v>21</v>
      </c>
      <c r="B14">
        <v>1099.08</v>
      </c>
      <c r="C14">
        <v>33134.19</v>
      </c>
      <c r="D14">
        <v>1098.91</v>
      </c>
      <c r="E14">
        <v>33134.19</v>
      </c>
      <c r="F14">
        <v>1097.9</v>
      </c>
      <c r="G14">
        <v>38169.76</v>
      </c>
      <c r="H14" s="2">
        <v>-1</v>
      </c>
      <c r="I14" s="2">
        <v>0</v>
      </c>
    </row>
    <row r="15" spans="1:9">
      <c r="A15" t="s">
        <v>22</v>
      </c>
      <c r="B15">
        <v>1091.37</v>
      </c>
      <c r="C15">
        <v>32463.12</v>
      </c>
      <c r="D15">
        <v>1091.26</v>
      </c>
      <c r="E15">
        <v>32463.12</v>
      </c>
      <c r="F15">
        <v>1090.06</v>
      </c>
      <c r="G15">
        <v>37579.87</v>
      </c>
      <c r="H15" s="2">
        <v>-1</v>
      </c>
      <c r="I15" s="2">
        <v>0</v>
      </c>
    </row>
    <row r="16" spans="1:9">
      <c r="A16" t="s">
        <v>23</v>
      </c>
      <c r="B16">
        <v>1051.97</v>
      </c>
      <c r="C16">
        <v>31121.16</v>
      </c>
      <c r="D16">
        <v>1051.81</v>
      </c>
      <c r="E16">
        <v>31121.16</v>
      </c>
      <c r="F16">
        <v>1050.74</v>
      </c>
      <c r="G16">
        <v>35570</v>
      </c>
      <c r="H16" s="2">
        <v>-1</v>
      </c>
      <c r="I16" s="2">
        <v>0</v>
      </c>
    </row>
    <row r="17" spans="1:9">
      <c r="A17" t="s">
        <v>24</v>
      </c>
      <c r="B17">
        <v>1097.92</v>
      </c>
      <c r="C17">
        <v>34612.69</v>
      </c>
      <c r="D17">
        <v>1097.71</v>
      </c>
      <c r="E17">
        <v>34612.69</v>
      </c>
      <c r="F17">
        <v>1096.32</v>
      </c>
      <c r="G17">
        <v>39959.16</v>
      </c>
      <c r="H17" s="2">
        <v>-1</v>
      </c>
      <c r="I17" s="2">
        <v>0</v>
      </c>
    </row>
    <row r="18" spans="1:9">
      <c r="A18" t="s">
        <v>25</v>
      </c>
      <c r="B18">
        <v>1063.06</v>
      </c>
      <c r="C18">
        <v>31844.38</v>
      </c>
      <c r="D18">
        <v>1062.83</v>
      </c>
      <c r="E18">
        <v>31844.38</v>
      </c>
      <c r="F18">
        <v>1061.74</v>
      </c>
      <c r="G18">
        <v>36870.77</v>
      </c>
      <c r="H18" s="2">
        <v>-1</v>
      </c>
      <c r="I18" s="2">
        <v>0</v>
      </c>
    </row>
    <row r="19" spans="1:9">
      <c r="A19" t="s">
        <v>26</v>
      </c>
      <c r="B19">
        <v>1124.8</v>
      </c>
      <c r="C19">
        <v>34479.5</v>
      </c>
      <c r="D19">
        <v>1124.51</v>
      </c>
      <c r="E19">
        <v>34479.5</v>
      </c>
      <c r="F19">
        <v>1123.25</v>
      </c>
      <c r="G19">
        <v>39814.85</v>
      </c>
      <c r="H19" s="2">
        <v>-1</v>
      </c>
      <c r="I19" s="2">
        <v>0</v>
      </c>
    </row>
    <row r="20" spans="1:9">
      <c r="A20" t="s">
        <v>27</v>
      </c>
      <c r="B20">
        <v>1046.67</v>
      </c>
      <c r="C20">
        <v>31749.29</v>
      </c>
      <c r="D20">
        <v>1046.39</v>
      </c>
      <c r="E20">
        <v>31749.29</v>
      </c>
      <c r="F20">
        <v>1045.25</v>
      </c>
      <c r="G20">
        <v>36628.63</v>
      </c>
      <c r="H20" s="2">
        <v>-1</v>
      </c>
      <c r="I20" s="2">
        <v>0</v>
      </c>
    </row>
    <row r="21" spans="1:9">
      <c r="A21" t="s">
        <v>28</v>
      </c>
      <c r="B21">
        <v>1090.02</v>
      </c>
      <c r="C21">
        <v>33773.98</v>
      </c>
      <c r="D21">
        <v>1089.82</v>
      </c>
      <c r="E21">
        <v>33773.98</v>
      </c>
      <c r="F21">
        <v>1088.63</v>
      </c>
      <c r="G21">
        <v>38893.38</v>
      </c>
      <c r="H21" s="2">
        <v>-1</v>
      </c>
      <c r="I21" s="2">
        <v>0</v>
      </c>
    </row>
    <row r="23" spans="1:28">
      <c r="A23" s="3" t="s">
        <v>29</v>
      </c>
      <c r="B23" s="3" t="s">
        <v>30</v>
      </c>
      <c r="C23" s="3" t="s">
        <v>31</v>
      </c>
      <c r="D23" s="4" t="s">
        <v>32</v>
      </c>
      <c r="E23" s="3" t="s">
        <v>33</v>
      </c>
      <c r="F23" s="3" t="s">
        <v>34</v>
      </c>
      <c r="G23" s="3" t="s">
        <v>35</v>
      </c>
      <c r="H23" s="4" t="s">
        <v>36</v>
      </c>
      <c r="I23" s="3" t="s">
        <v>37</v>
      </c>
      <c r="J23" s="3" t="s">
        <v>38</v>
      </c>
      <c r="K23" s="3" t="s">
        <v>39</v>
      </c>
      <c r="L23" s="4" t="s">
        <v>40</v>
      </c>
      <c r="M23" s="3" t="s">
        <v>41</v>
      </c>
      <c r="N23" s="3" t="s">
        <v>42</v>
      </c>
      <c r="O23" s="3" t="s">
        <v>43</v>
      </c>
      <c r="P23" s="4" t="s">
        <v>44</v>
      </c>
      <c r="Q23" s="3" t="s">
        <v>45</v>
      </c>
      <c r="R23" s="3" t="s">
        <v>46</v>
      </c>
      <c r="S23" s="3" t="s">
        <v>47</v>
      </c>
      <c r="T23" s="4" t="s">
        <v>48</v>
      </c>
      <c r="U23" s="3" t="s">
        <v>49</v>
      </c>
      <c r="V23" s="3" t="s">
        <v>50</v>
      </c>
      <c r="W23" s="3" t="s">
        <v>51</v>
      </c>
      <c r="X23" s="4" t="s">
        <v>52</v>
      </c>
      <c r="Y23" s="4" t="s">
        <v>53</v>
      </c>
      <c r="Z23" s="4" t="s">
        <v>54</v>
      </c>
      <c r="AA23" s="4" t="s">
        <v>55</v>
      </c>
      <c r="AB23" s="4" t="s">
        <v>56</v>
      </c>
    </row>
    <row r="24" spans="1:28">
      <c r="A24" s="5">
        <f>IFERROR(AVERAGEIF($B$2:$B$21,"&lt;1500"),0)</f>
        <v>1084.7585</v>
      </c>
      <c r="B24" s="5">
        <f>IFERROR(AVERAGEIF($D$2:$D$21,"&lt;1500"),0)</f>
        <v>1084.6405</v>
      </c>
      <c r="C24" s="5">
        <f>IFERROR(AVERAGEIF($F$2:$F$21,"&lt;1500"),0)</f>
        <v>1083.3685</v>
      </c>
      <c r="D24" s="5">
        <f>IFERROR(AVERAGEIF($H$2:$H$21,"&lt;&gt;-1"),0)</f>
        <v>0</v>
      </c>
      <c r="E24" s="5">
        <f>IFERROR(AVERAGEIFS($C$2:$C$21,$B$2:$B$21,"&lt;1500"),0)</f>
        <v>32942.1545</v>
      </c>
      <c r="F24" s="5">
        <f>IFERROR(AVERAGEIFS($E$2:$E$21,$D$2:$D$21,"&lt;1500"),0)</f>
        <v>32942.1545</v>
      </c>
      <c r="G24" s="5">
        <f>IFERROR(AVERAGEIFS($G$2:$G$21,$F$2:$F$21,"&lt;1500"),0)</f>
        <v>38009.029</v>
      </c>
      <c r="H24" s="5">
        <f>IFERROR(AVERAGEIFS($I$2:$I$21,$H$2:$H$21,"&lt;&gt; -1"),0)</f>
        <v>0</v>
      </c>
      <c r="I24" s="5">
        <f>_xlfn.MAXIFS($B$2:$B$21,$B$2:$B$21,"&lt; 1500")</f>
        <v>1124.8</v>
      </c>
      <c r="J24" s="5">
        <f>_xlfn.MAXIFS($D$2:$D$21,$D$2:$D$21,"&lt; 1500")</f>
        <v>1124.51</v>
      </c>
      <c r="K24" s="5">
        <f>_xlfn.MAXIFS($F$2:$F$21,$F$2:$F$21,"&lt; 1500")</f>
        <v>1123.25</v>
      </c>
      <c r="L24" s="5">
        <f>_xlfn.MAXIFS($H$2:$H$21,$H$2:$H$21,"&lt;&gt; -1")</f>
        <v>0</v>
      </c>
      <c r="M24" s="5">
        <f>_xlfn.MINIFS($B$2:$B$21,$B$2:$B$21,"&lt;1500")</f>
        <v>1046.67</v>
      </c>
      <c r="N24" s="5">
        <f>_xlfn.MINIFS($D$2:$D$21,$D$2:$D$21,"&lt;1500")</f>
        <v>1046.39</v>
      </c>
      <c r="O24" s="5">
        <f>_xlfn.MINIFS($F$2:$F$21,$F$2:$F$21,"&lt;1500")</f>
        <v>1045.25</v>
      </c>
      <c r="P24" s="5">
        <f>_xlfn.MINIFS($H$2:$H$21,$H$2:$H$21,"&lt;&gt; -1")</f>
        <v>0</v>
      </c>
      <c r="Q24" s="5">
        <f>_xlfn.MAXIFS($C$2:$C$21,$B$2:$B$21,"&lt; 1500")</f>
        <v>34775.08</v>
      </c>
      <c r="R24" s="5">
        <f>_xlfn.MAXIFS($E$2:$E$21,D2:D21,"&lt; 1500")</f>
        <v>34775.08</v>
      </c>
      <c r="S24" s="5">
        <f>_xlfn.MAXIFS($G$2:$G$21,$F$2:$F$21,"&lt; 1500")</f>
        <v>40143.81</v>
      </c>
      <c r="T24" s="5">
        <f>_xlfn.MAXIFS($I$2:$I$21,$H$2:$H$21,"&lt;&gt; -1")</f>
        <v>0</v>
      </c>
      <c r="U24" s="5">
        <f>_xlfn.MINIFS($C$2:$C$21,$B$2:$B$21,"&lt;1500")</f>
        <v>29992.22</v>
      </c>
      <c r="V24" s="5">
        <f>_xlfn.MINIFS($E$2:$E$21,$D$2:$D$21,"&lt;1500")</f>
        <v>29992.22</v>
      </c>
      <c r="W24" s="5">
        <f>_xlfn.MINIFS($G$2:$G$21,$F$2:$F$21,"&lt;1500")</f>
        <v>34673.84</v>
      </c>
      <c r="X24" s="5">
        <f>_xlfn.MINIFS($I$2:$I$21,$H$2:$H$21,"&lt;&gt; -1")</f>
        <v>0</v>
      </c>
      <c r="Y24" s="5">
        <f>(COUNTIFS($B$2:$B$21,"&gt;0.0",$B$2:$B$21,"&lt;1500.0"))/20</f>
        <v>1</v>
      </c>
      <c r="Z24" s="5">
        <f>(COUNTIFS($D$2:$D$21,"&gt;0.0",$D$2:$D$21,"&lt;1500.0"))/20</f>
        <v>1</v>
      </c>
      <c r="AA24" s="5">
        <f>(COUNTIFS($F$2:$F$21,"&gt;0.0",$F$2:$F$21,"&lt;1500.0"))/20</f>
        <v>1</v>
      </c>
      <c r="AB24" s="5">
        <f>(COUNTIFS($H$2:$H$21,"&gt;0.0",$H$2:$H$21,"&lt;1500.0"))/20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workbookViewId="0">
      <selection activeCell="A25" sqref="$A25:$XFD25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1263.5</v>
      </c>
      <c r="C2" s="2">
        <v>32584.72</v>
      </c>
      <c r="D2" s="2">
        <v>1263.36</v>
      </c>
      <c r="E2" s="2">
        <v>32584.72</v>
      </c>
      <c r="F2" s="2">
        <v>1264.18</v>
      </c>
      <c r="G2" s="2">
        <v>37492.95</v>
      </c>
      <c r="H2" s="2">
        <v>-1</v>
      </c>
      <c r="I2" s="2">
        <v>0</v>
      </c>
    </row>
    <row r="3" spans="1:9">
      <c r="A3" s="2" t="s">
        <v>10</v>
      </c>
      <c r="B3" s="2">
        <v>1265.5</v>
      </c>
      <c r="C3" s="2">
        <v>31624.48</v>
      </c>
      <c r="D3" s="2">
        <v>1265.27</v>
      </c>
      <c r="E3" s="2">
        <v>31624.48</v>
      </c>
      <c r="F3" s="2">
        <v>1263.99</v>
      </c>
      <c r="G3" s="2">
        <v>36289.34</v>
      </c>
      <c r="H3" s="2">
        <v>-1</v>
      </c>
      <c r="I3" s="2">
        <v>0</v>
      </c>
    </row>
    <row r="4" spans="1:9">
      <c r="A4" s="2" t="s">
        <v>11</v>
      </c>
      <c r="B4" s="2">
        <v>1259.03</v>
      </c>
      <c r="C4" s="2">
        <v>33080.2</v>
      </c>
      <c r="D4" s="2">
        <v>1258.92</v>
      </c>
      <c r="E4" s="2">
        <v>33080.2</v>
      </c>
      <c r="F4" s="2">
        <v>1257.27</v>
      </c>
      <c r="G4" s="2">
        <v>38280.24</v>
      </c>
      <c r="H4" s="2">
        <v>-1</v>
      </c>
      <c r="I4" s="2">
        <v>0</v>
      </c>
    </row>
    <row r="5" spans="1:9">
      <c r="A5" s="2" t="s">
        <v>12</v>
      </c>
      <c r="B5" s="2">
        <v>1290.3</v>
      </c>
      <c r="C5" s="2">
        <v>34340.86</v>
      </c>
      <c r="D5" s="2">
        <v>1290.1</v>
      </c>
      <c r="E5" s="2">
        <v>34340.86</v>
      </c>
      <c r="F5" s="2">
        <v>1288.51</v>
      </c>
      <c r="G5" s="2">
        <v>39637.58</v>
      </c>
      <c r="H5" s="2">
        <v>-1</v>
      </c>
      <c r="I5" s="2">
        <v>0</v>
      </c>
    </row>
    <row r="6" spans="1:9">
      <c r="A6" s="2" t="s">
        <v>13</v>
      </c>
      <c r="B6" s="2">
        <v>1282.46</v>
      </c>
      <c r="C6" s="2">
        <v>33214.99</v>
      </c>
      <c r="D6" s="2">
        <v>1282.33</v>
      </c>
      <c r="E6" s="2">
        <v>33214.99</v>
      </c>
      <c r="F6" s="2">
        <v>1280.96</v>
      </c>
      <c r="G6" s="2">
        <v>38299.43</v>
      </c>
      <c r="H6" s="2">
        <v>-1</v>
      </c>
      <c r="I6" s="2">
        <v>0</v>
      </c>
    </row>
    <row r="7" spans="1:9">
      <c r="A7" s="2" t="s">
        <v>14</v>
      </c>
      <c r="B7" s="2">
        <v>1338.66</v>
      </c>
      <c r="C7" s="2">
        <v>34548.54</v>
      </c>
      <c r="D7" s="2">
        <v>1338.43</v>
      </c>
      <c r="E7" s="2">
        <v>34548.54</v>
      </c>
      <c r="F7" s="2">
        <v>1337.15</v>
      </c>
      <c r="G7" s="2">
        <v>39807.07</v>
      </c>
      <c r="H7" s="2">
        <v>-1</v>
      </c>
      <c r="I7" s="2">
        <v>0</v>
      </c>
    </row>
    <row r="8" spans="1:9">
      <c r="A8" s="2" t="s">
        <v>15</v>
      </c>
      <c r="B8" s="2">
        <v>1273.67</v>
      </c>
      <c r="C8" s="2">
        <v>33172.73</v>
      </c>
      <c r="D8" s="2">
        <v>1273.39</v>
      </c>
      <c r="E8" s="2">
        <v>33172.73</v>
      </c>
      <c r="F8" s="2">
        <v>1272.02</v>
      </c>
      <c r="G8" s="2">
        <v>38129.68</v>
      </c>
      <c r="H8" s="2">
        <v>-1</v>
      </c>
      <c r="I8" s="2">
        <v>0</v>
      </c>
    </row>
    <row r="9" spans="1:9">
      <c r="A9" s="2" t="s">
        <v>16</v>
      </c>
      <c r="B9" s="2">
        <v>1251.59</v>
      </c>
      <c r="C9" s="2">
        <v>31210.88</v>
      </c>
      <c r="D9" s="2">
        <v>1251.37</v>
      </c>
      <c r="E9" s="2">
        <v>31210.88</v>
      </c>
      <c r="F9" s="2">
        <v>1249.38</v>
      </c>
      <c r="G9" s="2">
        <v>35916.67</v>
      </c>
      <c r="H9" s="2">
        <v>-1</v>
      </c>
      <c r="I9" s="2">
        <v>0</v>
      </c>
    </row>
    <row r="10" spans="1:9">
      <c r="A10" s="2" t="s">
        <v>17</v>
      </c>
      <c r="B10" s="2">
        <v>1273.27</v>
      </c>
      <c r="C10" s="2">
        <v>33050.82</v>
      </c>
      <c r="D10" s="2">
        <v>1273.03</v>
      </c>
      <c r="E10" s="2">
        <v>33050.82</v>
      </c>
      <c r="F10" s="2">
        <v>1271.11</v>
      </c>
      <c r="G10" s="2">
        <v>38262.8</v>
      </c>
      <c r="H10" s="2">
        <v>-1</v>
      </c>
      <c r="I10" s="2">
        <v>0</v>
      </c>
    </row>
    <row r="11" spans="1:9">
      <c r="A11" s="2" t="s">
        <v>18</v>
      </c>
      <c r="B11" s="2">
        <v>1314.33</v>
      </c>
      <c r="C11" s="2">
        <v>33320.84</v>
      </c>
      <c r="D11" s="2">
        <v>1314.14</v>
      </c>
      <c r="E11" s="2">
        <v>33320.84</v>
      </c>
      <c r="F11" s="2">
        <v>1312.62</v>
      </c>
      <c r="G11" s="2">
        <v>38576.02</v>
      </c>
      <c r="H11" s="2">
        <v>-1</v>
      </c>
      <c r="I11" s="2">
        <v>0</v>
      </c>
    </row>
    <row r="12" spans="1:9">
      <c r="A12" s="2" t="s">
        <v>19</v>
      </c>
      <c r="B12" s="2">
        <v>1276.86</v>
      </c>
      <c r="C12" s="2">
        <v>32798.92</v>
      </c>
      <c r="D12" s="2">
        <v>1276.64</v>
      </c>
      <c r="E12" s="2">
        <v>32798.92</v>
      </c>
      <c r="F12" s="2">
        <v>1275.69</v>
      </c>
      <c r="G12" s="2">
        <v>37864.63</v>
      </c>
      <c r="H12" s="2">
        <v>-1</v>
      </c>
      <c r="I12" s="2">
        <v>0</v>
      </c>
    </row>
    <row r="13" spans="1:9">
      <c r="A13" s="2" t="s">
        <v>20</v>
      </c>
      <c r="B13" s="2">
        <v>1275.4</v>
      </c>
      <c r="C13" s="2">
        <v>34781.25</v>
      </c>
      <c r="D13" s="2">
        <v>1275.18</v>
      </c>
      <c r="E13" s="2">
        <v>34781.25</v>
      </c>
      <c r="F13" s="2">
        <v>1273.66</v>
      </c>
      <c r="G13" s="2">
        <v>39916.25</v>
      </c>
      <c r="H13" s="2">
        <v>-1</v>
      </c>
      <c r="I13" s="2">
        <v>0</v>
      </c>
    </row>
    <row r="14" spans="1:9">
      <c r="A14" s="2" t="s">
        <v>21</v>
      </c>
      <c r="B14" s="2">
        <v>1291.16</v>
      </c>
      <c r="C14" s="2">
        <v>34823.95</v>
      </c>
      <c r="D14" s="2">
        <v>1290.86</v>
      </c>
      <c r="E14" s="2">
        <v>34823.95</v>
      </c>
      <c r="F14" s="2">
        <v>1289.04</v>
      </c>
      <c r="G14" s="2">
        <v>40296.1</v>
      </c>
      <c r="H14" s="2">
        <v>-1</v>
      </c>
      <c r="I14" s="2">
        <v>0</v>
      </c>
    </row>
    <row r="15" spans="1:9">
      <c r="A15" s="2" t="s">
        <v>22</v>
      </c>
      <c r="B15" s="2">
        <v>1272.27</v>
      </c>
      <c r="C15" s="2">
        <v>34160.81</v>
      </c>
      <c r="D15" s="2">
        <v>1272.15</v>
      </c>
      <c r="E15" s="2">
        <v>34160.81</v>
      </c>
      <c r="F15" s="2">
        <v>1270.22</v>
      </c>
      <c r="G15" s="2">
        <v>39357.13</v>
      </c>
      <c r="H15" s="2">
        <v>-1</v>
      </c>
      <c r="I15" s="2">
        <v>0</v>
      </c>
    </row>
    <row r="16" spans="1:9">
      <c r="A16" s="2" t="s">
        <v>23</v>
      </c>
      <c r="B16" s="2">
        <v>1243.04</v>
      </c>
      <c r="C16" s="2">
        <v>31940.72</v>
      </c>
      <c r="D16" s="2">
        <v>1242.75</v>
      </c>
      <c r="E16" s="2">
        <v>31940.72</v>
      </c>
      <c r="F16" s="2">
        <v>1240.54</v>
      </c>
      <c r="G16" s="2">
        <v>36468.49</v>
      </c>
      <c r="H16" s="2">
        <v>-1</v>
      </c>
      <c r="I16" s="2">
        <v>0</v>
      </c>
    </row>
    <row r="17" spans="1:9">
      <c r="A17" s="2" t="s">
        <v>24</v>
      </c>
      <c r="B17" s="2">
        <v>1269.79</v>
      </c>
      <c r="C17" s="2">
        <v>32255.85</v>
      </c>
      <c r="D17" s="2">
        <v>1269.84</v>
      </c>
      <c r="E17" s="2">
        <v>32255.85</v>
      </c>
      <c r="F17" s="2">
        <v>1268.38</v>
      </c>
      <c r="G17" s="2">
        <v>36974.55</v>
      </c>
      <c r="H17" s="2">
        <v>-1</v>
      </c>
      <c r="I17" s="2">
        <v>0</v>
      </c>
    </row>
    <row r="18" spans="1:9">
      <c r="A18" s="2" t="s">
        <v>25</v>
      </c>
      <c r="B18" s="2">
        <v>1225.72</v>
      </c>
      <c r="C18" s="2">
        <v>34825.95</v>
      </c>
      <c r="D18" s="2">
        <v>1225.8</v>
      </c>
      <c r="E18" s="2">
        <v>34825.95</v>
      </c>
      <c r="F18" s="2">
        <v>1223.41</v>
      </c>
      <c r="G18" s="2">
        <v>40195.5</v>
      </c>
      <c r="H18" s="2">
        <v>-1</v>
      </c>
      <c r="I18" s="2">
        <v>0</v>
      </c>
    </row>
    <row r="19" spans="1:9">
      <c r="A19" s="2" t="s">
        <v>26</v>
      </c>
      <c r="B19" s="2">
        <v>1267.04</v>
      </c>
      <c r="C19" s="2">
        <v>33260.09</v>
      </c>
      <c r="D19" s="2">
        <v>1267.03</v>
      </c>
      <c r="E19" s="2">
        <v>33260.09</v>
      </c>
      <c r="F19" s="2">
        <v>1265.76</v>
      </c>
      <c r="G19" s="2">
        <v>38705.96</v>
      </c>
      <c r="H19" s="2">
        <v>-1</v>
      </c>
      <c r="I19" s="2">
        <v>0</v>
      </c>
    </row>
    <row r="20" spans="1:9">
      <c r="A20" s="2" t="s">
        <v>27</v>
      </c>
      <c r="B20" s="2">
        <v>1190.1</v>
      </c>
      <c r="C20" s="2">
        <v>33216.72</v>
      </c>
      <c r="D20" s="2">
        <v>1190.07</v>
      </c>
      <c r="E20" s="2">
        <v>33216.72</v>
      </c>
      <c r="F20" s="2">
        <v>1188.79</v>
      </c>
      <c r="G20" s="2">
        <v>38302.86</v>
      </c>
      <c r="H20" s="2">
        <v>-1</v>
      </c>
      <c r="I20" s="2">
        <v>0</v>
      </c>
    </row>
    <row r="21" spans="1:9">
      <c r="A21" s="2" t="s">
        <v>28</v>
      </c>
      <c r="B21" s="2">
        <v>1223.06</v>
      </c>
      <c r="C21" s="2">
        <v>32385.7</v>
      </c>
      <c r="D21" s="2">
        <v>1222.9</v>
      </c>
      <c r="E21" s="2">
        <v>32385.7</v>
      </c>
      <c r="F21" s="2">
        <v>1221.71</v>
      </c>
      <c r="G21" s="2">
        <v>37318.79</v>
      </c>
      <c r="H21" s="2">
        <v>-1</v>
      </c>
      <c r="I21" s="2">
        <v>0</v>
      </c>
    </row>
    <row r="24" spans="1:29">
      <c r="A24" s="3" t="s">
        <v>29</v>
      </c>
      <c r="B24" s="3" t="s">
        <v>29</v>
      </c>
      <c r="C24" s="3" t="s">
        <v>30</v>
      </c>
      <c r="D24" s="3" t="s">
        <v>31</v>
      </c>
      <c r="E24" s="4" t="s">
        <v>32</v>
      </c>
      <c r="F24" s="3" t="s">
        <v>33</v>
      </c>
      <c r="G24" s="3" t="s">
        <v>34</v>
      </c>
      <c r="H24" s="3" t="s">
        <v>35</v>
      </c>
      <c r="I24" s="4" t="s">
        <v>36</v>
      </c>
      <c r="J24" s="3" t="s">
        <v>37</v>
      </c>
      <c r="K24" s="3" t="s">
        <v>38</v>
      </c>
      <c r="L24" s="3" t="s">
        <v>39</v>
      </c>
      <c r="M24" s="4" t="s">
        <v>40</v>
      </c>
      <c r="N24" s="3" t="s">
        <v>41</v>
      </c>
      <c r="O24" s="3" t="s">
        <v>42</v>
      </c>
      <c r="P24" s="3" t="s">
        <v>43</v>
      </c>
      <c r="Q24" s="4" t="s">
        <v>44</v>
      </c>
      <c r="R24" s="3" t="s">
        <v>45</v>
      </c>
      <c r="S24" s="3" t="s">
        <v>46</v>
      </c>
      <c r="T24" s="3" t="s">
        <v>47</v>
      </c>
      <c r="U24" s="4" t="s">
        <v>48</v>
      </c>
      <c r="V24" s="3" t="s">
        <v>49</v>
      </c>
      <c r="W24" s="3" t="s">
        <v>50</v>
      </c>
      <c r="X24" s="3" t="s">
        <v>51</v>
      </c>
      <c r="Y24" s="4" t="s">
        <v>52</v>
      </c>
      <c r="Z24" s="4" t="s">
        <v>53</v>
      </c>
      <c r="AA24" s="4" t="s">
        <v>54</v>
      </c>
      <c r="AB24" s="4" t="s">
        <v>55</v>
      </c>
      <c r="AC24" s="4" t="s">
        <v>56</v>
      </c>
    </row>
    <row r="25" spans="1:29">
      <c r="A25" s="5">
        <f>AVERAGE($B$2:$B$21)</f>
        <v>1267.3375</v>
      </c>
      <c r="B25" s="5">
        <f>IFERROR(AVERAGEIF($B$2:$B$21,"&lt;1500"),0)</f>
        <v>1267.3375</v>
      </c>
      <c r="C25" s="5">
        <f>IFERROR(AVERAGEIF($D$2:$D$21,"&lt;1500"),0)</f>
        <v>1267.178</v>
      </c>
      <c r="D25" s="5">
        <f>IFERROR(AVERAGEIF($F$2:$F$21,"&lt;1500"),0)</f>
        <v>1265.7195</v>
      </c>
      <c r="E25" s="5">
        <f>IFERROR(AVERAGEIF($H$2:$H$21,"&lt;&gt;-1"),0)</f>
        <v>0</v>
      </c>
      <c r="F25" s="5">
        <f>IFERROR(AVERAGEIFS($C$2:$C$21,$B$2:$B$21,"&lt;1500"),0)</f>
        <v>33229.951</v>
      </c>
      <c r="G25" s="5">
        <f>IFERROR(AVERAGEIFS($E$2:$E$21,$D$2:$D$21,"&lt;1500"),0)</f>
        <v>33229.951</v>
      </c>
      <c r="H25" s="5">
        <f>IFERROR(AVERAGEIFS($G$2:$G$21,$F$2:$F$21,"&lt;1500"),0)</f>
        <v>38304.602</v>
      </c>
      <c r="I25" s="5">
        <f>IFERROR(AVERAGEIFS($I$2:$I$21,$H$2:$H$21,"&lt;&gt; -1"),0)</f>
        <v>0</v>
      </c>
      <c r="J25" s="5">
        <f>_xlfn.MAXIFS($B$2:$B$21,$B$2:$B$21,"&lt; 1500")</f>
        <v>1338.66</v>
      </c>
      <c r="K25" s="5">
        <f>_xlfn.MAXIFS($D$2:$D$21,$D$2:$D$21,"&lt; 1500")</f>
        <v>1338.43</v>
      </c>
      <c r="L25" s="5">
        <f>_xlfn.MAXIFS($F$2:$F$21,$F$2:$F$21,"&lt; 1500")</f>
        <v>1337.15</v>
      </c>
      <c r="M25" s="5">
        <f>_xlfn.MAXIFS($H$2:$H$21,$H$2:$H$21,"&lt;&gt; -1")</f>
        <v>0</v>
      </c>
      <c r="N25" s="5">
        <f>_xlfn.MINIFS($B$2:$B$21,$B$2:$B$21,"&lt;1500")</f>
        <v>1190.1</v>
      </c>
      <c r="O25" s="5">
        <f>_xlfn.MINIFS($D$2:$D$21,$D$2:$D$21,"&lt;1500")</f>
        <v>1190.07</v>
      </c>
      <c r="P25" s="5">
        <f>_xlfn.MINIFS($F$2:$F$21,$F$2:$F$21,"&lt;1500")</f>
        <v>1188.79</v>
      </c>
      <c r="Q25" s="5">
        <f>_xlfn.MINIFS($H$2:$H$21,$H$2:$H$21,"&lt;&gt; -1")</f>
        <v>0</v>
      </c>
      <c r="R25" s="5">
        <f>_xlfn.MAXIFS($C$2:$C$21,$B$2:$B$21,"&lt; 1500")</f>
        <v>34825.95</v>
      </c>
      <c r="S25" s="5">
        <f>_xlfn.MAXIFS($E$2:$E$21,E3:E22,"&lt; 1500")</f>
        <v>0</v>
      </c>
      <c r="T25" s="5">
        <f>_xlfn.MAXIFS($G$2:$G$21,$F$2:$F$21,"&lt; 1500")</f>
        <v>40296.1</v>
      </c>
      <c r="U25" s="5">
        <f>_xlfn.MAXIFS($I$2:$I$21,$H$2:$H$21,"&lt;&gt; -1")</f>
        <v>0</v>
      </c>
      <c r="V25" s="5">
        <f>_xlfn.MINIFS($C$2:$C$21,$B$2:$B$21,"&lt;1500")</f>
        <v>31210.88</v>
      </c>
      <c r="W25" s="5">
        <f>_xlfn.MINIFS($E$2:$E$21,$D$2:$D$21,"&lt;1500")</f>
        <v>31210.88</v>
      </c>
      <c r="X25" s="5">
        <f>_xlfn.MINIFS($G$2:$G$21,$F$2:$F$21,"&lt;1500")</f>
        <v>35916.67</v>
      </c>
      <c r="Y25" s="5">
        <f>_xlfn.MINIFS($I$2:$I$21,$H$2:$H$21,"&lt;&gt; -1")</f>
        <v>0</v>
      </c>
      <c r="Z25" s="5">
        <f>(COUNTIFS($B$2:$B$21,"&gt;0.0",$B$2:$B$21,"&lt;1500.0"))/20</f>
        <v>1</v>
      </c>
      <c r="AA25" s="5">
        <f>(COUNTIFS($D$2:$D$21,"&gt;0.0",$D$2:$D$21,"&lt;1500.0"))/20</f>
        <v>1</v>
      </c>
      <c r="AB25" s="5">
        <f>(COUNTIFS($F$2:$F$21,"&gt;0.0",$F$2:$F$21,"&lt;1500.0"))/20</f>
        <v>1</v>
      </c>
      <c r="AC25" s="5">
        <f>(COUNTIFS($H$2:$H$21,"&gt;0.0",$H$2:$H$21,"&lt;1500.0"))/20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workbookViewId="0">
      <selection activeCell="A25" sqref="$A25:$XFD25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1396.23</v>
      </c>
      <c r="C2" s="2">
        <v>33078.53</v>
      </c>
      <c r="D2" s="2">
        <v>1396.16</v>
      </c>
      <c r="E2" s="2">
        <v>33078.53</v>
      </c>
      <c r="F2" s="2">
        <v>1394.71</v>
      </c>
      <c r="G2" s="2">
        <v>38282.9</v>
      </c>
      <c r="H2" s="2">
        <v>-1</v>
      </c>
      <c r="I2" s="2">
        <v>0</v>
      </c>
    </row>
    <row r="3" spans="1:9">
      <c r="A3" s="2" t="s">
        <v>10</v>
      </c>
      <c r="B3" s="2">
        <v>1752.88</v>
      </c>
      <c r="C3" s="2">
        <v>34017.77</v>
      </c>
      <c r="D3" s="2">
        <v>1752.59</v>
      </c>
      <c r="E3" s="2">
        <v>34017.77</v>
      </c>
      <c r="F3" s="2">
        <v>1751.41</v>
      </c>
      <c r="G3" s="2">
        <v>39185.82</v>
      </c>
      <c r="H3" s="2">
        <v>-1</v>
      </c>
      <c r="I3" s="2">
        <v>0</v>
      </c>
    </row>
    <row r="4" spans="1:9">
      <c r="A4" s="2" t="s">
        <v>11</v>
      </c>
      <c r="B4" s="2">
        <v>2751.19</v>
      </c>
      <c r="C4" s="2">
        <v>33387.61</v>
      </c>
      <c r="D4" s="2">
        <v>2751.33</v>
      </c>
      <c r="E4" s="2">
        <v>33387.61</v>
      </c>
      <c r="F4" s="2">
        <v>2750</v>
      </c>
      <c r="G4" s="2">
        <v>38636.02</v>
      </c>
      <c r="H4" s="2">
        <v>-1</v>
      </c>
      <c r="I4" s="2">
        <v>0</v>
      </c>
    </row>
    <row r="5" spans="1:9">
      <c r="A5" s="2" t="s">
        <v>12</v>
      </c>
      <c r="B5" s="2">
        <v>2420.69</v>
      </c>
      <c r="C5" s="2">
        <v>34737.48</v>
      </c>
      <c r="D5" s="2">
        <v>2420.67</v>
      </c>
      <c r="E5" s="2">
        <v>34737.48</v>
      </c>
      <c r="F5" s="2">
        <v>2418.05</v>
      </c>
      <c r="G5" s="2">
        <v>40153.74</v>
      </c>
      <c r="H5" s="2">
        <v>-1</v>
      </c>
      <c r="I5" s="2">
        <v>0</v>
      </c>
    </row>
    <row r="6" spans="1:9">
      <c r="A6" s="2" t="s">
        <v>13</v>
      </c>
      <c r="B6" s="2">
        <v>1506.03</v>
      </c>
      <c r="C6" s="2">
        <v>34621.88</v>
      </c>
      <c r="D6" s="2">
        <v>1505.97</v>
      </c>
      <c r="E6" s="2">
        <v>34621.88</v>
      </c>
      <c r="F6" s="2">
        <v>1504.5</v>
      </c>
      <c r="G6" s="2">
        <v>40016.55</v>
      </c>
      <c r="H6" s="2">
        <v>-1</v>
      </c>
      <c r="I6" s="2">
        <v>0</v>
      </c>
    </row>
    <row r="7" spans="1:9">
      <c r="A7" s="2" t="s">
        <v>14</v>
      </c>
      <c r="B7" s="2">
        <v>1518.49</v>
      </c>
      <c r="C7" s="2">
        <v>34461.43</v>
      </c>
      <c r="D7" s="2">
        <v>1518.47</v>
      </c>
      <c r="E7" s="2">
        <v>34461.43</v>
      </c>
      <c r="F7" s="2">
        <v>1517.05</v>
      </c>
      <c r="G7" s="2">
        <v>39530.22</v>
      </c>
      <c r="H7" s="2">
        <v>-1</v>
      </c>
      <c r="I7" s="2">
        <v>0</v>
      </c>
    </row>
    <row r="8" spans="1:9">
      <c r="A8" s="2" t="s">
        <v>15</v>
      </c>
      <c r="B8" s="2">
        <v>4501.91</v>
      </c>
      <c r="C8" s="2">
        <v>33528.48</v>
      </c>
      <c r="D8" s="2">
        <v>4501.77</v>
      </c>
      <c r="E8" s="2">
        <v>33528.48</v>
      </c>
      <c r="F8" s="2">
        <v>4500.32</v>
      </c>
      <c r="G8" s="2">
        <v>38543.97</v>
      </c>
      <c r="H8" s="2">
        <v>-1</v>
      </c>
      <c r="I8" s="2">
        <v>0</v>
      </c>
    </row>
    <row r="9" spans="1:9">
      <c r="A9" s="2" t="s">
        <v>16</v>
      </c>
      <c r="B9" s="2">
        <v>1623.27</v>
      </c>
      <c r="C9" s="2">
        <v>34705.1</v>
      </c>
      <c r="D9" s="2">
        <v>1623.43</v>
      </c>
      <c r="E9" s="2">
        <v>34705.1</v>
      </c>
      <c r="F9" s="2">
        <v>1622.13</v>
      </c>
      <c r="G9" s="2">
        <v>39987.25</v>
      </c>
      <c r="H9" s="2">
        <v>-1</v>
      </c>
      <c r="I9" s="2">
        <v>0</v>
      </c>
    </row>
    <row r="10" spans="1:9">
      <c r="A10" s="2" t="s">
        <v>17</v>
      </c>
      <c r="B10" s="2">
        <v>1916.38</v>
      </c>
      <c r="C10" s="2">
        <v>34056.86</v>
      </c>
      <c r="D10" s="2">
        <v>1915.6</v>
      </c>
      <c r="E10" s="2">
        <v>34056.86</v>
      </c>
      <c r="F10" s="2">
        <v>1913.2</v>
      </c>
      <c r="G10" s="2">
        <v>39594.47</v>
      </c>
      <c r="H10" s="2">
        <v>-1</v>
      </c>
      <c r="I10" s="2">
        <v>0</v>
      </c>
    </row>
    <row r="11" spans="1:9">
      <c r="A11" s="2" t="s">
        <v>18</v>
      </c>
      <c r="B11" s="2">
        <v>1780.15</v>
      </c>
      <c r="C11" s="2">
        <v>34625.69</v>
      </c>
      <c r="D11" s="2">
        <v>1779.66</v>
      </c>
      <c r="E11" s="2">
        <v>34625.69</v>
      </c>
      <c r="F11" s="2">
        <v>1776.96</v>
      </c>
      <c r="G11" s="2">
        <v>40074.6</v>
      </c>
      <c r="H11" s="2">
        <v>-1</v>
      </c>
      <c r="I11" s="2">
        <v>0</v>
      </c>
    </row>
    <row r="12" spans="1:9">
      <c r="A12" s="2" t="s">
        <v>19</v>
      </c>
      <c r="B12" s="2">
        <v>1522.34</v>
      </c>
      <c r="C12" s="2">
        <v>34343.3</v>
      </c>
      <c r="D12" s="2">
        <v>1522.08</v>
      </c>
      <c r="E12" s="2">
        <v>34343.3</v>
      </c>
      <c r="F12" s="2">
        <v>1520.3</v>
      </c>
      <c r="G12" s="2">
        <v>39501.89</v>
      </c>
      <c r="H12" s="2">
        <v>-1</v>
      </c>
      <c r="I12" s="2">
        <v>0</v>
      </c>
    </row>
    <row r="13" spans="1:9">
      <c r="A13" s="2" t="s">
        <v>20</v>
      </c>
      <c r="B13" s="2">
        <v>1618.16</v>
      </c>
      <c r="C13" s="2">
        <v>32706.84</v>
      </c>
      <c r="D13" s="2">
        <v>1614.18</v>
      </c>
      <c r="E13" s="2">
        <v>32706.84</v>
      </c>
      <c r="F13" s="2">
        <v>1612.65</v>
      </c>
      <c r="G13" s="2">
        <v>37604.36</v>
      </c>
      <c r="H13" s="2">
        <v>-1</v>
      </c>
      <c r="I13" s="2">
        <v>0</v>
      </c>
    </row>
    <row r="14" spans="1:9">
      <c r="A14" s="2" t="s">
        <v>21</v>
      </c>
      <c r="B14" s="2">
        <v>1557.3</v>
      </c>
      <c r="C14" s="2">
        <v>33519.5</v>
      </c>
      <c r="D14" s="2">
        <v>1557.41</v>
      </c>
      <c r="E14" s="2">
        <v>33519.5</v>
      </c>
      <c r="F14" s="2">
        <v>1556.08</v>
      </c>
      <c r="G14" s="2">
        <v>38676.01</v>
      </c>
      <c r="H14" s="2">
        <v>-1</v>
      </c>
      <c r="I14" s="2">
        <v>0</v>
      </c>
    </row>
    <row r="15" spans="1:9">
      <c r="A15" s="2" t="s">
        <v>22</v>
      </c>
      <c r="B15" s="2">
        <v>1658.88</v>
      </c>
      <c r="C15" s="2">
        <v>33388.46</v>
      </c>
      <c r="D15" s="2">
        <v>1659.05</v>
      </c>
      <c r="E15" s="2">
        <v>33388.46</v>
      </c>
      <c r="F15" s="2">
        <v>1657.1</v>
      </c>
      <c r="G15" s="2">
        <v>38530.02</v>
      </c>
      <c r="H15" s="2">
        <v>-1</v>
      </c>
      <c r="I15" s="2">
        <v>0</v>
      </c>
    </row>
    <row r="16" spans="1:9">
      <c r="A16" s="2" t="s">
        <v>23</v>
      </c>
      <c r="B16" s="2">
        <v>1817.01</v>
      </c>
      <c r="C16" s="2">
        <v>32730.04</v>
      </c>
      <c r="D16" s="2">
        <v>1815.7</v>
      </c>
      <c r="E16" s="2">
        <v>32730.04</v>
      </c>
      <c r="F16" s="2">
        <v>1814.04</v>
      </c>
      <c r="G16" s="2">
        <v>37483.94</v>
      </c>
      <c r="H16" s="2">
        <v>-1</v>
      </c>
      <c r="I16" s="2">
        <v>0</v>
      </c>
    </row>
    <row r="17" spans="1:9">
      <c r="A17" s="2" t="s">
        <v>24</v>
      </c>
      <c r="B17" s="2">
        <v>1650.59</v>
      </c>
      <c r="C17" s="2">
        <v>34568.94</v>
      </c>
      <c r="D17" s="2">
        <v>1653.02</v>
      </c>
      <c r="E17" s="2">
        <v>34568.94</v>
      </c>
      <c r="F17" s="2">
        <v>1650.03</v>
      </c>
      <c r="G17" s="2">
        <v>39726.62</v>
      </c>
      <c r="H17" s="2">
        <v>-1</v>
      </c>
      <c r="I17" s="2">
        <v>0</v>
      </c>
    </row>
    <row r="18" spans="1:9">
      <c r="A18" s="2" t="s">
        <v>25</v>
      </c>
      <c r="B18" s="2">
        <v>1749.68</v>
      </c>
      <c r="C18" s="2">
        <v>32122.36</v>
      </c>
      <c r="D18" s="2">
        <v>1749.81</v>
      </c>
      <c r="E18" s="2">
        <v>32122.36</v>
      </c>
      <c r="F18" s="2">
        <v>1747.28</v>
      </c>
      <c r="G18" s="2">
        <v>37151.85</v>
      </c>
      <c r="H18" s="2">
        <v>-1</v>
      </c>
      <c r="I18" s="2">
        <v>0</v>
      </c>
    </row>
    <row r="19" spans="1:9">
      <c r="A19" s="2" t="s">
        <v>26</v>
      </c>
      <c r="B19" s="2">
        <v>1835.87</v>
      </c>
      <c r="C19" s="2">
        <v>34814.47</v>
      </c>
      <c r="D19" s="2">
        <v>1837.09</v>
      </c>
      <c r="E19" s="2">
        <v>34814.47</v>
      </c>
      <c r="F19" s="2">
        <v>1831.42</v>
      </c>
      <c r="G19" s="2">
        <v>40372.21</v>
      </c>
      <c r="H19" s="2">
        <v>-1</v>
      </c>
      <c r="I19" s="2">
        <v>0</v>
      </c>
    </row>
    <row r="20" spans="1:9">
      <c r="A20" s="2" t="s">
        <v>27</v>
      </c>
      <c r="B20" s="2">
        <v>1556.91</v>
      </c>
      <c r="C20" s="2">
        <v>31495.88</v>
      </c>
      <c r="D20" s="2">
        <v>1557.62</v>
      </c>
      <c r="E20" s="2">
        <v>31495.88</v>
      </c>
      <c r="F20" s="2">
        <v>1555.63</v>
      </c>
      <c r="G20" s="2">
        <v>36333.19</v>
      </c>
      <c r="H20" s="2">
        <v>-1</v>
      </c>
      <c r="I20" s="2">
        <v>0</v>
      </c>
    </row>
    <row r="21" spans="1:9">
      <c r="A21" s="2" t="s">
        <v>28</v>
      </c>
      <c r="B21" s="2">
        <v>1648.91</v>
      </c>
      <c r="C21" s="2">
        <v>35408.63</v>
      </c>
      <c r="D21" s="2">
        <v>1648.87</v>
      </c>
      <c r="E21" s="2">
        <v>35408.63</v>
      </c>
      <c r="F21" s="2">
        <v>1647.77</v>
      </c>
      <c r="G21" s="2">
        <v>40738</v>
      </c>
      <c r="H21" s="2">
        <v>-1</v>
      </c>
      <c r="I21" s="2">
        <v>0</v>
      </c>
    </row>
    <row r="24" spans="1:28">
      <c r="A24" s="3" t="s">
        <v>29</v>
      </c>
      <c r="B24" s="3" t="s">
        <v>30</v>
      </c>
      <c r="C24" s="3" t="s">
        <v>31</v>
      </c>
      <c r="D24" s="4" t="s">
        <v>32</v>
      </c>
      <c r="E24" s="3" t="s">
        <v>33</v>
      </c>
      <c r="F24" s="3" t="s">
        <v>34</v>
      </c>
      <c r="G24" s="3" t="s">
        <v>35</v>
      </c>
      <c r="H24" s="4" t="s">
        <v>36</v>
      </c>
      <c r="I24" s="3" t="s">
        <v>37</v>
      </c>
      <c r="J24" s="3" t="s">
        <v>38</v>
      </c>
      <c r="K24" s="3" t="s">
        <v>39</v>
      </c>
      <c r="L24" s="4" t="s">
        <v>40</v>
      </c>
      <c r="M24" s="3" t="s">
        <v>41</v>
      </c>
      <c r="N24" s="3" t="s">
        <v>42</v>
      </c>
      <c r="O24" s="3" t="s">
        <v>43</v>
      </c>
      <c r="P24" s="4" t="s">
        <v>44</v>
      </c>
      <c r="Q24" s="3" t="s">
        <v>45</v>
      </c>
      <c r="R24" s="3" t="s">
        <v>46</v>
      </c>
      <c r="S24" s="3" t="s">
        <v>47</v>
      </c>
      <c r="T24" s="4" t="s">
        <v>48</v>
      </c>
      <c r="U24" s="3" t="s">
        <v>49</v>
      </c>
      <c r="V24" s="3" t="s">
        <v>50</v>
      </c>
      <c r="W24" s="3" t="s">
        <v>51</v>
      </c>
      <c r="X24" s="4" t="s">
        <v>52</v>
      </c>
      <c r="Y24" s="4" t="s">
        <v>53</v>
      </c>
      <c r="Z24" s="4" t="s">
        <v>54</v>
      </c>
      <c r="AA24" s="4" t="s">
        <v>55</v>
      </c>
      <c r="AB24" s="4" t="s">
        <v>56</v>
      </c>
    </row>
    <row r="25" spans="1:28">
      <c r="A25" s="5">
        <f>IFERROR(AVERAGEIF($B$2:$B$21,"&lt;1500"),0)</f>
        <v>1396.23</v>
      </c>
      <c r="B25" s="5">
        <f>IFERROR(AVERAGEIF($D$2:$D$21,"&lt;1500"),0)</f>
        <v>1396.16</v>
      </c>
      <c r="C25" s="5">
        <f>IFERROR(AVERAGEIF($F$2:$F$21,"&lt;1500"),0)</f>
        <v>1394.71</v>
      </c>
      <c r="D25" s="5">
        <f>IFERROR(AVERAGEIF($H$2:$H$21,"&lt;&gt;-1"),0)</f>
        <v>0</v>
      </c>
      <c r="E25" s="5">
        <f>IFERROR(AVERAGEIFS($C$2:$C$21,$B$2:$B$21,"&lt;1500"),0)</f>
        <v>33078.53</v>
      </c>
      <c r="F25" s="5">
        <f>IFERROR(AVERAGEIFS($E$2:$E$21,$D$2:$D$21,"&lt;1500"),0)</f>
        <v>33078.53</v>
      </c>
      <c r="G25" s="5">
        <f>IFERROR(AVERAGEIFS($G$2:$G$21,$F$2:$F$21,"&lt;1500"),0)</f>
        <v>38282.9</v>
      </c>
      <c r="H25" s="5">
        <f>IFERROR(AVERAGEIFS($I$2:$I$21,$H$2:$H$21,"&lt;&gt; -1"),0)</f>
        <v>0</v>
      </c>
      <c r="I25" s="5">
        <f>_xlfn.MAXIFS($B$2:$B$21,$B$2:$B$21,"&lt; 1500")</f>
        <v>1396.23</v>
      </c>
      <c r="J25" s="5">
        <f>_xlfn.MAXIFS($D$2:$D$21,$D$2:$D$21,"&lt; 1500")</f>
        <v>1396.16</v>
      </c>
      <c r="K25" s="5">
        <f>_xlfn.MAXIFS($F$2:$F$21,$F$2:$F$21,"&lt; 1500")</f>
        <v>1394.71</v>
      </c>
      <c r="L25" s="5">
        <f>_xlfn.MAXIFS($H$2:$H$21,$H$2:$H$21,"&lt;&gt; -1")</f>
        <v>0</v>
      </c>
      <c r="M25" s="5">
        <f>_xlfn.MINIFS($B$2:$B$21,$B$2:$B$21,"&lt;1500")</f>
        <v>1396.23</v>
      </c>
      <c r="N25" s="5">
        <f>_xlfn.MINIFS($D$2:$D$21,$D$2:$D$21,"&lt;1500")</f>
        <v>1396.16</v>
      </c>
      <c r="O25" s="5">
        <f>_xlfn.MINIFS($F$2:$F$21,$F$2:$F$21,"&lt;1500")</f>
        <v>1394.71</v>
      </c>
      <c r="P25" s="5">
        <f>_xlfn.MINIFS($H$2:$H$21,$H$2:$H$21,"&lt;&gt; -1")</f>
        <v>0</v>
      </c>
      <c r="Q25" s="5">
        <f>_xlfn.MAXIFS($C$2:$C$21,$B$2:$B$21,"&lt; 1500")</f>
        <v>33078.53</v>
      </c>
      <c r="R25" s="5">
        <f>_xlfn.MAXIFS($E$2:$E$21,D3:D22,"&lt; 1500")</f>
        <v>0</v>
      </c>
      <c r="S25" s="5">
        <f>_xlfn.MAXIFS($G$2:$G$21,$F$2:$F$21,"&lt; 1500")</f>
        <v>38282.9</v>
      </c>
      <c r="T25" s="5">
        <f>_xlfn.MAXIFS($I$2:$I$21,$H$2:$H$21,"&lt;&gt; -1")</f>
        <v>0</v>
      </c>
      <c r="U25" s="5">
        <f>_xlfn.MINIFS($C$2:$C$21,$B$2:$B$21,"&lt;1500")</f>
        <v>33078.53</v>
      </c>
      <c r="V25" s="5">
        <f>_xlfn.MINIFS($E$2:$E$21,$D$2:$D$21,"&lt;1500")</f>
        <v>33078.53</v>
      </c>
      <c r="W25" s="5">
        <f>_xlfn.MINIFS($G$2:$G$21,$F$2:$F$21,"&lt;1500")</f>
        <v>38282.9</v>
      </c>
      <c r="X25" s="5">
        <f>_xlfn.MINIFS($I$2:$I$21,$H$2:$H$21,"&lt;&gt; -1")</f>
        <v>0</v>
      </c>
      <c r="Y25" s="5">
        <f>(COUNTIFS($B$2:$B$21,"&gt;0.0",$B$2:$B$21,"&lt;1500.0"))/20</f>
        <v>0.05</v>
      </c>
      <c r="Z25" s="5">
        <f>(COUNTIFS($D$2:$D$21,"&gt;0.0",$D$2:$D$21,"&lt;1500.0"))/20</f>
        <v>0.05</v>
      </c>
      <c r="AA25" s="5">
        <f>(COUNTIFS($F$2:$F$21,"&gt;0.0",$F$2:$F$21,"&lt;1500.0"))/20</f>
        <v>0.05</v>
      </c>
      <c r="AB25" s="5">
        <f>(COUNTIFS($H$2:$H$21,"&gt;0.0",$H$2:$H$21,"&lt;1500.0"))/20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2079.55</v>
      </c>
      <c r="C2" s="2">
        <v>33806.88</v>
      </c>
      <c r="D2" s="2">
        <v>2079.99</v>
      </c>
      <c r="E2" s="2">
        <v>33806.88</v>
      </c>
      <c r="F2" s="2">
        <v>2077.06</v>
      </c>
      <c r="G2" s="2">
        <v>39151.99</v>
      </c>
      <c r="H2" s="2">
        <v>-1</v>
      </c>
      <c r="I2" s="2">
        <v>0</v>
      </c>
    </row>
    <row r="3" spans="1:9">
      <c r="A3" s="2" t="s">
        <v>10</v>
      </c>
      <c r="B3" s="2">
        <v>1660.52</v>
      </c>
      <c r="C3" s="2">
        <v>33691</v>
      </c>
      <c r="D3" s="2">
        <v>1659.67</v>
      </c>
      <c r="E3" s="2">
        <v>33691</v>
      </c>
      <c r="F3" s="2">
        <v>1658.01</v>
      </c>
      <c r="G3" s="2">
        <v>38727.8</v>
      </c>
      <c r="H3" s="2">
        <v>-1</v>
      </c>
      <c r="I3" s="2">
        <v>0</v>
      </c>
    </row>
    <row r="4" spans="1:9">
      <c r="A4" s="2" t="s">
        <v>11</v>
      </c>
      <c r="B4" s="2">
        <v>1574.19</v>
      </c>
      <c r="C4" s="2">
        <v>32379.71</v>
      </c>
      <c r="D4" s="2">
        <v>1574.03</v>
      </c>
      <c r="E4" s="2">
        <v>32379.71</v>
      </c>
      <c r="F4" s="2">
        <v>1572.71</v>
      </c>
      <c r="G4" s="2">
        <v>37192.71</v>
      </c>
      <c r="H4" s="2">
        <v>-1</v>
      </c>
      <c r="I4" s="2">
        <v>0</v>
      </c>
    </row>
    <row r="5" spans="1:9">
      <c r="A5" s="2" t="s">
        <v>12</v>
      </c>
      <c r="B5" s="2">
        <v>1633.35</v>
      </c>
      <c r="C5" s="2">
        <v>33991.02</v>
      </c>
      <c r="D5" s="2">
        <v>1633.17</v>
      </c>
      <c r="E5" s="2">
        <v>33991.02</v>
      </c>
      <c r="F5" s="2">
        <v>1631.17</v>
      </c>
      <c r="G5" s="2">
        <v>39412.53</v>
      </c>
      <c r="H5" s="2">
        <v>-1</v>
      </c>
      <c r="I5" s="2">
        <v>0</v>
      </c>
    </row>
    <row r="6" spans="1:9">
      <c r="A6" s="2" t="s">
        <v>13</v>
      </c>
      <c r="B6" s="2">
        <v>1627.99</v>
      </c>
      <c r="C6" s="2">
        <v>35694.91</v>
      </c>
      <c r="D6" s="2">
        <v>1627.96</v>
      </c>
      <c r="E6" s="2">
        <v>35694.91</v>
      </c>
      <c r="F6" s="2">
        <v>1626.57</v>
      </c>
      <c r="G6" s="2">
        <v>41301.35</v>
      </c>
      <c r="H6" s="2">
        <v>-1</v>
      </c>
      <c r="I6" s="2">
        <v>0</v>
      </c>
    </row>
    <row r="7" spans="1:9">
      <c r="A7" s="2" t="s">
        <v>14</v>
      </c>
      <c r="B7" s="2">
        <v>1665.33</v>
      </c>
      <c r="C7" s="2">
        <v>34233.64</v>
      </c>
      <c r="D7" s="2">
        <v>1665.21</v>
      </c>
      <c r="E7" s="2">
        <v>34233.64</v>
      </c>
      <c r="F7" s="2">
        <v>1663.9</v>
      </c>
      <c r="G7" s="2">
        <v>39211.31</v>
      </c>
      <c r="H7" s="2">
        <v>-1</v>
      </c>
      <c r="I7" s="2">
        <v>0</v>
      </c>
    </row>
    <row r="8" spans="1:9">
      <c r="A8" s="2" t="s">
        <v>15</v>
      </c>
      <c r="B8" s="2">
        <v>1732.84</v>
      </c>
      <c r="C8" s="2">
        <v>34549.92</v>
      </c>
      <c r="D8" s="2">
        <v>1733.1</v>
      </c>
      <c r="E8" s="2">
        <v>34549.92</v>
      </c>
      <c r="F8" s="2">
        <v>1730.96</v>
      </c>
      <c r="G8" s="2">
        <v>39687.32</v>
      </c>
      <c r="H8" s="2">
        <v>-1</v>
      </c>
      <c r="I8" s="2">
        <v>0</v>
      </c>
    </row>
    <row r="9" spans="1:9">
      <c r="A9" s="2" t="s">
        <v>16</v>
      </c>
      <c r="B9" s="2">
        <v>1683.58</v>
      </c>
      <c r="C9" s="2">
        <v>34648.24</v>
      </c>
      <c r="D9" s="2">
        <v>1683.62</v>
      </c>
      <c r="E9" s="2">
        <v>34648.24</v>
      </c>
      <c r="F9" s="2">
        <v>1681.98</v>
      </c>
      <c r="G9" s="2">
        <v>39803.72</v>
      </c>
      <c r="H9" s="2">
        <v>-1</v>
      </c>
      <c r="I9" s="2">
        <v>0</v>
      </c>
    </row>
    <row r="10" spans="1:9">
      <c r="A10" s="2" t="s">
        <v>17</v>
      </c>
      <c r="B10" s="2">
        <v>1649.38</v>
      </c>
      <c r="C10" s="2">
        <v>33506.63</v>
      </c>
      <c r="D10" s="2">
        <v>1649.34</v>
      </c>
      <c r="E10" s="2">
        <v>33506.63</v>
      </c>
      <c r="F10" s="2">
        <v>1647.27</v>
      </c>
      <c r="G10" s="2">
        <v>38906.44</v>
      </c>
      <c r="H10" s="2">
        <v>-1</v>
      </c>
      <c r="I10" s="2">
        <v>0</v>
      </c>
    </row>
    <row r="11" spans="1:9">
      <c r="A11" s="2" t="s">
        <v>18</v>
      </c>
      <c r="B11" s="2">
        <v>1653.7</v>
      </c>
      <c r="C11" s="2">
        <v>34172.69</v>
      </c>
      <c r="D11" s="2">
        <v>1653.8</v>
      </c>
      <c r="E11" s="2">
        <v>34172.69</v>
      </c>
      <c r="F11" s="2">
        <v>1651.89</v>
      </c>
      <c r="G11" s="2">
        <v>39379.78</v>
      </c>
      <c r="H11" s="2">
        <v>-1</v>
      </c>
      <c r="I11" s="2">
        <v>0</v>
      </c>
    </row>
    <row r="12" spans="1:9">
      <c r="A12" s="2" t="s">
        <v>19</v>
      </c>
      <c r="B12" s="2">
        <v>1554.99</v>
      </c>
      <c r="C12" s="2">
        <v>31694.92</v>
      </c>
      <c r="D12" s="2">
        <v>1554.76</v>
      </c>
      <c r="E12" s="2">
        <v>31694.92</v>
      </c>
      <c r="F12" s="2">
        <v>1553.02</v>
      </c>
      <c r="G12" s="2">
        <v>36477.39</v>
      </c>
      <c r="H12" s="2">
        <v>-1</v>
      </c>
      <c r="I12" s="2">
        <v>0</v>
      </c>
    </row>
    <row r="13" spans="1:9">
      <c r="A13" s="2" t="s">
        <v>20</v>
      </c>
      <c r="B13" s="2">
        <v>1607.14</v>
      </c>
      <c r="C13" s="2">
        <v>33246.76</v>
      </c>
      <c r="D13" s="2">
        <v>1606.96</v>
      </c>
      <c r="E13" s="2">
        <v>33246.76</v>
      </c>
      <c r="F13" s="2">
        <v>1605.75</v>
      </c>
      <c r="G13" s="2">
        <v>38372.55</v>
      </c>
      <c r="H13" s="2">
        <v>-1</v>
      </c>
      <c r="I13" s="2">
        <v>0</v>
      </c>
    </row>
    <row r="14" spans="1:9">
      <c r="A14" s="2" t="s">
        <v>21</v>
      </c>
      <c r="B14" s="2">
        <v>1642.72</v>
      </c>
      <c r="C14" s="2">
        <v>35821.75</v>
      </c>
      <c r="D14" s="2">
        <v>1642.71</v>
      </c>
      <c r="E14" s="2">
        <v>35821.75</v>
      </c>
      <c r="F14" s="2">
        <v>1641.2</v>
      </c>
      <c r="G14" s="2">
        <v>41224.84</v>
      </c>
      <c r="H14" s="2">
        <v>-1</v>
      </c>
      <c r="I14" s="2">
        <v>0</v>
      </c>
    </row>
    <row r="15" spans="1:9">
      <c r="A15" s="2" t="s">
        <v>22</v>
      </c>
      <c r="B15" s="2">
        <v>1636.31</v>
      </c>
      <c r="C15" s="2">
        <v>34091.95</v>
      </c>
      <c r="D15" s="2">
        <v>1636.41</v>
      </c>
      <c r="E15" s="2">
        <v>34091.95</v>
      </c>
      <c r="F15" s="2">
        <v>1633.95</v>
      </c>
      <c r="G15" s="2">
        <v>39140.39</v>
      </c>
      <c r="H15" s="2">
        <v>-1</v>
      </c>
      <c r="I15" s="2">
        <v>0</v>
      </c>
    </row>
    <row r="16" spans="1:9">
      <c r="A16" s="2" t="s">
        <v>23</v>
      </c>
      <c r="B16" s="2">
        <v>1604.09</v>
      </c>
      <c r="C16" s="2">
        <v>34785.93</v>
      </c>
      <c r="D16" s="2">
        <v>1604.21</v>
      </c>
      <c r="E16" s="2">
        <v>34785.93</v>
      </c>
      <c r="F16" s="2">
        <v>1602.48</v>
      </c>
      <c r="G16" s="2">
        <v>39664.28</v>
      </c>
      <c r="H16" s="2">
        <v>-1</v>
      </c>
      <c r="I16" s="2">
        <v>0</v>
      </c>
    </row>
    <row r="17" spans="1:9">
      <c r="A17" s="2" t="s">
        <v>24</v>
      </c>
      <c r="B17" s="2">
        <v>1612.86</v>
      </c>
      <c r="C17" s="2">
        <v>34009.93</v>
      </c>
      <c r="D17" s="2">
        <v>1612.67</v>
      </c>
      <c r="E17" s="2">
        <v>34009.93</v>
      </c>
      <c r="F17" s="2">
        <v>1611.27</v>
      </c>
      <c r="G17" s="2">
        <v>39174.06</v>
      </c>
      <c r="H17" s="2">
        <v>-1</v>
      </c>
      <c r="I17" s="2">
        <v>0</v>
      </c>
    </row>
    <row r="18" spans="1:9">
      <c r="A18" s="2" t="s">
        <v>25</v>
      </c>
      <c r="B18" s="2">
        <v>1589.61</v>
      </c>
      <c r="C18" s="2">
        <v>33118.73</v>
      </c>
      <c r="D18" s="2">
        <v>1589.35</v>
      </c>
      <c r="E18" s="2">
        <v>33118.73</v>
      </c>
      <c r="F18" s="2">
        <v>1587.77</v>
      </c>
      <c r="G18" s="2">
        <v>38048.82</v>
      </c>
      <c r="H18" s="2">
        <v>-1</v>
      </c>
      <c r="I18" s="2">
        <v>0</v>
      </c>
    </row>
    <row r="19" spans="1:9">
      <c r="A19" s="2" t="s">
        <v>26</v>
      </c>
      <c r="B19" s="2">
        <v>1684.91</v>
      </c>
      <c r="C19" s="2">
        <v>34581.82</v>
      </c>
      <c r="D19" s="2">
        <v>1684.87</v>
      </c>
      <c r="E19" s="2">
        <v>34581.82</v>
      </c>
      <c r="F19" s="2">
        <v>1683.38</v>
      </c>
      <c r="G19" s="2">
        <v>40028.55</v>
      </c>
      <c r="H19" s="2">
        <v>-1</v>
      </c>
      <c r="I19" s="2">
        <v>0</v>
      </c>
    </row>
    <row r="20" spans="1:9">
      <c r="A20" s="2" t="s">
        <v>27</v>
      </c>
      <c r="B20" s="2">
        <v>1557.54</v>
      </c>
      <c r="C20" s="2">
        <v>31568.41</v>
      </c>
      <c r="D20" s="2">
        <v>1557.25</v>
      </c>
      <c r="E20" s="2">
        <v>31568.41</v>
      </c>
      <c r="F20" s="2">
        <v>1555.58</v>
      </c>
      <c r="G20" s="2">
        <v>36500.4</v>
      </c>
      <c r="H20" s="2">
        <v>-1</v>
      </c>
      <c r="I20" s="2">
        <v>0</v>
      </c>
    </row>
    <row r="21" spans="1:9">
      <c r="A21" s="2" t="s">
        <v>28</v>
      </c>
      <c r="B21" s="2">
        <v>1626.02</v>
      </c>
      <c r="C21" s="2">
        <v>33834.27</v>
      </c>
      <c r="D21" s="2">
        <v>1626.07</v>
      </c>
      <c r="E21" s="2">
        <v>33834.27</v>
      </c>
      <c r="F21" s="2">
        <v>1624.1</v>
      </c>
      <c r="G21" s="2">
        <v>39034.94</v>
      </c>
      <c r="H21" s="2">
        <v>-1</v>
      </c>
      <c r="I21" s="2">
        <v>0</v>
      </c>
    </row>
    <row r="23" spans="1:28">
      <c r="A23" s="3" t="s">
        <v>29</v>
      </c>
      <c r="B23" s="3" t="s">
        <v>30</v>
      </c>
      <c r="C23" s="3" t="s">
        <v>31</v>
      </c>
      <c r="D23" s="4" t="s">
        <v>32</v>
      </c>
      <c r="E23" s="3" t="s">
        <v>33</v>
      </c>
      <c r="F23" s="3" t="s">
        <v>34</v>
      </c>
      <c r="G23" s="3" t="s">
        <v>35</v>
      </c>
      <c r="H23" s="4" t="s">
        <v>36</v>
      </c>
      <c r="I23" s="3" t="s">
        <v>37</v>
      </c>
      <c r="J23" s="3" t="s">
        <v>38</v>
      </c>
      <c r="K23" s="3" t="s">
        <v>39</v>
      </c>
      <c r="L23" s="4" t="s">
        <v>40</v>
      </c>
      <c r="M23" s="3" t="s">
        <v>41</v>
      </c>
      <c r="N23" s="3" t="s">
        <v>42</v>
      </c>
      <c r="O23" s="3" t="s">
        <v>43</v>
      </c>
      <c r="P23" s="4" t="s">
        <v>44</v>
      </c>
      <c r="Q23" s="3" t="s">
        <v>45</v>
      </c>
      <c r="R23" s="3" t="s">
        <v>46</v>
      </c>
      <c r="S23" s="3" t="s">
        <v>47</v>
      </c>
      <c r="T23" s="4" t="s">
        <v>48</v>
      </c>
      <c r="U23" s="3" t="s">
        <v>49</v>
      </c>
      <c r="V23" s="3" t="s">
        <v>50</v>
      </c>
      <c r="W23" s="3" t="s">
        <v>51</v>
      </c>
      <c r="X23" s="4" t="s">
        <v>52</v>
      </c>
      <c r="Y23" s="4" t="s">
        <v>53</v>
      </c>
      <c r="Z23" s="4" t="s">
        <v>54</v>
      </c>
      <c r="AA23" s="4" t="s">
        <v>55</v>
      </c>
      <c r="AB23" s="4" t="s">
        <v>56</v>
      </c>
    </row>
    <row r="24" spans="1:28">
      <c r="A24" s="5">
        <f>IFERROR(AVERAGEIF($B$2:$B$21,"&lt;1500"),0)</f>
        <v>0</v>
      </c>
      <c r="B24" s="5">
        <f>IFERROR(AVERAGEIF($D$2:$D$21,"&lt;1500"),0)</f>
        <v>0</v>
      </c>
      <c r="C24" s="5">
        <f>IFERROR(AVERAGEIF($F$2:$F$21,"&lt;1500"),0)</f>
        <v>0</v>
      </c>
      <c r="D24" s="5">
        <f>IFERROR(AVERAGEIF($H$2:$H$21,"&lt;&gt;-1"),0)</f>
        <v>0</v>
      </c>
      <c r="E24" s="5">
        <f>IFERROR(AVERAGEIFS($C$2:$C$21,$B$2:$B$21,"&lt;1500"),0)</f>
        <v>0</v>
      </c>
      <c r="F24" s="5">
        <f>IFERROR(AVERAGEIFS($E$2:$E$21,$D$2:$D$21,"&lt;1500"),0)</f>
        <v>0</v>
      </c>
      <c r="G24" s="5">
        <f>IFERROR(AVERAGEIFS($G$2:$G$21,$F$2:$F$21,"&lt;1500"),0)</f>
        <v>0</v>
      </c>
      <c r="H24" s="5">
        <f>IFERROR(AVERAGEIFS($I$2:$I$21,$H$2:$H$21,"&lt;&gt; -1"),0)</f>
        <v>0</v>
      </c>
      <c r="I24" s="5">
        <f>_xlfn.MAXIFS($B$2:$B$21,$B$2:$B$21,"&lt; 1500")</f>
        <v>0</v>
      </c>
      <c r="J24" s="5">
        <f>_xlfn.MAXIFS($D$2:$D$21,$D$2:$D$21,"&lt; 1500")</f>
        <v>0</v>
      </c>
      <c r="K24" s="5">
        <f>_xlfn.MAXIFS($F$2:$F$21,$F$2:$F$21,"&lt; 1500")</f>
        <v>0</v>
      </c>
      <c r="L24" s="5">
        <f>_xlfn.MAXIFS($H$2:$H$21,$H$2:$H$21,"&lt;&gt; -1")</f>
        <v>0</v>
      </c>
      <c r="M24" s="5">
        <f>_xlfn.MINIFS($B$2:$B$21,$B$2:$B$21,"&lt;1500")</f>
        <v>0</v>
      </c>
      <c r="N24" s="5">
        <f>_xlfn.MINIFS($D$2:$D$21,$D$2:$D$21,"&lt;1500")</f>
        <v>0</v>
      </c>
      <c r="O24" s="5">
        <f>_xlfn.MINIFS($F$2:$F$21,$F$2:$F$21,"&lt;1500")</f>
        <v>0</v>
      </c>
      <c r="P24" s="5">
        <f>_xlfn.MINIFS($H$2:$H$21,$H$2:$H$21,"&lt;&gt; -1")</f>
        <v>0</v>
      </c>
      <c r="Q24" s="5">
        <f>_xlfn.MAXIFS($C$2:$C$21,$B$2:$B$21,"&lt; 1500")</f>
        <v>0</v>
      </c>
      <c r="R24" s="5">
        <f>_xlfn.MAXIFS($E$2:$E$21,D2:D21,"&lt; 1500")</f>
        <v>0</v>
      </c>
      <c r="S24" s="5">
        <f>_xlfn.MAXIFS($G$2:$G$21,$F$2:$F$21,"&lt; 1500")</f>
        <v>0</v>
      </c>
      <c r="T24" s="5">
        <f>_xlfn.MAXIFS($I$2:$I$21,$H$2:$H$21,"&lt;&gt; -1")</f>
        <v>0</v>
      </c>
      <c r="U24" s="5">
        <f>_xlfn.MINIFS($C$2:$C$21,$B$2:$B$21,"&lt;1500")</f>
        <v>0</v>
      </c>
      <c r="V24" s="5">
        <f>_xlfn.MINIFS($E$2:$E$21,$D$2:$D$21,"&lt;1500")</f>
        <v>0</v>
      </c>
      <c r="W24" s="5">
        <f>_xlfn.MINIFS($G$2:$G$21,$F$2:$F$21,"&lt;1500")</f>
        <v>0</v>
      </c>
      <c r="X24" s="5">
        <f>_xlfn.MINIFS($I$2:$I$21,$H$2:$H$21,"&lt;&gt; -1")</f>
        <v>0</v>
      </c>
      <c r="Y24" s="5">
        <f>(COUNTIFS($B$2:$B$21,"&gt;0.0",$B$2:$B$21,"&lt;1500.0"))/20</f>
        <v>0</v>
      </c>
      <c r="Z24" s="5">
        <f>(COUNTIFS($D$2:$D$21,"&gt;0.0",$D$2:$D$21,"&lt;1500.0"))/20</f>
        <v>0</v>
      </c>
      <c r="AA24" s="5">
        <f>(COUNTIFS($F$2:$F$21,"&gt;0.0",$F$2:$F$21,"&lt;1500.0"))/20</f>
        <v>0</v>
      </c>
      <c r="AB24" s="5">
        <f>(COUNTIFS($H$2:$H$21,"&gt;0.0",$H$2:$H$21,"&lt;1500.0"))/20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workbookViewId="0">
      <selection activeCell="A25" sqref="$A25:$XFD25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1787.33</v>
      </c>
      <c r="C2" s="2">
        <v>32259.84</v>
      </c>
      <c r="D2" s="2">
        <v>1787.25</v>
      </c>
      <c r="E2" s="2">
        <v>32259.84</v>
      </c>
      <c r="F2" s="2">
        <v>1785.44</v>
      </c>
      <c r="G2" s="2">
        <v>37480.29</v>
      </c>
      <c r="H2" s="2">
        <v>-1</v>
      </c>
      <c r="I2" s="2">
        <v>0</v>
      </c>
    </row>
    <row r="3" spans="1:9">
      <c r="A3" s="2" t="s">
        <v>10</v>
      </c>
      <c r="B3" s="2">
        <v>1793.92</v>
      </c>
      <c r="C3" s="2">
        <v>32378.96</v>
      </c>
      <c r="D3" s="2">
        <v>1793.73</v>
      </c>
      <c r="E3" s="2">
        <v>32378.96</v>
      </c>
      <c r="F3" s="2">
        <v>1792.21</v>
      </c>
      <c r="G3" s="2">
        <v>37265.15</v>
      </c>
      <c r="H3" s="2">
        <v>-1</v>
      </c>
      <c r="I3" s="2">
        <v>0</v>
      </c>
    </row>
    <row r="4" spans="1:9">
      <c r="A4" s="2" t="s">
        <v>11</v>
      </c>
      <c r="B4" s="2">
        <v>1769.44</v>
      </c>
      <c r="C4" s="2">
        <v>32180.07</v>
      </c>
      <c r="D4" s="2">
        <v>1769.37</v>
      </c>
      <c r="E4" s="2">
        <v>32180.07</v>
      </c>
      <c r="F4" s="2">
        <v>1767.7</v>
      </c>
      <c r="G4" s="2">
        <v>37184.48</v>
      </c>
      <c r="H4" s="2">
        <v>-1</v>
      </c>
      <c r="I4" s="2">
        <v>0</v>
      </c>
    </row>
    <row r="5" spans="1:9">
      <c r="A5" s="2" t="s">
        <v>12</v>
      </c>
      <c r="B5" s="2">
        <v>1821.48</v>
      </c>
      <c r="C5" s="2">
        <v>34365.94</v>
      </c>
      <c r="D5" s="2">
        <v>1821.55</v>
      </c>
      <c r="E5" s="2">
        <v>34365.94</v>
      </c>
      <c r="F5" s="2">
        <v>1819.88</v>
      </c>
      <c r="G5" s="2">
        <v>39719.22</v>
      </c>
      <c r="H5" s="2">
        <v>-1</v>
      </c>
      <c r="I5" s="2">
        <v>0</v>
      </c>
    </row>
    <row r="6" spans="1:9">
      <c r="A6" s="2" t="s">
        <v>13</v>
      </c>
      <c r="B6" s="2">
        <v>1821.45</v>
      </c>
      <c r="C6" s="2">
        <v>33302.12</v>
      </c>
      <c r="D6" s="2">
        <v>1821.4</v>
      </c>
      <c r="E6" s="2">
        <v>33302.12</v>
      </c>
      <c r="F6" s="2">
        <v>1819.56</v>
      </c>
      <c r="G6" s="2">
        <v>38587.44</v>
      </c>
      <c r="H6" s="2">
        <v>-1</v>
      </c>
      <c r="I6" s="2">
        <v>0</v>
      </c>
    </row>
    <row r="7" spans="1:9">
      <c r="A7" s="2" t="s">
        <v>14</v>
      </c>
      <c r="B7" s="2">
        <v>1879.63</v>
      </c>
      <c r="C7" s="2">
        <v>33816.61</v>
      </c>
      <c r="D7" s="2">
        <v>1879.58</v>
      </c>
      <c r="E7" s="2">
        <v>33816.61</v>
      </c>
      <c r="F7" s="2">
        <v>1877.92</v>
      </c>
      <c r="G7" s="2">
        <v>38780.63</v>
      </c>
      <c r="H7" s="2">
        <v>-1</v>
      </c>
      <c r="I7" s="2">
        <v>0</v>
      </c>
    </row>
    <row r="8" spans="1:9">
      <c r="A8" s="2" t="s">
        <v>15</v>
      </c>
      <c r="B8" s="2">
        <v>1824.02</v>
      </c>
      <c r="C8" s="2">
        <v>33713.74</v>
      </c>
      <c r="D8" s="2">
        <v>1823.88</v>
      </c>
      <c r="E8" s="2">
        <v>33713.74</v>
      </c>
      <c r="F8" s="2">
        <v>1822.6</v>
      </c>
      <c r="G8" s="2">
        <v>38907.84</v>
      </c>
      <c r="H8" s="2">
        <v>-1</v>
      </c>
      <c r="I8" s="2">
        <v>0</v>
      </c>
    </row>
    <row r="9" spans="1:9">
      <c r="A9" s="2" t="s">
        <v>16</v>
      </c>
      <c r="B9" s="2">
        <v>1928.54</v>
      </c>
      <c r="C9" s="2">
        <v>33545.05</v>
      </c>
      <c r="D9" s="2">
        <v>1928.63</v>
      </c>
      <c r="E9" s="2">
        <v>33545.05</v>
      </c>
      <c r="F9" s="2">
        <v>1926.85</v>
      </c>
      <c r="G9" s="2">
        <v>38551.38</v>
      </c>
      <c r="H9" s="2">
        <v>-1</v>
      </c>
      <c r="I9" s="2">
        <v>0</v>
      </c>
    </row>
    <row r="10" spans="1:9">
      <c r="A10" s="2" t="s">
        <v>17</v>
      </c>
      <c r="B10" s="2">
        <v>1875.33</v>
      </c>
      <c r="C10" s="2">
        <v>33167</v>
      </c>
      <c r="D10" s="2">
        <v>1875.26</v>
      </c>
      <c r="E10" s="2">
        <v>33167</v>
      </c>
      <c r="F10" s="2">
        <v>1873.56</v>
      </c>
      <c r="G10" s="2">
        <v>38561.09</v>
      </c>
      <c r="H10" s="2">
        <v>-1</v>
      </c>
      <c r="I10" s="2">
        <v>0</v>
      </c>
    </row>
    <row r="11" spans="1:9">
      <c r="A11" s="2" t="s">
        <v>18</v>
      </c>
      <c r="B11" s="2">
        <v>1878.59</v>
      </c>
      <c r="C11" s="2">
        <v>32864.59</v>
      </c>
      <c r="D11" s="2">
        <v>1878.79</v>
      </c>
      <c r="E11" s="2">
        <v>32864.59</v>
      </c>
      <c r="F11" s="2">
        <v>1876.67</v>
      </c>
      <c r="G11" s="2">
        <v>38041.07</v>
      </c>
      <c r="H11" s="2">
        <v>-1</v>
      </c>
      <c r="I11" s="2">
        <v>0</v>
      </c>
    </row>
    <row r="12" spans="1:9">
      <c r="A12" s="2" t="s">
        <v>19</v>
      </c>
      <c r="B12" s="2">
        <v>1817.22</v>
      </c>
      <c r="C12" s="2">
        <v>32446.11</v>
      </c>
      <c r="D12" s="2">
        <v>1815.63</v>
      </c>
      <c r="E12" s="2">
        <v>32446.11</v>
      </c>
      <c r="F12" s="2">
        <v>1813.08</v>
      </c>
      <c r="G12" s="2">
        <v>37273.5</v>
      </c>
      <c r="H12" s="2">
        <v>-1</v>
      </c>
      <c r="I12" s="2">
        <v>0</v>
      </c>
    </row>
    <row r="13" spans="1:9">
      <c r="A13" s="2" t="s">
        <v>20</v>
      </c>
      <c r="B13" s="2">
        <v>1904.14</v>
      </c>
      <c r="C13" s="2">
        <v>32730.83</v>
      </c>
      <c r="D13" s="2">
        <v>1904.1</v>
      </c>
      <c r="E13" s="2">
        <v>32730.83</v>
      </c>
      <c r="F13" s="2">
        <v>1901.97</v>
      </c>
      <c r="G13" s="2">
        <v>37785.99</v>
      </c>
      <c r="H13" s="2">
        <v>-1</v>
      </c>
      <c r="I13" s="2">
        <v>0</v>
      </c>
    </row>
    <row r="14" spans="1:9">
      <c r="A14" s="2" t="s">
        <v>21</v>
      </c>
      <c r="B14" s="2">
        <v>2011.14</v>
      </c>
      <c r="C14" s="2">
        <v>34209.43</v>
      </c>
      <c r="D14" s="2">
        <v>2011.3</v>
      </c>
      <c r="E14" s="2">
        <v>34209.43</v>
      </c>
      <c r="F14" s="2">
        <v>2005.86</v>
      </c>
      <c r="G14" s="2">
        <v>39540.46</v>
      </c>
      <c r="H14" s="2">
        <v>-1</v>
      </c>
      <c r="I14" s="2">
        <v>0</v>
      </c>
    </row>
    <row r="15" spans="1:9">
      <c r="A15" s="2" t="s">
        <v>22</v>
      </c>
      <c r="B15" s="2">
        <v>1884.07</v>
      </c>
      <c r="C15" s="2">
        <v>33717.24</v>
      </c>
      <c r="D15" s="2">
        <v>1883.98</v>
      </c>
      <c r="E15" s="2">
        <v>33717.24</v>
      </c>
      <c r="F15" s="2">
        <v>1882.55</v>
      </c>
      <c r="G15" s="2">
        <v>39032.87</v>
      </c>
      <c r="H15" s="2">
        <v>-1</v>
      </c>
      <c r="I15" s="2">
        <v>0</v>
      </c>
    </row>
    <row r="16" spans="1:9">
      <c r="A16" s="2" t="s">
        <v>23</v>
      </c>
      <c r="B16" s="2">
        <v>1974.75</v>
      </c>
      <c r="C16" s="2">
        <v>33102.47</v>
      </c>
      <c r="D16" s="2">
        <v>1974.6</v>
      </c>
      <c r="E16" s="2">
        <v>33102.47</v>
      </c>
      <c r="F16" s="2">
        <v>1972.64</v>
      </c>
      <c r="G16" s="2">
        <v>37963.11</v>
      </c>
      <c r="H16" s="2">
        <v>-1</v>
      </c>
      <c r="I16" s="2">
        <v>0</v>
      </c>
    </row>
    <row r="17" spans="1:9">
      <c r="A17" s="2" t="s">
        <v>24</v>
      </c>
      <c r="B17" s="2">
        <v>1984.85</v>
      </c>
      <c r="C17" s="2">
        <v>33784.79</v>
      </c>
      <c r="D17" s="2">
        <v>1984.87</v>
      </c>
      <c r="E17" s="2">
        <v>33784.79</v>
      </c>
      <c r="F17" s="2">
        <v>1983.47</v>
      </c>
      <c r="G17" s="2">
        <v>38820.9</v>
      </c>
      <c r="H17" s="2">
        <v>-1</v>
      </c>
      <c r="I17" s="2">
        <v>0</v>
      </c>
    </row>
    <row r="18" spans="1:9">
      <c r="A18" s="2" t="s">
        <v>25</v>
      </c>
      <c r="B18" s="2">
        <v>1930.15</v>
      </c>
      <c r="C18" s="2">
        <v>32938.65</v>
      </c>
      <c r="D18" s="2">
        <v>1930.26</v>
      </c>
      <c r="E18" s="2">
        <v>32938.65</v>
      </c>
      <c r="F18" s="2">
        <v>1928.86</v>
      </c>
      <c r="G18" s="2">
        <v>37918.71</v>
      </c>
      <c r="H18" s="2">
        <v>-1</v>
      </c>
      <c r="I18" s="2">
        <v>0</v>
      </c>
    </row>
    <row r="19" spans="1:9">
      <c r="A19" s="2" t="s">
        <v>26</v>
      </c>
      <c r="B19" s="2">
        <v>4762.5</v>
      </c>
      <c r="C19" s="2">
        <v>35161.96</v>
      </c>
      <c r="D19" s="2">
        <v>4762.49</v>
      </c>
      <c r="E19" s="2">
        <v>35161.96</v>
      </c>
      <c r="F19" s="2">
        <v>4760.31</v>
      </c>
      <c r="G19" s="2">
        <v>40670.6</v>
      </c>
      <c r="H19" s="2">
        <v>-1</v>
      </c>
      <c r="I19" s="2">
        <v>0</v>
      </c>
    </row>
    <row r="20" spans="1:9">
      <c r="A20" s="2" t="s">
        <v>27</v>
      </c>
      <c r="B20" s="2">
        <v>1804.12</v>
      </c>
      <c r="C20" s="2">
        <v>33689.49</v>
      </c>
      <c r="D20" s="2">
        <v>1803.9</v>
      </c>
      <c r="E20" s="2">
        <v>33689.49</v>
      </c>
      <c r="F20" s="2">
        <v>1802.09</v>
      </c>
      <c r="G20" s="2">
        <v>38959.16</v>
      </c>
      <c r="H20" s="2">
        <v>-1</v>
      </c>
      <c r="I20" s="2">
        <v>0</v>
      </c>
    </row>
    <row r="21" spans="1:9">
      <c r="A21" s="2" t="s">
        <v>28</v>
      </c>
      <c r="B21" s="2">
        <v>1857.83</v>
      </c>
      <c r="C21" s="2">
        <v>35833.98</v>
      </c>
      <c r="D21" s="2">
        <v>1857.48</v>
      </c>
      <c r="E21" s="2">
        <v>35833.98</v>
      </c>
      <c r="F21" s="2">
        <v>1855.52</v>
      </c>
      <c r="G21" s="2">
        <v>41328.96</v>
      </c>
      <c r="H21" s="2">
        <v>-1</v>
      </c>
      <c r="I21" s="2">
        <v>0</v>
      </c>
    </row>
    <row r="24" spans="1:28">
      <c r="A24" s="3" t="s">
        <v>29</v>
      </c>
      <c r="B24" s="3" t="s">
        <v>30</v>
      </c>
      <c r="C24" s="3" t="s">
        <v>31</v>
      </c>
      <c r="D24" s="4" t="s">
        <v>32</v>
      </c>
      <c r="E24" s="3" t="s">
        <v>33</v>
      </c>
      <c r="F24" s="3" t="s">
        <v>34</v>
      </c>
      <c r="G24" s="3" t="s">
        <v>35</v>
      </c>
      <c r="H24" s="4" t="s">
        <v>36</v>
      </c>
      <c r="I24" s="3" t="s">
        <v>37</v>
      </c>
      <c r="J24" s="3" t="s">
        <v>38</v>
      </c>
      <c r="K24" s="3" t="s">
        <v>39</v>
      </c>
      <c r="L24" s="4" t="s">
        <v>40</v>
      </c>
      <c r="M24" s="3" t="s">
        <v>41</v>
      </c>
      <c r="N24" s="3" t="s">
        <v>42</v>
      </c>
      <c r="O24" s="3" t="s">
        <v>43</v>
      </c>
      <c r="P24" s="4" t="s">
        <v>44</v>
      </c>
      <c r="Q24" s="3" t="s">
        <v>45</v>
      </c>
      <c r="R24" s="3" t="s">
        <v>46</v>
      </c>
      <c r="S24" s="3" t="s">
        <v>47</v>
      </c>
      <c r="T24" s="4" t="s">
        <v>48</v>
      </c>
      <c r="U24" s="3" t="s">
        <v>49</v>
      </c>
      <c r="V24" s="3" t="s">
        <v>50</v>
      </c>
      <c r="W24" s="3" t="s">
        <v>51</v>
      </c>
      <c r="X24" s="4" t="s">
        <v>52</v>
      </c>
      <c r="Y24" s="4" t="s">
        <v>53</v>
      </c>
      <c r="Z24" s="4" t="s">
        <v>54</v>
      </c>
      <c r="AA24" s="4" t="s">
        <v>55</v>
      </c>
      <c r="AB24" s="4" t="s">
        <v>56</v>
      </c>
    </row>
    <row r="25" spans="1:28">
      <c r="A25" s="5">
        <f>IFERROR(AVERAGEIF($B$2:$B$21,"&lt;1500"),0)</f>
        <v>0</v>
      </c>
      <c r="B25" s="5">
        <f>IFERROR(AVERAGEIF($D$2:$D$21,"&lt;1500"),0)</f>
        <v>0</v>
      </c>
      <c r="C25" s="5">
        <f>IFERROR(AVERAGEIF($F$2:$F$21,"&lt;1500"),0)</f>
        <v>0</v>
      </c>
      <c r="D25" s="5">
        <f>IFERROR(AVERAGEIF($H$2:$H$21,"&lt;&gt;-1"),0)</f>
        <v>0</v>
      </c>
      <c r="E25" s="5">
        <f>IFERROR(AVERAGEIFS($C$2:$C$21,$B$2:$B$21,"&lt;1500"),0)</f>
        <v>0</v>
      </c>
      <c r="F25" s="5">
        <f>IFERROR(AVERAGEIFS($E$2:$E$21,$D$2:$D$21,"&lt;1500"),0)</f>
        <v>0</v>
      </c>
      <c r="G25" s="5">
        <f>IFERROR(AVERAGEIFS($G$2:$G$21,$F$2:$F$21,"&lt;1500"),0)</f>
        <v>0</v>
      </c>
      <c r="H25" s="5">
        <f>IFERROR(AVERAGEIFS($I$2:$I$21,$H$2:$H$21,"&lt;&gt; -1"),0)</f>
        <v>0</v>
      </c>
      <c r="I25" s="5">
        <f>_xlfn.MAXIFS($B$2:$B$21,$B$2:$B$21,"&lt; 1500")</f>
        <v>0</v>
      </c>
      <c r="J25" s="5">
        <f>_xlfn.MAXIFS($D$2:$D$21,$D$2:$D$21,"&lt; 1500")</f>
        <v>0</v>
      </c>
      <c r="K25" s="5">
        <f>_xlfn.MAXIFS($F$2:$F$21,$F$2:$F$21,"&lt; 1500")</f>
        <v>0</v>
      </c>
      <c r="L25" s="5">
        <f>_xlfn.MAXIFS($H$2:$H$21,$H$2:$H$21,"&lt;&gt; -1")</f>
        <v>0</v>
      </c>
      <c r="M25" s="5">
        <f>_xlfn.MINIFS($B$2:$B$21,$B$2:$B$21,"&lt;1500")</f>
        <v>0</v>
      </c>
      <c r="N25" s="5">
        <f>_xlfn.MINIFS($D$2:$D$21,$D$2:$D$21,"&lt;1500")</f>
        <v>0</v>
      </c>
      <c r="O25" s="5">
        <f>_xlfn.MINIFS($F$2:$F$21,$F$2:$F$21,"&lt;1500")</f>
        <v>0</v>
      </c>
      <c r="P25" s="5">
        <f>_xlfn.MINIFS($H$2:$H$21,$H$2:$H$21,"&lt;&gt; -1")</f>
        <v>0</v>
      </c>
      <c r="Q25" s="5">
        <f>_xlfn.MAXIFS($C$2:$C$21,$B$2:$B$21,"&lt; 1500")</f>
        <v>0</v>
      </c>
      <c r="R25" s="5">
        <f>_xlfn.MAXIFS($E$2:$E$21,D3:D22,"&lt; 1500")</f>
        <v>0</v>
      </c>
      <c r="S25" s="5">
        <f>_xlfn.MAXIFS($G$2:$G$21,$F$2:$F$21,"&lt; 1500")</f>
        <v>0</v>
      </c>
      <c r="T25" s="5">
        <f>_xlfn.MAXIFS($I$2:$I$21,$H$2:$H$21,"&lt;&gt; -1")</f>
        <v>0</v>
      </c>
      <c r="U25" s="5">
        <f>_xlfn.MINIFS($C$2:$C$21,$B$2:$B$21,"&lt;1500")</f>
        <v>0</v>
      </c>
      <c r="V25" s="5">
        <f>_xlfn.MINIFS($E$2:$E$21,$D$2:$D$21,"&lt;1500")</f>
        <v>0</v>
      </c>
      <c r="W25" s="5">
        <f>_xlfn.MINIFS($G$2:$G$21,$F$2:$F$21,"&lt;1500")</f>
        <v>0</v>
      </c>
      <c r="X25" s="5">
        <f>_xlfn.MINIFS($I$2:$I$21,$H$2:$H$21,"&lt;&gt; -1")</f>
        <v>0</v>
      </c>
      <c r="Y25" s="5">
        <f>(COUNTIFS($B$2:$B$21,"&gt;0.0",$B$2:$B$21,"&lt;1500.0"))/20</f>
        <v>0</v>
      </c>
      <c r="Z25" s="5">
        <f>(COUNTIFS($D$2:$D$21,"&gt;0.0",$D$2:$D$21,"&lt;1500.0"))/20</f>
        <v>0</v>
      </c>
      <c r="AA25" s="5">
        <f>(COUNTIFS($F$2:$F$21,"&gt;0.0",$F$2:$F$21,"&lt;1500.0"))/20</f>
        <v>0</v>
      </c>
      <c r="AB25" s="5">
        <f>(COUNTIFS($H$2:$H$21,"&gt;0.0",$H$2:$H$21,"&lt;1500.0"))/20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2190.8</v>
      </c>
      <c r="C2" s="2">
        <v>32712.9</v>
      </c>
      <c r="D2" s="2">
        <v>2192.21</v>
      </c>
      <c r="E2" s="2">
        <v>32712.9</v>
      </c>
      <c r="F2" s="2">
        <v>2190.46</v>
      </c>
      <c r="G2" s="2">
        <v>37675.68</v>
      </c>
      <c r="H2" s="2">
        <v>-1</v>
      </c>
      <c r="I2" s="2">
        <v>0</v>
      </c>
    </row>
    <row r="3" spans="1:9">
      <c r="A3" s="2" t="s">
        <v>10</v>
      </c>
      <c r="B3" s="2">
        <v>2078.32</v>
      </c>
      <c r="C3" s="2">
        <v>32860.48</v>
      </c>
      <c r="D3" s="2">
        <v>2078.14</v>
      </c>
      <c r="E3" s="2">
        <v>32860.48</v>
      </c>
      <c r="F3" s="2">
        <v>2075.6</v>
      </c>
      <c r="G3" s="2">
        <v>37621.69</v>
      </c>
      <c r="H3" s="2">
        <v>-1</v>
      </c>
      <c r="I3" s="2">
        <v>0</v>
      </c>
    </row>
    <row r="4" spans="1:9">
      <c r="A4" s="2" t="s">
        <v>11</v>
      </c>
      <c r="B4" s="2">
        <v>2086.11</v>
      </c>
      <c r="C4" s="2">
        <v>31995.89</v>
      </c>
      <c r="D4" s="2">
        <v>2087.34</v>
      </c>
      <c r="E4" s="2">
        <v>31995.89</v>
      </c>
      <c r="F4" s="2">
        <v>2085.22</v>
      </c>
      <c r="G4" s="2">
        <v>36977.36</v>
      </c>
      <c r="H4" s="2">
        <v>-1</v>
      </c>
      <c r="I4" s="2">
        <v>0</v>
      </c>
    </row>
    <row r="5" spans="1:9">
      <c r="A5" s="2" t="s">
        <v>12</v>
      </c>
      <c r="B5" s="2">
        <v>2340.22</v>
      </c>
      <c r="C5" s="2">
        <v>34871.06</v>
      </c>
      <c r="D5" s="2">
        <v>2339.97</v>
      </c>
      <c r="E5" s="2">
        <v>34871.06</v>
      </c>
      <c r="F5" s="2">
        <v>2337.33</v>
      </c>
      <c r="G5" s="2">
        <v>40261.94</v>
      </c>
      <c r="H5" s="2">
        <v>-1</v>
      </c>
      <c r="I5" s="2">
        <v>0</v>
      </c>
    </row>
    <row r="6" spans="1:9">
      <c r="A6" s="2" t="s">
        <v>13</v>
      </c>
      <c r="B6" s="2">
        <v>2514.18</v>
      </c>
      <c r="C6" s="2">
        <v>32983.79</v>
      </c>
      <c r="D6" s="2">
        <v>2513.76</v>
      </c>
      <c r="E6" s="2">
        <v>32983.79</v>
      </c>
      <c r="F6" s="2">
        <v>2510.03</v>
      </c>
      <c r="G6" s="2">
        <v>38004.67</v>
      </c>
      <c r="H6" s="2">
        <v>-1</v>
      </c>
      <c r="I6" s="2">
        <v>0</v>
      </c>
    </row>
    <row r="7" spans="1:9">
      <c r="A7" s="2" t="s">
        <v>14</v>
      </c>
      <c r="B7" s="2">
        <v>2884.98</v>
      </c>
      <c r="C7" s="2">
        <v>33083.48</v>
      </c>
      <c r="D7" s="2">
        <v>2884.68</v>
      </c>
      <c r="E7" s="2">
        <v>33083.48</v>
      </c>
      <c r="F7" s="2">
        <v>2882.22</v>
      </c>
      <c r="G7" s="2">
        <v>37896.54</v>
      </c>
      <c r="H7" s="2">
        <v>-1</v>
      </c>
      <c r="I7" s="2">
        <v>0</v>
      </c>
    </row>
    <row r="8" spans="1:9">
      <c r="A8" s="2" t="s">
        <v>15</v>
      </c>
      <c r="B8" s="2">
        <v>2609.92</v>
      </c>
      <c r="C8" s="2">
        <v>32499.2</v>
      </c>
      <c r="D8" s="2">
        <v>2610.65</v>
      </c>
      <c r="E8" s="2">
        <v>32499.2</v>
      </c>
      <c r="F8" s="2">
        <v>2608.5</v>
      </c>
      <c r="G8" s="2">
        <v>37461.78</v>
      </c>
      <c r="H8" s="2">
        <v>-1</v>
      </c>
      <c r="I8" s="2">
        <v>0</v>
      </c>
    </row>
    <row r="9" spans="1:9">
      <c r="A9" s="2" t="s">
        <v>16</v>
      </c>
      <c r="B9" s="2">
        <v>2563.93</v>
      </c>
      <c r="C9" s="2">
        <v>32807.47</v>
      </c>
      <c r="D9" s="2">
        <v>2564</v>
      </c>
      <c r="E9" s="2">
        <v>32807.47</v>
      </c>
      <c r="F9" s="2">
        <v>2560.21</v>
      </c>
      <c r="G9" s="2">
        <v>37812.54</v>
      </c>
      <c r="H9" s="2">
        <v>-1</v>
      </c>
      <c r="I9" s="2">
        <v>0</v>
      </c>
    </row>
    <row r="10" spans="1:9">
      <c r="A10" s="2" t="s">
        <v>17</v>
      </c>
      <c r="B10" s="2">
        <v>2652.41</v>
      </c>
      <c r="C10" s="2">
        <v>34649.07</v>
      </c>
      <c r="D10" s="2">
        <v>2652.48</v>
      </c>
      <c r="E10" s="2">
        <v>34649.07</v>
      </c>
      <c r="F10" s="2">
        <v>2650.1</v>
      </c>
      <c r="G10" s="2">
        <v>40089.31</v>
      </c>
      <c r="H10" s="2">
        <v>-1</v>
      </c>
      <c r="I10" s="2">
        <v>0</v>
      </c>
    </row>
    <row r="11" spans="1:9">
      <c r="A11" s="2" t="s">
        <v>18</v>
      </c>
      <c r="B11" s="2">
        <v>2673.53</v>
      </c>
      <c r="C11" s="2">
        <v>33420.96</v>
      </c>
      <c r="D11" s="2">
        <v>2673.76</v>
      </c>
      <c r="E11" s="2">
        <v>33420.96</v>
      </c>
      <c r="F11" s="2">
        <v>2671.08</v>
      </c>
      <c r="G11" s="2">
        <v>38602.5</v>
      </c>
      <c r="H11" s="2">
        <v>-1</v>
      </c>
      <c r="I11" s="2">
        <v>0</v>
      </c>
    </row>
    <row r="12" spans="1:9">
      <c r="A12" s="2" t="s">
        <v>19</v>
      </c>
      <c r="B12" s="2">
        <v>2514.87</v>
      </c>
      <c r="C12" s="2">
        <v>31280.44</v>
      </c>
      <c r="D12" s="2">
        <v>2514.68</v>
      </c>
      <c r="E12" s="2">
        <v>31280.44</v>
      </c>
      <c r="F12" s="2">
        <v>2511.93</v>
      </c>
      <c r="G12" s="2">
        <v>36034.4</v>
      </c>
      <c r="H12" s="2">
        <v>-1</v>
      </c>
      <c r="I12" s="2">
        <v>0</v>
      </c>
    </row>
    <row r="13" spans="1:9">
      <c r="A13" s="2" t="s">
        <v>20</v>
      </c>
      <c r="B13" s="2">
        <v>2595.2</v>
      </c>
      <c r="C13" s="2">
        <v>32682.14</v>
      </c>
      <c r="D13" s="2">
        <v>2595.24</v>
      </c>
      <c r="E13" s="2">
        <v>32682.14</v>
      </c>
      <c r="F13" s="2">
        <v>2592.33</v>
      </c>
      <c r="G13" s="2">
        <v>37512.15</v>
      </c>
      <c r="H13" s="2">
        <v>-1</v>
      </c>
      <c r="I13" s="2">
        <v>0</v>
      </c>
    </row>
    <row r="14" spans="1:9">
      <c r="A14" s="2" t="s">
        <v>21</v>
      </c>
      <c r="B14" s="2">
        <v>2678.83</v>
      </c>
      <c r="C14" s="2">
        <v>33691.73</v>
      </c>
      <c r="D14" s="2">
        <v>2679.3</v>
      </c>
      <c r="E14" s="2">
        <v>33691.73</v>
      </c>
      <c r="F14" s="2">
        <v>2676.01</v>
      </c>
      <c r="G14" s="2">
        <v>38852.93</v>
      </c>
      <c r="H14" s="2">
        <v>-1</v>
      </c>
      <c r="I14" s="2">
        <v>0</v>
      </c>
    </row>
    <row r="15" spans="1:9">
      <c r="A15" s="2" t="s">
        <v>22</v>
      </c>
      <c r="B15" s="2">
        <v>2607.21</v>
      </c>
      <c r="C15" s="2">
        <v>33241.43</v>
      </c>
      <c r="D15" s="2">
        <v>2607.06</v>
      </c>
      <c r="E15" s="2">
        <v>33241.43</v>
      </c>
      <c r="F15" s="2">
        <v>2602.81</v>
      </c>
      <c r="G15" s="2">
        <v>38242.39</v>
      </c>
      <c r="H15" s="2">
        <v>-1</v>
      </c>
      <c r="I15" s="2">
        <v>0</v>
      </c>
    </row>
    <row r="16" spans="1:9">
      <c r="A16" s="2" t="s">
        <v>23</v>
      </c>
      <c r="B16" s="2">
        <v>2551.58</v>
      </c>
      <c r="C16" s="2">
        <v>33457.62</v>
      </c>
      <c r="D16" s="2">
        <v>2551.38</v>
      </c>
      <c r="E16" s="2">
        <v>33457.62</v>
      </c>
      <c r="F16" s="2">
        <v>2549.43</v>
      </c>
      <c r="G16" s="2">
        <v>38295.68</v>
      </c>
      <c r="H16" s="2">
        <v>-1</v>
      </c>
      <c r="I16" s="2">
        <v>0</v>
      </c>
    </row>
    <row r="17" spans="1:9">
      <c r="A17" s="2" t="s">
        <v>24</v>
      </c>
      <c r="B17" s="2">
        <v>2429.63</v>
      </c>
      <c r="C17" s="2">
        <v>33109.46</v>
      </c>
      <c r="D17" s="2">
        <v>2429.6</v>
      </c>
      <c r="E17" s="2">
        <v>33109.46</v>
      </c>
      <c r="F17" s="2">
        <v>2425.25</v>
      </c>
      <c r="G17" s="2">
        <v>38243</v>
      </c>
      <c r="H17" s="2">
        <v>-1</v>
      </c>
      <c r="I17" s="2">
        <v>0</v>
      </c>
    </row>
    <row r="18" spans="1:9">
      <c r="A18" s="2" t="s">
        <v>25</v>
      </c>
      <c r="B18" s="2">
        <v>2384.17</v>
      </c>
      <c r="C18" s="2">
        <v>31620.46</v>
      </c>
      <c r="D18" s="2">
        <v>2384.22</v>
      </c>
      <c r="E18" s="2">
        <v>31620.46</v>
      </c>
      <c r="F18" s="2">
        <v>2381.68</v>
      </c>
      <c r="G18" s="2">
        <v>36601.88</v>
      </c>
      <c r="H18" s="2">
        <v>-1</v>
      </c>
      <c r="I18" s="2">
        <v>0</v>
      </c>
    </row>
    <row r="19" spans="1:9">
      <c r="A19" s="2" t="s">
        <v>26</v>
      </c>
      <c r="B19" s="2">
        <v>2548.86</v>
      </c>
      <c r="C19" s="2">
        <v>34007</v>
      </c>
      <c r="D19" s="2">
        <v>2548.54</v>
      </c>
      <c r="E19" s="2">
        <v>34007</v>
      </c>
      <c r="F19" s="2">
        <v>2546.03</v>
      </c>
      <c r="G19" s="2">
        <v>39252.88</v>
      </c>
      <c r="H19" s="2">
        <v>-1</v>
      </c>
      <c r="I19" s="2">
        <v>0</v>
      </c>
    </row>
    <row r="20" spans="1:9">
      <c r="A20" s="2" t="s">
        <v>27</v>
      </c>
      <c r="B20" s="2">
        <v>2318.03</v>
      </c>
      <c r="C20" s="2">
        <v>32568.06</v>
      </c>
      <c r="D20" s="2">
        <v>2318.07</v>
      </c>
      <c r="E20" s="2">
        <v>32568.06</v>
      </c>
      <c r="F20" s="2">
        <v>2315.67</v>
      </c>
      <c r="G20" s="2">
        <v>37757.9</v>
      </c>
      <c r="H20" s="2">
        <v>-1</v>
      </c>
      <c r="I20" s="2">
        <v>0</v>
      </c>
    </row>
    <row r="21" spans="1:9">
      <c r="A21" s="2" t="s">
        <v>28</v>
      </c>
      <c r="B21" s="2">
        <v>2424.7</v>
      </c>
      <c r="C21" s="2">
        <v>34151.2</v>
      </c>
      <c r="D21" s="2">
        <v>2424.8</v>
      </c>
      <c r="E21" s="2">
        <v>34151.2</v>
      </c>
      <c r="F21" s="2">
        <v>2421.69</v>
      </c>
      <c r="G21" s="2">
        <v>39225.16</v>
      </c>
      <c r="H21" s="2">
        <v>-1</v>
      </c>
      <c r="I21" s="2">
        <v>0</v>
      </c>
    </row>
    <row r="23" spans="1:28">
      <c r="A23" s="3" t="s">
        <v>29</v>
      </c>
      <c r="B23" s="3" t="s">
        <v>30</v>
      </c>
      <c r="C23" s="3" t="s">
        <v>31</v>
      </c>
      <c r="D23" s="4" t="s">
        <v>32</v>
      </c>
      <c r="E23" s="3" t="s">
        <v>33</v>
      </c>
      <c r="F23" s="3" t="s">
        <v>34</v>
      </c>
      <c r="G23" s="3" t="s">
        <v>35</v>
      </c>
      <c r="H23" s="4" t="s">
        <v>36</v>
      </c>
      <c r="I23" s="3" t="s">
        <v>37</v>
      </c>
      <c r="J23" s="3" t="s">
        <v>38</v>
      </c>
      <c r="K23" s="3" t="s">
        <v>39</v>
      </c>
      <c r="L23" s="4" t="s">
        <v>40</v>
      </c>
      <c r="M23" s="3" t="s">
        <v>41</v>
      </c>
      <c r="N23" s="3" t="s">
        <v>42</v>
      </c>
      <c r="O23" s="3" t="s">
        <v>43</v>
      </c>
      <c r="P23" s="4" t="s">
        <v>44</v>
      </c>
      <c r="Q23" s="3" t="s">
        <v>45</v>
      </c>
      <c r="R23" s="3" t="s">
        <v>46</v>
      </c>
      <c r="S23" s="3" t="s">
        <v>47</v>
      </c>
      <c r="T23" s="4" t="s">
        <v>48</v>
      </c>
      <c r="U23" s="3" t="s">
        <v>49</v>
      </c>
      <c r="V23" s="3" t="s">
        <v>50</v>
      </c>
      <c r="W23" s="3" t="s">
        <v>51</v>
      </c>
      <c r="X23" s="4" t="s">
        <v>52</v>
      </c>
      <c r="Y23" s="4" t="s">
        <v>53</v>
      </c>
      <c r="Z23" s="4" t="s">
        <v>54</v>
      </c>
      <c r="AA23" s="4" t="s">
        <v>55</v>
      </c>
      <c r="AB23" s="4" t="s">
        <v>56</v>
      </c>
    </row>
    <row r="24" spans="1:28">
      <c r="A24" s="5">
        <f>IFERROR(AVERAGEIF($B$2:$B$21,"&lt;1500"),0)</f>
        <v>0</v>
      </c>
      <c r="B24" s="5">
        <f>IFERROR(AVERAGEIF($D$2:$D$21,"&lt;1500"),0)</f>
        <v>0</v>
      </c>
      <c r="C24" s="5">
        <f>IFERROR(AVERAGEIF($F$2:$F$21,"&lt;1500"),0)</f>
        <v>0</v>
      </c>
      <c r="D24" s="5">
        <f>IFERROR(AVERAGEIF($H$2:$H$21,"&lt;&gt;-1"),0)</f>
        <v>0</v>
      </c>
      <c r="E24" s="5">
        <f>IFERROR(AVERAGEIFS($C$2:$C$21,$B$2:$B$21,"&lt;1500"),0)</f>
        <v>0</v>
      </c>
      <c r="F24" s="5">
        <f>IFERROR(AVERAGEIFS($E$2:$E$21,$D$2:$D$21,"&lt;1500"),0)</f>
        <v>0</v>
      </c>
      <c r="G24" s="5">
        <f>IFERROR(AVERAGEIFS($G$2:$G$21,$F$2:$F$21,"&lt;1500"),0)</f>
        <v>0</v>
      </c>
      <c r="H24" s="5">
        <f>IFERROR(AVERAGEIFS($I$2:$I$21,$H$2:$H$21,"&lt;&gt; -1"),0)</f>
        <v>0</v>
      </c>
      <c r="I24" s="5">
        <f>_xlfn.MAXIFS($B$2:$B$21,$B$2:$B$21,"&lt; 1500")</f>
        <v>0</v>
      </c>
      <c r="J24" s="5">
        <f>_xlfn.MAXIFS($D$2:$D$21,$D$2:$D$21,"&lt; 1500")</f>
        <v>0</v>
      </c>
      <c r="K24" s="5">
        <f>_xlfn.MAXIFS($F$2:$F$21,$F$2:$F$21,"&lt; 1500")</f>
        <v>0</v>
      </c>
      <c r="L24" s="5">
        <f>_xlfn.MAXIFS($H$2:$H$21,$H$2:$H$21,"&lt;&gt; -1")</f>
        <v>0</v>
      </c>
      <c r="M24" s="5">
        <f>_xlfn.MINIFS($B$2:$B$21,$B$2:$B$21,"&lt;1500")</f>
        <v>0</v>
      </c>
      <c r="N24" s="5">
        <f>_xlfn.MINIFS($D$2:$D$21,$D$2:$D$21,"&lt;1500")</f>
        <v>0</v>
      </c>
      <c r="O24" s="5">
        <f>_xlfn.MINIFS($F$2:$F$21,$F$2:$F$21,"&lt;1500")</f>
        <v>0</v>
      </c>
      <c r="P24" s="5">
        <f>_xlfn.MINIFS($H$2:$H$21,$H$2:$H$21,"&lt;&gt; -1")</f>
        <v>0</v>
      </c>
      <c r="Q24" s="5">
        <f>_xlfn.MAXIFS($C$2:$C$21,$B$2:$B$21,"&lt; 1500")</f>
        <v>0</v>
      </c>
      <c r="R24" s="5">
        <f>_xlfn.MAXIFS($E$2:$E$21,D2:D21,"&lt; 1500")</f>
        <v>0</v>
      </c>
      <c r="S24" s="5">
        <f>_xlfn.MAXIFS($G$2:$G$21,$F$2:$F$21,"&lt; 1500")</f>
        <v>0</v>
      </c>
      <c r="T24" s="5">
        <f>_xlfn.MAXIFS($I$2:$I$21,$H$2:$H$21,"&lt;&gt; -1")</f>
        <v>0</v>
      </c>
      <c r="U24" s="5">
        <f>_xlfn.MINIFS($C$2:$C$21,$B$2:$B$21,"&lt;1500")</f>
        <v>0</v>
      </c>
      <c r="V24" s="5">
        <f>_xlfn.MINIFS($E$2:$E$21,$D$2:$D$21,"&lt;1500")</f>
        <v>0</v>
      </c>
      <c r="W24" s="5">
        <f>_xlfn.MINIFS($G$2:$G$21,$F$2:$F$21,"&lt;1500")</f>
        <v>0</v>
      </c>
      <c r="X24" s="5">
        <f>_xlfn.MINIFS($I$2:$I$21,$H$2:$H$21,"&lt;&gt; -1")</f>
        <v>0</v>
      </c>
      <c r="Y24" s="5">
        <f>(COUNTIFS($B$2:$B$21,"&gt;0.0",$B$2:$B$21,"&lt;1500.0"))/20</f>
        <v>0</v>
      </c>
      <c r="Z24" s="5">
        <f>(COUNTIFS($D$2:$D$21,"&gt;0.0",$D$2:$D$21,"&lt;1500.0"))/20</f>
        <v>0</v>
      </c>
      <c r="AA24" s="5">
        <f>(COUNTIFS($F$2:$F$21,"&gt;0.0",$F$2:$F$21,"&lt;1500.0"))/20</f>
        <v>0</v>
      </c>
      <c r="AB24" s="5">
        <f>(COUNTIFS($H$2:$H$21,"&gt;0.0",$H$2:$H$21,"&lt;1500.0"))/20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K23" sqref="K23"/>
    </sheetView>
  </sheetViews>
  <sheetFormatPr defaultColWidth="8.72727272727273" defaultRowHeight="14" outlineLevelRow="6"/>
  <cols>
    <col min="1" max="3" width="10.5454545454545"/>
    <col min="5" max="6" width="11.7272727272727"/>
    <col min="7" max="7" width="10.5454545454545"/>
    <col min="17" max="19" width="9.54545454545454"/>
    <col min="21" max="23" width="9.54545454545454"/>
  </cols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1084.7585</v>
      </c>
      <c r="B2">
        <v>1084.6405</v>
      </c>
      <c r="C2">
        <v>1083.3685</v>
      </c>
      <c r="D2">
        <v>0</v>
      </c>
      <c r="E2">
        <v>32942.1545</v>
      </c>
      <c r="F2">
        <v>32942.1545</v>
      </c>
      <c r="G2">
        <v>38009.029</v>
      </c>
      <c r="H2">
        <v>0</v>
      </c>
      <c r="I2">
        <v>1124.8</v>
      </c>
      <c r="J2">
        <v>1124.51</v>
      </c>
      <c r="K2">
        <v>1123.25</v>
      </c>
      <c r="L2">
        <v>0</v>
      </c>
      <c r="M2">
        <v>1046.67</v>
      </c>
      <c r="N2">
        <v>1046.39</v>
      </c>
      <c r="O2">
        <v>1045.25</v>
      </c>
      <c r="P2">
        <v>0</v>
      </c>
      <c r="Q2">
        <v>34775.08</v>
      </c>
      <c r="R2">
        <v>34775.08</v>
      </c>
      <c r="S2">
        <v>40143.81</v>
      </c>
      <c r="T2">
        <v>0</v>
      </c>
      <c r="U2">
        <v>29992.22</v>
      </c>
      <c r="V2">
        <v>29992.22</v>
      </c>
      <c r="W2">
        <v>34673.84</v>
      </c>
      <c r="X2">
        <v>0</v>
      </c>
      <c r="Y2">
        <v>1</v>
      </c>
      <c r="Z2">
        <v>1</v>
      </c>
      <c r="AA2">
        <v>1</v>
      </c>
      <c r="AB2">
        <v>0</v>
      </c>
    </row>
    <row r="3" spans="1:28">
      <c r="A3">
        <v>1267.3375</v>
      </c>
      <c r="B3">
        <v>1267.178</v>
      </c>
      <c r="C3">
        <v>1265.7195</v>
      </c>
      <c r="D3">
        <v>0</v>
      </c>
      <c r="E3">
        <v>33229.951</v>
      </c>
      <c r="F3">
        <v>33229.951</v>
      </c>
      <c r="G3">
        <v>38304.602</v>
      </c>
      <c r="H3">
        <v>0</v>
      </c>
      <c r="I3">
        <v>1338.66</v>
      </c>
      <c r="J3">
        <v>1338.43</v>
      </c>
      <c r="K3">
        <v>1337.15</v>
      </c>
      <c r="L3">
        <v>0</v>
      </c>
      <c r="M3">
        <v>1190.1</v>
      </c>
      <c r="N3">
        <v>1190.07</v>
      </c>
      <c r="O3">
        <v>1188.79</v>
      </c>
      <c r="P3">
        <v>0</v>
      </c>
      <c r="Q3">
        <v>34825.95</v>
      </c>
      <c r="R3">
        <v>0</v>
      </c>
      <c r="S3">
        <v>40296.1</v>
      </c>
      <c r="T3">
        <v>0</v>
      </c>
      <c r="U3">
        <v>31210.88</v>
      </c>
      <c r="V3">
        <v>31210.88</v>
      </c>
      <c r="W3">
        <v>35916.67</v>
      </c>
      <c r="X3">
        <v>0</v>
      </c>
      <c r="Y3">
        <v>1</v>
      </c>
      <c r="Z3">
        <v>1</v>
      </c>
      <c r="AA3">
        <v>1</v>
      </c>
      <c r="AB3">
        <v>0</v>
      </c>
    </row>
    <row r="4" spans="1:28">
      <c r="A4">
        <v>1396.23</v>
      </c>
      <c r="B4">
        <v>1396.16</v>
      </c>
      <c r="C4">
        <v>1394.71</v>
      </c>
      <c r="D4">
        <v>0</v>
      </c>
      <c r="E4">
        <v>33078.53</v>
      </c>
      <c r="F4">
        <v>33078.53</v>
      </c>
      <c r="G4">
        <v>38282.9</v>
      </c>
      <c r="H4">
        <v>0</v>
      </c>
      <c r="I4">
        <v>1396.23</v>
      </c>
      <c r="J4">
        <v>1396.16</v>
      </c>
      <c r="K4">
        <v>1394.71</v>
      </c>
      <c r="L4">
        <v>0</v>
      </c>
      <c r="M4">
        <v>1396.23</v>
      </c>
      <c r="N4">
        <v>1396.16</v>
      </c>
      <c r="O4">
        <v>1394.71</v>
      </c>
      <c r="P4">
        <v>0</v>
      </c>
      <c r="Q4">
        <v>33078.53</v>
      </c>
      <c r="R4">
        <v>0</v>
      </c>
      <c r="S4">
        <v>38282.9</v>
      </c>
      <c r="T4">
        <v>0</v>
      </c>
      <c r="U4">
        <v>33078.53</v>
      </c>
      <c r="V4">
        <v>33078.53</v>
      </c>
      <c r="W4">
        <v>38282.9</v>
      </c>
      <c r="X4">
        <v>0</v>
      </c>
      <c r="Y4">
        <v>0.05</v>
      </c>
      <c r="Z4">
        <v>0.05</v>
      </c>
      <c r="AA4">
        <v>0.05</v>
      </c>
      <c r="AB4">
        <v>0</v>
      </c>
    </row>
    <row r="5" spans="1: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2024-07-23T15:22:00Z</dcterms:created>
  <dcterms:modified xsi:type="dcterms:W3CDTF">2024-07-31T12:33:37Z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6062F34B1B9D4C25A9C983518FF03FC4_12</vt:lpwstr>
  </property>
  <property fmtid="{D5CDD505-2E9C-101B-9397-08002B2CF9AE}" pid="3" name="KSOProductBuildVer">
    <vt:lpwstr>2052-12.1.0.17147</vt:lpwstr>
  </property>
</Properties>
</file>