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firstSheet="3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<sst xmlns="http://schemas.openxmlformats.org/spreadsheetml/2006/main" count="504" uniqueCount="80">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</sst>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S1" workbookViewId="0">
      <selection activeCell="V28" sqref="A28:AP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1742.38</v>
      </c>
      <c r="C2">
        <v>51603.55</v>
      </c>
      <c r="D2">
        <v>1636.75</v>
      </c>
      <c r="E2">
        <v>51417.89</v>
      </c>
      <c r="F2">
        <v>1774.1</v>
      </c>
      <c r="G2">
        <v>57824.57</v>
      </c>
      <c r="H2">
        <v>-1</v>
      </c>
      <c r="I2">
        <v>33882.48</v>
      </c>
      <c r="J2">
        <v>1751.26</v>
      </c>
      <c r="K2">
        <v>51832.79</v>
      </c>
      <c r="L2">
        <v>-1</v>
      </c>
      <c r="M2">
        <v>7063.1</v>
      </c>
    </row>
    <row r="3" spans="1:13">
      <c r="A3" t="s">
        <v>14</v>
      </c>
      <c r="B3">
        <v>1745.7</v>
      </c>
      <c r="C3">
        <v>52287.41</v>
      </c>
      <c r="D3">
        <v>1640.35</v>
      </c>
      <c r="E3">
        <v>51081.44</v>
      </c>
      <c r="F3">
        <v>-1</v>
      </c>
      <c r="G3">
        <v>35132.84</v>
      </c>
      <c r="H3">
        <v>-1</v>
      </c>
      <c r="I3">
        <v>25765.48</v>
      </c>
      <c r="J3">
        <v>-1</v>
      </c>
      <c r="K3">
        <v>12516.34</v>
      </c>
      <c r="L3">
        <v>-1</v>
      </c>
      <c r="M3">
        <v>33349.38</v>
      </c>
    </row>
    <row r="4" spans="1:13">
      <c r="A4" t="s">
        <v>15</v>
      </c>
      <c r="B4">
        <v>1704.66</v>
      </c>
      <c r="C4">
        <v>50056.71</v>
      </c>
      <c r="D4">
        <v>1594.05</v>
      </c>
      <c r="E4">
        <v>49745.63</v>
      </c>
      <c r="F4">
        <v>-1</v>
      </c>
      <c r="G4">
        <v>0</v>
      </c>
      <c r="H4">
        <v>-1</v>
      </c>
      <c r="I4">
        <v>1487.24</v>
      </c>
      <c r="J4">
        <v>-1</v>
      </c>
      <c r="K4">
        <v>651</v>
      </c>
      <c r="L4">
        <v>-1</v>
      </c>
      <c r="M4">
        <v>9138.75</v>
      </c>
    </row>
    <row r="5" spans="1:13">
      <c r="A5" t="s">
        <v>16</v>
      </c>
      <c r="B5">
        <v>1683.65</v>
      </c>
      <c r="C5">
        <v>49433.64</v>
      </c>
      <c r="D5">
        <v>1577.47</v>
      </c>
      <c r="E5">
        <v>50136.6</v>
      </c>
      <c r="F5">
        <v>1717.16</v>
      </c>
      <c r="G5">
        <v>55632.85</v>
      </c>
      <c r="H5">
        <v>-1</v>
      </c>
      <c r="I5">
        <v>10167.18</v>
      </c>
      <c r="J5">
        <v>1692.49</v>
      </c>
      <c r="K5">
        <v>49652.98</v>
      </c>
      <c r="L5">
        <v>-1</v>
      </c>
      <c r="M5">
        <v>9411.6</v>
      </c>
    </row>
    <row r="6" spans="1:13">
      <c r="A6" t="s">
        <v>17</v>
      </c>
      <c r="B6">
        <v>1829.25</v>
      </c>
      <c r="C6">
        <v>48375.98</v>
      </c>
      <c r="D6">
        <v>1654.42</v>
      </c>
      <c r="E6">
        <v>49045.87</v>
      </c>
      <c r="F6">
        <v>-1</v>
      </c>
      <c r="G6">
        <v>20194.92</v>
      </c>
      <c r="H6">
        <v>-1</v>
      </c>
      <c r="I6">
        <v>3006.66</v>
      </c>
      <c r="J6">
        <v>1841.98</v>
      </c>
      <c r="K6">
        <v>48502.96</v>
      </c>
      <c r="L6">
        <v>-1</v>
      </c>
      <c r="M6">
        <v>2698.85</v>
      </c>
    </row>
    <row r="7" spans="1:13">
      <c r="A7" t="s">
        <v>18</v>
      </c>
      <c r="B7">
        <v>1891.08</v>
      </c>
      <c r="C7">
        <v>50333.22</v>
      </c>
      <c r="D7">
        <v>1783.74</v>
      </c>
      <c r="E7">
        <v>52072.18</v>
      </c>
      <c r="F7">
        <v>-1</v>
      </c>
      <c r="G7">
        <v>21555.63</v>
      </c>
      <c r="H7">
        <v>-1</v>
      </c>
      <c r="I7">
        <v>8909.68</v>
      </c>
      <c r="J7">
        <v>-1</v>
      </c>
      <c r="K7">
        <v>19497.2</v>
      </c>
      <c r="L7">
        <v>-1</v>
      </c>
      <c r="M7">
        <v>29351.23</v>
      </c>
    </row>
    <row r="8" spans="1:13">
      <c r="A8" t="s">
        <v>19</v>
      </c>
      <c r="B8">
        <v>1715.67</v>
      </c>
      <c r="C8">
        <v>50477.92</v>
      </c>
      <c r="D8">
        <v>1607.05</v>
      </c>
      <c r="E8">
        <v>50773.18</v>
      </c>
      <c r="F8">
        <v>-1</v>
      </c>
      <c r="G8">
        <v>3442.52</v>
      </c>
      <c r="H8">
        <v>-1</v>
      </c>
      <c r="I8">
        <v>19389.82</v>
      </c>
      <c r="J8">
        <v>1792.41</v>
      </c>
      <c r="K8">
        <v>50656.84</v>
      </c>
      <c r="L8">
        <v>-1</v>
      </c>
      <c r="M8">
        <v>27884.57</v>
      </c>
    </row>
    <row r="9" spans="1:13">
      <c r="A9" t="s">
        <v>20</v>
      </c>
      <c r="B9">
        <v>1776.19</v>
      </c>
      <c r="C9">
        <v>51830.77</v>
      </c>
      <c r="D9">
        <v>1668.52</v>
      </c>
      <c r="E9">
        <v>52433.47</v>
      </c>
      <c r="F9">
        <v>1810.25</v>
      </c>
      <c r="G9">
        <v>58233.13</v>
      </c>
      <c r="H9">
        <v>-1</v>
      </c>
      <c r="I9">
        <v>21290</v>
      </c>
      <c r="J9">
        <v>-1</v>
      </c>
      <c r="K9">
        <v>675.67</v>
      </c>
      <c r="L9">
        <v>-1</v>
      </c>
      <c r="M9">
        <v>9488.32</v>
      </c>
    </row>
    <row r="10" spans="1:13">
      <c r="A10" t="s">
        <v>21</v>
      </c>
      <c r="B10">
        <v>1729.06</v>
      </c>
      <c r="C10">
        <v>50499.81</v>
      </c>
      <c r="D10">
        <v>1613.34</v>
      </c>
      <c r="E10">
        <v>49856.66</v>
      </c>
      <c r="F10">
        <v>-1</v>
      </c>
      <c r="G10">
        <v>1079.31</v>
      </c>
      <c r="H10">
        <v>-1</v>
      </c>
      <c r="I10">
        <v>23522.25</v>
      </c>
      <c r="J10">
        <v>-1</v>
      </c>
      <c r="K10">
        <v>9183.12</v>
      </c>
      <c r="L10">
        <v>-1</v>
      </c>
      <c r="M10">
        <v>7608.18</v>
      </c>
    </row>
    <row r="11" spans="1:13">
      <c r="A11" t="s">
        <v>22</v>
      </c>
      <c r="B11">
        <v>1699</v>
      </c>
      <c r="C11">
        <v>51297.23</v>
      </c>
      <c r="D11">
        <v>1590.01</v>
      </c>
      <c r="E11">
        <v>48430.95</v>
      </c>
      <c r="F11">
        <v>-1</v>
      </c>
      <c r="G11">
        <v>3653.02</v>
      </c>
      <c r="H11">
        <v>-1</v>
      </c>
      <c r="I11">
        <v>16733.68</v>
      </c>
      <c r="J11">
        <v>-1</v>
      </c>
      <c r="K11">
        <v>3293.42</v>
      </c>
      <c r="L11">
        <v>-1</v>
      </c>
      <c r="M11">
        <v>3314.66</v>
      </c>
    </row>
    <row r="12" spans="1:13">
      <c r="A12" t="s">
        <v>23</v>
      </c>
      <c r="B12">
        <v>1750.36</v>
      </c>
      <c r="C12">
        <v>50691.6</v>
      </c>
      <c r="D12">
        <v>1639.31</v>
      </c>
      <c r="E12">
        <v>50687.38</v>
      </c>
      <c r="F12">
        <v>-1</v>
      </c>
      <c r="G12">
        <v>5648.87</v>
      </c>
      <c r="H12">
        <v>-1</v>
      </c>
      <c r="I12">
        <v>21772.18</v>
      </c>
      <c r="J12">
        <v>-1</v>
      </c>
      <c r="K12">
        <v>5539.08</v>
      </c>
      <c r="L12">
        <v>-1</v>
      </c>
      <c r="M12">
        <v>19466.44</v>
      </c>
    </row>
    <row r="13" spans="1:13">
      <c r="A13" t="s">
        <v>24</v>
      </c>
      <c r="B13">
        <v>1693.91</v>
      </c>
      <c r="C13">
        <v>50183.5</v>
      </c>
      <c r="D13">
        <v>1581.87</v>
      </c>
      <c r="E13">
        <v>47244.44</v>
      </c>
      <c r="F13">
        <v>-1</v>
      </c>
      <c r="G13">
        <v>28114.93</v>
      </c>
      <c r="H13">
        <v>-1</v>
      </c>
      <c r="I13">
        <v>3968.01</v>
      </c>
      <c r="J13">
        <v>1708.43</v>
      </c>
      <c r="K13">
        <v>50373.36</v>
      </c>
      <c r="L13">
        <v>-1</v>
      </c>
      <c r="M13">
        <v>23057.91</v>
      </c>
    </row>
    <row r="14" spans="1:13">
      <c r="A14" t="s">
        <v>25</v>
      </c>
      <c r="B14">
        <v>1701.53</v>
      </c>
      <c r="C14">
        <v>51005.73</v>
      </c>
      <c r="D14">
        <v>1590.87</v>
      </c>
      <c r="E14">
        <v>50315.82</v>
      </c>
      <c r="F14">
        <v>-1</v>
      </c>
      <c r="G14">
        <v>13241.5</v>
      </c>
      <c r="H14">
        <v>-1</v>
      </c>
      <c r="I14">
        <v>41667.58</v>
      </c>
      <c r="J14">
        <v>-1</v>
      </c>
      <c r="K14">
        <v>11906.95</v>
      </c>
      <c r="L14">
        <v>-1</v>
      </c>
      <c r="M14">
        <v>1257.4</v>
      </c>
    </row>
    <row r="15" spans="1:13">
      <c r="A15" t="s">
        <v>26</v>
      </c>
      <c r="B15">
        <v>1725.28</v>
      </c>
      <c r="C15">
        <v>51017.9</v>
      </c>
      <c r="D15">
        <v>1616.09</v>
      </c>
      <c r="E15">
        <v>50657.63</v>
      </c>
      <c r="F15">
        <v>-1</v>
      </c>
      <c r="G15">
        <v>17898.75</v>
      </c>
      <c r="H15">
        <v>-1</v>
      </c>
      <c r="I15">
        <v>0</v>
      </c>
      <c r="J15">
        <v>-1</v>
      </c>
      <c r="K15">
        <v>15926.83</v>
      </c>
      <c r="L15">
        <v>-1</v>
      </c>
      <c r="M15">
        <v>1201.47</v>
      </c>
    </row>
    <row r="16" spans="1:13">
      <c r="A16" t="s">
        <v>27</v>
      </c>
      <c r="B16">
        <v>1686</v>
      </c>
      <c r="C16">
        <v>49241.72</v>
      </c>
      <c r="D16">
        <v>1578.95</v>
      </c>
      <c r="E16">
        <v>48555.37</v>
      </c>
      <c r="F16">
        <v>-1</v>
      </c>
      <c r="G16">
        <v>23735.55</v>
      </c>
      <c r="H16">
        <v>-1</v>
      </c>
      <c r="I16">
        <v>20277.3</v>
      </c>
      <c r="J16">
        <v>-1</v>
      </c>
      <c r="K16">
        <v>21165.25</v>
      </c>
      <c r="L16">
        <v>-1</v>
      </c>
      <c r="M16">
        <v>0</v>
      </c>
    </row>
    <row r="17" spans="1:13">
      <c r="A17" t="s">
        <v>28</v>
      </c>
      <c r="B17">
        <v>1756.98</v>
      </c>
      <c r="C17">
        <v>51995.62</v>
      </c>
      <c r="D17">
        <v>1649.69</v>
      </c>
      <c r="E17">
        <v>52530.73</v>
      </c>
      <c r="F17">
        <v>-1</v>
      </c>
      <c r="G17">
        <v>6206.38</v>
      </c>
      <c r="H17">
        <v>-1</v>
      </c>
      <c r="I17">
        <v>47924.69</v>
      </c>
      <c r="J17">
        <v>-1</v>
      </c>
      <c r="K17">
        <v>5807.26</v>
      </c>
      <c r="L17">
        <v>-1</v>
      </c>
      <c r="M17">
        <v>3207.6</v>
      </c>
    </row>
    <row r="18" spans="1:13">
      <c r="A18" t="s">
        <v>29</v>
      </c>
      <c r="B18">
        <v>1717.29</v>
      </c>
      <c r="C18">
        <v>50335.71</v>
      </c>
      <c r="D18">
        <v>1609.7</v>
      </c>
      <c r="E18">
        <v>49970.58</v>
      </c>
      <c r="F18">
        <v>1765.2</v>
      </c>
      <c r="G18">
        <v>56819.28</v>
      </c>
      <c r="H18">
        <v>-1</v>
      </c>
      <c r="I18">
        <v>2988</v>
      </c>
      <c r="J18">
        <v>-1</v>
      </c>
      <c r="K18">
        <v>48355.69</v>
      </c>
      <c r="L18">
        <v>-1</v>
      </c>
      <c r="M18">
        <v>22183.15</v>
      </c>
    </row>
    <row r="19" spans="1:13">
      <c r="A19" t="s">
        <v>30</v>
      </c>
      <c r="B19">
        <v>1714.42</v>
      </c>
      <c r="C19">
        <v>49530.71</v>
      </c>
      <c r="D19">
        <v>1604.7</v>
      </c>
      <c r="E19">
        <v>49972.29</v>
      </c>
      <c r="F19">
        <v>-1</v>
      </c>
      <c r="G19">
        <v>42711.3</v>
      </c>
      <c r="H19">
        <v>-1</v>
      </c>
      <c r="I19">
        <v>28460.75</v>
      </c>
      <c r="J19">
        <v>-1</v>
      </c>
      <c r="K19">
        <v>38258.89</v>
      </c>
      <c r="L19">
        <v>-1</v>
      </c>
      <c r="M19">
        <v>47842.56</v>
      </c>
    </row>
    <row r="20" spans="1:13">
      <c r="A20" t="s">
        <v>31</v>
      </c>
      <c r="B20">
        <v>1706.29</v>
      </c>
      <c r="C20">
        <v>49969.31</v>
      </c>
      <c r="D20">
        <v>1599.07</v>
      </c>
      <c r="E20">
        <v>51894.81</v>
      </c>
      <c r="F20">
        <v>-1</v>
      </c>
      <c r="G20">
        <v>45662.2</v>
      </c>
      <c r="H20">
        <v>-1</v>
      </c>
      <c r="I20">
        <v>50702.16</v>
      </c>
      <c r="J20">
        <v>-1</v>
      </c>
      <c r="K20">
        <v>40753.5</v>
      </c>
      <c r="L20">
        <v>-1</v>
      </c>
      <c r="M20">
        <v>1595.59</v>
      </c>
    </row>
    <row r="21" spans="1:13">
      <c r="A21" t="s">
        <v>32</v>
      </c>
      <c r="B21">
        <v>1749.93</v>
      </c>
      <c r="C21">
        <v>49882.27</v>
      </c>
      <c r="D21">
        <v>1640.42</v>
      </c>
      <c r="E21">
        <v>50584.57</v>
      </c>
      <c r="F21">
        <v>-1</v>
      </c>
      <c r="G21">
        <v>14454.62</v>
      </c>
      <c r="H21">
        <v>-1</v>
      </c>
      <c r="I21">
        <v>25815.06</v>
      </c>
      <c r="J21">
        <v>-1</v>
      </c>
      <c r="K21">
        <v>11019.63</v>
      </c>
      <c r="L21">
        <v>-1</v>
      </c>
      <c r="M21">
        <v>17637.1</v>
      </c>
    </row>
    <row r="22" spans="1:13">
      <c r="A22" t="s">
        <v>33</v>
      </c>
      <c r="B22">
        <v>1752.3</v>
      </c>
      <c r="C22">
        <v>49941.26</v>
      </c>
      <c r="D22">
        <v>1640.61</v>
      </c>
      <c r="E22">
        <v>52089.53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1741.17</v>
      </c>
      <c r="C23">
        <v>51729.88</v>
      </c>
      <c r="D23">
        <v>1631.55</v>
      </c>
      <c r="E23">
        <v>51026.76</v>
      </c>
      <c r="F23">
        <v>-1</v>
      </c>
      <c r="G23">
        <v>56718.24</v>
      </c>
      <c r="H23">
        <v>-1</v>
      </c>
      <c r="I23">
        <v>1636.47</v>
      </c>
      <c r="J23">
        <v>-1</v>
      </c>
      <c r="K23">
        <v>28057.07</v>
      </c>
      <c r="L23">
        <v>-1</v>
      </c>
      <c r="M23">
        <v>6327.19</v>
      </c>
    </row>
    <row r="24" spans="1:13">
      <c r="A24" t="s">
        <v>35</v>
      </c>
      <c r="B24">
        <v>1734.11</v>
      </c>
      <c r="C24">
        <v>51337.31</v>
      </c>
      <c r="D24">
        <v>1627.75</v>
      </c>
      <c r="E24">
        <v>51716.83</v>
      </c>
      <c r="F24">
        <v>-1</v>
      </c>
      <c r="G24">
        <v>33008.12</v>
      </c>
      <c r="H24">
        <v>-1</v>
      </c>
      <c r="I24">
        <v>24256.45</v>
      </c>
      <c r="J24">
        <v>1742.97</v>
      </c>
      <c r="K24">
        <v>51500.25</v>
      </c>
      <c r="L24">
        <v>1698.76</v>
      </c>
      <c r="M24">
        <v>51808.26</v>
      </c>
    </row>
    <row r="25" spans="1:13">
      <c r="A25" t="s">
        <v>36</v>
      </c>
      <c r="B25">
        <v>1667.92</v>
      </c>
      <c r="C25">
        <v>48786.97</v>
      </c>
      <c r="D25">
        <v>1559.51</v>
      </c>
      <c r="E25">
        <v>48417.95</v>
      </c>
      <c r="F25">
        <v>1700.53</v>
      </c>
      <c r="G25">
        <v>54652.66</v>
      </c>
      <c r="H25">
        <v>-1</v>
      </c>
      <c r="I25">
        <v>3051.86</v>
      </c>
      <c r="J25">
        <v>1675.72</v>
      </c>
      <c r="K25">
        <v>48916.01</v>
      </c>
      <c r="L25">
        <v>-1</v>
      </c>
      <c r="M25">
        <v>22686.87</v>
      </c>
    </row>
    <row r="26" spans="1:13">
      <c r="A26" t="s">
        <v>37</v>
      </c>
      <c r="B26">
        <v>1685.65</v>
      </c>
      <c r="C26">
        <v>50641.69</v>
      </c>
      <c r="D26">
        <v>1575.35</v>
      </c>
      <c r="E26">
        <v>49211.53</v>
      </c>
      <c r="F26">
        <v>1734</v>
      </c>
      <c r="G26">
        <v>56867.42</v>
      </c>
      <c r="H26">
        <v>-1</v>
      </c>
      <c r="I26">
        <v>19745.01</v>
      </c>
      <c r="J26">
        <v>1700.32</v>
      </c>
      <c r="K26">
        <v>50808.74</v>
      </c>
      <c r="L26">
        <v>-1</v>
      </c>
      <c r="M26">
        <v>1379.68</v>
      </c>
    </row>
    <row r="28" spans="1:42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</row>
    <row r="29" spans="1:42">
      <c r="A29" s="5">
        <f>IFERROR(AVERAGEIF($B$2:$B$26,"&lt;&gt; -1"),0)</f>
        <v>1731.9912</v>
      </c>
      <c r="B29" s="5">
        <f>IFERROR(AVERAGEIF($D$2:$D$26,"&lt;&gt; -1"),0)</f>
        <v>1620.4456</v>
      </c>
      <c r="C29" s="5">
        <f>IFERROR(AVERAGEIF($F$2:$F$26,"&lt;&gt; -1"),0)</f>
        <v>1750.20666666667</v>
      </c>
      <c r="D29" s="5">
        <f>IFERROR(AVERAGEIF($H$2:$H$26,"&lt;&gt; -1"),0)</f>
        <v>0</v>
      </c>
      <c r="E29" s="5">
        <f>IFERROR(AVERAGEIF($J$2:$J$26,"&lt;&gt; -1"),0)</f>
        <v>1738.1975</v>
      </c>
      <c r="F29" s="5">
        <f>IFERROR(AVERAGEIF($L$2:$L$26,"&lt;&gt; -1"),0)</f>
        <v>1698.76</v>
      </c>
      <c r="G29" s="5">
        <f>IFERROR(AVERAGEIFS($C$2:$C$26,$B$2:$B$26,"&lt;&gt; -1"),0)</f>
        <v>50499.4968</v>
      </c>
      <c r="H29" s="5">
        <f>IFERROR(AVERAGEIFS($E$2:$E$26,$D$2:$D$26,"&lt;&gt; -1"),0)</f>
        <v>50394.8036</v>
      </c>
      <c r="I29" s="5">
        <f>IFERROR(AVERAGEIFS($G$2:$G$26,$F$2:$F$26,"&lt;&gt; -1"),0)</f>
        <v>56671.6516666667</v>
      </c>
      <c r="J29" s="5">
        <f>IFERROR(AVERAGEIFS($I$2:$I$26,$H$2:$H$26,"&lt;&gt; -1"),0)</f>
        <v>0</v>
      </c>
      <c r="K29" s="5">
        <f>IFERROR(AVERAGEIFS($K$2:$K$26,$J$2:$J$26,"&lt;&gt; -1"),0)</f>
        <v>50280.49125</v>
      </c>
      <c r="L29" s="5">
        <f>IFERROR(AVERAGEIFS($M$2:$M$26,$L$2:$L$26,"&lt;&gt; -1"),0)</f>
        <v>51808.26</v>
      </c>
      <c r="M29" s="5">
        <f>IFERROR(_xlfn.MAXIFS($B$2:$B$26,$B$2:$B$26,"&lt;&gt; -1"),0)</f>
        <v>1891.08</v>
      </c>
      <c r="N29" s="5">
        <f>IFERROR(_xlfn.MAXIFS($D$2:$D$26,$D$2:$D$26,"&lt;&gt;-1"),0)</f>
        <v>1783.74</v>
      </c>
      <c r="O29" s="5">
        <f>IFERROR(_xlfn.MAXIFS($F$2:$F$26,$F$2:$F$26,"&lt;&gt; -1"),0)</f>
        <v>1810.25</v>
      </c>
      <c r="P29" s="5">
        <f>IFERROR(_xlfn.MAXIFS($H$2:$H$26,$H$2:$H$26,"&lt;&gt; -1"),0)</f>
        <v>0</v>
      </c>
      <c r="Q29" s="5">
        <f>IFERROR(_xlfn.MAXIFS($J$2:$J$26,$J$2:$J$26,"&lt;&gt; -1"),0)</f>
        <v>1841.98</v>
      </c>
      <c r="R29" s="5">
        <f>IFERROR(_xlfn.MAXIFS($L$2:$L$26,$L$2:$L$26,"&lt;&gt; -1"),0)</f>
        <v>1698.76</v>
      </c>
      <c r="S29" s="5">
        <f>IFERROR(_xlfn.MINIFS($B$2:$B$26,$B$2:$B$26,"&lt;&gt; -1"),0)</f>
        <v>1667.92</v>
      </c>
      <c r="T29" s="5">
        <f>IFERROR(_xlfn.MINIFS($D$2:$D$26,$D$2:$D$26,"&lt;&gt;-1"),0)</f>
        <v>1559.51</v>
      </c>
      <c r="U29" s="5">
        <f>IFERROR(_xlfn.MINIFS($F$2:$F$26,$F$2:$F$26,"&lt;&gt; -1"),0)</f>
        <v>1700.53</v>
      </c>
      <c r="V29" s="5">
        <f>IFERROR(_xlfn.MINIFS($H$2:$H$26,$H$2:$H$26,"&lt;&gt; -1"),0)</f>
        <v>0</v>
      </c>
      <c r="W29" s="5">
        <f>IFERROR(_xlfn.MINIFS($J$2:$J$26,$J$2:$J$26,"&lt;&gt; -1"),0)</f>
        <v>1675.72</v>
      </c>
      <c r="X29" s="5">
        <f>IFERROR(_xlfn.MINIFS($L$2:$L$26,$L$2:$L$26,"&lt;&gt; -1"),0)</f>
        <v>1698.76</v>
      </c>
      <c r="Y29" s="5">
        <f>IFERROR(_xlfn.MAXIFS($C$2:$C$26,$B$2:$B$26,"&lt;&gt; -1"),0)</f>
        <v>52287.41</v>
      </c>
      <c r="Z29" s="5">
        <f>IFERROR(_xlfn.MAXIFS($E$2:$E$26,$D$2:$D$26,"&lt;&gt; -1"),0)</f>
        <v>52530.73</v>
      </c>
      <c r="AA29" s="5">
        <f>IFERROR(_xlfn.MAXIFS($G$2:$G$26,$F$2:$F$26,"&lt;&gt; -1"),0)</f>
        <v>58233.13</v>
      </c>
      <c r="AB29" s="5">
        <f>IFERROR(_xlfn.MAXIFS($I$2:$I$26,$H$2:$H$26,"&lt;&gt; -1"),0)</f>
        <v>0</v>
      </c>
      <c r="AC29" s="5">
        <f>IFERROR(_xlfn.MAXIFS($K$2:$K$26,$J$2:$J$26,"&lt;&gt; -1"),0)</f>
        <v>51832.79</v>
      </c>
      <c r="AD29" s="5">
        <f>IFERROR(_xlfn.MAXIFS($M$2:$M$26,$L$2:$L$26,"&lt;&gt; -1"),0)</f>
        <v>51808.26</v>
      </c>
      <c r="AE29" s="5">
        <f>IFERROR(_xlfn.MINIFS($C$2:$C$26,$B$2:$B$26,"&lt;&gt; -1"),0)</f>
        <v>48375.98</v>
      </c>
      <c r="AF29" s="5">
        <f>IFERROR(_xlfn.MINIFS($E$2:$E$26,$D$2:$D$26,"&lt;&gt; -1"),0)</f>
        <v>47244.44</v>
      </c>
      <c r="AG29" s="5">
        <f>IFERROR(_xlfn.MINIFS($G$2:$G$26,$F$2:$F$26,"&lt;&gt; -1"),0)</f>
        <v>54652.66</v>
      </c>
      <c r="AH29" s="5">
        <f>IFERROR(_xlfn.MINIFS($I$2:$I$26,$H$2:$H$26,"&lt;&gt; -1"),0)</f>
        <v>0</v>
      </c>
      <c r="AI29" s="5">
        <f>IFERROR(_xlfn.MINIFS($K$2:$K$26,$J$2:$J$26,"&lt;&gt; -1"),0)</f>
        <v>48502.96</v>
      </c>
      <c r="AJ29" s="5">
        <f>IFERROR(_xlfn.MINIFS($M$2:$M$26,$L$2:$L$26,"&lt;&gt; -1"),0)</f>
        <v>51808.26</v>
      </c>
      <c r="AK29" s="5">
        <f>(COUNTIFS($B$2:$B$26,"&gt;0.0",$B$2:$B$26,"&lt;2100.0"))/25</f>
        <v>1</v>
      </c>
      <c r="AL29" s="5">
        <f>(COUNTIFS($D$2:$D$26,"&gt;0.0",$D$2:$D$26,"&lt;2100.0"))/25</f>
        <v>1</v>
      </c>
      <c r="AM29" s="5">
        <f>(COUNTIFS($F$2:$F$26,"&gt;0.0",$F$2:$F$26,"&lt;2100.0"))/25</f>
        <v>0.24</v>
      </c>
      <c r="AN29" s="5">
        <f>(COUNTIFS($H$2:$H26,"&gt;0.0",$H$2:$H$26,"&lt;2100.0"))/25</f>
        <v>0</v>
      </c>
      <c r="AO29" s="5">
        <f>(COUNTIFS($J$2:$J$26,"&gt;0.0",$J$2:$J$26,"&lt;2100.0"))/25</f>
        <v>0.32</v>
      </c>
      <c r="AP29" s="5">
        <f>(COUNTIFS($L$2:$L$26,"&gt;0.0",$L$2:$L$26,"&lt;2100.0"))/25</f>
        <v>0.04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1890.41</v>
      </c>
      <c r="C2">
        <v>50610.93</v>
      </c>
      <c r="D2">
        <v>1785.84</v>
      </c>
      <c r="E2">
        <v>49046.99</v>
      </c>
      <c r="F2">
        <v>1940.63</v>
      </c>
      <c r="G2">
        <v>56766.75</v>
      </c>
      <c r="H2">
        <v>-1</v>
      </c>
      <c r="I2">
        <v>2557.42</v>
      </c>
      <c r="J2">
        <v>1898.6</v>
      </c>
      <c r="K2">
        <v>50760.54</v>
      </c>
      <c r="L2">
        <v>-1</v>
      </c>
      <c r="M2">
        <v>0</v>
      </c>
    </row>
    <row r="3" spans="1:13">
      <c r="A3" t="s">
        <v>14</v>
      </c>
      <c r="B3">
        <v>1907.81</v>
      </c>
      <c r="C3">
        <v>51964.12</v>
      </c>
      <c r="D3">
        <v>1804.05</v>
      </c>
      <c r="E3">
        <v>52739.57</v>
      </c>
      <c r="F3">
        <v>-1</v>
      </c>
      <c r="G3">
        <v>46948.62</v>
      </c>
      <c r="H3">
        <v>-1</v>
      </c>
      <c r="I3">
        <v>0</v>
      </c>
      <c r="J3">
        <v>-1</v>
      </c>
      <c r="K3">
        <v>32541.75</v>
      </c>
      <c r="L3">
        <v>-1</v>
      </c>
      <c r="M3">
        <v>0</v>
      </c>
    </row>
    <row r="4" spans="1:13">
      <c r="A4" t="s">
        <v>15</v>
      </c>
      <c r="B4">
        <v>1842.3</v>
      </c>
      <c r="C4">
        <v>50895.1</v>
      </c>
      <c r="D4">
        <v>1771.59</v>
      </c>
      <c r="E4">
        <v>50143.65</v>
      </c>
      <c r="F4">
        <v>-1</v>
      </c>
      <c r="G4">
        <v>2511.04</v>
      </c>
      <c r="H4">
        <v>-1</v>
      </c>
      <c r="I4">
        <v>0</v>
      </c>
      <c r="J4">
        <v>1906.17</v>
      </c>
      <c r="K4">
        <v>50988.14</v>
      </c>
      <c r="L4">
        <v>-1</v>
      </c>
      <c r="M4">
        <v>0</v>
      </c>
    </row>
    <row r="5" spans="1:13">
      <c r="A5" t="s">
        <v>16</v>
      </c>
      <c r="B5">
        <v>1854.95</v>
      </c>
      <c r="C5">
        <v>48902.02</v>
      </c>
      <c r="D5">
        <v>1747.4</v>
      </c>
      <c r="E5">
        <v>49413.6</v>
      </c>
      <c r="F5">
        <v>-1</v>
      </c>
      <c r="G5">
        <v>40623.74</v>
      </c>
      <c r="H5">
        <v>-1</v>
      </c>
      <c r="I5">
        <v>1757.51</v>
      </c>
      <c r="J5">
        <v>-1</v>
      </c>
      <c r="K5">
        <v>36792.37</v>
      </c>
      <c r="L5">
        <v>-1</v>
      </c>
      <c r="M5">
        <v>3476.32</v>
      </c>
    </row>
    <row r="6" spans="1:13">
      <c r="A6" t="s">
        <v>17</v>
      </c>
      <c r="B6">
        <v>1847.77</v>
      </c>
      <c r="C6">
        <v>49292.29</v>
      </c>
      <c r="D6">
        <v>1746.14</v>
      </c>
      <c r="E6">
        <v>50040.32</v>
      </c>
      <c r="F6">
        <v>-1</v>
      </c>
      <c r="G6">
        <v>0</v>
      </c>
      <c r="H6">
        <v>-1</v>
      </c>
      <c r="I6">
        <v>4589.52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1923.21</v>
      </c>
      <c r="C7">
        <v>50419.31</v>
      </c>
      <c r="D7">
        <v>1822.55</v>
      </c>
      <c r="E7">
        <v>51344.65</v>
      </c>
      <c r="F7">
        <v>-1</v>
      </c>
      <c r="G7">
        <v>34898.53</v>
      </c>
      <c r="H7">
        <v>-1</v>
      </c>
      <c r="I7">
        <v>0</v>
      </c>
      <c r="J7">
        <v>-1</v>
      </c>
      <c r="K7">
        <v>21272.87</v>
      </c>
      <c r="L7">
        <v>-1</v>
      </c>
      <c r="M7">
        <v>0</v>
      </c>
    </row>
    <row r="8" spans="1:13">
      <c r="A8" t="s">
        <v>19</v>
      </c>
      <c r="B8">
        <v>1849.34</v>
      </c>
      <c r="C8">
        <v>50034.84</v>
      </c>
      <c r="D8">
        <v>1740.7</v>
      </c>
      <c r="E8">
        <v>51226.92</v>
      </c>
      <c r="F8">
        <v>-1</v>
      </c>
      <c r="G8">
        <v>3212.24</v>
      </c>
      <c r="H8">
        <v>-1</v>
      </c>
      <c r="I8">
        <v>9347.65</v>
      </c>
      <c r="J8">
        <v>1862.98</v>
      </c>
      <c r="K8">
        <v>50139.16</v>
      </c>
      <c r="L8">
        <v>-1</v>
      </c>
      <c r="M8">
        <v>8492.74</v>
      </c>
    </row>
    <row r="9" spans="1:13">
      <c r="A9" t="s">
        <v>20</v>
      </c>
      <c r="B9">
        <v>1902.35</v>
      </c>
      <c r="C9">
        <v>51000.41</v>
      </c>
      <c r="D9">
        <v>1799.04</v>
      </c>
      <c r="E9">
        <v>50813.94</v>
      </c>
      <c r="F9">
        <v>-1</v>
      </c>
      <c r="G9">
        <v>38716.45</v>
      </c>
      <c r="H9">
        <v>-1</v>
      </c>
      <c r="I9">
        <v>0</v>
      </c>
      <c r="J9">
        <v>1916.13</v>
      </c>
      <c r="K9">
        <v>51193.3</v>
      </c>
      <c r="L9">
        <v>-1</v>
      </c>
      <c r="M9">
        <v>0</v>
      </c>
    </row>
    <row r="10" spans="1:13">
      <c r="A10" t="s">
        <v>21</v>
      </c>
      <c r="B10">
        <v>1847.19</v>
      </c>
      <c r="C10">
        <v>50049.78</v>
      </c>
      <c r="D10">
        <v>1742.2</v>
      </c>
      <c r="E10">
        <v>50227.62</v>
      </c>
      <c r="F10">
        <v>-1</v>
      </c>
      <c r="G10">
        <v>41313.98</v>
      </c>
      <c r="H10">
        <v>-1</v>
      </c>
      <c r="I10">
        <v>3853.64</v>
      </c>
      <c r="J10">
        <v>-1</v>
      </c>
      <c r="K10">
        <v>36852.84</v>
      </c>
      <c r="L10">
        <v>-1</v>
      </c>
      <c r="M10">
        <v>3531.65</v>
      </c>
    </row>
    <row r="11" spans="1:13">
      <c r="A11" t="s">
        <v>22</v>
      </c>
      <c r="B11">
        <v>1828.67</v>
      </c>
      <c r="C11">
        <v>50852.16</v>
      </c>
      <c r="D11">
        <v>1722.64</v>
      </c>
      <c r="E11">
        <v>50310.52</v>
      </c>
      <c r="F11">
        <v>-1</v>
      </c>
      <c r="G11">
        <v>30410.08</v>
      </c>
      <c r="H11">
        <v>-1</v>
      </c>
      <c r="I11">
        <v>17982.84</v>
      </c>
      <c r="J11">
        <v>1869.3</v>
      </c>
      <c r="K11">
        <v>51051.18</v>
      </c>
      <c r="L11">
        <v>-1</v>
      </c>
      <c r="M11">
        <v>0</v>
      </c>
    </row>
    <row r="12" spans="1:13">
      <c r="A12" t="s">
        <v>23</v>
      </c>
      <c r="B12">
        <v>1876.96</v>
      </c>
      <c r="C12">
        <v>51999.48</v>
      </c>
      <c r="D12">
        <v>1766.51</v>
      </c>
      <c r="E12">
        <v>50551.5</v>
      </c>
      <c r="F12">
        <v>-1</v>
      </c>
      <c r="G12">
        <v>2575.29</v>
      </c>
      <c r="H12">
        <v>-1</v>
      </c>
      <c r="I12">
        <v>22808.79</v>
      </c>
      <c r="J12">
        <v>-1</v>
      </c>
      <c r="K12">
        <v>12477.36</v>
      </c>
      <c r="L12">
        <v>-1</v>
      </c>
      <c r="M12">
        <v>45735.82</v>
      </c>
    </row>
    <row r="13" spans="1:13">
      <c r="A13" t="s">
        <v>24</v>
      </c>
      <c r="B13">
        <v>1812.94</v>
      </c>
      <c r="C13">
        <v>50641.81</v>
      </c>
      <c r="D13">
        <v>1706.35</v>
      </c>
      <c r="E13">
        <v>48864.05</v>
      </c>
      <c r="F13">
        <v>-1</v>
      </c>
      <c r="G13">
        <v>10515.17</v>
      </c>
      <c r="H13">
        <v>-1</v>
      </c>
      <c r="I13">
        <v>17018.99</v>
      </c>
      <c r="J13">
        <v>-1</v>
      </c>
      <c r="K13">
        <v>19806.11</v>
      </c>
      <c r="L13">
        <v>-1</v>
      </c>
      <c r="M13">
        <v>5950.62</v>
      </c>
    </row>
    <row r="14" spans="1:13">
      <c r="A14" t="s">
        <v>25</v>
      </c>
      <c r="B14">
        <v>1816.63</v>
      </c>
      <c r="C14">
        <v>50424.14</v>
      </c>
      <c r="D14">
        <v>1715.43</v>
      </c>
      <c r="E14">
        <v>50812.89</v>
      </c>
      <c r="F14">
        <v>-1</v>
      </c>
      <c r="G14">
        <v>25897.68</v>
      </c>
      <c r="H14">
        <v>-1</v>
      </c>
      <c r="I14">
        <v>0</v>
      </c>
      <c r="J14">
        <v>-1</v>
      </c>
      <c r="K14">
        <v>25760.88</v>
      </c>
      <c r="L14">
        <v>-1</v>
      </c>
      <c r="M14">
        <v>3790.66</v>
      </c>
    </row>
    <row r="15" spans="1:13">
      <c r="A15" t="s">
        <v>26</v>
      </c>
      <c r="B15">
        <v>1869.98</v>
      </c>
      <c r="C15">
        <v>50944.44</v>
      </c>
      <c r="D15">
        <v>1769.4</v>
      </c>
      <c r="E15">
        <v>51094.16</v>
      </c>
      <c r="F15">
        <v>-1</v>
      </c>
      <c r="G15">
        <v>34361.48</v>
      </c>
      <c r="H15">
        <v>-1</v>
      </c>
      <c r="I15">
        <v>3804.56</v>
      </c>
      <c r="J15">
        <v>1877.87</v>
      </c>
      <c r="K15">
        <v>51162.44</v>
      </c>
      <c r="L15">
        <v>-1</v>
      </c>
      <c r="M15">
        <v>3388.24</v>
      </c>
    </row>
    <row r="16" spans="1:13">
      <c r="A16" t="s">
        <v>27</v>
      </c>
      <c r="B16">
        <v>1799.13</v>
      </c>
      <c r="C16">
        <v>49004.19</v>
      </c>
      <c r="D16">
        <v>1701.26</v>
      </c>
      <c r="E16">
        <v>49769.31</v>
      </c>
      <c r="F16">
        <v>-1</v>
      </c>
      <c r="G16">
        <v>617.79</v>
      </c>
      <c r="H16">
        <v>-1</v>
      </c>
      <c r="I16">
        <v>0</v>
      </c>
      <c r="J16">
        <v>-1</v>
      </c>
      <c r="K16">
        <v>564.19</v>
      </c>
      <c r="L16">
        <v>-1</v>
      </c>
      <c r="M16">
        <v>0</v>
      </c>
    </row>
    <row r="17" spans="1:13">
      <c r="A17" t="s">
        <v>28</v>
      </c>
      <c r="B17">
        <v>1883.51</v>
      </c>
      <c r="C17">
        <v>51625.87</v>
      </c>
      <c r="D17">
        <v>1787.71</v>
      </c>
      <c r="E17">
        <v>52592.2</v>
      </c>
      <c r="F17">
        <v>1960.16</v>
      </c>
      <c r="G17">
        <v>57807.1</v>
      </c>
      <c r="H17">
        <v>-1</v>
      </c>
      <c r="I17">
        <v>0</v>
      </c>
      <c r="J17">
        <v>-1</v>
      </c>
      <c r="K17">
        <v>31686.63</v>
      </c>
      <c r="L17">
        <v>-1</v>
      </c>
      <c r="M17">
        <v>0</v>
      </c>
    </row>
    <row r="18" spans="1:13">
      <c r="A18" t="s">
        <v>29</v>
      </c>
      <c r="B18">
        <v>1865.54</v>
      </c>
      <c r="C18">
        <v>50975.85</v>
      </c>
      <c r="D18">
        <v>1765.8</v>
      </c>
      <c r="E18">
        <v>52188.84</v>
      </c>
      <c r="F18">
        <v>1930.46</v>
      </c>
      <c r="G18">
        <v>57547.54</v>
      </c>
      <c r="H18">
        <v>-1</v>
      </c>
      <c r="I18">
        <v>0</v>
      </c>
      <c r="J18">
        <v>1886.47</v>
      </c>
      <c r="K18">
        <v>51190.47</v>
      </c>
      <c r="L18">
        <v>-1</v>
      </c>
      <c r="M18">
        <v>0</v>
      </c>
    </row>
    <row r="19" spans="1:13">
      <c r="A19" t="s">
        <v>30</v>
      </c>
      <c r="B19">
        <v>1846.11</v>
      </c>
      <c r="C19">
        <v>50052.39</v>
      </c>
      <c r="D19">
        <v>1745.68</v>
      </c>
      <c r="E19">
        <v>50544.02</v>
      </c>
      <c r="F19">
        <v>-1</v>
      </c>
      <c r="G19">
        <v>34083.86</v>
      </c>
      <c r="H19">
        <v>-1</v>
      </c>
      <c r="I19">
        <v>3886.28</v>
      </c>
      <c r="J19">
        <v>-1</v>
      </c>
      <c r="K19">
        <v>30879.34</v>
      </c>
      <c r="L19">
        <v>-1</v>
      </c>
      <c r="M19">
        <v>3527.64</v>
      </c>
    </row>
    <row r="20" spans="1:13">
      <c r="A20" t="s">
        <v>31</v>
      </c>
      <c r="B20">
        <v>1826.77</v>
      </c>
      <c r="C20">
        <v>49349.52</v>
      </c>
      <c r="D20">
        <v>1724.2</v>
      </c>
      <c r="E20">
        <v>49731.55</v>
      </c>
      <c r="F20">
        <v>-1</v>
      </c>
      <c r="G20">
        <v>4696.32</v>
      </c>
      <c r="H20">
        <v>-1</v>
      </c>
      <c r="I20">
        <v>10481.34</v>
      </c>
      <c r="J20">
        <v>-1</v>
      </c>
      <c r="K20">
        <v>1232.44</v>
      </c>
      <c r="L20">
        <v>-1</v>
      </c>
      <c r="M20">
        <v>4182.99</v>
      </c>
    </row>
    <row r="21" spans="1:13">
      <c r="A21" t="s">
        <v>32</v>
      </c>
      <c r="B21">
        <v>1876.36</v>
      </c>
      <c r="C21">
        <v>49211.79</v>
      </c>
      <c r="D21">
        <v>1775.91</v>
      </c>
      <c r="E21">
        <v>51825.9</v>
      </c>
      <c r="F21">
        <v>-1</v>
      </c>
      <c r="G21">
        <v>45257.59</v>
      </c>
      <c r="H21">
        <v>-1</v>
      </c>
      <c r="I21">
        <v>15442.31</v>
      </c>
      <c r="J21">
        <v>-1</v>
      </c>
      <c r="K21">
        <v>1737.76</v>
      </c>
      <c r="L21">
        <v>-1</v>
      </c>
      <c r="M21">
        <v>0</v>
      </c>
    </row>
    <row r="22" spans="1:13">
      <c r="A22" t="s">
        <v>33</v>
      </c>
      <c r="B22">
        <v>1901.58</v>
      </c>
      <c r="C22">
        <v>51000.46</v>
      </c>
      <c r="D22">
        <v>1798.84</v>
      </c>
      <c r="E22">
        <v>51628.67</v>
      </c>
      <c r="F22">
        <v>-1</v>
      </c>
      <c r="G22">
        <v>0</v>
      </c>
      <c r="H22">
        <v>-1</v>
      </c>
      <c r="I22">
        <v>0</v>
      </c>
      <c r="J22">
        <v>-1</v>
      </c>
      <c r="K22">
        <v>876.25</v>
      </c>
      <c r="L22">
        <v>-1</v>
      </c>
      <c r="M22">
        <v>0</v>
      </c>
    </row>
    <row r="23" spans="1:13">
      <c r="A23" t="s">
        <v>34</v>
      </c>
      <c r="B23">
        <v>1879.27</v>
      </c>
      <c r="C23">
        <v>50815.33</v>
      </c>
      <c r="D23">
        <v>1772.64</v>
      </c>
      <c r="E23">
        <v>50613.19</v>
      </c>
      <c r="F23">
        <v>-1</v>
      </c>
      <c r="G23">
        <v>0</v>
      </c>
      <c r="H23">
        <v>-1</v>
      </c>
      <c r="I23">
        <v>27356.42</v>
      </c>
      <c r="J23">
        <v>-1</v>
      </c>
      <c r="K23">
        <v>0</v>
      </c>
      <c r="L23">
        <v>-1</v>
      </c>
      <c r="M23">
        <v>9407.23</v>
      </c>
    </row>
    <row r="24" spans="1:13">
      <c r="A24" t="s">
        <v>35</v>
      </c>
      <c r="B24">
        <v>1828.68</v>
      </c>
      <c r="C24">
        <v>51725.32</v>
      </c>
      <c r="D24">
        <v>1765.24</v>
      </c>
      <c r="E24">
        <v>49985.61</v>
      </c>
      <c r="F24">
        <v>-1</v>
      </c>
      <c r="G24">
        <v>27198.29</v>
      </c>
      <c r="H24">
        <v>-1</v>
      </c>
      <c r="I24">
        <v>4091.39</v>
      </c>
      <c r="J24">
        <v>-1</v>
      </c>
      <c r="K24">
        <v>3620.3</v>
      </c>
      <c r="L24">
        <v>-1</v>
      </c>
      <c r="M24">
        <v>0</v>
      </c>
    </row>
    <row r="25" spans="1:13">
      <c r="A25" t="s">
        <v>36</v>
      </c>
      <c r="B25">
        <v>1778.6</v>
      </c>
      <c r="C25">
        <v>49246.23</v>
      </c>
      <c r="D25">
        <v>1671.2</v>
      </c>
      <c r="E25">
        <v>47817.2</v>
      </c>
      <c r="F25">
        <v>-1</v>
      </c>
      <c r="G25">
        <v>0</v>
      </c>
      <c r="H25">
        <v>-1</v>
      </c>
      <c r="I25">
        <v>7905.73</v>
      </c>
      <c r="J25">
        <v>-1</v>
      </c>
      <c r="K25">
        <v>1589.06</v>
      </c>
      <c r="L25">
        <v>-1</v>
      </c>
      <c r="M25">
        <v>7136.66</v>
      </c>
    </row>
    <row r="26" spans="1:13">
      <c r="A26" t="s">
        <v>37</v>
      </c>
      <c r="B26">
        <v>1839.05</v>
      </c>
      <c r="C26">
        <v>50918.53</v>
      </c>
      <c r="D26">
        <v>1733.03</v>
      </c>
      <c r="E26">
        <v>47398.73</v>
      </c>
      <c r="F26">
        <v>-1</v>
      </c>
      <c r="G26">
        <v>45752.59</v>
      </c>
      <c r="H26">
        <v>-1</v>
      </c>
      <c r="I26">
        <v>3426.88</v>
      </c>
      <c r="J26">
        <v>1913.97</v>
      </c>
      <c r="K26">
        <v>51151.64</v>
      </c>
      <c r="L26">
        <v>-1</v>
      </c>
      <c r="M26">
        <v>0</v>
      </c>
    </row>
    <row r="28" spans="1:42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</row>
    <row r="29" spans="1:42">
      <c r="A29" s="5">
        <f>IFERROR(AVERAGEIF($B$2:$B$26,"&lt;&gt; -1"),0)</f>
        <v>1855.8044</v>
      </c>
      <c r="B29" s="5">
        <f>IFERROR(AVERAGEIF($D$2:$D$26,"&lt;&gt; -1"),0)</f>
        <v>1755.254</v>
      </c>
      <c r="C29" s="5">
        <f>IFERROR(AVERAGEIF($F$2:$F$26,"&lt;&gt; -1"),0)</f>
        <v>1943.75</v>
      </c>
      <c r="D29" s="5">
        <f>IFERROR(AVERAGEIF($H$2:$H$26,"&lt;&gt; -1"),0)</f>
        <v>0</v>
      </c>
      <c r="E29" s="5">
        <f>IFERROR(AVERAGEIF($J$2:$J$26,"&lt;&gt; -1"),0)</f>
        <v>1891.43625</v>
      </c>
      <c r="F29" s="5">
        <f>IFERROR(AVERAGEIF($L$2:$L$26,"&lt;&gt; -1"),0)</f>
        <v>0</v>
      </c>
      <c r="G29" s="5">
        <f>IFERROR(AVERAGEIFS($C$2:$C$26,$B$2:$B$26,"&lt;&gt; -1"),0)</f>
        <v>50478.2524</v>
      </c>
      <c r="H29" s="5">
        <f>IFERROR(AVERAGEIFS($E$2:$E$26,$D$2:$D$26,"&lt;&gt; -1"),0)</f>
        <v>50429.024</v>
      </c>
      <c r="I29" s="5">
        <f>IFERROR(AVERAGEIFS($G$2:$G$26,$F$2:$F$26,"&lt;&gt; -1"),0)</f>
        <v>57373.7966666667</v>
      </c>
      <c r="J29" s="5">
        <f>IFERROR(AVERAGEIFS($I$2:$I$26,$H$2:$H$26,"&lt;&gt; -1"),0)</f>
        <v>0</v>
      </c>
      <c r="K29" s="5">
        <f>IFERROR(AVERAGEIFS($K$2:$K$26,$J$2:$J$26,"&lt;&gt; -1"),0)</f>
        <v>50954.60875</v>
      </c>
      <c r="L29" s="5">
        <f>IFERROR(AVERAGEIFS($M$2:$M$26,$L$2:$L$26,"&lt;&gt; -1"),0)</f>
        <v>0</v>
      </c>
      <c r="M29" s="5">
        <f>IFERROR(_xlfn.MAXIFS($B$2:$B$26,$B$2:$B$26,"&lt;&gt; -1"),0)</f>
        <v>1923.21</v>
      </c>
      <c r="N29" s="5">
        <f>IFERROR(_xlfn.MAXIFS($D$2:$D$26,$D$2:$D$26,"&lt;&gt;-1"),0)</f>
        <v>1822.55</v>
      </c>
      <c r="O29" s="5">
        <f>IFERROR(_xlfn.MAXIFS($F$2:$F$26,$F$2:$F$26,"&lt;&gt; -1"),0)</f>
        <v>1960.16</v>
      </c>
      <c r="P29" s="5">
        <f>IFERROR(_xlfn.MAXIFS($H$2:$H$26,$H$2:$H$26,"&lt;&gt; -1"),0)</f>
        <v>0</v>
      </c>
      <c r="Q29" s="5">
        <f>IFERROR(_xlfn.MAXIFS($J$2:$J$26,$J$2:$J$26,"&lt;&gt; -1"),0)</f>
        <v>1916.13</v>
      </c>
      <c r="R29" s="5">
        <f>IFERROR(_xlfn.MAXIFS($L$2:$L$26,$L$2:$L$26,"&lt;&gt; -1"),0)</f>
        <v>0</v>
      </c>
      <c r="S29" s="5">
        <f>IFERROR(_xlfn.MINIFS($B$2:$B$26,$B$2:$B$26,"&lt;&gt; -1"),0)</f>
        <v>1778.6</v>
      </c>
      <c r="T29" s="5">
        <f>IFERROR(_xlfn.MINIFS($D$2:$D$26,$D$2:$D$26,"&lt;&gt;-1"),0)</f>
        <v>1671.2</v>
      </c>
      <c r="U29" s="5">
        <f>IFERROR(_xlfn.MINIFS($F$2:$F$26,$F$2:$F$26,"&lt;&gt; -1"),0)</f>
        <v>1930.46</v>
      </c>
      <c r="V29" s="5">
        <f>IFERROR(_xlfn.MINIFS($H$2:$H$26,$H$2:$H$26,"&lt;&gt; -1"),0)</f>
        <v>0</v>
      </c>
      <c r="W29" s="5">
        <f>IFERROR(_xlfn.MINIFS($J$2:$J$26,$J$2:$J$26,"&lt;&gt; -1"),0)</f>
        <v>1862.98</v>
      </c>
      <c r="X29" s="5">
        <f>IFERROR(_xlfn.MINIFS($L$2:$L$26,$L$2:$L$26,"&lt;&gt; -1"),0)</f>
        <v>0</v>
      </c>
      <c r="Y29" s="5">
        <f>IFERROR(_xlfn.MAXIFS($C$2:$C$26,$B$2:$B$26,"&lt;&gt; -1"),0)</f>
        <v>51999.48</v>
      </c>
      <c r="Z29" s="5">
        <f>IFERROR(_xlfn.MAXIFS($E$2:$E$26,$D$2:$D$26,"&lt;&gt; -1"),0)</f>
        <v>52739.57</v>
      </c>
      <c r="AA29" s="5">
        <f>IFERROR(_xlfn.MAXIFS($G$2:$G$26,$F$2:$F$26,"&lt;&gt; -1"),0)</f>
        <v>57807.1</v>
      </c>
      <c r="AB29" s="5">
        <f>IFERROR(_xlfn.MAXIFS($I$2:$I$26,$H$2:$H$26,"&lt;&gt; -1"),0)</f>
        <v>0</v>
      </c>
      <c r="AC29" s="5">
        <f>IFERROR(_xlfn.MAXIFS($K$2:$K$26,$J$2:$J$26,"&lt;&gt; -1"),0)</f>
        <v>51193.3</v>
      </c>
      <c r="AD29" s="5">
        <f>IFERROR(_xlfn.MAXIFS($M$2:$M$26,$L$2:$L$26,"&lt;&gt; -1"),0)</f>
        <v>0</v>
      </c>
      <c r="AE29" s="5">
        <f>IFERROR(_xlfn.MINIFS($C$2:$C$26,$B$2:$B$26,"&lt;&gt; -1"),0)</f>
        <v>48902.02</v>
      </c>
      <c r="AF29" s="5">
        <f>IFERROR(_xlfn.MINIFS($E$2:$E$26,$D$2:$D$26,"&lt;&gt; -1"),0)</f>
        <v>47398.73</v>
      </c>
      <c r="AG29" s="5">
        <f>IFERROR(_xlfn.MINIFS($G$2:$G$26,$F$2:$F$26,"&lt;&gt; -1"),0)</f>
        <v>56766.75</v>
      </c>
      <c r="AH29" s="5">
        <f>IFERROR(_xlfn.MINIFS($I$2:$I$26,$H$2:$H$26,"&lt;&gt; -1"),0)</f>
        <v>0</v>
      </c>
      <c r="AI29" s="5">
        <f>IFERROR(_xlfn.MINIFS($K$2:$K$26,$J$2:$J$26,"&lt;&gt; -1"),0)</f>
        <v>50139.16</v>
      </c>
      <c r="AJ29" s="5">
        <f>IFERROR(_xlfn.MINIFS($M$2:$M$26,$L$2:$L$26,"&lt;&gt; -1"),0)</f>
        <v>0</v>
      </c>
      <c r="AK29" s="5">
        <f>(COUNTIFS($B$2:$B$26,"&gt;0.0",$B$2:$B$26,"&lt;2100.0"))/25</f>
        <v>1</v>
      </c>
      <c r="AL29" s="5">
        <f>(COUNTIFS($D$2:$D$26,"&gt;0.0",$D$2:$D$26,"&lt;2100.0"))/25</f>
        <v>1</v>
      </c>
      <c r="AM29" s="5">
        <f>(COUNTIFS($F$2:$F$26,"&gt;0.0",$F$2:$F$26,"&lt;2100.0"))/25</f>
        <v>0.12</v>
      </c>
      <c r="AN29" s="5">
        <f>(COUNTIFS($H$2:$H26,"&gt;0.0",$H$2:$H$26,"&lt;2100.0"))/25</f>
        <v>0</v>
      </c>
      <c r="AO29" s="5">
        <f>(COUNTIFS($J$2:$J$26,"&gt;0.0",$J$2:$J$26,"&lt;2100.0"))/25</f>
        <v>0.32</v>
      </c>
      <c r="AP29" s="5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2054.47</v>
      </c>
      <c r="C2">
        <v>50216.03</v>
      </c>
      <c r="D2">
        <v>1933.74</v>
      </c>
      <c r="E2">
        <v>51307.33</v>
      </c>
      <c r="F2">
        <v>-1</v>
      </c>
      <c r="G2">
        <v>0</v>
      </c>
      <c r="H2">
        <v>-1</v>
      </c>
      <c r="I2">
        <v>3598.74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2041.79</v>
      </c>
      <c r="C3">
        <v>50939.63</v>
      </c>
      <c r="D3">
        <v>1918.45</v>
      </c>
      <c r="E3">
        <v>50832.97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1998.17</v>
      </c>
      <c r="C4">
        <v>50188.31</v>
      </c>
      <c r="D4">
        <v>1882.64</v>
      </c>
      <c r="E4">
        <v>51732.57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1997.65</v>
      </c>
      <c r="C5">
        <v>48892.2</v>
      </c>
      <c r="D5">
        <v>1875.08</v>
      </c>
      <c r="E5">
        <v>50175.37</v>
      </c>
      <c r="F5">
        <v>-1</v>
      </c>
      <c r="G5">
        <v>0</v>
      </c>
      <c r="H5">
        <v>-1</v>
      </c>
      <c r="I5">
        <v>28519.38</v>
      </c>
      <c r="J5">
        <v>-1</v>
      </c>
      <c r="K5">
        <v>0</v>
      </c>
      <c r="L5">
        <v>-1</v>
      </c>
      <c r="M5">
        <v>2350.9</v>
      </c>
    </row>
    <row r="6" spans="1:13">
      <c r="A6" t="s">
        <v>17</v>
      </c>
      <c r="B6">
        <v>1963.1</v>
      </c>
      <c r="C6">
        <v>50394.76</v>
      </c>
      <c r="D6">
        <v>1842.38</v>
      </c>
      <c r="E6">
        <v>50174.69</v>
      </c>
      <c r="F6">
        <v>-1</v>
      </c>
      <c r="G6">
        <v>8468.54</v>
      </c>
      <c r="H6">
        <v>-1</v>
      </c>
      <c r="I6">
        <v>5042.75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2033</v>
      </c>
      <c r="C7">
        <v>51138.38</v>
      </c>
      <c r="D7">
        <v>1917.51</v>
      </c>
      <c r="E7">
        <v>49955.06</v>
      </c>
      <c r="F7">
        <v>-1</v>
      </c>
      <c r="G7">
        <v>8135.08</v>
      </c>
      <c r="H7">
        <v>-1</v>
      </c>
      <c r="I7">
        <v>4088.87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1950.61</v>
      </c>
      <c r="C8">
        <v>50758.05</v>
      </c>
      <c r="D8">
        <v>1832.79</v>
      </c>
      <c r="E8">
        <v>48786.43</v>
      </c>
      <c r="F8">
        <v>-1</v>
      </c>
      <c r="G8">
        <v>0</v>
      </c>
      <c r="H8">
        <v>-1</v>
      </c>
      <c r="I8">
        <v>22991.92</v>
      </c>
      <c r="J8">
        <v>-1</v>
      </c>
      <c r="K8">
        <v>0</v>
      </c>
      <c r="L8">
        <v>-1</v>
      </c>
      <c r="M8">
        <v>3218.94</v>
      </c>
    </row>
    <row r="9" spans="1:13">
      <c r="A9" t="s">
        <v>20</v>
      </c>
      <c r="B9">
        <v>2032.12</v>
      </c>
      <c r="C9">
        <v>52026.14</v>
      </c>
      <c r="D9">
        <v>1914.91</v>
      </c>
      <c r="E9">
        <v>52435.58</v>
      </c>
      <c r="F9">
        <v>-1</v>
      </c>
      <c r="G9">
        <v>0</v>
      </c>
      <c r="H9">
        <v>-1</v>
      </c>
      <c r="I9">
        <v>2795.33</v>
      </c>
      <c r="J9">
        <v>-1</v>
      </c>
      <c r="K9">
        <v>0</v>
      </c>
      <c r="L9">
        <v>-1</v>
      </c>
      <c r="M9">
        <v>2536.88</v>
      </c>
    </row>
    <row r="10" spans="1:13">
      <c r="A10" t="s">
        <v>21</v>
      </c>
      <c r="B10">
        <v>2004.46</v>
      </c>
      <c r="C10">
        <v>50194.83</v>
      </c>
      <c r="D10">
        <v>1888.27</v>
      </c>
      <c r="E10">
        <v>47670.32</v>
      </c>
      <c r="F10">
        <v>-1</v>
      </c>
      <c r="G10">
        <v>9446.92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1980.51</v>
      </c>
      <c r="C11">
        <v>50661.1</v>
      </c>
      <c r="D11">
        <v>1859.09</v>
      </c>
      <c r="E11">
        <v>49595.59</v>
      </c>
      <c r="F11">
        <v>-1</v>
      </c>
      <c r="G11">
        <v>10213.65</v>
      </c>
      <c r="H11">
        <v>-1</v>
      </c>
      <c r="I11">
        <v>15432.9</v>
      </c>
      <c r="J11">
        <v>-1</v>
      </c>
      <c r="K11">
        <v>0</v>
      </c>
      <c r="L11">
        <v>-1</v>
      </c>
      <c r="M11">
        <v>39074.68</v>
      </c>
    </row>
    <row r="12" spans="1:13">
      <c r="A12" t="s">
        <v>23</v>
      </c>
      <c r="B12">
        <v>2031.03</v>
      </c>
      <c r="C12">
        <v>52028.27</v>
      </c>
      <c r="D12">
        <v>1911.99</v>
      </c>
      <c r="E12">
        <v>51880.23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1961.64</v>
      </c>
      <c r="C13">
        <v>50052.67</v>
      </c>
      <c r="D13">
        <v>1840.37</v>
      </c>
      <c r="E13">
        <v>49100.5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2487.96</v>
      </c>
    </row>
    <row r="14" spans="1:13">
      <c r="A14" t="s">
        <v>25</v>
      </c>
      <c r="B14">
        <v>2013.41</v>
      </c>
      <c r="C14">
        <v>50888.1</v>
      </c>
      <c r="D14">
        <v>1899.77</v>
      </c>
      <c r="E14">
        <v>51409.24</v>
      </c>
      <c r="F14">
        <v>-1</v>
      </c>
      <c r="G14">
        <v>0</v>
      </c>
      <c r="H14">
        <v>-1</v>
      </c>
      <c r="I14">
        <v>5134.04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2015.59</v>
      </c>
      <c r="C15">
        <v>50835.88</v>
      </c>
      <c r="D15">
        <v>1898.61</v>
      </c>
      <c r="E15">
        <v>51358.53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4013.84</v>
      </c>
    </row>
    <row r="16" spans="1:13">
      <c r="A16" t="s">
        <v>27</v>
      </c>
      <c r="B16">
        <v>1942.56</v>
      </c>
      <c r="C16">
        <v>49596.73</v>
      </c>
      <c r="D16">
        <v>1827.7</v>
      </c>
      <c r="E16">
        <v>49667.94</v>
      </c>
      <c r="F16">
        <v>-1</v>
      </c>
      <c r="G16">
        <v>0</v>
      </c>
      <c r="H16">
        <v>-1</v>
      </c>
      <c r="I16">
        <v>3752.63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1984.9</v>
      </c>
      <c r="C17">
        <v>52502.68</v>
      </c>
      <c r="D17">
        <v>1872.46</v>
      </c>
      <c r="E17">
        <v>51152.33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1993.19</v>
      </c>
      <c r="C18">
        <v>51696.08</v>
      </c>
      <c r="D18">
        <v>1876.64</v>
      </c>
      <c r="E18">
        <v>47988.31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2038.12</v>
      </c>
      <c r="C19">
        <v>49174.3</v>
      </c>
      <c r="D19">
        <v>1913.21</v>
      </c>
      <c r="E19">
        <v>50211.22</v>
      </c>
      <c r="F19">
        <v>-1</v>
      </c>
      <c r="G19">
        <v>0</v>
      </c>
      <c r="H19">
        <v>-1</v>
      </c>
      <c r="I19">
        <v>28872.19</v>
      </c>
      <c r="J19">
        <v>-1</v>
      </c>
      <c r="K19">
        <v>0</v>
      </c>
      <c r="L19">
        <v>-1</v>
      </c>
      <c r="M19">
        <v>5351</v>
      </c>
    </row>
    <row r="20" spans="1:13">
      <c r="A20" t="s">
        <v>31</v>
      </c>
      <c r="B20">
        <v>2025.29</v>
      </c>
      <c r="C20">
        <v>47816.72</v>
      </c>
      <c r="D20">
        <v>1907.79</v>
      </c>
      <c r="E20">
        <v>50958.82</v>
      </c>
      <c r="F20">
        <v>-1</v>
      </c>
      <c r="G20">
        <v>0</v>
      </c>
      <c r="H20">
        <v>-1</v>
      </c>
      <c r="I20">
        <v>0</v>
      </c>
      <c r="J20">
        <v>-1</v>
      </c>
      <c r="K20">
        <v>7113.61</v>
      </c>
      <c r="L20">
        <v>-1</v>
      </c>
      <c r="M20">
        <v>0</v>
      </c>
    </row>
    <row r="21" spans="1:13">
      <c r="A21" t="s">
        <v>32</v>
      </c>
      <c r="B21">
        <v>2014.69</v>
      </c>
      <c r="C21">
        <v>50621.34</v>
      </c>
      <c r="D21">
        <v>1899.73</v>
      </c>
      <c r="E21">
        <v>51117.9</v>
      </c>
      <c r="F21">
        <v>-1</v>
      </c>
      <c r="G21">
        <v>0</v>
      </c>
      <c r="H21">
        <v>-1</v>
      </c>
      <c r="I21">
        <v>3968.98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2010.19</v>
      </c>
      <c r="C22">
        <v>52032.72</v>
      </c>
      <c r="D22">
        <v>1890.42</v>
      </c>
      <c r="E22">
        <v>51299.99</v>
      </c>
      <c r="F22">
        <v>-1</v>
      </c>
      <c r="G22">
        <v>0</v>
      </c>
      <c r="H22">
        <v>-1</v>
      </c>
      <c r="I22">
        <v>9113.87</v>
      </c>
      <c r="J22">
        <v>-1</v>
      </c>
      <c r="K22">
        <v>0</v>
      </c>
      <c r="L22">
        <v>-1</v>
      </c>
      <c r="M22">
        <v>6717.21</v>
      </c>
    </row>
    <row r="23" spans="1:13">
      <c r="A23" t="s">
        <v>34</v>
      </c>
      <c r="B23">
        <v>1967.55</v>
      </c>
      <c r="C23">
        <v>50587.04</v>
      </c>
      <c r="D23">
        <v>1846.45</v>
      </c>
      <c r="E23">
        <v>49926.53</v>
      </c>
      <c r="F23">
        <v>-1</v>
      </c>
      <c r="G23">
        <v>0</v>
      </c>
      <c r="H23">
        <v>-1</v>
      </c>
      <c r="I23">
        <v>0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2011.12</v>
      </c>
      <c r="C24">
        <v>51325.81</v>
      </c>
      <c r="D24">
        <v>1887.52</v>
      </c>
      <c r="E24">
        <v>52342.7</v>
      </c>
      <c r="F24">
        <v>-1</v>
      </c>
      <c r="G24">
        <v>0</v>
      </c>
      <c r="H24">
        <v>-1</v>
      </c>
      <c r="I24">
        <v>52437.68</v>
      </c>
      <c r="J24">
        <v>-1</v>
      </c>
      <c r="K24">
        <v>0</v>
      </c>
      <c r="L24">
        <v>-1</v>
      </c>
      <c r="M24">
        <v>30338.17</v>
      </c>
    </row>
    <row r="25" spans="1:13">
      <c r="A25" t="s">
        <v>36</v>
      </c>
      <c r="B25">
        <v>1931.23</v>
      </c>
      <c r="C25">
        <v>48047.29</v>
      </c>
      <c r="D25">
        <v>1816.61</v>
      </c>
      <c r="E25">
        <v>49835.1</v>
      </c>
      <c r="F25">
        <v>-1</v>
      </c>
      <c r="G25">
        <v>0</v>
      </c>
      <c r="H25">
        <v>-1</v>
      </c>
      <c r="I25">
        <v>4569.54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1962.45</v>
      </c>
      <c r="C26">
        <v>51318.15</v>
      </c>
      <c r="D26">
        <v>1843.82</v>
      </c>
      <c r="E26">
        <v>51052.75</v>
      </c>
      <c r="F26">
        <v>-1</v>
      </c>
      <c r="G26">
        <v>0</v>
      </c>
      <c r="H26">
        <v>-1</v>
      </c>
      <c r="I26">
        <v>35972.11</v>
      </c>
      <c r="J26">
        <v>-1</v>
      </c>
      <c r="K26">
        <v>0</v>
      </c>
      <c r="L26">
        <v>-1</v>
      </c>
      <c r="M26">
        <v>14559.2</v>
      </c>
    </row>
    <row r="28" spans="1:42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</row>
    <row r="29" spans="1:42">
      <c r="A29" s="5">
        <f>IFERROR(AVERAGEIF($B$2:$B$26,"&lt;&gt; -1"),0)</f>
        <v>1998.3536</v>
      </c>
      <c r="B29" s="5">
        <f>IFERROR(AVERAGEIF($D$2:$D$26,"&lt;&gt; -1"),0)</f>
        <v>1879.918</v>
      </c>
      <c r="C29" s="5">
        <f>IFERROR(AVERAGEIF($F$2:$F$26,"&lt;&gt; -1"),0)</f>
        <v>0</v>
      </c>
      <c r="D29" s="5">
        <f>IFERROR(AVERAGEIF($H$2:$H$26,"&lt;&gt; -1"),0)</f>
        <v>0</v>
      </c>
      <c r="E29" s="5">
        <f>IFERROR(AVERAGEIF($J$2:$J$26,"&lt;&gt; -1"),0)</f>
        <v>0</v>
      </c>
      <c r="F29" s="5">
        <f>IFERROR(AVERAGEIF($L$2:$L$26,"&lt;&gt; -1"),0)</f>
        <v>0</v>
      </c>
      <c r="G29" s="5">
        <f>IFERROR(AVERAGEIFS($C$2:$C$26,$B$2:$B$26,"&lt;&gt; -1"),0)</f>
        <v>50557.3284</v>
      </c>
      <c r="H29" s="5">
        <f>IFERROR(AVERAGEIFS($E$2:$E$26,$D$2:$D$26,"&lt;&gt; -1"),0)</f>
        <v>50478.72</v>
      </c>
      <c r="I29" s="5">
        <f>IFERROR(AVERAGEIFS($G$2:$G$26,$F$2:$F$26,"&lt;&gt; -1"),0)</f>
        <v>0</v>
      </c>
      <c r="J29" s="5">
        <f>IFERROR(AVERAGEIFS($I$2:$I$26,$H$2:$H$26,"&lt;&gt; -1"),0)</f>
        <v>0</v>
      </c>
      <c r="K29" s="5">
        <f>IFERROR(AVERAGEIFS($K$2:$K$26,$J$2:$J$26,"&lt;&gt; -1"),0)</f>
        <v>0</v>
      </c>
      <c r="L29" s="5">
        <f>IFERROR(AVERAGEIFS($M$2:$M$26,$L$2:$L$26,"&lt;&gt; -1"),0)</f>
        <v>0</v>
      </c>
      <c r="M29" s="5">
        <f>IFERROR(_xlfn.MAXIFS($B$2:$B$26,$B$2:$B$26,"&lt;&gt; -1"),0)</f>
        <v>2054.47</v>
      </c>
      <c r="N29" s="5">
        <f>IFERROR(_xlfn.MAXIFS($D$2:$D$26,$D$2:$D$26,"&lt;&gt;-1"),0)</f>
        <v>1933.74</v>
      </c>
      <c r="O29" s="5">
        <f>IFERROR(_xlfn.MAXIFS($F$2:$F$26,$F$2:$F$26,"&lt;&gt; -1"),0)</f>
        <v>0</v>
      </c>
      <c r="P29" s="5">
        <f>IFERROR(_xlfn.MAXIFS($H$2:$H$26,$H$2:$H$26,"&lt;&gt; -1"),0)</f>
        <v>0</v>
      </c>
      <c r="Q29" s="5">
        <f>IFERROR(_xlfn.MAXIFS($J$2:$J$26,$J$2:$J$26,"&lt;&gt; -1"),0)</f>
        <v>0</v>
      </c>
      <c r="R29" s="5">
        <f>IFERROR(_xlfn.MAXIFS($L$2:$L$26,$L$2:$L$26,"&lt;&gt; -1"),0)</f>
        <v>0</v>
      </c>
      <c r="S29" s="5">
        <f>IFERROR(_xlfn.MINIFS($B$2:$B$26,$B$2:$B$26,"&lt;&gt; -1"),0)</f>
        <v>1931.23</v>
      </c>
      <c r="T29" s="5">
        <f>IFERROR(_xlfn.MINIFS($D$2:$D$26,$D$2:$D$26,"&lt;&gt;-1"),0)</f>
        <v>1816.61</v>
      </c>
      <c r="U29" s="5">
        <f>IFERROR(_xlfn.MINIFS($F$2:$F$26,$F$2:$F$26,"&lt;&gt; -1"),0)</f>
        <v>0</v>
      </c>
      <c r="V29" s="5">
        <f>IFERROR(_xlfn.MINIFS($H$2:$H$26,$H$2:$H$26,"&lt;&gt; -1"),0)</f>
        <v>0</v>
      </c>
      <c r="W29" s="5">
        <f>IFERROR(_xlfn.MINIFS($J$2:$J$26,$J$2:$J$26,"&lt;&gt; -1"),0)</f>
        <v>0</v>
      </c>
      <c r="X29" s="5">
        <f>IFERROR(_xlfn.MINIFS($L$2:$L$26,$L$2:$L$26,"&lt;&gt; -1"),0)</f>
        <v>0</v>
      </c>
      <c r="Y29" s="5">
        <f>IFERROR(_xlfn.MAXIFS($C$2:$C$26,$B$2:$B$26,"&lt;&gt; -1"),0)</f>
        <v>52502.68</v>
      </c>
      <c r="Z29" s="5">
        <f>IFERROR(_xlfn.MAXIFS($E$2:$E$26,$D$2:$D$26,"&lt;&gt; -1"),0)</f>
        <v>52435.58</v>
      </c>
      <c r="AA29" s="5">
        <f>IFERROR(_xlfn.MAXIFS($G$2:$G$26,$F$2:$F$26,"&lt;&gt; -1"),0)</f>
        <v>0</v>
      </c>
      <c r="AB29" s="5">
        <f>IFERROR(_xlfn.MAXIFS($I$2:$I$26,$H$2:$H$26,"&lt;&gt; -1"),0)</f>
        <v>0</v>
      </c>
      <c r="AC29" s="5">
        <f>IFERROR(_xlfn.MAXIFS($K$2:$K$26,$J$2:$J$26,"&lt;&gt; -1"),0)</f>
        <v>0</v>
      </c>
      <c r="AD29" s="5">
        <f>IFERROR(_xlfn.MAXIFS($M$2:$M$26,$L$2:$L$26,"&lt;&gt; -1"),0)</f>
        <v>0</v>
      </c>
      <c r="AE29" s="5">
        <f>IFERROR(_xlfn.MINIFS($C$2:$C$26,$B$2:$B$26,"&lt;&gt; -1"),0)</f>
        <v>47816.72</v>
      </c>
      <c r="AF29" s="5">
        <f>IFERROR(_xlfn.MINIFS($E$2:$E$26,$D$2:$D$26,"&lt;&gt; -1"),0)</f>
        <v>47670.32</v>
      </c>
      <c r="AG29" s="5">
        <f>IFERROR(_xlfn.MINIFS($G$2:$G$26,$F$2:$F$26,"&lt;&gt; -1"),0)</f>
        <v>0</v>
      </c>
      <c r="AH29" s="5">
        <f>IFERROR(_xlfn.MINIFS($I$2:$I$26,$H$2:$H$26,"&lt;&gt; -1"),0)</f>
        <v>0</v>
      </c>
      <c r="AI29" s="5">
        <f>IFERROR(_xlfn.MINIFS($K$2:$K$26,$J$2:$J$26,"&lt;&gt; -1"),0)</f>
        <v>0</v>
      </c>
      <c r="AJ29" s="5">
        <f>IFERROR(_xlfn.MINIFS($M$2:$M$26,$L$2:$L$26,"&lt;&gt; -1"),0)</f>
        <v>0</v>
      </c>
      <c r="AK29" s="5">
        <f>(COUNTIFS($B$2:$B$26,"&gt;0.0",$B$2:$B$26,"&lt;2100.0"))/25</f>
        <v>1</v>
      </c>
      <c r="AL29" s="5">
        <f>(COUNTIFS($D$2:$D$26,"&gt;0.0",$D$2:$D$26,"&lt;2100.0"))/25</f>
        <v>1</v>
      </c>
      <c r="AM29" s="5">
        <f>(COUNTIFS($F$2:$F$26,"&gt;0.0",$F$2:$F$26,"&lt;2100.0"))/25</f>
        <v>0</v>
      </c>
      <c r="AN29" s="5">
        <f>(COUNTIFS($H$2:$H26,"&gt;0.0",$H$2:$H$26,"&lt;2100.0"))/25</f>
        <v>0</v>
      </c>
      <c r="AO29" s="5">
        <f>(COUNTIFS($J$2:$J$26,"&gt;0.0",$J$2:$J$26,"&lt;2100.0"))/25</f>
        <v>0</v>
      </c>
      <c r="AP29" s="5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2125.94</v>
      </c>
      <c r="C2">
        <v>49294.41</v>
      </c>
      <c r="D2">
        <v>2014.37</v>
      </c>
      <c r="E2">
        <v>50483.43</v>
      </c>
      <c r="F2">
        <v>-1</v>
      </c>
      <c r="G2">
        <v>0</v>
      </c>
      <c r="H2">
        <v>-1</v>
      </c>
      <c r="I2">
        <v>41248.64</v>
      </c>
      <c r="J2">
        <v>-1</v>
      </c>
      <c r="K2">
        <v>0</v>
      </c>
      <c r="L2">
        <v>-1</v>
      </c>
      <c r="M2">
        <v>18382.22</v>
      </c>
    </row>
    <row r="3" spans="1:13">
      <c r="A3" t="s">
        <v>14</v>
      </c>
      <c r="B3">
        <v>2176.28</v>
      </c>
      <c r="C3">
        <v>50683.02</v>
      </c>
      <c r="D3">
        <v>2064.7</v>
      </c>
      <c r="E3">
        <v>49724.74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2148.54</v>
      </c>
      <c r="C4">
        <v>50641.88</v>
      </c>
      <c r="D4">
        <v>2040.85</v>
      </c>
      <c r="E4">
        <v>50965.26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2124.75</v>
      </c>
      <c r="C5">
        <v>48804.66</v>
      </c>
      <c r="D5">
        <v>2018.46</v>
      </c>
      <c r="E5">
        <v>49881.77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2146.84</v>
      </c>
      <c r="C6">
        <v>51262.06</v>
      </c>
      <c r="D6">
        <v>2029.52</v>
      </c>
      <c r="E6">
        <v>51521.19</v>
      </c>
      <c r="F6">
        <v>-1</v>
      </c>
      <c r="G6">
        <v>0</v>
      </c>
      <c r="H6">
        <v>-1</v>
      </c>
      <c r="I6">
        <v>25772.84</v>
      </c>
      <c r="J6">
        <v>-1</v>
      </c>
      <c r="K6">
        <v>0</v>
      </c>
      <c r="L6">
        <v>-1</v>
      </c>
      <c r="M6">
        <v>4484.33</v>
      </c>
    </row>
    <row r="7" spans="1:13">
      <c r="A7" t="s">
        <v>18</v>
      </c>
      <c r="B7">
        <v>2211.67</v>
      </c>
      <c r="C7">
        <v>50522.22</v>
      </c>
      <c r="D7">
        <v>2093.73</v>
      </c>
      <c r="E7">
        <v>51681.77</v>
      </c>
      <c r="F7">
        <v>-1</v>
      </c>
      <c r="G7">
        <v>0</v>
      </c>
      <c r="H7">
        <v>-1</v>
      </c>
      <c r="I7">
        <v>5684.32</v>
      </c>
      <c r="J7">
        <v>-1</v>
      </c>
      <c r="K7">
        <v>0</v>
      </c>
      <c r="L7">
        <v>-1</v>
      </c>
      <c r="M7">
        <v>2087.79</v>
      </c>
    </row>
    <row r="8" spans="1:13">
      <c r="A8" t="s">
        <v>19</v>
      </c>
      <c r="B8">
        <v>2108.64</v>
      </c>
      <c r="C8">
        <v>50567.75</v>
      </c>
      <c r="D8">
        <v>1998.16</v>
      </c>
      <c r="E8">
        <v>47548.91</v>
      </c>
      <c r="F8">
        <v>-1</v>
      </c>
      <c r="G8">
        <v>0</v>
      </c>
      <c r="H8">
        <v>-1</v>
      </c>
      <c r="I8">
        <v>20336.91</v>
      </c>
      <c r="J8">
        <v>-1</v>
      </c>
      <c r="K8">
        <v>0</v>
      </c>
      <c r="L8">
        <v>-1</v>
      </c>
      <c r="M8">
        <v>3543.51</v>
      </c>
    </row>
    <row r="9" spans="1:13">
      <c r="A9" t="s">
        <v>20</v>
      </c>
      <c r="B9">
        <v>2231.43</v>
      </c>
      <c r="C9">
        <v>51443.36</v>
      </c>
      <c r="D9">
        <v>2113.41</v>
      </c>
      <c r="E9">
        <v>51260.89</v>
      </c>
      <c r="F9">
        <v>-1</v>
      </c>
      <c r="G9">
        <v>0</v>
      </c>
      <c r="H9">
        <v>-1</v>
      </c>
      <c r="I9">
        <v>2495.82</v>
      </c>
      <c r="J9">
        <v>-1</v>
      </c>
      <c r="K9">
        <v>0</v>
      </c>
      <c r="L9">
        <v>-1</v>
      </c>
      <c r="M9">
        <v>2264.69</v>
      </c>
    </row>
    <row r="10" spans="1:13">
      <c r="A10" t="s">
        <v>21</v>
      </c>
      <c r="B10">
        <v>2224.93</v>
      </c>
      <c r="C10">
        <v>51357.35</v>
      </c>
      <c r="D10">
        <v>2113.43</v>
      </c>
      <c r="E10">
        <v>50553.05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2199.52</v>
      </c>
      <c r="C11">
        <v>49273.94</v>
      </c>
      <c r="D11">
        <v>2088.21</v>
      </c>
      <c r="E11">
        <v>48783.31</v>
      </c>
      <c r="F11">
        <v>-1</v>
      </c>
      <c r="G11">
        <v>0</v>
      </c>
      <c r="H11">
        <v>-1</v>
      </c>
      <c r="I11">
        <v>10731.22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2223.79</v>
      </c>
      <c r="C12">
        <v>51469.99</v>
      </c>
      <c r="D12">
        <v>2113.49</v>
      </c>
      <c r="E12">
        <v>48988.95</v>
      </c>
      <c r="F12">
        <v>-1</v>
      </c>
      <c r="G12">
        <v>0</v>
      </c>
      <c r="H12">
        <v>-1</v>
      </c>
      <c r="I12">
        <v>13300.02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2108.08</v>
      </c>
      <c r="C13">
        <v>49531.31</v>
      </c>
      <c r="D13">
        <v>1996.32</v>
      </c>
      <c r="E13">
        <v>47667.79</v>
      </c>
      <c r="F13">
        <v>-1</v>
      </c>
      <c r="G13">
        <v>0</v>
      </c>
      <c r="H13">
        <v>-1</v>
      </c>
      <c r="I13">
        <v>21428.45</v>
      </c>
      <c r="J13">
        <v>-1</v>
      </c>
      <c r="K13">
        <v>0</v>
      </c>
      <c r="L13">
        <v>-1</v>
      </c>
      <c r="M13">
        <v>24931.25</v>
      </c>
    </row>
    <row r="14" spans="1:13">
      <c r="A14" t="s">
        <v>25</v>
      </c>
      <c r="B14">
        <v>2171.86</v>
      </c>
      <c r="C14">
        <v>48864.42</v>
      </c>
      <c r="D14">
        <v>2057.46</v>
      </c>
      <c r="E14">
        <v>51002.88</v>
      </c>
      <c r="F14">
        <v>-1</v>
      </c>
      <c r="G14">
        <v>0</v>
      </c>
      <c r="H14">
        <v>-1</v>
      </c>
      <c r="I14">
        <v>19384.84</v>
      </c>
      <c r="J14">
        <v>-1</v>
      </c>
      <c r="K14">
        <v>0</v>
      </c>
      <c r="L14">
        <v>-1</v>
      </c>
      <c r="M14">
        <v>1764.13</v>
      </c>
    </row>
    <row r="15" spans="1:13">
      <c r="A15" t="s">
        <v>26</v>
      </c>
      <c r="B15">
        <v>2149.4</v>
      </c>
      <c r="C15">
        <v>50369.47</v>
      </c>
      <c r="D15">
        <v>2036.01</v>
      </c>
      <c r="E15">
        <v>51344.83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2111.69</v>
      </c>
      <c r="C16">
        <v>49396.48</v>
      </c>
      <c r="D16">
        <v>1996.88</v>
      </c>
      <c r="E16">
        <v>49297.1</v>
      </c>
      <c r="F16">
        <v>-1</v>
      </c>
      <c r="G16">
        <v>0</v>
      </c>
      <c r="H16">
        <v>-1</v>
      </c>
      <c r="I16">
        <v>16026.25</v>
      </c>
      <c r="J16">
        <v>-1</v>
      </c>
      <c r="K16">
        <v>0</v>
      </c>
      <c r="L16">
        <v>2016.04</v>
      </c>
      <c r="M16">
        <v>49575.37</v>
      </c>
    </row>
    <row r="17" spans="1:13">
      <c r="A17" t="s">
        <v>28</v>
      </c>
      <c r="B17">
        <v>2181.74</v>
      </c>
      <c r="C17">
        <v>51784.27</v>
      </c>
      <c r="D17">
        <v>2070.62</v>
      </c>
      <c r="E17">
        <v>50644.55</v>
      </c>
      <c r="F17">
        <v>-1</v>
      </c>
      <c r="G17">
        <v>0</v>
      </c>
      <c r="H17">
        <v>-1</v>
      </c>
      <c r="I17">
        <v>4719.67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2135.07</v>
      </c>
      <c r="C18">
        <v>51758.93</v>
      </c>
      <c r="D18">
        <v>2023.91</v>
      </c>
      <c r="E18">
        <v>49940.06</v>
      </c>
      <c r="F18">
        <v>-1</v>
      </c>
      <c r="G18">
        <v>0</v>
      </c>
      <c r="H18">
        <v>-1</v>
      </c>
      <c r="I18">
        <v>4107.03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2151.47</v>
      </c>
      <c r="C19">
        <v>49795.2</v>
      </c>
      <c r="D19">
        <v>2036.84</v>
      </c>
      <c r="E19">
        <v>48961.32</v>
      </c>
      <c r="F19">
        <v>-1</v>
      </c>
      <c r="G19">
        <v>0</v>
      </c>
      <c r="H19">
        <v>-1</v>
      </c>
      <c r="I19">
        <v>14677.23</v>
      </c>
      <c r="J19">
        <v>-1</v>
      </c>
      <c r="K19">
        <v>9746.31</v>
      </c>
      <c r="L19">
        <v>-1</v>
      </c>
      <c r="M19">
        <v>13523.09</v>
      </c>
    </row>
    <row r="20" spans="1:13">
      <c r="A20" t="s">
        <v>31</v>
      </c>
      <c r="B20">
        <v>2139.03</v>
      </c>
      <c r="C20">
        <v>49800</v>
      </c>
      <c r="D20">
        <v>2028.7</v>
      </c>
      <c r="E20">
        <v>50421.19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23060.4</v>
      </c>
    </row>
    <row r="21" spans="1:13">
      <c r="A21" t="s">
        <v>32</v>
      </c>
      <c r="B21">
        <v>2175.53</v>
      </c>
      <c r="C21">
        <v>51212.79</v>
      </c>
      <c r="D21">
        <v>2062.52</v>
      </c>
      <c r="E21">
        <v>49241.63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2118.84</v>
      </c>
    </row>
    <row r="22" spans="1:13">
      <c r="A22" t="s">
        <v>33</v>
      </c>
      <c r="B22">
        <v>2171.96</v>
      </c>
      <c r="C22">
        <v>51872.21</v>
      </c>
      <c r="D22">
        <v>2059.35</v>
      </c>
      <c r="E22">
        <v>51035.56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2097.41</v>
      </c>
      <c r="C23">
        <v>49462.79</v>
      </c>
      <c r="D23">
        <v>1988.67</v>
      </c>
      <c r="E23">
        <v>49866.78</v>
      </c>
      <c r="F23">
        <v>-1</v>
      </c>
      <c r="G23">
        <v>0</v>
      </c>
      <c r="H23">
        <v>-1</v>
      </c>
      <c r="I23">
        <v>5376.34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2166.74</v>
      </c>
      <c r="C24">
        <v>52926.72</v>
      </c>
      <c r="D24">
        <v>2051.92</v>
      </c>
      <c r="E24">
        <v>51744.85</v>
      </c>
      <c r="F24">
        <v>-1</v>
      </c>
      <c r="G24">
        <v>0</v>
      </c>
      <c r="H24">
        <v>-1</v>
      </c>
      <c r="I24">
        <v>11154.72</v>
      </c>
      <c r="J24">
        <v>-1</v>
      </c>
      <c r="K24">
        <v>0</v>
      </c>
      <c r="L24">
        <v>-1</v>
      </c>
      <c r="M24">
        <v>10123.13</v>
      </c>
    </row>
    <row r="25" spans="1:13">
      <c r="A25" t="s">
        <v>36</v>
      </c>
      <c r="B25">
        <v>2108.64</v>
      </c>
      <c r="C25">
        <v>50567.75</v>
      </c>
      <c r="D25">
        <v>1998.16</v>
      </c>
      <c r="E25">
        <v>47548.91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2126.35</v>
      </c>
      <c r="C26">
        <v>50987.38</v>
      </c>
      <c r="D26">
        <v>2011.97</v>
      </c>
      <c r="E26">
        <v>50074.01</v>
      </c>
      <c r="F26">
        <v>-1</v>
      </c>
      <c r="G26">
        <v>0</v>
      </c>
      <c r="H26">
        <v>-1</v>
      </c>
      <c r="I26">
        <v>3374.52</v>
      </c>
      <c r="J26">
        <v>-1</v>
      </c>
      <c r="K26">
        <v>0</v>
      </c>
      <c r="L26">
        <v>-1</v>
      </c>
      <c r="M26">
        <v>0</v>
      </c>
    </row>
    <row r="28" spans="1:42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</row>
    <row r="29" spans="1:42">
      <c r="A29" s="5">
        <f>IFERROR(AVERAGEIF($B$2:$B$26,"&lt;&gt; -1"),0)</f>
        <v>2156.692</v>
      </c>
      <c r="B29" s="5">
        <f>IFERROR(AVERAGEIF($D$2:$D$26,"&lt;&gt; -1"),0)</f>
        <v>2044.3064</v>
      </c>
      <c r="C29" s="5">
        <f>IFERROR(AVERAGEIF($F$2:$F$26,"&lt;&gt; -1"),0)</f>
        <v>0</v>
      </c>
      <c r="D29" s="5">
        <f>IFERROR(AVERAGEIF($H$2:$H$26,"&lt;&gt; -1"),0)</f>
        <v>0</v>
      </c>
      <c r="E29" s="5">
        <f>IFERROR(AVERAGEIF($J$2:$J$26,"&lt;&gt; -1"),0)</f>
        <v>0</v>
      </c>
      <c r="F29" s="5">
        <f>IFERROR(AVERAGEIF($L$2:$L$26,"&lt;&gt; -1"),0)</f>
        <v>2016.04</v>
      </c>
      <c r="G29" s="5">
        <f>IFERROR(AVERAGEIFS($C$2:$C$26,$B$2:$B$26,"&lt;&gt; -1"),0)</f>
        <v>50546.0144</v>
      </c>
      <c r="H29" s="5">
        <f>IFERROR(AVERAGEIFS($E$2:$E$26,$D$2:$D$26,"&lt;&gt; -1"),0)</f>
        <v>50007.3892</v>
      </c>
      <c r="I29" s="5">
        <f>IFERROR(AVERAGEIFS($G$2:$G$26,$F$2:$F$26,"&lt;&gt; -1"),0)</f>
        <v>0</v>
      </c>
      <c r="J29" s="5">
        <f>IFERROR(AVERAGEIFS($I$2:$I$26,$H$2:$H$26,"&lt;&gt; -1"),0)</f>
        <v>0</v>
      </c>
      <c r="K29" s="5">
        <f>IFERROR(AVERAGEIFS($K$2:$K$26,$J$2:$J$26,"&lt;&gt; -1"),0)</f>
        <v>0</v>
      </c>
      <c r="L29" s="5">
        <f>IFERROR(AVERAGEIFS($M$2:$M$26,$L$2:$L$26,"&lt;&gt; -1"),0)</f>
        <v>49575.37</v>
      </c>
      <c r="M29" s="5">
        <f>IFERROR(_xlfn.MAXIFS($B$2:$B$26,$B$2:$B$26,"&lt;&gt; -1"),0)</f>
        <v>2231.43</v>
      </c>
      <c r="N29" s="5">
        <f>IFERROR(_xlfn.MAXIFS($D$2:$D$26,$D$2:$D$26,"&lt;&gt;-1"),0)</f>
        <v>2113.49</v>
      </c>
      <c r="O29" s="5">
        <f>IFERROR(_xlfn.MAXIFS($F$2:$F$26,$F$2:$F$26,"&lt;&gt; -1"),0)</f>
        <v>0</v>
      </c>
      <c r="P29" s="5">
        <f>IFERROR(_xlfn.MAXIFS($H$2:$H$26,$H$2:$H$26,"&lt;&gt; -1"),0)</f>
        <v>0</v>
      </c>
      <c r="Q29" s="5">
        <f>IFERROR(_xlfn.MAXIFS($J$2:$J$26,$J$2:$J$26,"&lt;&gt; -1"),0)</f>
        <v>0</v>
      </c>
      <c r="R29" s="5">
        <f>IFERROR(_xlfn.MAXIFS($L$2:$L$26,$L$2:$L$26,"&lt;&gt; -1"),0)</f>
        <v>2016.04</v>
      </c>
      <c r="S29" s="5">
        <f>IFERROR(_xlfn.MINIFS($B$2:$B$26,$B$2:$B$26,"&lt;&gt; -1"),0)</f>
        <v>2097.41</v>
      </c>
      <c r="T29" s="5">
        <f>IFERROR(_xlfn.MINIFS($D$2:$D$26,$D$2:$D$26,"&lt;&gt;-1"),0)</f>
        <v>1988.67</v>
      </c>
      <c r="U29" s="5">
        <f>IFERROR(_xlfn.MINIFS($F$2:$F$26,$F$2:$F$26,"&lt;&gt; -1"),0)</f>
        <v>0</v>
      </c>
      <c r="V29" s="5">
        <f>IFERROR(_xlfn.MINIFS($H$2:$H$26,$H$2:$H$26,"&lt;&gt; -1"),0)</f>
        <v>0</v>
      </c>
      <c r="W29" s="5">
        <f>IFERROR(_xlfn.MINIFS($J$2:$J$26,$J$2:$J$26,"&lt;&gt; -1"),0)</f>
        <v>0</v>
      </c>
      <c r="X29" s="5">
        <f>IFERROR(_xlfn.MINIFS($L$2:$L$26,$L$2:$L$26,"&lt;&gt; -1"),0)</f>
        <v>2016.04</v>
      </c>
      <c r="Y29" s="5">
        <f>IFERROR(_xlfn.MAXIFS($C$2:$C$26,$B$2:$B$26,"&lt;&gt; -1"),0)</f>
        <v>52926.72</v>
      </c>
      <c r="Z29" s="5">
        <f>IFERROR(_xlfn.MAXIFS($E$2:$E$26,$D$2:$D$26,"&lt;&gt; -1"),0)</f>
        <v>51744.85</v>
      </c>
      <c r="AA29" s="5">
        <f>IFERROR(_xlfn.MAXIFS($G$2:$G$26,$F$2:$F$26,"&lt;&gt; -1"),0)</f>
        <v>0</v>
      </c>
      <c r="AB29" s="5">
        <f>IFERROR(_xlfn.MAXIFS($I$2:$I$26,$H$2:$H$26,"&lt;&gt; -1"),0)</f>
        <v>0</v>
      </c>
      <c r="AC29" s="5">
        <f>IFERROR(_xlfn.MAXIFS($K$2:$K$26,$J$2:$J$26,"&lt;&gt; -1"),0)</f>
        <v>0</v>
      </c>
      <c r="AD29" s="5">
        <f>IFERROR(_xlfn.MAXIFS($M$2:$M$26,$L$2:$L$26,"&lt;&gt; -1"),0)</f>
        <v>49575.37</v>
      </c>
      <c r="AE29" s="5">
        <f>IFERROR(_xlfn.MINIFS($C$2:$C$26,$B$2:$B$26,"&lt;&gt; -1"),0)</f>
        <v>48804.66</v>
      </c>
      <c r="AF29" s="5">
        <f>IFERROR(_xlfn.MINIFS($E$2:$E$26,$D$2:$D$26,"&lt;&gt; -1"),0)</f>
        <v>47548.91</v>
      </c>
      <c r="AG29" s="5">
        <f>IFERROR(_xlfn.MINIFS($G$2:$G$26,$F$2:$F$26,"&lt;&gt; -1"),0)</f>
        <v>0</v>
      </c>
      <c r="AH29" s="5">
        <f>IFERROR(_xlfn.MINIFS($I$2:$I$26,$H$2:$H$26,"&lt;&gt; -1"),0)</f>
        <v>0</v>
      </c>
      <c r="AI29" s="5">
        <f>IFERROR(_xlfn.MINIFS($K$2:$K$26,$J$2:$J$26,"&lt;&gt; -1"),0)</f>
        <v>0</v>
      </c>
      <c r="AJ29" s="5">
        <f>IFERROR(_xlfn.MINIFS($M$2:$M$26,$L$2:$L$26,"&lt;&gt; -1"),0)</f>
        <v>49575.37</v>
      </c>
      <c r="AK29" s="5">
        <f>(COUNTIFS($B$2:$B$26,"&gt;0.0",$B$2:$B$26,"&lt;2100.0"))/25</f>
        <v>0.04</v>
      </c>
      <c r="AL29" s="5">
        <f>(COUNTIFS($D$2:$D$26,"&gt;0.0",$D$2:$D$26,"&lt;2100.0"))/25</f>
        <v>0.88</v>
      </c>
      <c r="AM29" s="5">
        <f>(COUNTIFS($F$2:$F$26,"&gt;0.0",$F$2:$F$26,"&lt;2100.0"))/25</f>
        <v>0</v>
      </c>
      <c r="AN29" s="5">
        <f>(COUNTIFS($H$2:$H26,"&gt;0.0",$H$2:$H$26,"&lt;2100.0"))/25</f>
        <v>0</v>
      </c>
      <c r="AO29" s="5">
        <f>(COUNTIFS($J$2:$J$26,"&gt;0.0",$J$2:$J$26,"&lt;2100.0"))/25</f>
        <v>0</v>
      </c>
      <c r="AP29" s="5">
        <f>(COUNTIFS($L$2:$L$26,"&gt;0.0",$L$2:$L$26,"&lt;2100.0"))/25</f>
        <v>0.04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9"/>
  <sheetViews>
    <sheetView workbookViewId="0">
      <selection activeCell="A29" sqref="$A29:$XFD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2236.84</v>
      </c>
      <c r="C2">
        <v>49495.21</v>
      </c>
      <c r="D2">
        <v>2145.23</v>
      </c>
      <c r="E2">
        <v>50560.7</v>
      </c>
      <c r="F2">
        <v>-1</v>
      </c>
      <c r="G2">
        <v>0</v>
      </c>
      <c r="H2">
        <v>-1</v>
      </c>
      <c r="I2">
        <v>4400.52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2236.59</v>
      </c>
      <c r="C3">
        <v>51492.18</v>
      </c>
      <c r="D3">
        <v>2140.62</v>
      </c>
      <c r="E3">
        <v>51231.92</v>
      </c>
      <c r="F3">
        <v>-1</v>
      </c>
      <c r="G3">
        <v>0</v>
      </c>
      <c r="H3">
        <v>-1</v>
      </c>
      <c r="I3">
        <v>22702.35</v>
      </c>
      <c r="J3">
        <v>-1</v>
      </c>
      <c r="K3">
        <v>0</v>
      </c>
      <c r="L3">
        <v>-1</v>
      </c>
      <c r="M3">
        <v>20489.57</v>
      </c>
    </row>
    <row r="4" spans="1:13">
      <c r="A4" t="s">
        <v>15</v>
      </c>
      <c r="B4">
        <v>2179.88</v>
      </c>
      <c r="C4">
        <v>50657.51</v>
      </c>
      <c r="D4">
        <v>2091.95</v>
      </c>
      <c r="E4">
        <v>49917.26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2180.2</v>
      </c>
      <c r="C5">
        <v>49393.24</v>
      </c>
      <c r="D5">
        <v>2090.26</v>
      </c>
      <c r="E5">
        <v>50375.66</v>
      </c>
      <c r="F5">
        <v>-1</v>
      </c>
      <c r="G5">
        <v>0</v>
      </c>
      <c r="H5">
        <v>-1</v>
      </c>
      <c r="I5">
        <v>8585</v>
      </c>
      <c r="J5">
        <v>-1</v>
      </c>
      <c r="K5">
        <v>0</v>
      </c>
      <c r="L5">
        <v>-1</v>
      </c>
      <c r="M5">
        <v>8411.29</v>
      </c>
    </row>
    <row r="6" spans="1:13">
      <c r="A6" t="s">
        <v>17</v>
      </c>
      <c r="B6">
        <v>2134.48</v>
      </c>
      <c r="C6">
        <v>48474.02</v>
      </c>
      <c r="D6">
        <v>2039.4</v>
      </c>
      <c r="E6">
        <v>48889.1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2263.12</v>
      </c>
      <c r="C7">
        <v>51046.07</v>
      </c>
      <c r="D7">
        <v>2173.12</v>
      </c>
      <c r="E7">
        <v>51747.23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2128.86</v>
      </c>
      <c r="C8">
        <v>48824.44</v>
      </c>
      <c r="D8">
        <v>2035.05</v>
      </c>
      <c r="E8">
        <v>49815.2</v>
      </c>
      <c r="F8">
        <v>-1</v>
      </c>
      <c r="G8">
        <v>0</v>
      </c>
      <c r="H8">
        <v>-1</v>
      </c>
      <c r="I8">
        <v>2490.28</v>
      </c>
      <c r="J8">
        <v>-1</v>
      </c>
      <c r="K8">
        <v>0</v>
      </c>
      <c r="L8">
        <v>-1</v>
      </c>
      <c r="M8">
        <v>2256.16</v>
      </c>
    </row>
    <row r="9" spans="1:13">
      <c r="A9" t="s">
        <v>20</v>
      </c>
      <c r="B9">
        <v>2200.42</v>
      </c>
      <c r="C9">
        <v>49539.83</v>
      </c>
      <c r="D9">
        <v>2109.24</v>
      </c>
      <c r="E9">
        <v>51883.9</v>
      </c>
      <c r="F9">
        <v>-1</v>
      </c>
      <c r="G9">
        <v>0</v>
      </c>
      <c r="H9">
        <v>-1</v>
      </c>
      <c r="I9">
        <v>22461.78</v>
      </c>
      <c r="J9">
        <v>-1</v>
      </c>
      <c r="K9">
        <v>0</v>
      </c>
      <c r="L9">
        <v>-1</v>
      </c>
      <c r="M9">
        <v>6199.3</v>
      </c>
    </row>
    <row r="10" spans="1:13">
      <c r="A10" t="s">
        <v>21</v>
      </c>
      <c r="B10">
        <v>2174.04</v>
      </c>
      <c r="C10">
        <v>51441.95</v>
      </c>
      <c r="D10">
        <v>2087.32</v>
      </c>
      <c r="E10">
        <v>49548.3</v>
      </c>
      <c r="F10">
        <v>-1</v>
      </c>
      <c r="G10">
        <v>0</v>
      </c>
      <c r="H10">
        <v>-1</v>
      </c>
      <c r="I10">
        <v>5417.82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2138.92</v>
      </c>
      <c r="C11">
        <v>51836.98</v>
      </c>
      <c r="D11">
        <v>2045.96</v>
      </c>
      <c r="E11">
        <v>49336.47</v>
      </c>
      <c r="F11">
        <v>-1</v>
      </c>
      <c r="G11">
        <v>0</v>
      </c>
      <c r="H11">
        <v>-1</v>
      </c>
      <c r="I11">
        <v>3701.05</v>
      </c>
      <c r="J11">
        <v>-1</v>
      </c>
      <c r="K11">
        <v>0</v>
      </c>
      <c r="L11">
        <v>-1</v>
      </c>
      <c r="M11">
        <v>3314.25</v>
      </c>
    </row>
    <row r="12" spans="1:13">
      <c r="A12" t="s">
        <v>23</v>
      </c>
      <c r="B12">
        <v>2228.41</v>
      </c>
      <c r="C12">
        <v>52271.86</v>
      </c>
      <c r="D12">
        <v>2138.59</v>
      </c>
      <c r="E12">
        <v>53305.36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4108.43</v>
      </c>
    </row>
    <row r="13" spans="1:13">
      <c r="A13" t="s">
        <v>24</v>
      </c>
      <c r="B13">
        <v>2152.98</v>
      </c>
      <c r="C13">
        <v>50642.37</v>
      </c>
      <c r="D13">
        <v>2058.98</v>
      </c>
      <c r="E13">
        <v>50065.22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2198.32</v>
      </c>
      <c r="C14">
        <v>53381.61</v>
      </c>
      <c r="D14">
        <v>2113.7</v>
      </c>
      <c r="E14">
        <v>53099.53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2178.69</v>
      </c>
      <c r="C15">
        <v>51722.08</v>
      </c>
      <c r="D15">
        <v>2084.26</v>
      </c>
      <c r="E15">
        <v>50918.49</v>
      </c>
      <c r="F15">
        <v>-1</v>
      </c>
      <c r="G15">
        <v>0</v>
      </c>
      <c r="H15">
        <v>-1</v>
      </c>
      <c r="I15">
        <v>22562.57</v>
      </c>
      <c r="J15">
        <v>-1</v>
      </c>
      <c r="K15">
        <v>0</v>
      </c>
      <c r="L15">
        <v>-1</v>
      </c>
      <c r="M15">
        <v>2219.84</v>
      </c>
    </row>
    <row r="16" spans="1:13">
      <c r="A16" t="s">
        <v>27</v>
      </c>
      <c r="B16">
        <v>2138.36</v>
      </c>
      <c r="C16">
        <v>51189.45</v>
      </c>
      <c r="D16">
        <v>2048.29</v>
      </c>
      <c r="E16">
        <v>49649.16</v>
      </c>
      <c r="F16">
        <v>-1</v>
      </c>
      <c r="G16">
        <v>0</v>
      </c>
      <c r="H16">
        <v>-1</v>
      </c>
      <c r="I16">
        <v>2612.26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2196.25</v>
      </c>
      <c r="C17">
        <v>52674.18</v>
      </c>
      <c r="D17">
        <v>2105.93</v>
      </c>
      <c r="E17">
        <v>51535.03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2157.3</v>
      </c>
      <c r="C18">
        <v>52241.67</v>
      </c>
      <c r="D18">
        <v>2065.6</v>
      </c>
      <c r="E18">
        <v>48031.62</v>
      </c>
      <c r="F18">
        <v>-1</v>
      </c>
      <c r="G18">
        <v>0</v>
      </c>
      <c r="H18">
        <v>-1</v>
      </c>
      <c r="I18">
        <v>26805.38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2134.82</v>
      </c>
      <c r="C19">
        <v>49977.08</v>
      </c>
      <c r="D19">
        <v>2046.97</v>
      </c>
      <c r="E19">
        <v>47296.45</v>
      </c>
      <c r="F19">
        <v>-1</v>
      </c>
      <c r="G19">
        <v>0</v>
      </c>
      <c r="H19">
        <v>-1</v>
      </c>
      <c r="I19">
        <v>4298.84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2143.07</v>
      </c>
      <c r="C20">
        <v>49588.76</v>
      </c>
      <c r="D20">
        <v>2053.21</v>
      </c>
      <c r="E20">
        <v>50635.15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2162.56</v>
      </c>
      <c r="C21">
        <v>50237.32</v>
      </c>
      <c r="D21">
        <v>2079.03</v>
      </c>
      <c r="E21">
        <v>50722.54</v>
      </c>
      <c r="F21">
        <v>-1</v>
      </c>
      <c r="G21">
        <v>0</v>
      </c>
      <c r="H21">
        <v>-1</v>
      </c>
      <c r="I21">
        <v>4696.76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2134.31</v>
      </c>
      <c r="C22">
        <v>52164.15</v>
      </c>
      <c r="D22">
        <v>2048.29</v>
      </c>
      <c r="E22">
        <v>51937.39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2068.34</v>
      </c>
      <c r="C23">
        <v>51437.62</v>
      </c>
      <c r="D23">
        <v>1979.92</v>
      </c>
      <c r="E23">
        <v>49233.94</v>
      </c>
      <c r="F23">
        <v>-1</v>
      </c>
      <c r="G23">
        <v>0</v>
      </c>
      <c r="H23">
        <v>-1</v>
      </c>
      <c r="I23">
        <v>3052.89</v>
      </c>
      <c r="J23">
        <v>-1</v>
      </c>
      <c r="K23">
        <v>0</v>
      </c>
      <c r="L23">
        <v>-1</v>
      </c>
      <c r="M23">
        <v>28941.08</v>
      </c>
    </row>
    <row r="24" spans="1:13">
      <c r="A24" t="s">
        <v>35</v>
      </c>
      <c r="B24">
        <v>2111.74</v>
      </c>
      <c r="C24">
        <v>49056.4</v>
      </c>
      <c r="D24">
        <v>2028.19</v>
      </c>
      <c r="E24">
        <v>47980.79</v>
      </c>
      <c r="F24">
        <v>-1</v>
      </c>
      <c r="G24">
        <v>0</v>
      </c>
      <c r="H24">
        <v>-1</v>
      </c>
      <c r="I24">
        <v>0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2026.89</v>
      </c>
      <c r="C25">
        <v>49176.44</v>
      </c>
      <c r="D25">
        <v>1938.32</v>
      </c>
      <c r="E25">
        <v>47011.67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2086.39</v>
      </c>
      <c r="C26">
        <v>50787.88</v>
      </c>
      <c r="D26">
        <v>1996.4</v>
      </c>
      <c r="E26">
        <v>51375.2</v>
      </c>
      <c r="F26">
        <v>-1</v>
      </c>
      <c r="G26">
        <v>0</v>
      </c>
      <c r="H26">
        <v>-1</v>
      </c>
      <c r="I26">
        <v>25527.58</v>
      </c>
      <c r="J26">
        <v>-1</v>
      </c>
      <c r="K26">
        <v>0</v>
      </c>
      <c r="L26">
        <v>-1</v>
      </c>
      <c r="M26">
        <v>21011.66</v>
      </c>
    </row>
    <row r="28" spans="1:60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  <c r="AQ28" s="3" t="s">
        <v>62</v>
      </c>
      <c r="AR28" s="3" t="s">
        <v>63</v>
      </c>
      <c r="AS28" s="3" t="s">
        <v>64</v>
      </c>
      <c r="AT28" s="4" t="s">
        <v>65</v>
      </c>
      <c r="AU28" s="3" t="s">
        <v>66</v>
      </c>
      <c r="AV28" s="3" t="s">
        <v>67</v>
      </c>
      <c r="AW28" s="3" t="s">
        <v>68</v>
      </c>
      <c r="AX28" s="3" t="s">
        <v>69</v>
      </c>
      <c r="AY28" s="3" t="s">
        <v>70</v>
      </c>
      <c r="AZ28" s="4" t="s">
        <v>71</v>
      </c>
      <c r="BA28" s="3" t="s">
        <v>72</v>
      </c>
      <c r="BB28" s="3" t="s">
        <v>73</v>
      </c>
      <c r="BC28" s="3" t="s">
        <v>74</v>
      </c>
      <c r="BD28" s="3" t="s">
        <v>75</v>
      </c>
      <c r="BE28" s="3" t="s">
        <v>76</v>
      </c>
      <c r="BF28" s="4" t="s">
        <v>77</v>
      </c>
      <c r="BG28" s="3" t="s">
        <v>78</v>
      </c>
      <c r="BH28" s="3" t="s">
        <v>79</v>
      </c>
    </row>
    <row r="29" spans="1:60">
      <c r="A29" s="5">
        <f>IFERROR(AVERAGEIF($B$2:$B$26,"&lt;&gt; -1"),0)</f>
        <v>2159.6712</v>
      </c>
      <c r="B29" s="5">
        <f>IFERROR(AVERAGEIF($D$2:$D$26,"&lt;&gt; -1"),0)</f>
        <v>2069.7532</v>
      </c>
      <c r="C29" s="5">
        <f>IFERROR(AVERAGEIF($F$2:$F$26,"&lt;&gt; -1"),0)</f>
        <v>0</v>
      </c>
      <c r="D29" s="5">
        <f>IFERROR(AVERAGEIF($H$2:$H$26,"&lt;&gt; -1"),0)</f>
        <v>0</v>
      </c>
      <c r="E29" s="5">
        <f>IFERROR(AVERAGEIF($J$2:$J$26,"&lt;&gt; -1"),0)</f>
        <v>0</v>
      </c>
      <c r="F29" s="5">
        <f>IFERROR(AVERAGEIF($L$2:$L$26,"&lt;&gt; -1"),0)</f>
        <v>0</v>
      </c>
      <c r="G29" s="5">
        <f>IFERROR(AVERAGEIFS($C$2:$C$26,$B$2:$B$26,"&lt;&gt; -1"),0)</f>
        <v>50750.012</v>
      </c>
      <c r="H29" s="5">
        <f>IFERROR(AVERAGEIFS($E$2:$E$26,$D$2:$D$26,"&lt;&gt; -1"),0)</f>
        <v>50244.1312</v>
      </c>
      <c r="I29" s="5">
        <f>IFERROR(AVERAGEIFS($G$2:$G$26,$F$2:$F$26,"&lt;&gt; -1"),0)</f>
        <v>0</v>
      </c>
      <c r="J29" s="5">
        <f>IFERROR(AVERAGEIFS($I$2:$I$26,$H$2:$H$26,"&lt;&gt; -1"),0)</f>
        <v>0</v>
      </c>
      <c r="K29" s="5">
        <f>IFERROR(AVERAGEIFS($K$2:$K$26,$J$2:$J$26,"&lt;&gt; -1"),0)</f>
        <v>0</v>
      </c>
      <c r="L29" s="5">
        <f>IFERROR(AVERAGEIFS($M$2:$M$26,$L$2:$L$26,"&lt;&gt; -1"),0)</f>
        <v>0</v>
      </c>
      <c r="M29" s="5">
        <f>IFERROR(_xlfn.MAXIFS($B$2:$B$26,$B$2:$B$26,"&lt;&gt; -1"),0)</f>
        <v>2263.12</v>
      </c>
      <c r="N29" s="5">
        <f>IFERROR(_xlfn.MAXIFS($D$2:$D$26,$D$2:$D$26,"&lt;&gt;-1"),0)</f>
        <v>2173.12</v>
      </c>
      <c r="O29" s="5">
        <f>IFERROR(_xlfn.MAXIFS($F$2:$F$26,$F$2:$F$26,"&lt;&gt; -1"),0)</f>
        <v>0</v>
      </c>
      <c r="P29" s="5">
        <f>IFERROR(_xlfn.MAXIFS($H$2:$H$26,$H$2:$H$26,"&lt;&gt; -1"),0)</f>
        <v>0</v>
      </c>
      <c r="Q29" s="5">
        <f>IFERROR(_xlfn.MAXIFS($J$2:$J$26,$J$2:$J$26,"&lt;&gt; -1"),0)</f>
        <v>0</v>
      </c>
      <c r="R29" s="5">
        <f>IFERROR(_xlfn.MAXIFS($L$2:$L$26,$L$2:$L$26,"&lt;&gt; -1"),0)</f>
        <v>0</v>
      </c>
      <c r="S29" s="5">
        <f>IFERROR(_xlfn.MINIFS($B$2:$B$26,$B$2:$B$26,"&lt;&gt; -1"),0)</f>
        <v>2026.89</v>
      </c>
      <c r="T29" s="5">
        <f>IFERROR(_xlfn.MINIFS($D$2:$D$26,$D$2:$D$26,"&lt;&gt;-1"),0)</f>
        <v>1938.32</v>
      </c>
      <c r="U29" s="5">
        <f>IFERROR(_xlfn.MINIFS($F$2:$F$26,$F$2:$F$26,"&lt;&gt; -1"),0)</f>
        <v>0</v>
      </c>
      <c r="V29" s="5">
        <f>IFERROR(_xlfn.MINIFS($H$2:$H$26,$H$2:$H$26,"&lt;&gt; -1"),0)</f>
        <v>0</v>
      </c>
      <c r="W29" s="5">
        <f>IFERROR(_xlfn.MINIFS($J$2:$J$26,$J$2:$J$26,"&lt;&gt; -1"),0)</f>
        <v>0</v>
      </c>
      <c r="X29" s="5">
        <f>IFERROR(_xlfn.MINIFS($L$2:$L$26,$L$2:$L$26,"&lt;&gt; -1"),0)</f>
        <v>0</v>
      </c>
      <c r="Y29" s="5">
        <f>IFERROR(_xlfn.MAXIFS($C$2:$C$26,$B$2:$B$26,"&lt;&gt; -1"),0)</f>
        <v>53381.61</v>
      </c>
      <c r="Z29" s="5">
        <f>IFERROR(_xlfn.MAXIFS($E$2:$E$26,$D$2:$D$26,"&lt;&gt; -1"),0)</f>
        <v>53305.36</v>
      </c>
      <c r="AA29" s="5">
        <f>IFERROR(_xlfn.MAXIFS($G$2:$G$26,$F$2:$F$26,"&lt;&gt; -1"),0)</f>
        <v>0</v>
      </c>
      <c r="AB29" s="5">
        <f>IFERROR(_xlfn.MAXIFS($I$2:$I$26,$H$2:$H$26,"&lt;&gt; -1"),0)</f>
        <v>0</v>
      </c>
      <c r="AC29" s="5">
        <f>IFERROR(_xlfn.MAXIFS($K$2:$K$26,$J$2:$J$26,"&lt;&gt; -1"),0)</f>
        <v>0</v>
      </c>
      <c r="AD29" s="5">
        <f>IFERROR(_xlfn.MAXIFS($M$2:$M$26,$L$2:$L$26,"&lt;&gt; -1"),0)</f>
        <v>0</v>
      </c>
      <c r="AE29" s="5">
        <f>IFERROR(_xlfn.MINIFS($C$2:$C$26,$B$2:$B$26,"&lt;&gt; -1"),0)</f>
        <v>48474.02</v>
      </c>
      <c r="AF29" s="5">
        <f>IFERROR(_xlfn.MINIFS($E$2:$E$26,$D$2:$D$26,"&lt;&gt; -1"),0)</f>
        <v>47011.67</v>
      </c>
      <c r="AG29" s="5">
        <f>IFERROR(_xlfn.MINIFS($G$2:$G$26,$F$2:$F$26,"&lt;&gt; -1"),0)</f>
        <v>0</v>
      </c>
      <c r="AH29" s="5">
        <f>IFERROR(_xlfn.MINIFS($I$2:$I$26,$H$2:$H$26,"&lt;&gt; -1"),0)</f>
        <v>0</v>
      </c>
      <c r="AI29" s="5">
        <f>IFERROR(_xlfn.MINIFS($K$2:$K$26,$J$2:$J$26,"&lt;&gt; -1"),0)</f>
        <v>0</v>
      </c>
      <c r="AJ29" s="5">
        <f>IFERROR(_xlfn.MINIFS($M$2:$M$26,$L$2:$L$26,"&lt;&gt; -1"),0)</f>
        <v>0</v>
      </c>
      <c r="AK29" s="5">
        <f>(COUNTIFS($B$2:$B$26,"&gt;0.0",$B$2:$B$26,"&lt;2100.0"))/25</f>
        <v>0.12</v>
      </c>
      <c r="AL29" s="5">
        <f>(COUNTIFS($D$2:$D$26,"&gt;0.0",$D$2:$D$26,"&lt;2100.0"))/25</f>
        <v>0.72</v>
      </c>
      <c r="AM29" s="5">
        <f>(COUNTIFS($F$2:$F$26,"&gt;0.0",$F$2:$F$26,"&lt;2100.0"))/25</f>
        <v>0</v>
      </c>
      <c r="AN29" s="5">
        <f>(COUNTIFS($H$2:$H26,"&gt;0.0",$H$2:$H$26,"&lt;2100.0"))/25</f>
        <v>0</v>
      </c>
      <c r="AO29" s="5">
        <f>(COUNTIFS($J$2:$J$26,"&gt;0.0",$J$2:$J$26,"&lt;2100.0"))/25</f>
        <v>0</v>
      </c>
      <c r="AP29" s="5">
        <f>(COUNTIFS($L$2:$L$26,"&gt;0.0",$L$2:$L$26,"&lt;2100.0"))/25</f>
        <v>0</v>
      </c>
      <c r="AQ29" s="5">
        <f>IFERROR(_xlfn.MAXIFS($C$2:$C$26,$B$2:$B$26,"&lt;&gt; -1"),0)</f>
        <v>53381.61</v>
      </c>
      <c r="AR29" s="5">
        <f>IFERROR(_xlfn.MAXIFS($E$2:$E$26,$D$2:$D$26,"&lt;&gt; -1"),0)</f>
        <v>53305.36</v>
      </c>
      <c r="AS29" s="5">
        <f>IFERROR(_xlfn.MAXIFS($G$2:$G$26,$F$2:$F$26,"&lt;&gt; -1"),0)</f>
        <v>0</v>
      </c>
      <c r="AT29" s="5">
        <f>IFERROR(_xlfn.MAXIFS($I$2:$I$26,$H$2:$H$26,"&lt;&gt; -1"),0)</f>
        <v>0</v>
      </c>
      <c r="AU29" s="5">
        <f>IFERROR(_xlfn.MAXIFS($K$2:$K$26,$J$2:$J$26,"&lt;&gt; -1"),0)</f>
        <v>0</v>
      </c>
      <c r="AV29" s="5">
        <f>IFERROR(_xlfn.MAXIFS($M$2:$M$26,$L$2:$L$26,"&lt;&gt; -1"),0)</f>
        <v>0</v>
      </c>
      <c r="AW29" s="5">
        <f>IFERROR(_xlfn.MINIFS($C$2:$C$26,$B$2:$B$26,"&lt;&gt; -1"),0)</f>
        <v>48474.02</v>
      </c>
      <c r="AX29" s="5">
        <f>IFERROR(_xlfn.MINIFS($E$2:$E$26,$D$2:$D$26,"&lt;&gt; -1"),0)</f>
        <v>47011.67</v>
      </c>
      <c r="AY29" s="5">
        <f>IFERROR(_xlfn.MINIFS($G$2:$G$26,$F$2:$F$26,"&lt;&gt; -1"),0)</f>
        <v>0</v>
      </c>
      <c r="AZ29" s="5">
        <f>IFERROR(_xlfn.MINIFS($I$2:$I$26,$H$2:$H$26,"&lt;&gt; -1"),0)</f>
        <v>0</v>
      </c>
      <c r="BA29" s="5">
        <f>IFERROR(_xlfn.MINIFS($K$2:$K$26,$J$2:$J$26,"&lt;&gt; -1"),0)</f>
        <v>0</v>
      </c>
      <c r="BB29" s="5">
        <f>IFERROR(_xlfn.MINIFS($M$2:$M$26,$L$2:$L$26,"&lt;&gt; -1"),0)</f>
        <v>0</v>
      </c>
      <c r="BC29" s="5">
        <f>(COUNTIFS($B$2:$B$26,"&gt;0.0",$B$2:$B$26,"&lt;2100.0"))/25</f>
        <v>0.12</v>
      </c>
      <c r="BD29" s="5">
        <f>(COUNTIFS($D$2:$D$26,"&gt;0.0",$D$2:$D$26,"&lt;2100.0"))/25</f>
        <v>0.72</v>
      </c>
      <c r="BE29" s="5">
        <f>(COUNTIFS($F$2:$F$26,"&gt;0.0",$F$2:$F$26,"&lt;2100.0"))/25</f>
        <v>0</v>
      </c>
      <c r="BF29" s="5">
        <f>(COUNTIFS($H$2:$H26,"&gt;0.0",$H$2:$H$26,"&lt;2100.0"))/25</f>
        <v>0</v>
      </c>
      <c r="BG29" s="5">
        <f>(COUNTIFS($J$2:$J$26,"&gt;0.0",$J$2:$J$26,"&lt;2100.0"))/25</f>
        <v>0</v>
      </c>
      <c r="BH29" s="5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2168.4</v>
      </c>
      <c r="C2">
        <v>50768.38</v>
      </c>
      <c r="D2">
        <v>2163.37</v>
      </c>
      <c r="E2">
        <v>50979.86</v>
      </c>
      <c r="F2">
        <v>2196.87</v>
      </c>
      <c r="G2">
        <v>56964.66</v>
      </c>
      <c r="H2">
        <v>-1</v>
      </c>
      <c r="I2">
        <v>0</v>
      </c>
      <c r="J2">
        <v>2175.58</v>
      </c>
      <c r="K2">
        <v>50865.15</v>
      </c>
      <c r="L2">
        <v>-1</v>
      </c>
      <c r="M2">
        <v>0</v>
      </c>
    </row>
    <row r="3" spans="1:13">
      <c r="A3" t="s">
        <v>14</v>
      </c>
      <c r="B3">
        <v>2212.65</v>
      </c>
      <c r="C3">
        <v>52460.91</v>
      </c>
      <c r="D3">
        <v>2170.35</v>
      </c>
      <c r="E3">
        <v>51297.56</v>
      </c>
      <c r="F3">
        <v>-1</v>
      </c>
      <c r="G3">
        <v>37180.12</v>
      </c>
      <c r="H3">
        <v>-1</v>
      </c>
      <c r="I3">
        <v>6296.57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2190.13</v>
      </c>
      <c r="C4">
        <v>52349.31</v>
      </c>
      <c r="D4">
        <v>2145.06</v>
      </c>
      <c r="E4">
        <v>51261.35</v>
      </c>
      <c r="F4">
        <v>-1</v>
      </c>
      <c r="G4">
        <v>0</v>
      </c>
      <c r="H4">
        <v>-1</v>
      </c>
      <c r="I4">
        <v>0</v>
      </c>
      <c r="J4">
        <v>-1</v>
      </c>
      <c r="K4">
        <v>6882.18</v>
      </c>
      <c r="L4">
        <v>-1</v>
      </c>
      <c r="M4">
        <v>0</v>
      </c>
    </row>
    <row r="5" spans="1:13">
      <c r="A5" t="s">
        <v>16</v>
      </c>
      <c r="B5">
        <v>2195.18</v>
      </c>
      <c r="C5">
        <v>51193.95</v>
      </c>
      <c r="D5">
        <v>2173.51</v>
      </c>
      <c r="E5">
        <v>51958.64</v>
      </c>
      <c r="F5">
        <v>-1</v>
      </c>
      <c r="G5">
        <v>0</v>
      </c>
      <c r="H5">
        <v>-1</v>
      </c>
      <c r="I5">
        <v>0</v>
      </c>
      <c r="J5">
        <v>-1</v>
      </c>
      <c r="K5">
        <v>4634.87</v>
      </c>
      <c r="L5">
        <v>-1</v>
      </c>
      <c r="M5">
        <v>0</v>
      </c>
    </row>
    <row r="6" spans="1:13">
      <c r="A6" t="s">
        <v>17</v>
      </c>
      <c r="B6">
        <v>2111.53</v>
      </c>
      <c r="C6">
        <v>48911.57</v>
      </c>
      <c r="D6">
        <v>2103.37</v>
      </c>
      <c r="E6">
        <v>49787.37</v>
      </c>
      <c r="F6">
        <v>2141.11</v>
      </c>
      <c r="G6">
        <v>55123.11</v>
      </c>
      <c r="H6">
        <v>-1</v>
      </c>
      <c r="I6">
        <v>0</v>
      </c>
      <c r="J6">
        <v>2118.57</v>
      </c>
      <c r="K6">
        <v>49013.55</v>
      </c>
      <c r="L6">
        <v>-1</v>
      </c>
      <c r="M6">
        <v>0</v>
      </c>
    </row>
    <row r="7" spans="1:13">
      <c r="A7" t="s">
        <v>18</v>
      </c>
      <c r="B7">
        <v>2197.03</v>
      </c>
      <c r="C7">
        <v>50399.39</v>
      </c>
      <c r="D7">
        <v>2185.05</v>
      </c>
      <c r="E7">
        <v>50915.04</v>
      </c>
      <c r="F7">
        <v>2224.88</v>
      </c>
      <c r="G7">
        <v>56504.59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2119.9</v>
      </c>
      <c r="C8">
        <v>49792.66</v>
      </c>
      <c r="D8">
        <v>2107.86</v>
      </c>
      <c r="E8">
        <v>48847.72</v>
      </c>
      <c r="F8">
        <v>-1</v>
      </c>
      <c r="G8">
        <v>20802.02</v>
      </c>
      <c r="H8">
        <v>-1</v>
      </c>
      <c r="I8">
        <v>4119.6</v>
      </c>
      <c r="J8">
        <v>-1</v>
      </c>
      <c r="K8">
        <v>14663.09</v>
      </c>
      <c r="L8">
        <v>-1</v>
      </c>
      <c r="M8">
        <v>0</v>
      </c>
    </row>
    <row r="9" spans="1:13">
      <c r="A9" t="s">
        <v>20</v>
      </c>
      <c r="B9">
        <v>2204.02</v>
      </c>
      <c r="C9">
        <v>50042.73</v>
      </c>
      <c r="D9">
        <v>2192.07</v>
      </c>
      <c r="E9">
        <v>50241.44</v>
      </c>
      <c r="F9">
        <v>-1</v>
      </c>
      <c r="G9">
        <v>1589.87</v>
      </c>
      <c r="H9">
        <v>-1</v>
      </c>
      <c r="I9">
        <v>0</v>
      </c>
      <c r="J9">
        <v>-1</v>
      </c>
      <c r="K9">
        <v>11948.69</v>
      </c>
      <c r="L9">
        <v>-1</v>
      </c>
      <c r="M9">
        <v>0</v>
      </c>
    </row>
    <row r="10" spans="1:13">
      <c r="A10" t="s">
        <v>21</v>
      </c>
      <c r="B10">
        <v>2175.24</v>
      </c>
      <c r="C10">
        <v>50826.82</v>
      </c>
      <c r="D10">
        <v>2158.41</v>
      </c>
      <c r="E10">
        <v>49669.33</v>
      </c>
      <c r="F10">
        <v>-1</v>
      </c>
      <c r="G10">
        <v>16769.13</v>
      </c>
      <c r="H10">
        <v>-1</v>
      </c>
      <c r="I10">
        <v>0</v>
      </c>
      <c r="J10">
        <v>-1</v>
      </c>
      <c r="K10">
        <v>5994.05</v>
      </c>
      <c r="L10">
        <v>-1</v>
      </c>
      <c r="M10">
        <v>0</v>
      </c>
    </row>
    <row r="11" spans="1:13">
      <c r="A11" t="s">
        <v>22</v>
      </c>
      <c r="B11">
        <v>2154.49</v>
      </c>
      <c r="C11">
        <v>50251.87</v>
      </c>
      <c r="D11">
        <v>2142.62</v>
      </c>
      <c r="E11">
        <v>49070.83</v>
      </c>
      <c r="F11">
        <v>-1</v>
      </c>
      <c r="G11">
        <v>3901.99</v>
      </c>
      <c r="H11">
        <v>-1</v>
      </c>
      <c r="I11">
        <v>0</v>
      </c>
      <c r="J11">
        <v>-1</v>
      </c>
      <c r="K11">
        <v>6158.19</v>
      </c>
      <c r="L11">
        <v>-1</v>
      </c>
      <c r="M11">
        <v>0</v>
      </c>
    </row>
    <row r="12" spans="1:13">
      <c r="A12" t="s">
        <v>23</v>
      </c>
      <c r="B12">
        <v>2254.74</v>
      </c>
      <c r="C12">
        <v>53389.16</v>
      </c>
      <c r="D12">
        <v>2249.91</v>
      </c>
      <c r="E12">
        <v>53027.96</v>
      </c>
      <c r="F12">
        <v>2284.96</v>
      </c>
      <c r="G12">
        <v>59912.83</v>
      </c>
      <c r="H12">
        <v>-1</v>
      </c>
      <c r="I12">
        <v>8492.9</v>
      </c>
      <c r="J12">
        <v>2261.22</v>
      </c>
      <c r="K12">
        <v>53506.56</v>
      </c>
      <c r="L12">
        <v>-1</v>
      </c>
      <c r="M12">
        <v>0</v>
      </c>
    </row>
    <row r="13" spans="1:13">
      <c r="A13" t="s">
        <v>24</v>
      </c>
      <c r="B13">
        <v>2183.52</v>
      </c>
      <c r="C13">
        <v>49631.73</v>
      </c>
      <c r="D13">
        <v>2169.81</v>
      </c>
      <c r="E13">
        <v>51347.29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2220.71</v>
      </c>
      <c r="C14">
        <v>52841.47</v>
      </c>
      <c r="D14">
        <v>2175.52</v>
      </c>
      <c r="E14">
        <v>51565.69</v>
      </c>
      <c r="F14">
        <v>-1</v>
      </c>
      <c r="G14">
        <v>6938.54</v>
      </c>
      <c r="H14">
        <v>-1</v>
      </c>
      <c r="I14">
        <v>4403.27</v>
      </c>
      <c r="J14">
        <v>-1</v>
      </c>
      <c r="K14">
        <v>0</v>
      </c>
      <c r="L14">
        <v>-1</v>
      </c>
      <c r="M14">
        <v>3919.19</v>
      </c>
    </row>
    <row r="15" spans="1:13">
      <c r="A15" t="s">
        <v>26</v>
      </c>
      <c r="B15">
        <v>2217.69</v>
      </c>
      <c r="C15">
        <v>49837.63</v>
      </c>
      <c r="D15">
        <v>2171.31</v>
      </c>
      <c r="E15">
        <v>49536.37</v>
      </c>
      <c r="F15">
        <v>-1</v>
      </c>
      <c r="G15">
        <v>11028.69</v>
      </c>
      <c r="H15">
        <v>-1</v>
      </c>
      <c r="I15">
        <v>12167.31</v>
      </c>
      <c r="J15">
        <v>-1</v>
      </c>
      <c r="K15">
        <v>8594.3</v>
      </c>
      <c r="L15">
        <v>-1</v>
      </c>
      <c r="M15">
        <v>3119.45</v>
      </c>
    </row>
    <row r="16" spans="1:13">
      <c r="A16" t="s">
        <v>27</v>
      </c>
      <c r="B16">
        <v>2161.91</v>
      </c>
      <c r="C16">
        <v>49420.84</v>
      </c>
      <c r="D16">
        <v>2152.69</v>
      </c>
      <c r="E16">
        <v>51551.45</v>
      </c>
      <c r="F16">
        <v>2190.62</v>
      </c>
      <c r="G16">
        <v>55662.34</v>
      </c>
      <c r="H16">
        <v>-1</v>
      </c>
      <c r="I16">
        <v>4831.43</v>
      </c>
      <c r="J16">
        <v>2168.92</v>
      </c>
      <c r="K16">
        <v>49498.6</v>
      </c>
      <c r="L16">
        <v>-1</v>
      </c>
      <c r="M16">
        <v>0</v>
      </c>
    </row>
    <row r="17" spans="1:13">
      <c r="A17" t="s">
        <v>28</v>
      </c>
      <c r="B17">
        <v>2307.11</v>
      </c>
      <c r="C17">
        <v>51548.91</v>
      </c>
      <c r="D17">
        <v>2258.59</v>
      </c>
      <c r="E17">
        <v>50878.23</v>
      </c>
      <c r="F17">
        <v>-1</v>
      </c>
      <c r="G17">
        <v>0</v>
      </c>
      <c r="H17">
        <v>-1</v>
      </c>
      <c r="I17">
        <v>0</v>
      </c>
      <c r="J17">
        <v>-1</v>
      </c>
      <c r="K17">
        <v>4511.15</v>
      </c>
      <c r="L17">
        <v>-1</v>
      </c>
      <c r="M17">
        <v>0</v>
      </c>
    </row>
    <row r="18" spans="1:13">
      <c r="A18" t="s">
        <v>29</v>
      </c>
      <c r="B18">
        <v>2271.86</v>
      </c>
      <c r="C18">
        <v>49757.06</v>
      </c>
      <c r="D18">
        <v>2233.13</v>
      </c>
      <c r="E18">
        <v>50178.37</v>
      </c>
      <c r="F18">
        <v>-1</v>
      </c>
      <c r="G18">
        <v>0</v>
      </c>
      <c r="H18">
        <v>-1</v>
      </c>
      <c r="I18">
        <v>0</v>
      </c>
      <c r="J18">
        <v>-1</v>
      </c>
      <c r="K18">
        <v>16366.14</v>
      </c>
      <c r="L18">
        <v>-1</v>
      </c>
      <c r="M18">
        <v>0</v>
      </c>
    </row>
    <row r="19" spans="1:13">
      <c r="A19" t="s">
        <v>30</v>
      </c>
      <c r="B19">
        <v>2265.89</v>
      </c>
      <c r="C19">
        <v>49538.17</v>
      </c>
      <c r="D19">
        <v>2221.55</v>
      </c>
      <c r="E19">
        <v>51663.06</v>
      </c>
      <c r="F19">
        <v>-1</v>
      </c>
      <c r="G19">
        <v>4101.41</v>
      </c>
      <c r="H19">
        <v>-1</v>
      </c>
      <c r="I19">
        <v>0</v>
      </c>
      <c r="J19">
        <v>-1</v>
      </c>
      <c r="K19">
        <v>3698</v>
      </c>
      <c r="L19">
        <v>-1</v>
      </c>
      <c r="M19">
        <v>0</v>
      </c>
    </row>
    <row r="20" spans="1:13">
      <c r="A20" t="s">
        <v>31</v>
      </c>
      <c r="B20">
        <v>2227.4</v>
      </c>
      <c r="C20">
        <v>48906.33</v>
      </c>
      <c r="D20">
        <v>2217.75</v>
      </c>
      <c r="E20">
        <v>49859.27</v>
      </c>
      <c r="F20">
        <v>2292.54</v>
      </c>
      <c r="G20">
        <v>55017</v>
      </c>
      <c r="H20">
        <v>-1</v>
      </c>
      <c r="I20">
        <v>0</v>
      </c>
      <c r="J20">
        <v>2250.3</v>
      </c>
      <c r="K20">
        <v>48992.17</v>
      </c>
      <c r="L20">
        <v>-1</v>
      </c>
      <c r="M20">
        <v>6253.48</v>
      </c>
    </row>
    <row r="21" spans="1:13">
      <c r="A21" t="s">
        <v>32</v>
      </c>
      <c r="B21">
        <v>2305.76</v>
      </c>
      <c r="C21">
        <v>50919.77</v>
      </c>
      <c r="D21">
        <v>2289.85</v>
      </c>
      <c r="E21">
        <v>52564.57</v>
      </c>
      <c r="F21">
        <v>-1</v>
      </c>
      <c r="G21">
        <v>25764.74</v>
      </c>
      <c r="H21">
        <v>-1</v>
      </c>
      <c r="I21">
        <v>6324.27</v>
      </c>
      <c r="J21">
        <v>2369.29</v>
      </c>
      <c r="K21">
        <v>50853.64</v>
      </c>
      <c r="L21">
        <v>-1</v>
      </c>
      <c r="M21">
        <v>0</v>
      </c>
    </row>
    <row r="22" spans="1:13">
      <c r="A22" t="s">
        <v>33</v>
      </c>
      <c r="B22">
        <v>2333.1</v>
      </c>
      <c r="C22">
        <v>53405.18</v>
      </c>
      <c r="D22">
        <v>2286.68</v>
      </c>
      <c r="E22">
        <v>51890.01</v>
      </c>
      <c r="F22">
        <v>-1</v>
      </c>
      <c r="G22">
        <v>0</v>
      </c>
      <c r="H22">
        <v>-1</v>
      </c>
      <c r="I22">
        <v>0</v>
      </c>
      <c r="J22">
        <v>-1</v>
      </c>
      <c r="K22">
        <v>1493.13</v>
      </c>
      <c r="L22">
        <v>-1</v>
      </c>
      <c r="M22">
        <v>0</v>
      </c>
    </row>
    <row r="23" spans="1:13">
      <c r="A23" t="s">
        <v>34</v>
      </c>
      <c r="B23">
        <v>2208.37</v>
      </c>
      <c r="C23">
        <v>50186.59</v>
      </c>
      <c r="D23">
        <v>2192.41</v>
      </c>
      <c r="E23">
        <v>48723.55</v>
      </c>
      <c r="F23">
        <v>-1</v>
      </c>
      <c r="G23">
        <v>0</v>
      </c>
      <c r="H23">
        <v>-1</v>
      </c>
      <c r="I23">
        <v>0</v>
      </c>
      <c r="J23">
        <v>-1</v>
      </c>
      <c r="K23">
        <v>25158.59</v>
      </c>
      <c r="L23">
        <v>-1</v>
      </c>
      <c r="M23">
        <v>0</v>
      </c>
    </row>
    <row r="24" spans="1:13">
      <c r="A24" t="s">
        <v>35</v>
      </c>
      <c r="B24">
        <v>2249.78</v>
      </c>
      <c r="C24">
        <v>52802.98</v>
      </c>
      <c r="D24">
        <v>2237.09</v>
      </c>
      <c r="E24">
        <v>48571.66</v>
      </c>
      <c r="F24">
        <v>2279.04</v>
      </c>
      <c r="G24">
        <v>59113.9</v>
      </c>
      <c r="H24">
        <v>-1</v>
      </c>
      <c r="I24">
        <v>0</v>
      </c>
      <c r="J24">
        <v>2256.3</v>
      </c>
      <c r="K24">
        <v>52919.22</v>
      </c>
      <c r="L24">
        <v>-1</v>
      </c>
      <c r="M24">
        <v>0</v>
      </c>
    </row>
    <row r="25" spans="1:13">
      <c r="A25" t="s">
        <v>36</v>
      </c>
      <c r="B25">
        <v>2199.05</v>
      </c>
      <c r="C25">
        <v>49715.66</v>
      </c>
      <c r="D25">
        <v>2156.3</v>
      </c>
      <c r="E25">
        <v>50785.6</v>
      </c>
      <c r="F25">
        <v>-1</v>
      </c>
      <c r="G25">
        <v>3410.69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2255.5</v>
      </c>
      <c r="C26">
        <v>52928.74</v>
      </c>
      <c r="D26">
        <v>2215.12</v>
      </c>
      <c r="E26">
        <v>51558.28</v>
      </c>
      <c r="F26">
        <v>-1</v>
      </c>
      <c r="G26">
        <v>8003.9</v>
      </c>
      <c r="H26">
        <v>-1</v>
      </c>
      <c r="I26">
        <v>5941.8</v>
      </c>
      <c r="J26">
        <v>-1</v>
      </c>
      <c r="K26">
        <v>7256.34</v>
      </c>
      <c r="L26">
        <v>-1</v>
      </c>
      <c r="M26">
        <v>0</v>
      </c>
    </row>
    <row r="28" spans="1:42">
      <c r="A28" s="3" t="s">
        <v>38</v>
      </c>
      <c r="B28" s="3" t="s">
        <v>39</v>
      </c>
      <c r="C28" s="3" t="s">
        <v>40</v>
      </c>
      <c r="D28" s="4" t="s">
        <v>41</v>
      </c>
      <c r="E28" s="3" t="s">
        <v>42</v>
      </c>
      <c r="F28" s="3" t="s">
        <v>43</v>
      </c>
      <c r="G28" s="3" t="s">
        <v>44</v>
      </c>
      <c r="H28" s="3" t="s">
        <v>45</v>
      </c>
      <c r="I28" s="3" t="s">
        <v>46</v>
      </c>
      <c r="J28" s="4" t="s">
        <v>47</v>
      </c>
      <c r="K28" s="3" t="s">
        <v>48</v>
      </c>
      <c r="L28" s="3" t="s">
        <v>49</v>
      </c>
      <c r="M28" s="3" t="s">
        <v>50</v>
      </c>
      <c r="N28" s="3" t="s">
        <v>51</v>
      </c>
      <c r="O28" s="3" t="s">
        <v>52</v>
      </c>
      <c r="P28" s="4" t="s">
        <v>53</v>
      </c>
      <c r="Q28" s="3" t="s">
        <v>54</v>
      </c>
      <c r="R28" s="3" t="s">
        <v>55</v>
      </c>
      <c r="S28" s="3" t="s">
        <v>56</v>
      </c>
      <c r="T28" s="3" t="s">
        <v>57</v>
      </c>
      <c r="U28" s="3" t="s">
        <v>58</v>
      </c>
      <c r="V28" s="4" t="s">
        <v>59</v>
      </c>
      <c r="W28" s="3" t="s">
        <v>60</v>
      </c>
      <c r="X28" s="3" t="s">
        <v>61</v>
      </c>
      <c r="Y28" s="3" t="s">
        <v>62</v>
      </c>
      <c r="Z28" s="3" t="s">
        <v>63</v>
      </c>
      <c r="AA28" s="3" t="s">
        <v>64</v>
      </c>
      <c r="AB28" s="4" t="s">
        <v>65</v>
      </c>
      <c r="AC28" s="3" t="s">
        <v>66</v>
      </c>
      <c r="AD28" s="3" t="s">
        <v>67</v>
      </c>
      <c r="AE28" s="3" t="s">
        <v>68</v>
      </c>
      <c r="AF28" s="3" t="s">
        <v>69</v>
      </c>
      <c r="AG28" s="3" t="s">
        <v>70</v>
      </c>
      <c r="AH28" s="4" t="s">
        <v>71</v>
      </c>
      <c r="AI28" s="3" t="s">
        <v>72</v>
      </c>
      <c r="AJ28" s="3" t="s">
        <v>73</v>
      </c>
      <c r="AK28" s="3" t="s">
        <v>74</v>
      </c>
      <c r="AL28" s="3" t="s">
        <v>75</v>
      </c>
      <c r="AM28" s="3" t="s">
        <v>76</v>
      </c>
      <c r="AN28" s="4" t="s">
        <v>77</v>
      </c>
      <c r="AO28" s="3" t="s">
        <v>78</v>
      </c>
      <c r="AP28" s="3" t="s">
        <v>79</v>
      </c>
    </row>
    <row r="29" spans="1:42">
      <c r="A29" s="5">
        <f>IFERROR(AVERAGEIF($B$2:$B$26,"&lt;&gt; -1"),0)</f>
        <v>2215.6384</v>
      </c>
      <c r="B29" s="5">
        <f>IFERROR(AVERAGEIF($D$2:$D$26,"&lt;&gt; -1"),0)</f>
        <v>2190.7752</v>
      </c>
      <c r="C29" s="5">
        <f>IFERROR(AVERAGEIF($F$2:$F$26,"&lt;&gt; -1"),0)</f>
        <v>2230.00285714286</v>
      </c>
      <c r="D29" s="5">
        <f>IFERROR(AVERAGEIF($H$2:$H$26,"&lt;&gt; -1"),0)</f>
        <v>0</v>
      </c>
      <c r="E29" s="5">
        <f>IFERROR(AVERAGEIF($J$2:$J$26,"&lt;&gt; -1"),0)</f>
        <v>2228.59714285714</v>
      </c>
      <c r="F29" s="5">
        <f>IFERROR(AVERAGEIF($L$2:$L$26,"&lt;&gt; -1"),0)</f>
        <v>0</v>
      </c>
      <c r="G29" s="5">
        <f>IFERROR(AVERAGEIFS($C$2:$C$26,$B$2:$B$26,"&lt;&gt; -1"),0)</f>
        <v>50873.1124</v>
      </c>
      <c r="H29" s="5">
        <f>IFERROR(AVERAGEIFS($E$2:$E$26,$D$2:$D$26,"&lt;&gt; -1"),0)</f>
        <v>50709.22</v>
      </c>
      <c r="I29" s="5">
        <f>IFERROR(AVERAGEIFS($G$2:$G$26,$F$2:$F$26,"&lt;&gt; -1"),0)</f>
        <v>56899.7757142857</v>
      </c>
      <c r="J29" s="5">
        <f>IFERROR(AVERAGEIFS($I$2:$I$26,$H$2:$H$26,"&lt;&gt; -1"),0)</f>
        <v>0</v>
      </c>
      <c r="K29" s="5">
        <f>IFERROR(AVERAGEIFS($K$2:$K$26,$J$2:$J$26,"&lt;&gt; -1"),0)</f>
        <v>50806.9842857143</v>
      </c>
      <c r="L29" s="5">
        <f>IFERROR(AVERAGEIFS($M$2:$M$26,$L$2:$L$26,"&lt;&gt; -1"),0)</f>
        <v>0</v>
      </c>
      <c r="M29" s="5">
        <f>IFERROR(_xlfn.MAXIFS($B$2:$B$26,$B$2:$B$26,"&lt;&gt; -1"),0)</f>
        <v>2333.1</v>
      </c>
      <c r="N29" s="5">
        <f>IFERROR(_xlfn.MAXIFS($D$2:$D$26,$D$2:$D$26,"&lt;&gt;-1"),0)</f>
        <v>2289.85</v>
      </c>
      <c r="O29" s="5">
        <f>IFERROR(_xlfn.MAXIFS($F$2:$F$26,$F$2:$F$26,"&lt;&gt; -1"),0)</f>
        <v>2292.54</v>
      </c>
      <c r="P29" s="5">
        <f>IFERROR(_xlfn.MAXIFS($H$2:$H$26,$H$2:$H$26,"&lt;&gt; -1"),0)</f>
        <v>0</v>
      </c>
      <c r="Q29" s="5">
        <f>IFERROR(_xlfn.MAXIFS($J$2:$J$26,$J$2:$J$26,"&lt;&gt; -1"),0)</f>
        <v>2369.29</v>
      </c>
      <c r="R29" s="5">
        <f>IFERROR(_xlfn.MAXIFS($L$2:$L$26,$L$2:$L$26,"&lt;&gt; -1"),0)</f>
        <v>0</v>
      </c>
      <c r="S29" s="5">
        <f>IFERROR(_xlfn.MINIFS($B$2:$B$26,$B$2:$B$26,"&lt;&gt; -1"),0)</f>
        <v>2111.53</v>
      </c>
      <c r="T29" s="5">
        <f>IFERROR(_xlfn.MINIFS($D$2:$D$26,$D$2:$D$26,"&lt;&gt;-1"),0)</f>
        <v>2103.37</v>
      </c>
      <c r="U29" s="5">
        <f>IFERROR(_xlfn.MINIFS($F$2:$F$26,$F$2:$F$26,"&lt;&gt; -1"),0)</f>
        <v>2141.11</v>
      </c>
      <c r="V29" s="5">
        <f>IFERROR(_xlfn.MINIFS($H$2:$H$26,$H$2:$H$26,"&lt;&gt; -1"),0)</f>
        <v>0</v>
      </c>
      <c r="W29" s="5">
        <f>IFERROR(_xlfn.MINIFS($J$2:$J$26,$J$2:$J$26,"&lt;&gt; -1"),0)</f>
        <v>2118.57</v>
      </c>
      <c r="X29" s="5">
        <f>IFERROR(_xlfn.MINIFS($L$2:$L$26,$L$2:$L$26,"&lt;&gt; -1"),0)</f>
        <v>0</v>
      </c>
      <c r="Y29" s="5">
        <f>IFERROR(_xlfn.MAXIFS($C$2:$C$26,$B$2:$B$26,"&lt;&gt; -1"),0)</f>
        <v>53405.18</v>
      </c>
      <c r="Z29" s="5">
        <f>IFERROR(_xlfn.MAXIFS($E$2:$E$26,$D$2:$D$26,"&lt;&gt; -1"),0)</f>
        <v>53027.96</v>
      </c>
      <c r="AA29" s="5">
        <f>IFERROR(_xlfn.MAXIFS($G$2:$G$26,$F$2:$F$26,"&lt;&gt; -1"),0)</f>
        <v>59912.83</v>
      </c>
      <c r="AB29" s="5">
        <f>IFERROR(_xlfn.MAXIFS($I$2:$I$26,$H$2:$H$26,"&lt;&gt; -1"),0)</f>
        <v>0</v>
      </c>
      <c r="AC29" s="5">
        <f>IFERROR(_xlfn.MAXIFS($K$2:$K$26,$J$2:$J$26,"&lt;&gt; -1"),0)</f>
        <v>53506.56</v>
      </c>
      <c r="AD29" s="5">
        <f>IFERROR(_xlfn.MAXIFS($M$2:$M$26,$L$2:$L$26,"&lt;&gt; -1"),0)</f>
        <v>0</v>
      </c>
      <c r="AE29" s="5">
        <f>IFERROR(_xlfn.MINIFS($C$2:$C$26,$B$2:$B$26,"&lt;&gt; -1"),0)</f>
        <v>48906.33</v>
      </c>
      <c r="AF29" s="5">
        <f>IFERROR(_xlfn.MINIFS($E$2:$E$26,$D$2:$D$26,"&lt;&gt; -1"),0)</f>
        <v>48571.66</v>
      </c>
      <c r="AG29" s="5">
        <f>IFERROR(_xlfn.MINIFS($G$2:$G$26,$F$2:$F$26,"&lt;&gt; -1"),0)</f>
        <v>55017</v>
      </c>
      <c r="AH29" s="5">
        <f>IFERROR(_xlfn.MINIFS($I$2:$I$26,$H$2:$H$26,"&lt;&gt; -1"),0)</f>
        <v>0</v>
      </c>
      <c r="AI29" s="5">
        <f>IFERROR(_xlfn.MINIFS($K$2:$K$26,$J$2:$J$26,"&lt;&gt; -1"),0)</f>
        <v>48992.17</v>
      </c>
      <c r="AJ29" s="5">
        <f>IFERROR(_xlfn.MINIFS($M$2:$M$26,$L$2:$L$26,"&lt;&gt; -1"),0)</f>
        <v>0</v>
      </c>
      <c r="AK29" s="5">
        <f>(COUNTIFS($B$2:$B$26,"&gt;0.0",$B$2:$B$26,"&lt;2100.0"))/25</f>
        <v>0</v>
      </c>
      <c r="AL29" s="5">
        <f>(COUNTIFS($D$2:$D$26,"&gt;0.0",$D$2:$D$26,"&lt;2100.0"))/25</f>
        <v>0</v>
      </c>
      <c r="AM29" s="5">
        <f>(COUNTIFS($F$2:$F$26,"&gt;0.0",$F$2:$F$26,"&lt;2100.0"))/25</f>
        <v>0</v>
      </c>
      <c r="AN29" s="5">
        <f>(COUNTIFS($H$2:$H26,"&gt;0.0",$H$2:$H$26,"&lt;2100.0"))/25</f>
        <v>0</v>
      </c>
      <c r="AO29" s="5">
        <f>(COUNTIFS($J$2:$J$26,"&gt;0.0",$J$2:$J$26,"&lt;2100.0"))/25</f>
        <v>0</v>
      </c>
      <c r="AP29" s="5">
        <f>(COUNTIFS($L$2:$L$26,"&gt;0.0",$L$2:$L$26,"&lt;2100.0"))/25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7"/>
  <sheetViews>
    <sheetView tabSelected="1" zoomScale="220" zoomScaleNormal="220" workbookViewId="0">
      <selection activeCell="D9" sqref="D9"/>
    </sheetView>
  </sheetViews>
  <sheetFormatPr defaultColWidth="8.72727272727273" defaultRowHeight="14" outlineLevelRow="6"/>
  <sheetData>
    <row r="1" spans="1:60">
      <c r="A1" s="1" t="s">
        <v>38</v>
      </c>
      <c r="B1" s="1" t="s">
        <v>39</v>
      </c>
      <c r="C1" s="1" t="s">
        <v>44</v>
      </c>
      <c r="D1" s="1" t="s">
        <v>45</v>
      </c>
      <c r="E1" s="1" t="s">
        <v>74</v>
      </c>
      <c r="F1" s="1" t="s">
        <v>75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">
      <c r="A2">
        <v>1752</v>
      </c>
      <c r="B2">
        <v>8289</v>
      </c>
      <c r="C2">
        <v>52849</v>
      </c>
      <c r="D2">
        <v>51817</v>
      </c>
      <c r="E2">
        <v>1</v>
      </c>
      <c r="F2">
        <v>1</v>
      </c>
    </row>
    <row r="3" spans="1:6">
      <c r="A3">
        <v>1745</v>
      </c>
      <c r="B3">
        <v>10303</v>
      </c>
      <c r="C3">
        <v>51449</v>
      </c>
      <c r="D3">
        <v>50446</v>
      </c>
      <c r="E3">
        <v>1</v>
      </c>
      <c r="F3">
        <v>1</v>
      </c>
    </row>
    <row r="4" spans="1:6">
      <c r="A4">
        <v>2167</v>
      </c>
      <c r="B4">
        <v>12718</v>
      </c>
      <c r="C4">
        <v>50416</v>
      </c>
      <c r="D4">
        <v>50055</v>
      </c>
      <c r="E4">
        <v>1</v>
      </c>
      <c r="F4">
        <v>1</v>
      </c>
    </row>
    <row r="5" spans="1:6">
      <c r="A5">
        <v>2368</v>
      </c>
      <c r="B5">
        <v>11882</v>
      </c>
      <c r="C5">
        <v>50031</v>
      </c>
      <c r="D5">
        <v>49717</v>
      </c>
      <c r="E5">
        <v>1</v>
      </c>
      <c r="F5">
        <v>1</v>
      </c>
    </row>
    <row r="6" spans="1:6">
      <c r="A6">
        <v>2654</v>
      </c>
      <c r="B6">
        <v>14700</v>
      </c>
      <c r="C6">
        <v>51198</v>
      </c>
      <c r="D6">
        <v>50524</v>
      </c>
      <c r="E6">
        <v>1</v>
      </c>
      <c r="F6">
        <v>1</v>
      </c>
    </row>
    <row r="7" spans="1:6">
      <c r="A7">
        <v>3421</v>
      </c>
      <c r="B7">
        <v>14102</v>
      </c>
      <c r="C7">
        <v>51468</v>
      </c>
      <c r="D7">
        <v>51131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2024-10-01T20:46:00Z</dcterms:created>
  <dcterms:modified xsi:type="dcterms:W3CDTF">2025-05-26T10:41:45Z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93838807BBE0498A897E5038DA9B2EB3_12</vt:lpwstr>
  </property>
  <property fmtid="{D5CDD505-2E9C-101B-9397-08002B2CF9AE}" pid="3" name="KSOProductBuildVer">
    <vt:lpwstr>2052-12.1.0.21171</vt:lpwstr>
  </property>
</Properties>
</file>