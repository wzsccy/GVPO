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790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<sst xmlns="http://schemas.openxmlformats.org/spreadsheetml/2006/main" count="492" uniqueCount="75">
  <si>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</si>
  <si>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LC_1_T</t>
  </si>
  <si>
    <t>LC_1_C</t>
  </si>
  <si>
    <t>LC_2_T</t>
  </si>
  <si>
    <t>LC_2_C</t>
  </si>
  <si>
    <t>ML_1_T</t>
  </si>
  <si>
    <t>ML_1_C</t>
  </si>
  <si>
    <t>ML_2_T</t>
  </si>
  <si>
    <t>ML_2_C</t>
  </si>
  <si>
    <t>MA_1_T</t>
  </si>
  <si>
    <t>MA_1_C</t>
  </si>
  <si>
    <t>MA_2_T</t>
  </si>
  <si>
    <t>MA_2_C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</si>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</sst>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tabSelected="1" workbookViewId="0">
      <selection activeCell="A24" sqref="A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11.21</v>
      </c>
      <c r="C2">
        <v>1914.74</v>
      </c>
      <c r="D2">
        <v>11.28</v>
      </c>
      <c r="E2">
        <v>1822.17</v>
      </c>
      <c r="F2">
        <v>12.33</v>
      </c>
      <c r="G2">
        <v>1978.34</v>
      </c>
      <c r="H2">
        <v>12.38</v>
      </c>
      <c r="I2">
        <v>1946.88</v>
      </c>
      <c r="J2">
        <v>11.64</v>
      </c>
      <c r="K2">
        <v>1828.75</v>
      </c>
      <c r="L2">
        <v>11.73</v>
      </c>
      <c r="M2">
        <v>1787.8</v>
      </c>
    </row>
    <row r="3" spans="1:13">
      <c r="A3" t="s">
        <v>14</v>
      </c>
      <c r="B3">
        <v>11.73</v>
      </c>
      <c r="C3">
        <v>1912.55</v>
      </c>
      <c r="D3">
        <v>11.8</v>
      </c>
      <c r="E3">
        <v>1972.71</v>
      </c>
      <c r="F3">
        <v>12.76</v>
      </c>
      <c r="G3">
        <v>2004.24</v>
      </c>
      <c r="H3">
        <v>12.73</v>
      </c>
      <c r="I3">
        <v>2045.71</v>
      </c>
      <c r="J3">
        <v>12.92</v>
      </c>
      <c r="K3">
        <v>1843.94</v>
      </c>
      <c r="L3">
        <v>12.3</v>
      </c>
      <c r="M3">
        <v>1893.17</v>
      </c>
    </row>
    <row r="4" spans="1:13">
      <c r="A4" t="s">
        <v>15</v>
      </c>
      <c r="B4">
        <v>11.42</v>
      </c>
      <c r="C4">
        <v>2016.91</v>
      </c>
      <c r="D4">
        <v>11.54</v>
      </c>
      <c r="E4">
        <v>1864.45</v>
      </c>
      <c r="F4">
        <v>12.39</v>
      </c>
      <c r="G4">
        <v>2049.36</v>
      </c>
      <c r="H4">
        <v>12.82</v>
      </c>
      <c r="I4">
        <v>1952.14</v>
      </c>
      <c r="J4">
        <v>11.89</v>
      </c>
      <c r="K4">
        <v>1884.5</v>
      </c>
      <c r="L4">
        <v>12.14</v>
      </c>
      <c r="M4">
        <v>1794.81</v>
      </c>
    </row>
    <row r="5" spans="1:13">
      <c r="A5" t="s">
        <v>16</v>
      </c>
      <c r="B5">
        <v>15.32</v>
      </c>
      <c r="C5">
        <v>1870.78</v>
      </c>
      <c r="D5">
        <v>15.52</v>
      </c>
      <c r="E5">
        <v>1866</v>
      </c>
      <c r="F5">
        <v>16.33</v>
      </c>
      <c r="G5">
        <v>2008.49</v>
      </c>
      <c r="H5">
        <v>16.4</v>
      </c>
      <c r="I5">
        <v>1985.52</v>
      </c>
      <c r="J5">
        <v>16.75</v>
      </c>
      <c r="K5">
        <v>1821.24</v>
      </c>
      <c r="L5">
        <v>15.87</v>
      </c>
      <c r="M5">
        <v>1808.4</v>
      </c>
    </row>
    <row r="6" spans="1:13">
      <c r="A6" t="s">
        <v>17</v>
      </c>
      <c r="B6">
        <v>16.81</v>
      </c>
      <c r="C6">
        <v>1912.18</v>
      </c>
      <c r="D6">
        <v>16.95</v>
      </c>
      <c r="E6">
        <v>1898.21</v>
      </c>
      <c r="F6">
        <v>18.12</v>
      </c>
      <c r="G6">
        <v>2002.49</v>
      </c>
      <c r="H6">
        <v>18.55</v>
      </c>
      <c r="I6">
        <v>2006.04</v>
      </c>
      <c r="J6">
        <v>17.75</v>
      </c>
      <c r="K6">
        <v>1846.3</v>
      </c>
      <c r="L6">
        <v>17.65</v>
      </c>
      <c r="M6">
        <v>1844.67</v>
      </c>
    </row>
    <row r="7" spans="1:13">
      <c r="A7" t="s">
        <v>18</v>
      </c>
      <c r="B7">
        <v>13.03</v>
      </c>
      <c r="C7">
        <v>1925.36</v>
      </c>
      <c r="D7">
        <v>13.13</v>
      </c>
      <c r="E7">
        <v>1908.81</v>
      </c>
      <c r="F7">
        <v>14.07</v>
      </c>
      <c r="G7">
        <v>1981.79</v>
      </c>
      <c r="H7">
        <v>14.38</v>
      </c>
      <c r="I7">
        <v>1980.79</v>
      </c>
      <c r="J7">
        <v>13.49</v>
      </c>
      <c r="K7">
        <v>1833.58</v>
      </c>
      <c r="L7">
        <v>13.83</v>
      </c>
      <c r="M7">
        <v>1826.48</v>
      </c>
    </row>
    <row r="8" spans="1:13">
      <c r="A8" t="s">
        <v>19</v>
      </c>
      <c r="B8">
        <v>12.12</v>
      </c>
      <c r="C8">
        <v>1788.78</v>
      </c>
      <c r="D8">
        <v>12.18</v>
      </c>
      <c r="E8">
        <v>1898.69</v>
      </c>
      <c r="F8">
        <v>13.31</v>
      </c>
      <c r="G8">
        <v>1925.3</v>
      </c>
      <c r="H8">
        <v>13.16</v>
      </c>
      <c r="I8">
        <v>1956</v>
      </c>
      <c r="J8">
        <v>12.54</v>
      </c>
      <c r="K8">
        <v>1763.39</v>
      </c>
      <c r="L8">
        <v>13.2</v>
      </c>
      <c r="M8">
        <v>1825.11</v>
      </c>
    </row>
    <row r="9" spans="1:13">
      <c r="A9" t="s">
        <v>20</v>
      </c>
      <c r="B9">
        <v>11.84</v>
      </c>
      <c r="C9">
        <v>1728.64</v>
      </c>
      <c r="D9">
        <v>11.92</v>
      </c>
      <c r="E9">
        <v>1802.67</v>
      </c>
      <c r="F9">
        <v>13</v>
      </c>
      <c r="G9">
        <v>1847.88</v>
      </c>
      <c r="H9">
        <v>13.3</v>
      </c>
      <c r="I9">
        <v>1900.85</v>
      </c>
      <c r="J9">
        <v>12.47</v>
      </c>
      <c r="K9">
        <v>1676.66</v>
      </c>
      <c r="L9">
        <v>12.27</v>
      </c>
      <c r="M9">
        <v>1755.9</v>
      </c>
    </row>
    <row r="10" spans="1:13">
      <c r="A10" t="s">
        <v>21</v>
      </c>
      <c r="B10">
        <v>12.51</v>
      </c>
      <c r="C10">
        <v>1874.31</v>
      </c>
      <c r="D10">
        <v>12.62</v>
      </c>
      <c r="E10">
        <v>1796.07</v>
      </c>
      <c r="F10">
        <v>13.28</v>
      </c>
      <c r="G10">
        <v>1965.39</v>
      </c>
      <c r="H10">
        <v>13.53</v>
      </c>
      <c r="I10">
        <v>1955.11</v>
      </c>
      <c r="J10">
        <v>13.03</v>
      </c>
      <c r="K10">
        <v>1806.59</v>
      </c>
      <c r="L10">
        <v>13.09</v>
      </c>
      <c r="M10">
        <v>1780.08</v>
      </c>
    </row>
    <row r="11" spans="1:13">
      <c r="A11" t="s">
        <v>22</v>
      </c>
      <c r="B11">
        <v>13.17</v>
      </c>
      <c r="C11">
        <v>1944.55</v>
      </c>
      <c r="D11">
        <v>13.22</v>
      </c>
      <c r="E11">
        <v>1940.48</v>
      </c>
      <c r="F11">
        <v>14.33</v>
      </c>
      <c r="G11">
        <v>2064.56</v>
      </c>
      <c r="H11">
        <v>14.15</v>
      </c>
      <c r="I11">
        <v>2023.2</v>
      </c>
      <c r="J11">
        <v>13.73</v>
      </c>
      <c r="K11">
        <v>1876.57</v>
      </c>
      <c r="L11">
        <v>13.6</v>
      </c>
      <c r="M11">
        <v>1850.74</v>
      </c>
    </row>
    <row r="12" spans="1:13">
      <c r="A12" t="s">
        <v>23</v>
      </c>
      <c r="B12">
        <v>12.62</v>
      </c>
      <c r="C12">
        <v>1977.52</v>
      </c>
      <c r="D12">
        <v>12.7</v>
      </c>
      <c r="E12">
        <v>1977.91</v>
      </c>
      <c r="F12">
        <v>13.61</v>
      </c>
      <c r="G12">
        <v>2056.72</v>
      </c>
      <c r="H12">
        <v>13.79</v>
      </c>
      <c r="I12">
        <v>2092.35</v>
      </c>
      <c r="J12">
        <v>13.38</v>
      </c>
      <c r="K12">
        <v>1896.71</v>
      </c>
      <c r="L12">
        <v>13.2</v>
      </c>
      <c r="M12">
        <v>1909.54</v>
      </c>
    </row>
    <row r="13" spans="1:13">
      <c r="A13" t="s">
        <v>24</v>
      </c>
      <c r="B13">
        <v>12.41</v>
      </c>
      <c r="C13">
        <v>2015.56</v>
      </c>
      <c r="D13">
        <v>12.48</v>
      </c>
      <c r="E13">
        <v>1994.11</v>
      </c>
      <c r="F13">
        <v>13.56</v>
      </c>
      <c r="G13">
        <v>2093.19</v>
      </c>
      <c r="H13">
        <v>13.71</v>
      </c>
      <c r="I13">
        <v>2059.74</v>
      </c>
      <c r="J13">
        <v>13.1</v>
      </c>
      <c r="K13">
        <v>1946.47</v>
      </c>
      <c r="L13">
        <v>13.06</v>
      </c>
      <c r="M13">
        <v>1913.7</v>
      </c>
    </row>
    <row r="14" spans="1:13">
      <c r="A14" t="s">
        <v>25</v>
      </c>
      <c r="B14">
        <v>12.77</v>
      </c>
      <c r="C14">
        <v>1958.29</v>
      </c>
      <c r="D14">
        <v>12.86</v>
      </c>
      <c r="E14">
        <v>1940.95</v>
      </c>
      <c r="F14">
        <v>13.68</v>
      </c>
      <c r="G14">
        <v>2048.32</v>
      </c>
      <c r="H14">
        <v>13.81</v>
      </c>
      <c r="I14">
        <v>2070.98</v>
      </c>
      <c r="J14">
        <v>14.27</v>
      </c>
      <c r="K14">
        <v>1921.26</v>
      </c>
      <c r="L14">
        <v>13.44</v>
      </c>
      <c r="M14">
        <v>1919.45</v>
      </c>
    </row>
    <row r="15" spans="1:13">
      <c r="A15" t="s">
        <v>26</v>
      </c>
      <c r="B15">
        <v>12.31</v>
      </c>
      <c r="C15">
        <v>1887.27</v>
      </c>
      <c r="D15">
        <v>12.38</v>
      </c>
      <c r="E15">
        <v>1727.87</v>
      </c>
      <c r="F15">
        <v>13.52</v>
      </c>
      <c r="G15">
        <v>1975.36</v>
      </c>
      <c r="H15">
        <v>13.86</v>
      </c>
      <c r="I15">
        <v>1848.54</v>
      </c>
      <c r="J15">
        <v>13.04</v>
      </c>
      <c r="K15">
        <v>1812.11</v>
      </c>
      <c r="L15">
        <v>12.82</v>
      </c>
      <c r="M15">
        <v>1669.93</v>
      </c>
    </row>
    <row r="16" spans="1:13">
      <c r="A16" t="s">
        <v>27</v>
      </c>
      <c r="B16">
        <v>12.62</v>
      </c>
      <c r="C16">
        <v>1956.12</v>
      </c>
      <c r="D16">
        <v>12.65</v>
      </c>
      <c r="E16">
        <v>1913.77</v>
      </c>
      <c r="F16">
        <v>13.71</v>
      </c>
      <c r="G16">
        <v>2065.5</v>
      </c>
      <c r="H16">
        <v>13.39</v>
      </c>
      <c r="I16">
        <v>1995.25</v>
      </c>
      <c r="J16">
        <v>12.87</v>
      </c>
      <c r="K16">
        <v>1879.11</v>
      </c>
      <c r="L16">
        <v>14.14</v>
      </c>
      <c r="M16">
        <v>1828.95</v>
      </c>
    </row>
    <row r="17" spans="1:13">
      <c r="A17" t="s">
        <v>28</v>
      </c>
      <c r="B17">
        <v>12.25</v>
      </c>
      <c r="C17">
        <v>1868.11</v>
      </c>
      <c r="D17">
        <v>12.34</v>
      </c>
      <c r="E17">
        <v>1894.18</v>
      </c>
      <c r="F17">
        <v>13.42</v>
      </c>
      <c r="G17">
        <v>1943.41</v>
      </c>
      <c r="H17">
        <v>13.72</v>
      </c>
      <c r="I17">
        <v>1962.07</v>
      </c>
      <c r="J17">
        <v>12.69</v>
      </c>
      <c r="K17">
        <v>1794.51</v>
      </c>
      <c r="L17">
        <v>12.86</v>
      </c>
      <c r="M17">
        <v>1822.06</v>
      </c>
    </row>
    <row r="18" spans="1:13">
      <c r="A18" t="s">
        <v>29</v>
      </c>
      <c r="B18">
        <v>13.43</v>
      </c>
      <c r="C18">
        <v>1925.38</v>
      </c>
      <c r="D18">
        <v>13.51</v>
      </c>
      <c r="E18">
        <v>1988.17</v>
      </c>
      <c r="F18">
        <v>14.62</v>
      </c>
      <c r="G18">
        <v>2023.21</v>
      </c>
      <c r="H18">
        <v>14.42</v>
      </c>
      <c r="I18">
        <v>2028.58</v>
      </c>
      <c r="J18">
        <v>14.69</v>
      </c>
      <c r="K18">
        <v>1858.63</v>
      </c>
      <c r="L18">
        <v>14.15</v>
      </c>
      <c r="M18">
        <v>1878.44</v>
      </c>
    </row>
    <row r="19" spans="1:13">
      <c r="A19" t="s">
        <v>30</v>
      </c>
      <c r="B19">
        <v>13.04</v>
      </c>
      <c r="C19">
        <v>1919.14</v>
      </c>
      <c r="D19">
        <v>13.08</v>
      </c>
      <c r="E19">
        <v>1878.61</v>
      </c>
      <c r="F19">
        <v>14.22</v>
      </c>
      <c r="G19">
        <v>2037.33</v>
      </c>
      <c r="H19">
        <v>13.95</v>
      </c>
      <c r="I19">
        <v>2015.58</v>
      </c>
      <c r="J19">
        <v>13.53</v>
      </c>
      <c r="K19">
        <v>1830.63</v>
      </c>
      <c r="L19">
        <v>13.76</v>
      </c>
      <c r="M19">
        <v>1829.37</v>
      </c>
    </row>
    <row r="20" spans="1:13">
      <c r="A20" t="s">
        <v>31</v>
      </c>
      <c r="B20">
        <v>12.92</v>
      </c>
      <c r="C20">
        <v>1894.74</v>
      </c>
      <c r="D20">
        <v>13.02</v>
      </c>
      <c r="E20">
        <v>1959.25</v>
      </c>
      <c r="F20">
        <v>14.09</v>
      </c>
      <c r="G20">
        <v>2009.33</v>
      </c>
      <c r="H20">
        <v>13.94</v>
      </c>
      <c r="I20">
        <v>2046.04</v>
      </c>
      <c r="J20">
        <v>13.59</v>
      </c>
      <c r="K20">
        <v>1826.85</v>
      </c>
      <c r="L20">
        <v>13.37</v>
      </c>
      <c r="M20">
        <v>1869.75</v>
      </c>
    </row>
    <row r="21" spans="1:13">
      <c r="A21" t="s">
        <v>32</v>
      </c>
      <c r="B21">
        <v>14.68</v>
      </c>
      <c r="C21">
        <v>1926.8</v>
      </c>
      <c r="D21">
        <v>14.79</v>
      </c>
      <c r="E21">
        <v>1929.21</v>
      </c>
      <c r="F21">
        <v>16.01</v>
      </c>
      <c r="G21">
        <v>2014.87</v>
      </c>
      <c r="H21">
        <v>16.04</v>
      </c>
      <c r="I21">
        <v>2036.49</v>
      </c>
      <c r="J21">
        <v>16.97</v>
      </c>
      <c r="K21">
        <v>1874.49</v>
      </c>
      <c r="L21">
        <v>17.34</v>
      </c>
      <c r="M21">
        <v>1889.77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12.9105</v>
      </c>
      <c r="B25" s="4">
        <f>IFERROR(AVERAGEIF($D$2:$D$21,"&lt;&gt; -1"),0)</f>
        <v>12.9985</v>
      </c>
      <c r="C25" s="4">
        <f>IFERROR(AVERAGEIF($F$2:$F$21,"&lt;&gt; -1"),0)</f>
        <v>14.018</v>
      </c>
      <c r="D25" s="4">
        <f>IFERROR(AVERAGEIF($H$2:$H$21,"&lt;&gt; -1"),0)</f>
        <v>14.1015</v>
      </c>
      <c r="E25" s="4">
        <f>IFERROR(AVERAGEIF($J$2:$J$21,"&lt;&gt; -1"),0)</f>
        <v>13.717</v>
      </c>
      <c r="F25" s="4">
        <f>IFERROR(AVERAGEIF($L$2:$L$21,"&lt;&gt; -1"),0)</f>
        <v>13.691</v>
      </c>
      <c r="G25" s="4">
        <f>IFERROR(AVERAGEIFS($C$2:$C$21,$B$2:$B$21,"&lt;&gt; -1"),0)</f>
        <v>1910.8865</v>
      </c>
      <c r="H25" s="4">
        <f>IFERROR(AVERAGEIFS($E$2:$E$21,$D$2:$D$21,"&lt;&gt; -1"),0)</f>
        <v>1898.7145</v>
      </c>
      <c r="I25" s="4">
        <f>IFERROR(AVERAGEIFS($G$2:$G$21,$F$2:$F$21,"&lt;&gt; -1"),0)</f>
        <v>2004.754</v>
      </c>
      <c r="J25" s="4">
        <f>IFERROR(AVERAGEIFS($I$2:$I$21,$H$2:$H$21,"&lt;&gt; -1"),0)</f>
        <v>1995.393</v>
      </c>
      <c r="K25" s="4">
        <f>IFERROR(AVERAGEIFS($K$2:$K$21,$J$2:$J$21,"&lt;&gt; -1"),0)</f>
        <v>1841.1145</v>
      </c>
      <c r="L25" s="4">
        <f>IFERROR(AVERAGEIFS($M$2:$M$21,$L$2:$L$21,"&lt;&gt; -1"),0)</f>
        <v>1834.906</v>
      </c>
      <c r="M25" s="4">
        <f>IFERROR(_xlfn.MAXIFS($B$2:$B$21,$B$2:$B$21,"&lt;&gt; -1"),0)</f>
        <v>16.81</v>
      </c>
      <c r="N25" s="4">
        <f>IFERROR(_xlfn.MAXIFS($D$2:$D$21,$D$2:$D$21,"&lt;&gt;-1"),0)</f>
        <v>16.95</v>
      </c>
      <c r="O25" s="4">
        <f>IFERROR(_xlfn.MAXIFS($F$2:$F$21,$F$2:$F$21,"&lt;&gt; -1"),0)</f>
        <v>18.12</v>
      </c>
      <c r="P25" s="4">
        <f>IFERROR(_xlfn.MAXIFS($H$2:$H$21,$H$2:$H$21,"&lt;&gt; -1"),0)</f>
        <v>18.55</v>
      </c>
      <c r="Q25" s="4">
        <f>IFERROR(_xlfn.MAXIFS($J$2:$J$21,$J$2:$J$21,"&lt;&gt; -1"),0)</f>
        <v>17.75</v>
      </c>
      <c r="R25" s="4">
        <f>IFERROR(_xlfn.MAXIFS($L$2:$L$21,$L$2:$L$21,"&lt;&gt; -1"),0)</f>
        <v>17.65</v>
      </c>
      <c r="S25" s="4">
        <f>IFERROR(_xlfn.MINIFS($B$2:$B$21,$B$2:$B$21,"&lt;&gt; -1"),0)</f>
        <v>11.21</v>
      </c>
      <c r="T25" s="4">
        <f>IFERROR(_xlfn.MINIFS($D$2:$D$21,$D$2:$D$21,"&lt;&gt;-1"),0)</f>
        <v>11.28</v>
      </c>
      <c r="U25" s="4">
        <f>IFERROR(_xlfn.MINIFS($F$2:$F$21,$F$2:$F$21,"&lt;&gt; -1"),0)</f>
        <v>12.33</v>
      </c>
      <c r="V25" s="4">
        <f>IFERROR(_xlfn.MINIFS($H$2:$H$21,$H$2:$H$21,"&lt;&gt; -1"),0)</f>
        <v>12.38</v>
      </c>
      <c r="W25" s="4">
        <f>IFERROR(_xlfn.MINIFS($J$2:$J$21,$J$2:$J$21,"&lt;&gt; -1"),0)</f>
        <v>11.64</v>
      </c>
      <c r="X25" s="4">
        <f>IFERROR(_xlfn.MINIFS($L$2:$L$21,$L$2:$L$21,"&lt;&gt; -1"),0)</f>
        <v>11.73</v>
      </c>
      <c r="Y25" s="4">
        <f>IFERROR(_xlfn.MAXIFS($C$2:$C$21,$B$2:$B$21,"&lt;&gt; -1"),0)</f>
        <v>2016.91</v>
      </c>
      <c r="Z25" s="4">
        <f>IFERROR(_xlfn.MAXIFS($E$2:$E$21,$D$2:$D$21,"&lt;&gt; -1"),0)</f>
        <v>1994.11</v>
      </c>
      <c r="AA25" s="4">
        <f>IFERROR(_xlfn.MAXIFS($G$2:$G$21,$F$2:$F$21,"&lt;&gt; -1"),0)</f>
        <v>2093.19</v>
      </c>
      <c r="AB25" s="4">
        <f>IFERROR(_xlfn.MAXIFS($I$2:$I$21,$H$2:$H$21,"&lt;&gt; -1"),0)</f>
        <v>2092.35</v>
      </c>
      <c r="AC25" s="4">
        <f>IFERROR(_xlfn.MAXIFS($K$2:$K$21,$J$2:$J$21,"&lt;&gt; -1"),0)</f>
        <v>1946.47</v>
      </c>
      <c r="AD25" s="4">
        <f>IFERROR(_xlfn.MAXIFS($M$2:$M$21,$L$2:$L$21,"&lt;&gt; -1"),0)</f>
        <v>1919.45</v>
      </c>
      <c r="AE25" s="4">
        <f>IFERROR(_xlfn.MINIFS($C$2:$C$21,$B$2:$B$21,"&lt;&gt; -1"),0)</f>
        <v>1728.64</v>
      </c>
      <c r="AF25" s="4">
        <f>IFERROR(_xlfn.MINIFS($E$2:$E$21,$D$2:$D$21,"&lt;&gt; -1"),0)</f>
        <v>1727.87</v>
      </c>
      <c r="AG25" s="4">
        <f>IFERROR(_xlfn.MINIFS($G$2:$G$21,$F$2:$F$21,"&lt;&gt; -1"),0)</f>
        <v>1847.88</v>
      </c>
      <c r="AH25" s="4">
        <f>IFERROR(_xlfn.MINIFS($I$2:$I$21,$H$2:$H$21,"&lt;&gt; -1"),0)</f>
        <v>1848.54</v>
      </c>
      <c r="AI25" s="4">
        <f>IFERROR(_xlfn.MINIFS($K$2:$K$21,$J$2:$J$21,"&lt;&gt; -1"),0)</f>
        <v>1676.66</v>
      </c>
      <c r="AJ25" s="4">
        <f>IFERROR(_xlfn.MINIFS($M$2:$M$21,$L$2:$L$21,"&lt;&gt; -1"),0)</f>
        <v>1669.93</v>
      </c>
      <c r="AK25" s="4">
        <f>(COUNTIFS($B$2:$B$21,"&gt;0.0",$B$2:$B$21,"&lt;100.0"))/20</f>
        <v>1</v>
      </c>
      <c r="AL25" s="4">
        <f>(COUNTIFS($D$2:$D$21,"&gt;0.0",$D$2:$D$21,"&lt;100.0"))/20</f>
        <v>1</v>
      </c>
      <c r="AM25" s="4">
        <f>(COUNTIFS($F$2:$F$21,"&gt;0.0",$F$2:$F$21,"&lt;100.0"))/20</f>
        <v>1</v>
      </c>
      <c r="AN25" s="4">
        <f>(COUNTIFS($H$2:$H$21,"&gt;0.0",$H$2:$H$21,"&lt;100.0"))/20</f>
        <v>1</v>
      </c>
      <c r="AO25" s="4">
        <f>(COUNTIFS($J$2:$J$21,"&gt;0.0",$J$2:$J$21,"&lt;100.0"))/20</f>
        <v>1</v>
      </c>
      <c r="AP25" s="4">
        <f>(COUNTIFS($L$2:$L$21,"&gt;0.0",$L$2:$L$21,"&lt;100.0"))/20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16.16</v>
      </c>
      <c r="C2">
        <v>1982.88</v>
      </c>
      <c r="D2">
        <v>16.32</v>
      </c>
      <c r="E2">
        <v>1992.31</v>
      </c>
      <c r="F2">
        <v>18.71</v>
      </c>
      <c r="G2">
        <v>2009.55</v>
      </c>
      <c r="H2">
        <v>19.97</v>
      </c>
      <c r="I2">
        <v>1989.98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17.51</v>
      </c>
      <c r="C3">
        <v>2090.29</v>
      </c>
      <c r="D3">
        <v>17.79</v>
      </c>
      <c r="E3">
        <v>2064.89</v>
      </c>
      <c r="F3">
        <v>-1</v>
      </c>
      <c r="G3">
        <v>324.66</v>
      </c>
      <c r="H3">
        <v>21.11</v>
      </c>
      <c r="I3">
        <v>2031.5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19.26</v>
      </c>
      <c r="C4">
        <v>2030.95</v>
      </c>
      <c r="D4">
        <v>19.58</v>
      </c>
      <c r="E4">
        <v>2010.91</v>
      </c>
      <c r="F4">
        <v>23.98</v>
      </c>
      <c r="G4">
        <v>2044.38</v>
      </c>
      <c r="H4">
        <v>26.42</v>
      </c>
      <c r="I4">
        <v>1978.29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19.63</v>
      </c>
      <c r="C5">
        <v>2065.15</v>
      </c>
      <c r="D5">
        <v>19.84</v>
      </c>
      <c r="E5">
        <v>2077.88</v>
      </c>
      <c r="F5">
        <v>24.05</v>
      </c>
      <c r="G5">
        <v>2044.72</v>
      </c>
      <c r="H5">
        <v>24.86</v>
      </c>
      <c r="I5">
        <v>2036.33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20.03</v>
      </c>
      <c r="C6">
        <v>2196.54</v>
      </c>
      <c r="D6">
        <v>20.22</v>
      </c>
      <c r="E6">
        <v>2199.19</v>
      </c>
      <c r="F6">
        <v>29.23</v>
      </c>
      <c r="G6">
        <v>2124.2</v>
      </c>
      <c r="H6">
        <v>27.41</v>
      </c>
      <c r="I6">
        <v>2078.39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21.64</v>
      </c>
      <c r="C7">
        <v>2063.3</v>
      </c>
      <c r="D7">
        <v>22.14</v>
      </c>
      <c r="E7">
        <v>2092.29</v>
      </c>
      <c r="F7">
        <v>23.54</v>
      </c>
      <c r="G7">
        <v>2059.33</v>
      </c>
      <c r="H7">
        <v>25.69</v>
      </c>
      <c r="I7">
        <v>2000.04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18.96</v>
      </c>
      <c r="C8">
        <v>2017.94</v>
      </c>
      <c r="D8">
        <v>19.17</v>
      </c>
      <c r="E8">
        <v>2037.34</v>
      </c>
      <c r="F8">
        <v>23.32</v>
      </c>
      <c r="G8">
        <v>2029.5</v>
      </c>
      <c r="H8">
        <v>22.09</v>
      </c>
      <c r="I8">
        <v>1992.02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17.85</v>
      </c>
      <c r="C9">
        <v>1876.93</v>
      </c>
      <c r="D9">
        <v>18.32</v>
      </c>
      <c r="E9">
        <v>2062.97</v>
      </c>
      <c r="F9">
        <v>21.33</v>
      </c>
      <c r="G9">
        <v>1887.72</v>
      </c>
      <c r="H9">
        <v>22.24</v>
      </c>
      <c r="I9">
        <v>1995.91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17.63</v>
      </c>
      <c r="C10">
        <v>2022.01</v>
      </c>
      <c r="D10">
        <v>17.86</v>
      </c>
      <c r="E10">
        <v>2027.9</v>
      </c>
      <c r="F10">
        <v>21.29</v>
      </c>
      <c r="G10">
        <v>1950.52</v>
      </c>
      <c r="H10">
        <v>25.16</v>
      </c>
      <c r="I10">
        <v>2027.16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18.66</v>
      </c>
      <c r="C11">
        <v>2075.22</v>
      </c>
      <c r="D11">
        <v>18.86</v>
      </c>
      <c r="E11">
        <v>2253.82</v>
      </c>
      <c r="F11">
        <v>-1</v>
      </c>
      <c r="G11">
        <v>311.46</v>
      </c>
      <c r="H11">
        <v>22.09</v>
      </c>
      <c r="I11">
        <v>2084.72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20.39</v>
      </c>
      <c r="C12">
        <v>2265.02</v>
      </c>
      <c r="D12">
        <v>20.56</v>
      </c>
      <c r="E12">
        <v>2178.98</v>
      </c>
      <c r="F12">
        <v>24.42</v>
      </c>
      <c r="G12">
        <v>2160.25</v>
      </c>
      <c r="H12">
        <v>30.69</v>
      </c>
      <c r="I12">
        <v>2098.16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15.59</v>
      </c>
      <c r="C13">
        <v>2045.62</v>
      </c>
      <c r="D13">
        <v>15.81</v>
      </c>
      <c r="E13">
        <v>2093.32</v>
      </c>
      <c r="F13">
        <v>20.64</v>
      </c>
      <c r="G13">
        <v>2083.29</v>
      </c>
      <c r="H13">
        <v>18.6</v>
      </c>
      <c r="I13">
        <v>2100.4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15.6</v>
      </c>
      <c r="C14">
        <v>2132.79</v>
      </c>
      <c r="D14">
        <v>15.83</v>
      </c>
      <c r="E14">
        <v>2158.84</v>
      </c>
      <c r="F14">
        <v>19.53</v>
      </c>
      <c r="G14">
        <v>2072.15</v>
      </c>
      <c r="H14">
        <v>19.42</v>
      </c>
      <c r="I14">
        <v>2050.54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15.03</v>
      </c>
      <c r="C15">
        <v>2083.14</v>
      </c>
      <c r="D15">
        <v>15.17</v>
      </c>
      <c r="E15">
        <v>2029.94</v>
      </c>
      <c r="F15">
        <v>17.37</v>
      </c>
      <c r="G15">
        <v>2089.59</v>
      </c>
      <c r="H15">
        <v>17.49</v>
      </c>
      <c r="I15">
        <v>1957.38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15.04</v>
      </c>
      <c r="C16">
        <v>2046.45</v>
      </c>
      <c r="D16">
        <v>15.19</v>
      </c>
      <c r="E16">
        <v>2008.28</v>
      </c>
      <c r="F16">
        <v>28.32</v>
      </c>
      <c r="G16">
        <v>2065.16</v>
      </c>
      <c r="H16">
        <v>18.38</v>
      </c>
      <c r="I16">
        <v>2000.46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15.04</v>
      </c>
      <c r="C17">
        <v>2014.48</v>
      </c>
      <c r="D17">
        <v>15.25</v>
      </c>
      <c r="E17">
        <v>2078.46</v>
      </c>
      <c r="F17">
        <v>18.09</v>
      </c>
      <c r="G17">
        <v>2032.25</v>
      </c>
      <c r="H17">
        <v>33.05</v>
      </c>
      <c r="I17">
        <v>2100.56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15.05</v>
      </c>
      <c r="C18">
        <v>2110.92</v>
      </c>
      <c r="D18">
        <v>15.3</v>
      </c>
      <c r="E18">
        <v>2112.49</v>
      </c>
      <c r="F18">
        <v>16.03</v>
      </c>
      <c r="G18">
        <v>2094.85</v>
      </c>
      <c r="H18">
        <v>17.78</v>
      </c>
      <c r="I18">
        <v>2061.03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15.19</v>
      </c>
      <c r="C19">
        <v>2096.94</v>
      </c>
      <c r="D19">
        <v>15.4</v>
      </c>
      <c r="E19">
        <v>1941.67</v>
      </c>
      <c r="F19">
        <v>29.95</v>
      </c>
      <c r="G19">
        <v>2065.92</v>
      </c>
      <c r="H19">
        <v>23.25</v>
      </c>
      <c r="I19">
        <v>1997.11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16.71</v>
      </c>
      <c r="C20">
        <v>1937.29</v>
      </c>
      <c r="D20">
        <v>16.95</v>
      </c>
      <c r="E20">
        <v>2042.96</v>
      </c>
      <c r="F20">
        <v>18.98</v>
      </c>
      <c r="G20">
        <v>1983.61</v>
      </c>
      <c r="H20">
        <v>18.27</v>
      </c>
      <c r="I20">
        <v>2082.3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18.22</v>
      </c>
      <c r="C21">
        <v>2064.42</v>
      </c>
      <c r="D21">
        <v>18.45</v>
      </c>
      <c r="E21">
        <v>2203.94</v>
      </c>
      <c r="F21">
        <v>20.83</v>
      </c>
      <c r="G21">
        <v>2000.69</v>
      </c>
      <c r="H21">
        <v>31.29</v>
      </c>
      <c r="I21">
        <v>2152.84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17.4595</v>
      </c>
      <c r="B25" s="4">
        <f>IFERROR(AVERAGEIF($D$2:$D$21,"&lt;&gt; -1"),0)</f>
        <v>17.7005</v>
      </c>
      <c r="C25" s="4">
        <f>IFERROR(AVERAGEIF($F$2:$F$21,"&lt;&gt; -1"),0)</f>
        <v>22.2005555555555</v>
      </c>
      <c r="D25" s="4">
        <f>IFERROR(AVERAGEIF($H$2:$H$21,"&lt;&gt; -1"),0)</f>
        <v>23.263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2060.914</v>
      </c>
      <c r="H25" s="4">
        <f>IFERROR(AVERAGEIFS($E$2:$E$21,$D$2:$D$21,"&lt;&gt; -1"),0)</f>
        <v>2083.419</v>
      </c>
      <c r="I25" s="4">
        <f>IFERROR(AVERAGEIFS($G$2:$G$21,$F$2:$F$21,"&lt;&gt; -1"),0)</f>
        <v>2044.31555555556</v>
      </c>
      <c r="J25" s="4">
        <f>IFERROR(AVERAGEIFS($I$2:$I$21,$H$2:$H$21,"&lt;&gt; -1"),0)</f>
        <v>2040.756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21.64</v>
      </c>
      <c r="N25" s="4">
        <f>IFERROR(_xlfn.MAXIFS($D$2:$D$21,$D$2:$D$21,"&lt;&gt;-1"),0)</f>
        <v>22.14</v>
      </c>
      <c r="O25" s="4">
        <f>IFERROR(_xlfn.MAXIFS($F$2:$F$21,$F$2:$F$21,"&lt;&gt; -1"),0)</f>
        <v>29.95</v>
      </c>
      <c r="P25" s="4">
        <f>IFERROR(_xlfn.MAXIFS($H$2:$H$21,$H$2:$H$21,"&lt;&gt; -1"),0)</f>
        <v>33.05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15.03</v>
      </c>
      <c r="T25" s="4">
        <f>IFERROR(_xlfn.MINIFS($D$2:$D$21,$D$2:$D$21,"&lt;&gt;-1"),0)</f>
        <v>15.17</v>
      </c>
      <c r="U25" s="4">
        <f>IFERROR(_xlfn.MINIFS($F$2:$F$21,$F$2:$F$21,"&lt;&gt; -1"),0)</f>
        <v>16.03</v>
      </c>
      <c r="V25" s="4">
        <f>IFERROR(_xlfn.MINIFS($H$2:$H$21,$H$2:$H$21,"&lt;&gt; -1"),0)</f>
        <v>17.49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2265.02</v>
      </c>
      <c r="Z25" s="4">
        <f>IFERROR(_xlfn.MAXIFS($E$2:$E$21,$D$2:$D$21,"&lt;&gt; -1"),0)</f>
        <v>2253.82</v>
      </c>
      <c r="AA25" s="4">
        <f>IFERROR(_xlfn.MAXIFS($G$2:$G$21,$F$2:$F$21,"&lt;&gt; -1"),0)</f>
        <v>2160.25</v>
      </c>
      <c r="AB25" s="4">
        <f>IFERROR(_xlfn.MAXIFS($I$2:$I$21,$H$2:$H$21,"&lt;&gt; -1"),0)</f>
        <v>2152.84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1876.93</v>
      </c>
      <c r="AF25" s="4">
        <f>IFERROR(_xlfn.MINIFS($E$2:$E$21,$D$2:$D$21,"&lt;&gt; -1"),0)</f>
        <v>1941.67</v>
      </c>
      <c r="AG25" s="4">
        <f>IFERROR(_xlfn.MINIFS($G$2:$G$21,$F$2:$F$21,"&lt;&gt; -1"),0)</f>
        <v>1887.72</v>
      </c>
      <c r="AH25" s="4">
        <f>IFERROR(_xlfn.MINIFS($I$2:$I$21,$H$2:$H$21,"&lt;&gt; -1"),0)</f>
        <v>1957.38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(COUNTIFS($B$2:$B$21,"&gt;0.0",$B$2:$B$21,"&lt;100.0"))/20</f>
        <v>1</v>
      </c>
      <c r="AL25" s="4">
        <f>(COUNTIFS($D$2:$D$21,"&gt;0.0",$D$2:$D$21,"&lt;100.0"))/20</f>
        <v>1</v>
      </c>
      <c r="AM25" s="4">
        <f>(COUNTIFS($F$2:$F$21,"&gt;0.0",$F$2:$F$21,"&lt;100.0"))/20</f>
        <v>0.9</v>
      </c>
      <c r="AN25" s="4">
        <f>(COUNTIFS($H$2:$H$21,"&gt;0.0",$H$2:$H$21,"&lt;100.0"))/20</f>
        <v>1</v>
      </c>
      <c r="AO25" s="4">
        <f>(COUNTIFS($J$2:$J$21,"&gt;0.0",$J$2:$J$21,"&lt;100.0"))/20</f>
        <v>0</v>
      </c>
      <c r="AP25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18.72</v>
      </c>
      <c r="C2">
        <v>1909.61</v>
      </c>
      <c r="D2">
        <v>19.05</v>
      </c>
      <c r="E2">
        <v>1895.97</v>
      </c>
      <c r="F2">
        <v>19.37</v>
      </c>
      <c r="G2">
        <v>1972.68</v>
      </c>
      <c r="H2">
        <v>19.98</v>
      </c>
      <c r="I2">
        <v>1932.74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19.18</v>
      </c>
      <c r="C3">
        <v>1981.29</v>
      </c>
      <c r="D3">
        <v>19.53</v>
      </c>
      <c r="E3">
        <v>1968.9</v>
      </c>
      <c r="F3">
        <v>20.91</v>
      </c>
      <c r="G3">
        <v>1978.84</v>
      </c>
      <c r="H3">
        <v>31.29</v>
      </c>
      <c r="I3">
        <v>2001.07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17.95</v>
      </c>
      <c r="C4">
        <v>2069.08</v>
      </c>
      <c r="D4">
        <v>18.12</v>
      </c>
      <c r="E4">
        <v>2047.58</v>
      </c>
      <c r="F4">
        <v>-1</v>
      </c>
      <c r="G4">
        <v>493.14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19.37</v>
      </c>
      <c r="C5">
        <v>1996.32</v>
      </c>
      <c r="D5">
        <v>19.78</v>
      </c>
      <c r="E5">
        <v>2017.55</v>
      </c>
      <c r="F5">
        <v>25.59</v>
      </c>
      <c r="G5">
        <v>1955.38</v>
      </c>
      <c r="H5">
        <v>-1</v>
      </c>
      <c r="I5">
        <v>362.74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18.96</v>
      </c>
      <c r="C6">
        <v>1975.52</v>
      </c>
      <c r="D6">
        <v>19.32</v>
      </c>
      <c r="E6">
        <v>1974.24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20.38</v>
      </c>
      <c r="C7">
        <v>2146.51</v>
      </c>
      <c r="D7">
        <v>20.69</v>
      </c>
      <c r="E7">
        <v>2120.78</v>
      </c>
      <c r="F7">
        <v>-1</v>
      </c>
      <c r="G7">
        <v>530.74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20.16</v>
      </c>
      <c r="C8">
        <v>2031.97</v>
      </c>
      <c r="D8">
        <v>20.49</v>
      </c>
      <c r="E8">
        <v>1931.55</v>
      </c>
      <c r="F8">
        <v>-1</v>
      </c>
      <c r="G8">
        <v>486.32</v>
      </c>
      <c r="H8">
        <v>-1</v>
      </c>
      <c r="I8">
        <v>460.1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19.71</v>
      </c>
      <c r="C9">
        <v>2078.91</v>
      </c>
      <c r="D9">
        <v>19.95</v>
      </c>
      <c r="E9">
        <v>2105.12</v>
      </c>
      <c r="F9">
        <v>-1</v>
      </c>
      <c r="G9">
        <v>468.44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19.39</v>
      </c>
      <c r="C10">
        <v>2078.1</v>
      </c>
      <c r="D10">
        <v>19.57</v>
      </c>
      <c r="E10">
        <v>2059.72</v>
      </c>
      <c r="F10">
        <v>-1</v>
      </c>
      <c r="G10">
        <v>487.31</v>
      </c>
      <c r="H10">
        <v>34.69</v>
      </c>
      <c r="I10">
        <v>1967.89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21.38</v>
      </c>
      <c r="C11">
        <v>2041.02</v>
      </c>
      <c r="D11">
        <v>21.81</v>
      </c>
      <c r="E11">
        <v>2069.64</v>
      </c>
      <c r="F11">
        <v>38.7</v>
      </c>
      <c r="G11">
        <v>1982.62</v>
      </c>
      <c r="H11">
        <v>-1</v>
      </c>
      <c r="I11">
        <v>456.8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22.74</v>
      </c>
      <c r="C12">
        <v>2098.09</v>
      </c>
      <c r="D12">
        <v>23.05</v>
      </c>
      <c r="E12">
        <v>2088.56</v>
      </c>
      <c r="F12">
        <v>35.9</v>
      </c>
      <c r="G12">
        <v>2108.89</v>
      </c>
      <c r="H12">
        <v>33.68</v>
      </c>
      <c r="I12">
        <v>2032.25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21.15</v>
      </c>
      <c r="C13">
        <v>2022.59</v>
      </c>
      <c r="D13">
        <v>21.49</v>
      </c>
      <c r="E13">
        <v>1972.03</v>
      </c>
      <c r="F13">
        <v>24.72</v>
      </c>
      <c r="G13">
        <v>2005.79</v>
      </c>
      <c r="H13">
        <v>27.04</v>
      </c>
      <c r="I13">
        <v>1966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23.18</v>
      </c>
      <c r="C14">
        <v>2158.29</v>
      </c>
      <c r="D14">
        <v>23.62</v>
      </c>
      <c r="E14">
        <v>2263.07</v>
      </c>
      <c r="F14">
        <v>-1</v>
      </c>
      <c r="G14">
        <v>539.61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21.04</v>
      </c>
      <c r="C15">
        <v>2169.17</v>
      </c>
      <c r="D15">
        <v>21.36</v>
      </c>
      <c r="E15">
        <v>2107.64</v>
      </c>
      <c r="F15">
        <v>-1</v>
      </c>
      <c r="G15">
        <v>512.64</v>
      </c>
      <c r="H15">
        <v>-1</v>
      </c>
      <c r="I15">
        <v>506.49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19.13</v>
      </c>
      <c r="C16">
        <v>1936.03</v>
      </c>
      <c r="D16">
        <v>19.29</v>
      </c>
      <c r="E16">
        <v>1940.45</v>
      </c>
      <c r="F16">
        <v>28.6</v>
      </c>
      <c r="G16">
        <v>1977.59</v>
      </c>
      <c r="H16">
        <v>25.15</v>
      </c>
      <c r="I16">
        <v>1970.39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19.46</v>
      </c>
      <c r="C17">
        <v>2112.94</v>
      </c>
      <c r="D17">
        <v>19.86</v>
      </c>
      <c r="E17">
        <v>2180.09</v>
      </c>
      <c r="F17">
        <v>-1</v>
      </c>
      <c r="G17">
        <v>463.11</v>
      </c>
      <c r="H17">
        <v>-1</v>
      </c>
      <c r="I17">
        <v>511.91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20.01</v>
      </c>
      <c r="C18">
        <v>2124.26</v>
      </c>
      <c r="D18">
        <v>20.39</v>
      </c>
      <c r="E18">
        <v>2094.11</v>
      </c>
      <c r="F18">
        <v>-1</v>
      </c>
      <c r="G18">
        <v>0</v>
      </c>
      <c r="H18">
        <v>-1</v>
      </c>
      <c r="I18">
        <v>465.6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19.93</v>
      </c>
      <c r="C19">
        <v>2111.78</v>
      </c>
      <c r="D19">
        <v>20.42</v>
      </c>
      <c r="E19">
        <v>2165.74</v>
      </c>
      <c r="F19">
        <v>-1</v>
      </c>
      <c r="G19">
        <v>504.12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19.48</v>
      </c>
      <c r="C20">
        <v>1922.93</v>
      </c>
      <c r="D20">
        <v>19.79</v>
      </c>
      <c r="E20">
        <v>2057.33</v>
      </c>
      <c r="F20">
        <v>-1</v>
      </c>
      <c r="G20">
        <v>1103.34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20.16</v>
      </c>
      <c r="C21">
        <v>1935.03</v>
      </c>
      <c r="D21">
        <v>20.66</v>
      </c>
      <c r="E21">
        <v>2126.68</v>
      </c>
      <c r="F21">
        <v>-1</v>
      </c>
      <c r="G21">
        <v>0</v>
      </c>
      <c r="H21">
        <v>-1</v>
      </c>
      <c r="I21">
        <v>470.65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20.074</v>
      </c>
      <c r="B25" s="4">
        <f>IFERROR(AVERAGEIF($D$2:$D$21,"&lt;&gt; -1"),0)</f>
        <v>20.412</v>
      </c>
      <c r="C25" s="4">
        <f>IFERROR(AVERAGEIF($F$2:$F$21,"&lt;&gt; -1"),0)</f>
        <v>27.6842857142857</v>
      </c>
      <c r="D25" s="4">
        <f>IFERROR(AVERAGEIF($H$2:$H$21,"&lt;&gt; -1"),0)</f>
        <v>28.6383333333333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2044.972</v>
      </c>
      <c r="H25" s="4">
        <f>IFERROR(AVERAGEIFS($E$2:$E$21,$D$2:$D$21,"&lt;&gt; -1"),0)</f>
        <v>2059.3375</v>
      </c>
      <c r="I25" s="4">
        <f>IFERROR(AVERAGEIFS($G$2:$G$21,$F$2:$F$21,"&lt;&gt; -1"),0)</f>
        <v>1997.39857142857</v>
      </c>
      <c r="J25" s="4">
        <f>IFERROR(AVERAGEIFS($I$2:$I$21,$H$2:$H$21,"&lt;&gt; -1"),0)</f>
        <v>1978.39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23.18</v>
      </c>
      <c r="N25" s="4">
        <f>IFERROR(_xlfn.MAXIFS($D$2:$D$21,$D$2:$D$21,"&lt;&gt;-1"),0)</f>
        <v>23.62</v>
      </c>
      <c r="O25" s="4">
        <f>IFERROR(_xlfn.MAXIFS($F$2:$F$21,$F$2:$F$21,"&lt;&gt; -1"),0)</f>
        <v>38.7</v>
      </c>
      <c r="P25" s="4">
        <f>IFERROR(_xlfn.MAXIFS($H$2:$H$21,$H$2:$H$21,"&lt;&gt; -1"),0)</f>
        <v>34.69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17.95</v>
      </c>
      <c r="T25" s="4">
        <f>IFERROR(_xlfn.MINIFS($D$2:$D$21,$D$2:$D$21,"&lt;&gt;-1"),0)</f>
        <v>18.12</v>
      </c>
      <c r="U25" s="4">
        <f>IFERROR(_xlfn.MINIFS($F$2:$F$21,$F$2:$F$21,"&lt;&gt; -1"),0)</f>
        <v>19.37</v>
      </c>
      <c r="V25" s="4">
        <f>IFERROR(_xlfn.MINIFS($H$2:$H$21,$H$2:$H$21,"&lt;&gt; -1"),0)</f>
        <v>19.98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2169.17</v>
      </c>
      <c r="Z25" s="4">
        <f>IFERROR(_xlfn.MAXIFS($E$2:$E$21,$D$2:$D$21,"&lt;&gt; -1"),0)</f>
        <v>2263.07</v>
      </c>
      <c r="AA25" s="4">
        <f>IFERROR(_xlfn.MAXIFS($G$2:$G$21,$F$2:$F$21,"&lt;&gt; -1"),0)</f>
        <v>2108.89</v>
      </c>
      <c r="AB25" s="4">
        <f>IFERROR(_xlfn.MAXIFS($I$2:$I$21,$H$2:$H$21,"&lt;&gt; -1"),0)</f>
        <v>2032.25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1909.61</v>
      </c>
      <c r="AF25" s="4">
        <f>IFERROR(_xlfn.MINIFS($E$2:$E$21,$D$2:$D$21,"&lt;&gt; -1"),0)</f>
        <v>1895.97</v>
      </c>
      <c r="AG25" s="4">
        <f>IFERROR(_xlfn.MINIFS($G$2:$G$21,$F$2:$F$21,"&lt;&gt; -1"),0)</f>
        <v>1955.38</v>
      </c>
      <c r="AH25" s="4">
        <f>IFERROR(_xlfn.MINIFS($I$2:$I$21,$H$2:$H$21,"&lt;&gt; -1"),0)</f>
        <v>1932.74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(COUNTIFS($B$2:$B$21,"&gt;0.0",$B$2:$B$21,"&lt;100.0"))/20</f>
        <v>1</v>
      </c>
      <c r="AL25" s="4">
        <f>(COUNTIFS($D$2:$D$21,"&gt;0.0",$D$2:$D$21,"&lt;100.0"))/20</f>
        <v>1</v>
      </c>
      <c r="AM25" s="4">
        <f>(COUNTIFS($F$2:$F$21,"&gt;0.0",$F$2:$F$21,"&lt;100.0"))/20</f>
        <v>0.35</v>
      </c>
      <c r="AN25" s="4">
        <f>(COUNTIFS($H$2:$H$21,"&gt;0.0",$H$2:$H$21,"&lt;100.0"))/20</f>
        <v>0.3</v>
      </c>
      <c r="AO25" s="4">
        <f>(COUNTIFS($J$2:$J$21,"&gt;0.0",$J$2:$J$21,"&lt;100.0"))/20</f>
        <v>0</v>
      </c>
      <c r="AP25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workbookViewId="0">
      <selection activeCell="A26" sqref="$A26:$XFD2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17.27</v>
      </c>
      <c r="C2">
        <v>1818</v>
      </c>
      <c r="D2">
        <v>17.61</v>
      </c>
      <c r="E2">
        <v>1797.49</v>
      </c>
      <c r="F2">
        <v>45.49</v>
      </c>
      <c r="G2">
        <v>1773.4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18.27</v>
      </c>
      <c r="C3">
        <v>1791.54</v>
      </c>
      <c r="D3">
        <v>18.65</v>
      </c>
      <c r="E3">
        <v>1847.24</v>
      </c>
      <c r="F3">
        <v>29.64</v>
      </c>
      <c r="G3">
        <v>1743.16</v>
      </c>
      <c r="H3">
        <v>28.85</v>
      </c>
      <c r="I3">
        <v>1869.13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18.59</v>
      </c>
      <c r="C4">
        <v>1848.64</v>
      </c>
      <c r="D4">
        <v>18.88</v>
      </c>
      <c r="E4">
        <v>1804.16</v>
      </c>
      <c r="F4">
        <v>-1</v>
      </c>
      <c r="G4">
        <v>485.94</v>
      </c>
      <c r="H4">
        <v>41.16</v>
      </c>
      <c r="I4">
        <v>1701.93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18.14</v>
      </c>
      <c r="C5">
        <v>1762.26</v>
      </c>
      <c r="D5">
        <v>18.59</v>
      </c>
      <c r="E5">
        <v>1696.16</v>
      </c>
      <c r="F5">
        <v>21.28</v>
      </c>
      <c r="G5">
        <v>1780.04</v>
      </c>
      <c r="H5">
        <v>22.39</v>
      </c>
      <c r="I5">
        <v>1672.83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19.66</v>
      </c>
      <c r="C6">
        <v>1882.64</v>
      </c>
      <c r="D6">
        <v>20.01</v>
      </c>
      <c r="E6">
        <v>1813.67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18.6</v>
      </c>
      <c r="C7">
        <v>1715</v>
      </c>
      <c r="D7">
        <v>18.85</v>
      </c>
      <c r="E7">
        <v>1711</v>
      </c>
      <c r="F7">
        <v>19.93</v>
      </c>
      <c r="G7">
        <v>1752.75</v>
      </c>
      <c r="H7">
        <v>20.22</v>
      </c>
      <c r="I7">
        <v>1716.48</v>
      </c>
      <c r="J7">
        <v>-1</v>
      </c>
      <c r="K7">
        <v>213.71</v>
      </c>
      <c r="L7">
        <v>-1</v>
      </c>
      <c r="M7">
        <v>219.68</v>
      </c>
    </row>
    <row r="8" spans="1:13">
      <c r="A8" t="s">
        <v>19</v>
      </c>
      <c r="B8">
        <v>18.15</v>
      </c>
      <c r="C8">
        <v>1708.04</v>
      </c>
      <c r="D8">
        <v>18.6</v>
      </c>
      <c r="E8">
        <v>1654.27</v>
      </c>
      <c r="F8">
        <v>19.27</v>
      </c>
      <c r="G8">
        <v>1719.85</v>
      </c>
      <c r="H8">
        <v>21.44</v>
      </c>
      <c r="I8">
        <v>1666.98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18.73</v>
      </c>
      <c r="C9">
        <v>1680.42</v>
      </c>
      <c r="D9">
        <v>18.93</v>
      </c>
      <c r="E9">
        <v>1671.93</v>
      </c>
      <c r="F9">
        <v>19.72</v>
      </c>
      <c r="G9">
        <v>1692.56</v>
      </c>
      <c r="H9">
        <v>20</v>
      </c>
      <c r="I9">
        <v>1694.69</v>
      </c>
      <c r="J9">
        <v>-1</v>
      </c>
      <c r="K9">
        <v>162.64</v>
      </c>
      <c r="L9">
        <v>-1</v>
      </c>
      <c r="M9">
        <v>189.1</v>
      </c>
    </row>
    <row r="10" spans="1:13">
      <c r="A10" t="s">
        <v>21</v>
      </c>
      <c r="B10">
        <v>17.24</v>
      </c>
      <c r="C10">
        <v>1740.11</v>
      </c>
      <c r="D10">
        <v>17.59</v>
      </c>
      <c r="E10">
        <v>1754.17</v>
      </c>
      <c r="F10">
        <v>20.67</v>
      </c>
      <c r="G10">
        <v>1748.75</v>
      </c>
      <c r="H10">
        <v>20.62</v>
      </c>
      <c r="I10">
        <v>1758.85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18.28</v>
      </c>
      <c r="C11">
        <v>1915.03</v>
      </c>
      <c r="D11">
        <v>18.59</v>
      </c>
      <c r="E11">
        <v>1839.88</v>
      </c>
      <c r="F11">
        <v>22.03</v>
      </c>
      <c r="G11">
        <v>1861.46</v>
      </c>
      <c r="H11">
        <v>39.51</v>
      </c>
      <c r="I11">
        <v>1791.46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18.55</v>
      </c>
      <c r="C12">
        <v>1881.51</v>
      </c>
      <c r="D12">
        <v>18.81</v>
      </c>
      <c r="E12">
        <v>1902.1</v>
      </c>
      <c r="F12">
        <v>21.82</v>
      </c>
      <c r="G12">
        <v>1838.87</v>
      </c>
      <c r="H12">
        <v>25.84</v>
      </c>
      <c r="I12">
        <v>1844.69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18.76</v>
      </c>
      <c r="C13">
        <v>1969.43</v>
      </c>
      <c r="D13">
        <v>18.99</v>
      </c>
      <c r="E13">
        <v>1828.49</v>
      </c>
      <c r="F13">
        <v>26.17</v>
      </c>
      <c r="G13">
        <v>1879.07</v>
      </c>
      <c r="H13">
        <v>-1</v>
      </c>
      <c r="I13">
        <v>411.88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20.2</v>
      </c>
      <c r="C14">
        <v>1823.03</v>
      </c>
      <c r="D14">
        <v>20.69</v>
      </c>
      <c r="E14">
        <v>1806.07</v>
      </c>
      <c r="F14">
        <v>22.56</v>
      </c>
      <c r="G14">
        <v>1802.16</v>
      </c>
      <c r="H14">
        <v>23.24</v>
      </c>
      <c r="I14">
        <v>1828.75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20.1</v>
      </c>
      <c r="C15">
        <v>1821.31</v>
      </c>
      <c r="D15">
        <v>20.51</v>
      </c>
      <c r="E15">
        <v>1798.8</v>
      </c>
      <c r="F15">
        <v>-1</v>
      </c>
      <c r="G15">
        <v>460.31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17.42</v>
      </c>
      <c r="C16">
        <v>1734.1</v>
      </c>
      <c r="D16">
        <v>17.73</v>
      </c>
      <c r="E16">
        <v>1668.4</v>
      </c>
      <c r="F16">
        <v>18.75</v>
      </c>
      <c r="G16">
        <v>1750.75</v>
      </c>
      <c r="H16">
        <v>19.49</v>
      </c>
      <c r="I16">
        <v>1673.06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18.47</v>
      </c>
      <c r="C17">
        <v>1922.68</v>
      </c>
      <c r="D17">
        <v>18.79</v>
      </c>
      <c r="E17">
        <v>1968.39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18.5</v>
      </c>
      <c r="C18">
        <v>1993.31</v>
      </c>
      <c r="D18">
        <v>18.82</v>
      </c>
      <c r="E18">
        <v>1881.81</v>
      </c>
      <c r="F18">
        <v>-1</v>
      </c>
      <c r="G18">
        <v>0</v>
      </c>
      <c r="H18">
        <v>-1</v>
      </c>
      <c r="I18">
        <v>453.61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19.86</v>
      </c>
      <c r="C19">
        <v>1860.67</v>
      </c>
      <c r="D19">
        <v>20.25</v>
      </c>
      <c r="E19">
        <v>1886.33</v>
      </c>
      <c r="F19">
        <v>-1</v>
      </c>
      <c r="G19">
        <v>494.98</v>
      </c>
      <c r="H19">
        <v>-1</v>
      </c>
      <c r="I19">
        <v>444.37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19.51</v>
      </c>
      <c r="C20">
        <v>1807.88</v>
      </c>
      <c r="D20">
        <v>19.83</v>
      </c>
      <c r="E20">
        <v>1849.61</v>
      </c>
      <c r="F20">
        <v>-1</v>
      </c>
      <c r="G20">
        <v>368.39</v>
      </c>
      <c r="H20">
        <v>48.21</v>
      </c>
      <c r="I20">
        <v>1846.53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18.81</v>
      </c>
      <c r="C21">
        <v>1729.8</v>
      </c>
      <c r="D21">
        <v>19.26</v>
      </c>
      <c r="E21">
        <v>1778.63</v>
      </c>
      <c r="F21">
        <v>21.36</v>
      </c>
      <c r="G21">
        <v>1745.5</v>
      </c>
      <c r="H21">
        <v>24.45</v>
      </c>
      <c r="I21">
        <v>1858.21</v>
      </c>
      <c r="J21">
        <v>-1</v>
      </c>
      <c r="K21">
        <v>0</v>
      </c>
      <c r="L21">
        <v>-1</v>
      </c>
      <c r="M21">
        <v>0</v>
      </c>
    </row>
    <row r="25" spans="1:42">
      <c r="A25" s="2" t="s">
        <v>33</v>
      </c>
      <c r="B25" s="2" t="s">
        <v>34</v>
      </c>
      <c r="C25" s="2" t="s">
        <v>35</v>
      </c>
      <c r="D25" s="3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3" t="s">
        <v>42</v>
      </c>
      <c r="K25" s="2" t="s">
        <v>43</v>
      </c>
      <c r="L25" s="2" t="s">
        <v>44</v>
      </c>
      <c r="M25" s="2" t="s">
        <v>45</v>
      </c>
      <c r="N25" s="2" t="s">
        <v>46</v>
      </c>
      <c r="O25" s="2" t="s">
        <v>47</v>
      </c>
      <c r="P25" s="3" t="s">
        <v>48</v>
      </c>
      <c r="Q25" s="2" t="s">
        <v>49</v>
      </c>
      <c r="R25" s="2" t="s">
        <v>50</v>
      </c>
      <c r="S25" s="2" t="s">
        <v>51</v>
      </c>
      <c r="T25" s="2" t="s">
        <v>52</v>
      </c>
      <c r="U25" s="2" t="s">
        <v>53</v>
      </c>
      <c r="V25" s="3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3" t="s">
        <v>60</v>
      </c>
      <c r="AC25" s="2" t="s">
        <v>61</v>
      </c>
      <c r="AD25" s="2" t="s">
        <v>62</v>
      </c>
      <c r="AE25" s="2" t="s">
        <v>63</v>
      </c>
      <c r="AF25" s="2" t="s">
        <v>64</v>
      </c>
      <c r="AG25" s="2" t="s">
        <v>65</v>
      </c>
      <c r="AH25" s="3" t="s">
        <v>66</v>
      </c>
      <c r="AI25" s="2" t="s">
        <v>67</v>
      </c>
      <c r="AJ25" s="2" t="s">
        <v>68</v>
      </c>
      <c r="AK25" s="2" t="s">
        <v>69</v>
      </c>
      <c r="AL25" s="2" t="s">
        <v>70</v>
      </c>
      <c r="AM25" s="2" t="s">
        <v>71</v>
      </c>
      <c r="AN25" s="3" t="s">
        <v>72</v>
      </c>
      <c r="AO25" s="2" t="s">
        <v>73</v>
      </c>
      <c r="AP25" s="2" t="s">
        <v>74</v>
      </c>
    </row>
    <row r="26" spans="1:42">
      <c r="A26" s="4">
        <f>IFERROR(AVERAGEIF($B$2:$B$21,"&lt;&gt; -1"),0)</f>
        <v>18.6555</v>
      </c>
      <c r="B26" s="4">
        <f>IFERROR(AVERAGEIF($D$2:$D$21,"&lt;&gt; -1"),0)</f>
        <v>18.999</v>
      </c>
      <c r="C26" s="4">
        <f>IFERROR(AVERAGEIF($F$2:$F$21,"&lt;&gt; -1"),0)</f>
        <v>23.7453846153846</v>
      </c>
      <c r="D26" s="4">
        <f>IFERROR(AVERAGEIF($H$2:$H$21,"&lt;&gt; -1"),0)</f>
        <v>27.34</v>
      </c>
      <c r="E26" s="4">
        <f>IFERROR(AVERAGEIF($J$2:$J$21,"&lt;&gt; -1"),0)</f>
        <v>0</v>
      </c>
      <c r="F26" s="4">
        <f>IFERROR(AVERAGEIF($L$2:$L$21,"&lt;&gt; -1"),0)</f>
        <v>0</v>
      </c>
      <c r="G26" s="4">
        <f>IFERROR(AVERAGEIFS($C$2:$C$21,$B$2:$B$21,"&lt;&gt; -1"),0)</f>
        <v>1820.27</v>
      </c>
      <c r="H26" s="4">
        <f>IFERROR(AVERAGEIFS($E$2:$E$21,$D$2:$D$21,"&lt;&gt; -1"),0)</f>
        <v>1797.93</v>
      </c>
      <c r="I26" s="4">
        <f>IFERROR(AVERAGEIFS($G$2:$G$21,$F$2:$F$21,"&lt;&gt; -1"),0)</f>
        <v>1776.02461538462</v>
      </c>
      <c r="J26" s="4">
        <f>IFERROR(AVERAGEIFS($I$2:$I$21,$H$2:$H$21,"&lt;&gt; -1"),0)</f>
        <v>1763.35307692308</v>
      </c>
      <c r="K26" s="4">
        <f>IFERROR(AVERAGEIFS($K$2:$K$21,$J$2:$J$21,"&lt;&gt; -1"),0)</f>
        <v>0</v>
      </c>
      <c r="L26" s="4">
        <f>IFERROR(AVERAGEIFS($M$2:$M$21,$L$2:$L$21,"&lt;&gt; -1"),0)</f>
        <v>0</v>
      </c>
      <c r="M26" s="4">
        <f>IFERROR(_xlfn.MAXIFS($B$2:$B$21,$B$2:$B$21,"&lt;&gt; -1"),0)</f>
        <v>20.2</v>
      </c>
      <c r="N26" s="4">
        <f>IFERROR(_xlfn.MAXIFS($D$2:$D$21,$D$2:$D$21,"&lt;&gt;-1"),0)</f>
        <v>20.69</v>
      </c>
      <c r="O26" s="4">
        <f>IFERROR(_xlfn.MAXIFS($F$2:$F$21,$F$2:$F$21,"&lt;&gt; -1"),0)</f>
        <v>45.49</v>
      </c>
      <c r="P26" s="4">
        <f>IFERROR(_xlfn.MAXIFS($H$2:$H$21,$H$2:$H$21,"&lt;&gt; -1"),0)</f>
        <v>48.21</v>
      </c>
      <c r="Q26" s="4">
        <f>IFERROR(_xlfn.MAXIFS($J$2:$J$21,$J$2:$J$21,"&lt;&gt; -1"),0)</f>
        <v>0</v>
      </c>
      <c r="R26" s="4">
        <f>IFERROR(_xlfn.MAXIFS($L$2:$L$21,$L$2:$L$21,"&lt;&gt; -1"),0)</f>
        <v>0</v>
      </c>
      <c r="S26" s="4">
        <f>IFERROR(_xlfn.MINIFS($B$2:$B$21,$B$2:$B$21,"&lt;&gt; -1"),0)</f>
        <v>17.24</v>
      </c>
      <c r="T26" s="4">
        <f>IFERROR(_xlfn.MINIFS($D$2:$D$21,$D$2:$D$21,"&lt;&gt;-1"),0)</f>
        <v>17.59</v>
      </c>
      <c r="U26" s="4">
        <f>IFERROR(_xlfn.MINIFS($F$2:$F$21,$F$2:$F$21,"&lt;&gt; -1"),0)</f>
        <v>18.75</v>
      </c>
      <c r="V26" s="4">
        <f>IFERROR(_xlfn.MINIFS($H$2:$H$21,$H$2:$H$21,"&lt;&gt; -1"),0)</f>
        <v>19.49</v>
      </c>
      <c r="W26" s="4">
        <f>IFERROR(_xlfn.MINIFS($J$2:$J$21,$J$2:$J$21,"&lt;&gt; -1"),0)</f>
        <v>0</v>
      </c>
      <c r="X26" s="4">
        <f>IFERROR(_xlfn.MINIFS($L$2:$L$21,$L$2:$L$21,"&lt;&gt; -1"),0)</f>
        <v>0</v>
      </c>
      <c r="Y26" s="4">
        <f>IFERROR(_xlfn.MAXIFS($C$2:$C$21,$B$2:$B$21,"&lt;&gt; -1"),0)</f>
        <v>1993.31</v>
      </c>
      <c r="Z26" s="4">
        <f>IFERROR(_xlfn.MAXIFS($E$2:$E$21,$D$2:$D$21,"&lt;&gt; -1"),0)</f>
        <v>1968.39</v>
      </c>
      <c r="AA26" s="4">
        <f>IFERROR(_xlfn.MAXIFS($G$2:$G$21,$F$2:$F$21,"&lt;&gt; -1"),0)</f>
        <v>1879.07</v>
      </c>
      <c r="AB26" s="4">
        <f>IFERROR(_xlfn.MAXIFS($I$2:$I$21,$H$2:$H$21,"&lt;&gt; -1"),0)</f>
        <v>1869.13</v>
      </c>
      <c r="AC26" s="4">
        <f>IFERROR(_xlfn.MAXIFS($K$2:$K$21,$J$2:$J$21,"&lt;&gt; -1"),0)</f>
        <v>0</v>
      </c>
      <c r="AD26" s="4">
        <f>IFERROR(_xlfn.MAXIFS($M$2:$M$21,$L$2:$L$21,"&lt;&gt; -1"),0)</f>
        <v>0</v>
      </c>
      <c r="AE26" s="4">
        <f>IFERROR(_xlfn.MINIFS($C$2:$C$21,$B$2:$B$21,"&lt;&gt; -1"),0)</f>
        <v>1680.42</v>
      </c>
      <c r="AF26" s="4">
        <f>IFERROR(_xlfn.MINIFS($E$2:$E$21,$D$2:$D$21,"&lt;&gt; -1"),0)</f>
        <v>1654.27</v>
      </c>
      <c r="AG26" s="4">
        <f>IFERROR(_xlfn.MINIFS($G$2:$G$21,$F$2:$F$21,"&lt;&gt; -1"),0)</f>
        <v>1692.56</v>
      </c>
      <c r="AH26" s="4">
        <f>IFERROR(_xlfn.MINIFS($I$2:$I$21,$H$2:$H$21,"&lt;&gt; -1"),0)</f>
        <v>1666.98</v>
      </c>
      <c r="AI26" s="4">
        <f>IFERROR(_xlfn.MINIFS($K$2:$K$21,$J$2:$J$21,"&lt;&gt; -1"),0)</f>
        <v>0</v>
      </c>
      <c r="AJ26" s="4">
        <f>IFERROR(_xlfn.MINIFS($M$2:$M$21,$L$2:$L$21,"&lt;&gt; -1"),0)</f>
        <v>0</v>
      </c>
      <c r="AK26" s="4">
        <f>(COUNTIFS($B$2:$B$21,"&gt;0.0",$B$2:$B$21,"&lt;100.0"))/20</f>
        <v>1</v>
      </c>
      <c r="AL26" s="4">
        <f>(COUNTIFS($D$2:$D$21,"&gt;0.0",$D$2:$D$21,"&lt;100.0"))/20</f>
        <v>1</v>
      </c>
      <c r="AM26" s="4">
        <f>(COUNTIFS($F$2:$F$21,"&gt;0.0",$F$2:$F$21,"&lt;100.0"))/20</f>
        <v>0.65</v>
      </c>
      <c r="AN26" s="4">
        <f>(COUNTIFS($H$2:$H$21,"&gt;0.0",$H$2:$H$21,"&lt;100.0"))/20</f>
        <v>0.65</v>
      </c>
      <c r="AO26" s="4">
        <f>(COUNTIFS($J$2:$J$21,"&gt;0.0",$J$2:$J$21,"&lt;100.0"))/20</f>
        <v>0</v>
      </c>
      <c r="AP26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17.53</v>
      </c>
      <c r="C2">
        <v>1568.57</v>
      </c>
      <c r="D2">
        <v>17.86</v>
      </c>
      <c r="E2">
        <v>1642.06</v>
      </c>
      <c r="F2">
        <v>40.1</v>
      </c>
      <c r="G2">
        <v>1642.62</v>
      </c>
      <c r="H2">
        <v>35.9</v>
      </c>
      <c r="I2">
        <v>1626.31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17.94</v>
      </c>
      <c r="C3">
        <v>1522.39</v>
      </c>
      <c r="D3">
        <v>18.19</v>
      </c>
      <c r="E3">
        <v>1539.43</v>
      </c>
      <c r="F3">
        <v>20.03</v>
      </c>
      <c r="G3">
        <v>1501.34</v>
      </c>
      <c r="H3">
        <v>20.42</v>
      </c>
      <c r="I3">
        <v>1522.34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17.32</v>
      </c>
      <c r="C4">
        <v>1492.66</v>
      </c>
      <c r="D4">
        <v>17.6</v>
      </c>
      <c r="E4">
        <v>1467.86</v>
      </c>
      <c r="F4">
        <v>30.85</v>
      </c>
      <c r="G4">
        <v>1481.71</v>
      </c>
      <c r="H4">
        <v>28.03</v>
      </c>
      <c r="I4">
        <v>1432.77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17.13</v>
      </c>
      <c r="C5">
        <v>1533.11</v>
      </c>
      <c r="D5">
        <v>17.39</v>
      </c>
      <c r="E5">
        <v>1566.22</v>
      </c>
      <c r="F5">
        <v>37.83</v>
      </c>
      <c r="G5">
        <v>1555.11</v>
      </c>
      <c r="H5">
        <v>37.29</v>
      </c>
      <c r="I5">
        <v>1556.81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19.01</v>
      </c>
      <c r="C6">
        <v>1513.35</v>
      </c>
      <c r="D6">
        <v>19.31</v>
      </c>
      <c r="E6">
        <v>1511.76</v>
      </c>
      <c r="F6">
        <v>20.15</v>
      </c>
      <c r="G6">
        <v>1542.97</v>
      </c>
      <c r="H6">
        <v>22.78</v>
      </c>
      <c r="I6">
        <v>1559.97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17.76</v>
      </c>
      <c r="C7">
        <v>1602.88</v>
      </c>
      <c r="D7">
        <v>17.93</v>
      </c>
      <c r="E7">
        <v>1542.01</v>
      </c>
      <c r="F7">
        <v>-1</v>
      </c>
      <c r="G7">
        <v>0</v>
      </c>
      <c r="H7">
        <v>-1</v>
      </c>
      <c r="I7">
        <v>401.88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16.96</v>
      </c>
      <c r="C8">
        <v>1650.59</v>
      </c>
      <c r="D8">
        <v>17.37</v>
      </c>
      <c r="E8">
        <v>1655.83</v>
      </c>
      <c r="F8">
        <v>24.9</v>
      </c>
      <c r="G8">
        <v>1632.27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19.7</v>
      </c>
      <c r="C9">
        <v>1583.69</v>
      </c>
      <c r="D9">
        <v>19.92</v>
      </c>
      <c r="E9">
        <v>1598.39</v>
      </c>
      <c r="F9">
        <v>-1</v>
      </c>
      <c r="G9">
        <v>458.84</v>
      </c>
      <c r="H9">
        <v>-1</v>
      </c>
      <c r="I9">
        <v>512.49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18.81</v>
      </c>
      <c r="C10">
        <v>1536.39</v>
      </c>
      <c r="D10">
        <v>19.14</v>
      </c>
      <c r="E10">
        <v>1547.22</v>
      </c>
      <c r="F10">
        <v>26.94</v>
      </c>
      <c r="G10">
        <v>1589.12</v>
      </c>
      <c r="H10">
        <v>34.76</v>
      </c>
      <c r="I10">
        <v>1605.06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19.66</v>
      </c>
      <c r="C11">
        <v>1637.82</v>
      </c>
      <c r="D11">
        <v>19.93</v>
      </c>
      <c r="E11">
        <v>1592.83</v>
      </c>
      <c r="F11">
        <v>32.5</v>
      </c>
      <c r="G11">
        <v>1650.42</v>
      </c>
      <c r="H11">
        <v>24.94</v>
      </c>
      <c r="I11">
        <v>1590.37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17.34</v>
      </c>
      <c r="C12">
        <v>1631.96</v>
      </c>
      <c r="D12">
        <v>17.54</v>
      </c>
      <c r="E12">
        <v>1570.23</v>
      </c>
      <c r="F12">
        <v>-1</v>
      </c>
      <c r="G12">
        <v>467.87</v>
      </c>
      <c r="H12">
        <v>-1</v>
      </c>
      <c r="I12">
        <v>482.77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17.58</v>
      </c>
      <c r="C13">
        <v>1645.13</v>
      </c>
      <c r="D13">
        <v>17.9</v>
      </c>
      <c r="E13">
        <v>1562.3</v>
      </c>
      <c r="F13">
        <v>20.96</v>
      </c>
      <c r="G13">
        <v>1652.98</v>
      </c>
      <c r="H13">
        <v>34.16</v>
      </c>
      <c r="I13">
        <v>1581.68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17.46</v>
      </c>
      <c r="C14">
        <v>1618.75</v>
      </c>
      <c r="D14">
        <v>17.75</v>
      </c>
      <c r="E14">
        <v>1636.4</v>
      </c>
      <c r="F14">
        <v>29.93</v>
      </c>
      <c r="G14">
        <v>1582.57</v>
      </c>
      <c r="H14">
        <v>19.79</v>
      </c>
      <c r="I14">
        <v>1638.22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17.11</v>
      </c>
      <c r="C15">
        <v>1548.99</v>
      </c>
      <c r="D15">
        <v>17.43</v>
      </c>
      <c r="E15">
        <v>1517.96</v>
      </c>
      <c r="F15">
        <v>20.32</v>
      </c>
      <c r="G15">
        <v>1584.77</v>
      </c>
      <c r="H15">
        <v>20.11</v>
      </c>
      <c r="I15">
        <v>1540.77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16.87</v>
      </c>
      <c r="C16">
        <v>1599.2</v>
      </c>
      <c r="D16">
        <v>17.2</v>
      </c>
      <c r="E16">
        <v>1496.72</v>
      </c>
      <c r="F16">
        <v>20.19</v>
      </c>
      <c r="G16">
        <v>1575.57</v>
      </c>
      <c r="H16">
        <v>22.8</v>
      </c>
      <c r="I16">
        <v>1521.14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17.72</v>
      </c>
      <c r="C17">
        <v>1757.84</v>
      </c>
      <c r="D17">
        <v>17.96</v>
      </c>
      <c r="E17">
        <v>1789.14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17.09</v>
      </c>
      <c r="C18">
        <v>1541.39</v>
      </c>
      <c r="D18">
        <v>17.38</v>
      </c>
      <c r="E18">
        <v>1609.96</v>
      </c>
      <c r="F18">
        <v>20.31</v>
      </c>
      <c r="G18">
        <v>1599.86</v>
      </c>
      <c r="H18">
        <v>32.48</v>
      </c>
      <c r="I18">
        <v>1689.4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17.34</v>
      </c>
      <c r="C19">
        <v>1600.33</v>
      </c>
      <c r="D19">
        <v>17.6</v>
      </c>
      <c r="E19">
        <v>1685.46</v>
      </c>
      <c r="F19">
        <v>-1</v>
      </c>
      <c r="G19">
        <v>382.98</v>
      </c>
      <c r="H19">
        <v>-1</v>
      </c>
      <c r="I19">
        <v>439.48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16.87</v>
      </c>
      <c r="C20">
        <v>1573.46</v>
      </c>
      <c r="D20">
        <v>17.23</v>
      </c>
      <c r="E20">
        <v>1534.47</v>
      </c>
      <c r="F20">
        <v>25.94</v>
      </c>
      <c r="G20">
        <v>1534.7</v>
      </c>
      <c r="H20">
        <v>37.05</v>
      </c>
      <c r="I20">
        <v>1541.04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17.21</v>
      </c>
      <c r="C21">
        <v>1553.28</v>
      </c>
      <c r="D21">
        <v>17.55</v>
      </c>
      <c r="E21">
        <v>1566.65</v>
      </c>
      <c r="F21">
        <v>18.13</v>
      </c>
      <c r="G21">
        <v>1587.77</v>
      </c>
      <c r="H21">
        <v>19.26</v>
      </c>
      <c r="I21">
        <v>1561.38</v>
      </c>
      <c r="J21">
        <v>-1</v>
      </c>
      <c r="K21">
        <v>275.34</v>
      </c>
      <c r="L21">
        <v>-1</v>
      </c>
      <c r="M21">
        <v>233.51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17.7205</v>
      </c>
      <c r="B25" s="4">
        <f>IFERROR(AVERAGEIF($D$2:$D$21,"&lt;&gt; -1"),0)</f>
        <v>18.009</v>
      </c>
      <c r="C25" s="4">
        <f>IFERROR(AVERAGEIF($F$2:$F$21,"&lt;&gt; -1"),0)</f>
        <v>25.9386666666667</v>
      </c>
      <c r="D25" s="4">
        <f>IFERROR(AVERAGEIF($H$2:$H$21,"&lt;&gt; -1"),0)</f>
        <v>27.8407142857143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1585.589</v>
      </c>
      <c r="H25" s="4">
        <f>IFERROR(AVERAGEIFS($E$2:$E$21,$D$2:$D$21,"&lt;&gt; -1"),0)</f>
        <v>1581.645</v>
      </c>
      <c r="I25" s="4">
        <f>IFERROR(AVERAGEIFS($G$2:$G$21,$F$2:$F$21,"&lt;&gt; -1"),0)</f>
        <v>1580.91866666667</v>
      </c>
      <c r="J25" s="4">
        <f>IFERROR(AVERAGEIFS($I$2:$I$21,$H$2:$H$21,"&lt;&gt; -1"),0)</f>
        <v>1569.09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19.7</v>
      </c>
      <c r="N25" s="4">
        <f>IFERROR(_xlfn.MAXIFS($D$2:$D$21,$D$2:$D$21,"&lt;&gt;-1"),0)</f>
        <v>19.93</v>
      </c>
      <c r="O25" s="4">
        <f>IFERROR(_xlfn.MAXIFS($F$2:$F$21,$F$2:$F$21,"&lt;&gt; -1"),0)</f>
        <v>40.1</v>
      </c>
      <c r="P25" s="4">
        <f>IFERROR(_xlfn.MAXIFS($H$2:$H$21,$H$2:$H$21,"&lt;&gt; -1"),0)</f>
        <v>37.29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16.87</v>
      </c>
      <c r="T25" s="4">
        <f>IFERROR(_xlfn.MINIFS($D$2:$D$21,$D$2:$D$21,"&lt;&gt;-1"),0)</f>
        <v>17.2</v>
      </c>
      <c r="U25" s="4">
        <f>IFERROR(_xlfn.MINIFS($F$2:$F$21,$F$2:$F$21,"&lt;&gt; -1"),0)</f>
        <v>18.13</v>
      </c>
      <c r="V25" s="4">
        <f>IFERROR(_xlfn.MINIFS($H$2:$H$21,$H$2:$H$21,"&lt;&gt; -1"),0)</f>
        <v>19.26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1757.84</v>
      </c>
      <c r="Z25" s="4">
        <f>IFERROR(_xlfn.MAXIFS($E$2:$E$21,$D$2:$D$21,"&lt;&gt; -1"),0)</f>
        <v>1789.14</v>
      </c>
      <c r="AA25" s="4">
        <f>IFERROR(_xlfn.MAXIFS($G$2:$G$21,$F$2:$F$21,"&lt;&gt; -1"),0)</f>
        <v>1652.98</v>
      </c>
      <c r="AB25" s="4">
        <f>IFERROR(_xlfn.MAXIFS($I$2:$I$21,$H$2:$H$21,"&lt;&gt; -1"),0)</f>
        <v>1689.4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1492.66</v>
      </c>
      <c r="AF25" s="4">
        <f>IFERROR(_xlfn.MINIFS($E$2:$E$21,$D$2:$D$21,"&lt;&gt; -1"),0)</f>
        <v>1467.86</v>
      </c>
      <c r="AG25" s="4">
        <f>IFERROR(_xlfn.MINIFS($G$2:$G$21,$F$2:$F$21,"&lt;&gt; -1"),0)</f>
        <v>1481.71</v>
      </c>
      <c r="AH25" s="4">
        <f>IFERROR(_xlfn.MINIFS($I$2:$I$21,$H$2:$H$21,"&lt;&gt; -1"),0)</f>
        <v>1432.77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(COUNTIFS($B$2:$B$21,"&gt;0.0",$B$2:$B$21,"&lt;100.0"))/20</f>
        <v>1</v>
      </c>
      <c r="AL25" s="4">
        <f>(COUNTIFS($D$2:$D$21,"&gt;0.0",$D$2:$D$21,"&lt;100.0"))/20</f>
        <v>1</v>
      </c>
      <c r="AM25" s="4">
        <f>(COUNTIFS($F$2:$F$21,"&gt;0.0",$F$2:$F$21,"&lt;100.0"))/20</f>
        <v>0.75</v>
      </c>
      <c r="AN25" s="4">
        <f>(COUNTIFS($H$2:$H$21,"&gt;0.0",$H$2:$H$21,"&lt;100.0"))/20</f>
        <v>0.7</v>
      </c>
      <c r="AO25" s="4">
        <f>(COUNTIFS($J$2:$J$21,"&gt;0.0",$J$2:$J$21,"&lt;100.0"))/20</f>
        <v>0</v>
      </c>
      <c r="AP25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15.61</v>
      </c>
      <c r="C2">
        <v>1371.21</v>
      </c>
      <c r="D2">
        <v>15.92</v>
      </c>
      <c r="E2">
        <v>1360.24</v>
      </c>
      <c r="F2">
        <v>-1</v>
      </c>
      <c r="G2">
        <v>534.96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17.17</v>
      </c>
      <c r="C3">
        <v>1383.28</v>
      </c>
      <c r="D3">
        <v>17.41</v>
      </c>
      <c r="E3">
        <v>1357.14</v>
      </c>
      <c r="F3">
        <v>18.65</v>
      </c>
      <c r="G3">
        <v>1363.58</v>
      </c>
      <c r="H3">
        <v>19.82</v>
      </c>
      <c r="I3">
        <v>1373.52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16.81</v>
      </c>
      <c r="C4">
        <v>1373.28</v>
      </c>
      <c r="D4">
        <v>17.17</v>
      </c>
      <c r="E4">
        <v>1241.61</v>
      </c>
      <c r="F4">
        <v>-1</v>
      </c>
      <c r="G4">
        <v>498.84</v>
      </c>
      <c r="H4">
        <v>-1</v>
      </c>
      <c r="I4">
        <v>442.27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15.85</v>
      </c>
      <c r="C5">
        <v>1399.48</v>
      </c>
      <c r="D5">
        <v>16.15</v>
      </c>
      <c r="E5">
        <v>1445.27</v>
      </c>
      <c r="F5">
        <v>25.83</v>
      </c>
      <c r="G5">
        <v>1450.31</v>
      </c>
      <c r="H5">
        <v>30.87</v>
      </c>
      <c r="I5">
        <v>1466.1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17.19</v>
      </c>
      <c r="C6">
        <v>1445.31</v>
      </c>
      <c r="D6">
        <v>17.38</v>
      </c>
      <c r="E6">
        <v>1374.62</v>
      </c>
      <c r="F6">
        <v>-1</v>
      </c>
      <c r="G6">
        <v>0</v>
      </c>
      <c r="H6">
        <v>38.13</v>
      </c>
      <c r="I6">
        <v>1401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15.53</v>
      </c>
      <c r="C7">
        <v>1330.33</v>
      </c>
      <c r="D7">
        <v>15.84</v>
      </c>
      <c r="E7">
        <v>1386.17</v>
      </c>
      <c r="F7">
        <v>-1</v>
      </c>
      <c r="G7">
        <v>443.93</v>
      </c>
      <c r="H7">
        <v>28.83</v>
      </c>
      <c r="I7">
        <v>1372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12.15</v>
      </c>
      <c r="C8">
        <v>1421.53</v>
      </c>
      <c r="D8">
        <v>12.41</v>
      </c>
      <c r="E8">
        <v>1456.59</v>
      </c>
      <c r="F8">
        <v>-1</v>
      </c>
      <c r="G8">
        <v>439.27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15.31</v>
      </c>
      <c r="C9">
        <v>1394.38</v>
      </c>
      <c r="D9">
        <v>15.58</v>
      </c>
      <c r="E9">
        <v>1442.18</v>
      </c>
      <c r="F9">
        <v>22.1</v>
      </c>
      <c r="G9">
        <v>1354.28</v>
      </c>
      <c r="H9">
        <v>30.06</v>
      </c>
      <c r="I9">
        <v>1355.36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14.71</v>
      </c>
      <c r="C10">
        <v>1444.88</v>
      </c>
      <c r="D10">
        <v>14.87</v>
      </c>
      <c r="E10">
        <v>1344.9</v>
      </c>
      <c r="F10">
        <v>22.84</v>
      </c>
      <c r="G10">
        <v>1501.55</v>
      </c>
      <c r="H10">
        <v>34.23</v>
      </c>
      <c r="I10">
        <v>1396.66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14.88</v>
      </c>
      <c r="C11">
        <v>1396.78</v>
      </c>
      <c r="D11">
        <v>15.1</v>
      </c>
      <c r="E11">
        <v>1431.75</v>
      </c>
      <c r="F11">
        <v>17.36</v>
      </c>
      <c r="G11">
        <v>1404.8</v>
      </c>
      <c r="H11">
        <v>23.56</v>
      </c>
      <c r="I11">
        <v>1390.96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14.36</v>
      </c>
      <c r="C12">
        <v>1380.95</v>
      </c>
      <c r="D12">
        <v>14.62</v>
      </c>
      <c r="E12">
        <v>1368.74</v>
      </c>
      <c r="F12">
        <v>-1</v>
      </c>
      <c r="G12">
        <v>476.67</v>
      </c>
      <c r="H12">
        <v>-1</v>
      </c>
      <c r="I12">
        <v>494.22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14.02</v>
      </c>
      <c r="C13">
        <v>1444.02</v>
      </c>
      <c r="D13">
        <v>14.3</v>
      </c>
      <c r="E13">
        <v>1426.57</v>
      </c>
      <c r="F13">
        <v>-1</v>
      </c>
      <c r="G13">
        <v>507.11</v>
      </c>
      <c r="H13">
        <v>-1</v>
      </c>
      <c r="I13">
        <v>536.84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15.7</v>
      </c>
      <c r="C14">
        <v>1430.22</v>
      </c>
      <c r="D14">
        <v>15.94</v>
      </c>
      <c r="E14">
        <v>1352.95</v>
      </c>
      <c r="F14">
        <v>25.14</v>
      </c>
      <c r="G14">
        <v>1416.6</v>
      </c>
      <c r="H14">
        <v>35.86</v>
      </c>
      <c r="I14">
        <v>1386.2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12.63</v>
      </c>
      <c r="C15">
        <v>1389.88</v>
      </c>
      <c r="D15">
        <v>12.81</v>
      </c>
      <c r="E15">
        <v>1335.54</v>
      </c>
      <c r="F15">
        <v>-1</v>
      </c>
      <c r="G15">
        <v>453.62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12.05</v>
      </c>
      <c r="C16">
        <v>1334.82</v>
      </c>
      <c r="D16">
        <v>12.25</v>
      </c>
      <c r="E16">
        <v>1301.48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13.26</v>
      </c>
      <c r="C17">
        <v>1461.73</v>
      </c>
      <c r="D17">
        <v>13.51</v>
      </c>
      <c r="E17">
        <v>1438.65</v>
      </c>
      <c r="F17">
        <v>-1</v>
      </c>
      <c r="G17">
        <v>0</v>
      </c>
      <c r="H17">
        <v>-1</v>
      </c>
      <c r="I17">
        <v>536.47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12.6</v>
      </c>
      <c r="C18">
        <v>1406.48</v>
      </c>
      <c r="D18">
        <v>12.79</v>
      </c>
      <c r="E18">
        <v>1365.41</v>
      </c>
      <c r="F18">
        <v>-1</v>
      </c>
      <c r="G18">
        <v>0</v>
      </c>
      <c r="H18">
        <v>-1</v>
      </c>
      <c r="I18">
        <v>550.16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13</v>
      </c>
      <c r="C19">
        <v>1478.08</v>
      </c>
      <c r="D19">
        <v>13.24</v>
      </c>
      <c r="E19">
        <v>1395.27</v>
      </c>
      <c r="F19">
        <v>-1</v>
      </c>
      <c r="G19">
        <v>609.69</v>
      </c>
      <c r="H19">
        <v>-1</v>
      </c>
      <c r="I19">
        <v>532.02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13.56</v>
      </c>
      <c r="C20">
        <v>1426.94</v>
      </c>
      <c r="D20">
        <v>13.79</v>
      </c>
      <c r="E20">
        <v>1432.14</v>
      </c>
      <c r="F20">
        <v>-1</v>
      </c>
      <c r="G20">
        <v>0</v>
      </c>
      <c r="H20">
        <v>23.51</v>
      </c>
      <c r="I20">
        <v>1433.03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13.05</v>
      </c>
      <c r="C21">
        <v>1413.81</v>
      </c>
      <c r="D21">
        <v>13.25</v>
      </c>
      <c r="E21">
        <v>1465.82</v>
      </c>
      <c r="F21">
        <v>40.31</v>
      </c>
      <c r="G21">
        <v>1443.67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14.472</v>
      </c>
      <c r="B25" s="4">
        <f>IFERROR(AVERAGEIF($D$2:$D$21,"&lt;&gt; -1"),0)</f>
        <v>14.7165</v>
      </c>
      <c r="C25" s="4">
        <f>IFERROR(AVERAGEIF($F$2:$F$21,"&lt;&gt; -1"),0)</f>
        <v>24.6042857142857</v>
      </c>
      <c r="D25" s="4">
        <f>IFERROR(AVERAGEIF($H$2:$H$21,"&lt;&gt; -1"),0)</f>
        <v>29.43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1406.3695</v>
      </c>
      <c r="H25" s="4">
        <f>IFERROR(AVERAGEIFS($E$2:$E$21,$D$2:$D$21,"&lt;&gt; -1"),0)</f>
        <v>1386.152</v>
      </c>
      <c r="I25" s="4">
        <f>IFERROR(AVERAGEIFS($G$2:$G$21,$F$2:$F$21,"&lt;&gt; -1"),0)</f>
        <v>1419.25571428571</v>
      </c>
      <c r="J25" s="4">
        <f>IFERROR(AVERAGEIFS($I$2:$I$21,$H$2:$H$21,"&lt;&gt; -1"),0)</f>
        <v>1397.20333333333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17.19</v>
      </c>
      <c r="N25" s="4">
        <f>IFERROR(_xlfn.MAXIFS($D$2:$D$21,$D$2:$D$21,"&lt;&gt;-1"),0)</f>
        <v>17.41</v>
      </c>
      <c r="O25" s="4">
        <f>IFERROR(_xlfn.MAXIFS($F$2:$F$21,$F$2:$F$21,"&lt;&gt; -1"),0)</f>
        <v>40.31</v>
      </c>
      <c r="P25" s="4">
        <f>IFERROR(_xlfn.MAXIFS($H$2:$H$21,$H$2:$H$21,"&lt;&gt; -1"),0)</f>
        <v>38.13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12.05</v>
      </c>
      <c r="T25" s="4">
        <f>IFERROR(_xlfn.MINIFS($D$2:$D$21,$D$2:$D$21,"&lt;&gt;-1"),0)</f>
        <v>12.25</v>
      </c>
      <c r="U25" s="4">
        <f>IFERROR(_xlfn.MINIFS($F$2:$F$21,$F$2:$F$21,"&lt;&gt; -1"),0)</f>
        <v>17.36</v>
      </c>
      <c r="V25" s="4">
        <f>IFERROR(_xlfn.MINIFS($H$2:$H$21,$H$2:$H$21,"&lt;&gt; -1"),0)</f>
        <v>19.82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1478.08</v>
      </c>
      <c r="Z25" s="4">
        <f>IFERROR(_xlfn.MAXIFS($E$2:$E$21,$D$2:$D$21,"&lt;&gt; -1"),0)</f>
        <v>1465.82</v>
      </c>
      <c r="AA25" s="4">
        <f>IFERROR(_xlfn.MAXIFS($G$2:$G$21,$F$2:$F$21,"&lt;&gt; -1"),0)</f>
        <v>1501.55</v>
      </c>
      <c r="AB25" s="4">
        <f>IFERROR(_xlfn.MAXIFS($I$2:$I$21,$H$2:$H$21,"&lt;&gt; -1"),0)</f>
        <v>1466.1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1330.33</v>
      </c>
      <c r="AF25" s="4">
        <f>IFERROR(_xlfn.MINIFS($E$2:$E$21,$D$2:$D$21,"&lt;&gt; -1"),0)</f>
        <v>1241.61</v>
      </c>
      <c r="AG25" s="4">
        <f>IFERROR(_xlfn.MINIFS($G$2:$G$21,$F$2:$F$21,"&lt;&gt; -1"),0)</f>
        <v>1354.28</v>
      </c>
      <c r="AH25" s="4">
        <f>IFERROR(_xlfn.MINIFS($I$2:$I$21,$H$2:$H$21,"&lt;&gt; -1"),0)</f>
        <v>1355.36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(COUNTIFS($B$2:$B$21,"&gt;0.0",$B$2:$B$21,"&lt;100.0"))/20</f>
        <v>1</v>
      </c>
      <c r="AL25" s="4">
        <f>(COUNTIFS($D$2:$D$21,"&gt;0.0",$D$2:$D$21,"&lt;100.0"))/20</f>
        <v>1</v>
      </c>
      <c r="AM25" s="4">
        <f>(COUNTIFS($F$2:$F$21,"&gt;0.0",$F$2:$F$21,"&lt;100.0"))/20</f>
        <v>0.35</v>
      </c>
      <c r="AN25" s="4">
        <f>(COUNTIFS($H$2:$H$21,"&gt;0.0",$H$2:$H$21,"&lt;100.0"))/20</f>
        <v>0.45</v>
      </c>
      <c r="AO25" s="4">
        <f>(COUNTIFS($J$2:$J$21,"&gt;0.0",$J$2:$J$21,"&lt;100.0"))/20</f>
        <v>0</v>
      </c>
      <c r="AP25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workbookViewId="0">
      <selection activeCell="I12" sqref="I12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12.9105</v>
      </c>
      <c r="B2">
        <v>12.9985</v>
      </c>
      <c r="C2">
        <v>14.018</v>
      </c>
      <c r="D2">
        <v>14.1015</v>
      </c>
      <c r="E2">
        <v>13.717</v>
      </c>
      <c r="F2">
        <v>13.691</v>
      </c>
      <c r="G2">
        <v>1910.8865</v>
      </c>
      <c r="H2">
        <v>1898.7145</v>
      </c>
      <c r="I2">
        <v>2004.754</v>
      </c>
      <c r="J2">
        <v>1995.393</v>
      </c>
      <c r="K2">
        <v>1841.1145</v>
      </c>
      <c r="L2">
        <v>1834.906</v>
      </c>
      <c r="M2">
        <v>16.81</v>
      </c>
      <c r="N2">
        <v>16.95</v>
      </c>
      <c r="O2">
        <v>18.12</v>
      </c>
      <c r="P2">
        <v>18.55</v>
      </c>
      <c r="Q2">
        <v>17.75</v>
      </c>
      <c r="R2">
        <v>17.65</v>
      </c>
      <c r="S2">
        <v>11.21</v>
      </c>
      <c r="T2">
        <v>11.28</v>
      </c>
      <c r="U2">
        <v>12.33</v>
      </c>
      <c r="V2">
        <v>12.38</v>
      </c>
      <c r="W2">
        <v>11.64</v>
      </c>
      <c r="X2">
        <v>11.73</v>
      </c>
      <c r="Y2">
        <v>2016.91</v>
      </c>
      <c r="Z2">
        <v>1994.11</v>
      </c>
      <c r="AA2">
        <v>2093.19</v>
      </c>
      <c r="AB2">
        <v>2092.35</v>
      </c>
      <c r="AC2">
        <v>1946.47</v>
      </c>
      <c r="AD2">
        <v>1919.45</v>
      </c>
      <c r="AE2">
        <v>1728.64</v>
      </c>
      <c r="AF2">
        <v>1727.87</v>
      </c>
      <c r="AG2">
        <v>1847.88</v>
      </c>
      <c r="AH2">
        <v>1848.54</v>
      </c>
      <c r="AI2">
        <v>1676.66</v>
      </c>
      <c r="AJ2">
        <v>1669.93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>
      <c r="A3">
        <v>17.4595</v>
      </c>
      <c r="B3">
        <v>17.7005</v>
      </c>
      <c r="C3">
        <v>22.2005555555555</v>
      </c>
      <c r="D3">
        <v>23.263</v>
      </c>
      <c r="E3">
        <v>0</v>
      </c>
      <c r="F3">
        <v>0</v>
      </c>
      <c r="G3">
        <v>2060.914</v>
      </c>
      <c r="H3">
        <v>2083.419</v>
      </c>
      <c r="I3">
        <v>2044.31555555556</v>
      </c>
      <c r="J3">
        <v>2040.756</v>
      </c>
      <c r="K3">
        <v>0</v>
      </c>
      <c r="L3">
        <v>0</v>
      </c>
      <c r="M3">
        <v>21.64</v>
      </c>
      <c r="N3">
        <v>22.14</v>
      </c>
      <c r="O3">
        <v>29.95</v>
      </c>
      <c r="P3">
        <v>33.05</v>
      </c>
      <c r="Q3">
        <v>0</v>
      </c>
      <c r="R3">
        <v>0</v>
      </c>
      <c r="S3">
        <v>15.03</v>
      </c>
      <c r="T3">
        <v>15.17</v>
      </c>
      <c r="U3">
        <v>16.03</v>
      </c>
      <c r="V3">
        <v>17.49</v>
      </c>
      <c r="W3">
        <v>0</v>
      </c>
      <c r="X3">
        <v>0</v>
      </c>
      <c r="Y3">
        <v>2265.02</v>
      </c>
      <c r="Z3">
        <v>2253.82</v>
      </c>
      <c r="AA3">
        <v>2160.25</v>
      </c>
      <c r="AB3">
        <v>2152.84</v>
      </c>
      <c r="AC3">
        <v>0</v>
      </c>
      <c r="AD3">
        <v>0</v>
      </c>
      <c r="AE3">
        <v>1876.93</v>
      </c>
      <c r="AF3">
        <v>1941.67</v>
      </c>
      <c r="AG3">
        <v>1887.72</v>
      </c>
      <c r="AH3">
        <v>1957.38</v>
      </c>
      <c r="AI3">
        <v>0</v>
      </c>
      <c r="AJ3">
        <v>0</v>
      </c>
      <c r="AK3">
        <v>1</v>
      </c>
      <c r="AL3">
        <v>1</v>
      </c>
      <c r="AM3">
        <v>0.9</v>
      </c>
      <c r="AN3">
        <v>1</v>
      </c>
      <c r="AO3">
        <v>0</v>
      </c>
      <c r="AP3">
        <v>0</v>
      </c>
    </row>
    <row r="4" spans="1:42">
      <c r="A4">
        <v>20.074</v>
      </c>
      <c r="B4">
        <v>20.412</v>
      </c>
      <c r="C4">
        <v>27.6842857142857</v>
      </c>
      <c r="D4">
        <v>28.6383333333333</v>
      </c>
      <c r="E4">
        <v>0</v>
      </c>
      <c r="F4">
        <v>0</v>
      </c>
      <c r="G4">
        <v>2044.972</v>
      </c>
      <c r="H4">
        <v>2059.3375</v>
      </c>
      <c r="I4">
        <v>1997.39857142857</v>
      </c>
      <c r="J4">
        <v>1978.39</v>
      </c>
      <c r="K4">
        <v>0</v>
      </c>
      <c r="L4">
        <v>0</v>
      </c>
      <c r="M4">
        <v>23.18</v>
      </c>
      <c r="N4">
        <v>23.62</v>
      </c>
      <c r="O4">
        <v>38.7</v>
      </c>
      <c r="P4">
        <v>34.69</v>
      </c>
      <c r="Q4">
        <v>0</v>
      </c>
      <c r="R4">
        <v>0</v>
      </c>
      <c r="S4">
        <v>17.95</v>
      </c>
      <c r="T4">
        <v>18.12</v>
      </c>
      <c r="U4">
        <v>19.37</v>
      </c>
      <c r="V4">
        <v>19.98</v>
      </c>
      <c r="W4">
        <v>0</v>
      </c>
      <c r="X4">
        <v>0</v>
      </c>
      <c r="Y4">
        <v>2169.17</v>
      </c>
      <c r="Z4">
        <v>2263.07</v>
      </c>
      <c r="AA4">
        <v>2108.89</v>
      </c>
      <c r="AB4">
        <v>2032.25</v>
      </c>
      <c r="AC4">
        <v>0</v>
      </c>
      <c r="AD4">
        <v>0</v>
      </c>
      <c r="AE4">
        <v>1909.61</v>
      </c>
      <c r="AF4">
        <v>1895.97</v>
      </c>
      <c r="AG4">
        <v>1955.38</v>
      </c>
      <c r="AH4">
        <v>1932.74</v>
      </c>
      <c r="AI4">
        <v>0</v>
      </c>
      <c r="AJ4">
        <v>0</v>
      </c>
      <c r="AK4">
        <v>1</v>
      </c>
      <c r="AL4">
        <v>1</v>
      </c>
      <c r="AM4">
        <v>0.35</v>
      </c>
      <c r="AN4">
        <v>0.3</v>
      </c>
      <c r="AO4">
        <v>0</v>
      </c>
      <c r="AP4">
        <v>0</v>
      </c>
    </row>
    <row r="5" spans="1:42">
      <c r="A5">
        <f ca="1">IFERROR(AVERAGEIF($B$2:$B$21,"&lt;&gt; -1"),0)</f>
        <v>18.6555</v>
      </c>
      <c r="B5">
        <f ca="1">IFERROR(AVERAGEIF($D$2:$D$21,"&lt;&gt; -1"),0)</f>
        <v>18.999</v>
      </c>
      <c r="C5">
        <f ca="1">IFERROR(AVERAGEIF($F$2:$F$21,"&lt;&gt; -1"),0)</f>
        <v>23.7453846153846</v>
      </c>
      <c r="D5">
        <f ca="1">IFERROR(AVERAGEIF($H$2:$H$21,"&lt;&gt; -1"),0)</f>
        <v>27.34</v>
      </c>
      <c r="E5">
        <f ca="1">IFERROR(AVERAGEIF($J$2:$J$21,"&lt;&gt; -1"),0)</f>
        <v>0</v>
      </c>
      <c r="F5">
        <f ca="1">IFERROR(AVERAGEIF($L$2:$L$21,"&lt;&gt; -1"),0)</f>
        <v>0</v>
      </c>
      <c r="G5">
        <f ca="1">IFERROR(AVERAGEIFS($C$2:$C$21,$B$2:$B$21,"&lt;&gt; -1"),0)</f>
        <v>1820.27</v>
      </c>
      <c r="H5">
        <f ca="1">IFERROR(AVERAGEIFS($E$2:$E$21,$D$2:$D$21,"&lt;&gt; -1"),0)</f>
        <v>1797.93</v>
      </c>
      <c r="I5">
        <f ca="1">IFERROR(AVERAGEIFS($G$2:$G$21,$F$2:$F$21,"&lt;&gt; -1"),0)</f>
        <v>1776.02461538462</v>
      </c>
      <c r="J5">
        <f ca="1">IFERROR(AVERAGEIFS($I$2:$I$21,$H$2:$H$21,"&lt;&gt; -1"),0)</f>
        <v>1763.35307692308</v>
      </c>
      <c r="K5">
        <f ca="1">IFERROR(AVERAGEIFS($K$2:$K$21,$J$2:$J$21,"&lt;&gt; -1"),0)</f>
        <v>0</v>
      </c>
      <c r="L5">
        <f ca="1">IFERROR(AVERAGEIFS($M$2:$M$21,$L$2:$L$21,"&lt;&gt; -1"),0)</f>
        <v>0</v>
      </c>
      <c r="M5">
        <f ca="1">IFERROR(_xlfn.MAXIFS($B$2:$B$21,$B$2:$B$21,"&lt;&gt; -1"),0)</f>
        <v>20.2</v>
      </c>
      <c r="N5">
        <f ca="1">IFERROR(_xlfn.MAXIFS($D$2:$D$21,$D$2:$D$21,"&lt;&gt;-1"),0)</f>
        <v>20.69</v>
      </c>
      <c r="O5">
        <f ca="1">IFERROR(_xlfn.MAXIFS($F$2:$F$21,$F$2:$F$21,"&lt;&gt; -1"),0)</f>
        <v>45.49</v>
      </c>
      <c r="P5">
        <f ca="1">IFERROR(_xlfn.MAXIFS($H$2:$H$21,$H$2:$H$21,"&lt;&gt; -1"),0)</f>
        <v>48.21</v>
      </c>
      <c r="Q5">
        <f ca="1">IFERROR(_xlfn.MAXIFS($J$2:$J$21,$J$2:$J$21,"&lt;&gt; -1"),0)</f>
        <v>0</v>
      </c>
      <c r="R5">
        <f ca="1">IFERROR(_xlfn.MAXIFS($L$2:$L$21,$L$2:$L$21,"&lt;&gt; -1"),0)</f>
        <v>0</v>
      </c>
      <c r="S5">
        <f ca="1">IFERROR(_xlfn.MINIFS($B$2:$B$21,$B$2:$B$21,"&lt;&gt; -1"),0)</f>
        <v>17.24</v>
      </c>
      <c r="T5">
        <f ca="1">IFERROR(_xlfn.MINIFS($D$2:$D$21,$D$2:$D$21,"&lt;&gt;-1"),0)</f>
        <v>17.59</v>
      </c>
      <c r="U5">
        <f ca="1">IFERROR(_xlfn.MINIFS($F$2:$F$21,$F$2:$F$21,"&lt;&gt; -1"),0)</f>
        <v>18.75</v>
      </c>
      <c r="V5">
        <f ca="1">IFERROR(_xlfn.MINIFS($H$2:$H$21,$H$2:$H$21,"&lt;&gt; -1"),0)</f>
        <v>19.49</v>
      </c>
      <c r="W5">
        <f ca="1">IFERROR(_xlfn.MINIFS($J$2:$J$21,$J$2:$J$21,"&lt;&gt; -1"),0)</f>
        <v>0</v>
      </c>
      <c r="X5">
        <f ca="1">IFERROR(_xlfn.MINIFS($L$2:$L$21,$L$2:$L$21,"&lt;&gt; -1"),0)</f>
        <v>0</v>
      </c>
      <c r="Y5">
        <f ca="1">IFERROR(_xlfn.MAXIFS($C$2:$C$21,$B$2:$B$21,"&lt;&gt; -1"),0)</f>
        <v>1993.31</v>
      </c>
      <c r="Z5">
        <f ca="1">IFERROR(_xlfn.MAXIFS($E$2:$E$21,$D$2:$D$21,"&lt;&gt; -1"),0)</f>
        <v>1968.39</v>
      </c>
      <c r="AA5">
        <f ca="1">IFERROR(_xlfn.MAXIFS($G$2:$G$21,$F$2:$F$21,"&lt;&gt; -1"),0)</f>
        <v>1879.07</v>
      </c>
      <c r="AB5">
        <f ca="1">IFERROR(_xlfn.MAXIFS($I$2:$I$21,$H$2:$H$21,"&lt;&gt; -1"),0)</f>
        <v>1869.13</v>
      </c>
      <c r="AC5">
        <f ca="1">IFERROR(_xlfn.MAXIFS($K$2:$K$21,$J$2:$J$21,"&lt;&gt; -1"),0)</f>
        <v>0</v>
      </c>
      <c r="AD5">
        <f ca="1">IFERROR(_xlfn.MAXIFS($M$2:$M$21,$L$2:$L$21,"&lt;&gt; -1"),0)</f>
        <v>0</v>
      </c>
      <c r="AE5">
        <f ca="1">IFERROR(_xlfn.MINIFS($C$2:$C$21,$B$2:$B$21,"&lt;&gt; -1"),0)</f>
        <v>1680.42</v>
      </c>
      <c r="AF5">
        <f ca="1">IFERROR(_xlfn.MINIFS($E$2:$E$21,$D$2:$D$21,"&lt;&gt; -1"),0)</f>
        <v>1654.27</v>
      </c>
      <c r="AG5">
        <f ca="1">IFERROR(_xlfn.MINIFS($G$2:$G$21,$F$2:$F$21,"&lt;&gt; -1"),0)</f>
        <v>1692.56</v>
      </c>
      <c r="AH5">
        <f ca="1">IFERROR(_xlfn.MINIFS($I$2:$I$21,$H$2:$H$21,"&lt;&gt; -1"),0)</f>
        <v>1666.98</v>
      </c>
      <c r="AI5">
        <f ca="1">IFERROR(_xlfn.MINIFS($K$2:$K$21,$J$2:$J$21,"&lt;&gt; -1"),0)</f>
        <v>0</v>
      </c>
      <c r="AJ5">
        <f ca="1">IFERROR(_xlfn.MINIFS($M$2:$M$21,$L$2:$L$21,"&lt;&gt; -1"),0)</f>
        <v>0</v>
      </c>
      <c r="AK5">
        <f ca="1">(COUNTIFS($B$2:$B$21,"&gt;0.0",$B$2:$B$21,"&lt;100.0"))/20</f>
        <v>1</v>
      </c>
      <c r="AL5">
        <f ca="1">(COUNTIFS($D$2:$D$21,"&gt;0.0",$D$2:$D$21,"&lt;100.0"))/20</f>
        <v>1</v>
      </c>
      <c r="AM5">
        <f ca="1">(COUNTIFS($F$2:$F$21,"&gt;0.0",$F$2:$F$21,"&lt;100.0"))/20</f>
        <v>0.65</v>
      </c>
      <c r="AN5">
        <f ca="1">(COUNTIFS($H$2:$H$21,"&gt;0.0",$H$2:$H$21,"&lt;100.0"))/20</f>
        <v>0.65</v>
      </c>
      <c r="AO5">
        <f ca="1">(COUNTIFS($J$2:$J$21,"&gt;0.0",$J$2:$J$21,"&lt;100.0"))/20</f>
        <v>0</v>
      </c>
      <c r="AP5">
        <f ca="1">(COUNTIFS($L$2:$L$21,"&gt;0.0",$L$2:$L$21,"&lt;100.0"))/20</f>
        <v>0</v>
      </c>
    </row>
    <row r="6" spans="1:42">
      <c r="A6">
        <v>17.7205</v>
      </c>
      <c r="B6">
        <v>18.009</v>
      </c>
      <c r="C6">
        <v>25.9386666666667</v>
      </c>
      <c r="D6">
        <v>27.8407142857143</v>
      </c>
      <c r="E6">
        <v>0</v>
      </c>
      <c r="F6">
        <v>0</v>
      </c>
      <c r="G6">
        <v>1585.589</v>
      </c>
      <c r="H6">
        <v>1581.645</v>
      </c>
      <c r="I6">
        <v>1580.91866666667</v>
      </c>
      <c r="J6">
        <v>1569.09</v>
      </c>
      <c r="K6">
        <v>0</v>
      </c>
      <c r="L6">
        <v>0</v>
      </c>
      <c r="M6">
        <v>19.7</v>
      </c>
      <c r="N6">
        <v>19.93</v>
      </c>
      <c r="O6">
        <v>40.1</v>
      </c>
      <c r="P6">
        <v>37.29</v>
      </c>
      <c r="Q6">
        <v>0</v>
      </c>
      <c r="R6">
        <v>0</v>
      </c>
      <c r="S6">
        <v>16.87</v>
      </c>
      <c r="T6">
        <v>17.2</v>
      </c>
      <c r="U6">
        <v>18.13</v>
      </c>
      <c r="V6">
        <v>19.26</v>
      </c>
      <c r="W6">
        <v>0</v>
      </c>
      <c r="X6">
        <v>0</v>
      </c>
      <c r="Y6">
        <v>1757.84</v>
      </c>
      <c r="Z6">
        <v>1789.14</v>
      </c>
      <c r="AA6">
        <v>1652.98</v>
      </c>
      <c r="AB6">
        <v>1689.4</v>
      </c>
      <c r="AC6">
        <v>0</v>
      </c>
      <c r="AD6">
        <v>0</v>
      </c>
      <c r="AE6">
        <v>1492.66</v>
      </c>
      <c r="AF6">
        <v>1467.86</v>
      </c>
      <c r="AG6">
        <v>1481.71</v>
      </c>
      <c r="AH6">
        <v>1432.77</v>
      </c>
      <c r="AI6">
        <v>0</v>
      </c>
      <c r="AJ6">
        <v>0</v>
      </c>
      <c r="AK6">
        <v>1</v>
      </c>
      <c r="AL6">
        <v>1</v>
      </c>
      <c r="AM6">
        <v>0.75</v>
      </c>
      <c r="AN6">
        <v>0.7</v>
      </c>
      <c r="AO6">
        <v>0</v>
      </c>
      <c r="AP6">
        <v>0</v>
      </c>
    </row>
    <row r="7" spans="1:42">
      <c r="A7">
        <v>14.472</v>
      </c>
      <c r="B7">
        <v>14.7165</v>
      </c>
      <c r="C7">
        <v>24.6042857142857</v>
      </c>
      <c r="D7">
        <v>29.43</v>
      </c>
      <c r="E7">
        <v>0</v>
      </c>
      <c r="F7">
        <v>0</v>
      </c>
      <c r="G7">
        <v>1406.3695</v>
      </c>
      <c r="H7">
        <v>1386.152</v>
      </c>
      <c r="I7">
        <v>1419.25571428571</v>
      </c>
      <c r="J7">
        <v>1397.20333333333</v>
      </c>
      <c r="K7">
        <v>0</v>
      </c>
      <c r="L7">
        <v>0</v>
      </c>
      <c r="M7">
        <v>17.19</v>
      </c>
      <c r="N7">
        <v>17.41</v>
      </c>
      <c r="O7">
        <v>40.31</v>
      </c>
      <c r="P7">
        <v>38.13</v>
      </c>
      <c r="Q7">
        <v>0</v>
      </c>
      <c r="R7">
        <v>0</v>
      </c>
      <c r="S7">
        <v>12.05</v>
      </c>
      <c r="T7">
        <v>12.25</v>
      </c>
      <c r="U7">
        <v>17.36</v>
      </c>
      <c r="V7">
        <v>19.82</v>
      </c>
      <c r="W7">
        <v>0</v>
      </c>
      <c r="X7">
        <v>0</v>
      </c>
      <c r="Y7">
        <v>1478.08</v>
      </c>
      <c r="Z7">
        <v>1465.82</v>
      </c>
      <c r="AA7">
        <v>1501.55</v>
      </c>
      <c r="AB7">
        <v>1466.1</v>
      </c>
      <c r="AC7">
        <v>0</v>
      </c>
      <c r="AD7">
        <v>0</v>
      </c>
      <c r="AE7">
        <v>1330.33</v>
      </c>
      <c r="AF7">
        <v>1241.61</v>
      </c>
      <c r="AG7">
        <v>1354.28</v>
      </c>
      <c r="AH7">
        <v>1355.36</v>
      </c>
      <c r="AI7">
        <v>0</v>
      </c>
      <c r="AJ7">
        <v>0</v>
      </c>
      <c r="AK7">
        <v>1</v>
      </c>
      <c r="AL7">
        <v>1</v>
      </c>
      <c r="AM7">
        <v>0.35</v>
      </c>
      <c r="AN7">
        <v>0.45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2024-08-24T12:53:00Z</dcterms:created>
  <dcterms:modified xsi:type="dcterms:W3CDTF">2024-09-03T23:57:40Z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1AE3C66B773541D59BC59EF16663DB9F_12</vt:lpwstr>
  </property>
  <property fmtid="{D5CDD505-2E9C-101B-9397-08002B2CF9AE}" pid="3" name="KSOProductBuildVer">
    <vt:lpwstr>2052-12.1.0.17827</vt:lpwstr>
  </property>
</Properties>
</file>