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790" activeTab="6"/>
  </bookViews>
  <sheets>
    <sheet name="20_100" sheetId="1" r:id="rId1"/>
    <sheet name="40_100" sheetId="2" r:id="rId2"/>
    <sheet name="60_100" sheetId="3" r:id="rId3"/>
    <sheet name="80_100" sheetId="4" r:id="rId4"/>
    <sheet name="100_100" sheetId="5" r:id="rId5"/>
    <sheet name="120_100" sheetId="6" r:id="rId6"/>
    <sheet name="Sheet1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<sst xmlns="http://schemas.openxmlformats.org/spreadsheetml/2006/main" count="492" uniqueCount="75">
  <si>
    <t>scen</t>
  </si>
  <si>
    <t>LC_1_T</t>
  </si>
  <si>
    <t>LC_1_C</t>
  </si>
  <si>
    <t>LC_2_T</t>
  </si>
  <si>
    <t>LC_2_C</t>
  </si>
  <si>
    <t>ML_1_T</t>
  </si>
  <si>
    <t>ML_1_C</t>
  </si>
  <si>
    <t>ML_2_T</t>
  </si>
  <si>
    <t>ML_2_C</t>
  </si>
  <si>
    <t>MA_1_T</t>
  </si>
  <si>
    <t>MA_1_C</t>
  </si>
  <si>
    <t>MA_2_T</t>
  </si>
  <si>
    <t>MA_2_C</t>
  </si>
  <si>
    <t>random-1</t>
  </si>
  <si>
    <t>random-2</t>
  </si>
  <si>
    <t>random-3</t>
  </si>
  <si>
    <t>random-4</t>
  </si>
  <si>
    <t>random-5</t>
  </si>
  <si>
    <t>random-6</t>
  </si>
  <si>
    <t>random-7</t>
  </si>
  <si>
    <t>random-8</t>
  </si>
  <si>
    <t>random-9</t>
  </si>
  <si>
    <t>random-10</t>
  </si>
  <si>
    <t>random-11</t>
  </si>
  <si>
    <t>random-12</t>
  </si>
  <si>
    <t>random-13</t>
  </si>
  <si>
    <t>random-14</t>
  </si>
  <si>
    <t>random-15</t>
  </si>
  <si>
    <t>random-16</t>
  </si>
  <si>
    <t>random-17</t>
  </si>
  <si>
    <t>random-18</t>
  </si>
  <si>
    <t>random-19</t>
  </si>
  <si>
    <t>random-20</t>
  </si>
  <si>
    <t>LC1_T_A</t>
  </si>
  <si>
    <t>LC2_T_A</t>
  </si>
  <si>
    <t>ML1_T_A</t>
  </si>
  <si>
    <t>ML2_T_A</t>
  </si>
  <si>
    <t>MA1_T_A</t>
  </si>
  <si>
    <t>MA2_T_A</t>
  </si>
  <si>
    <t>LC1_C_A</t>
  </si>
  <si>
    <t>LC2_C_A</t>
  </si>
  <si>
    <t>ML1_C_A</t>
  </si>
  <si>
    <t>ML2_C_A</t>
  </si>
  <si>
    <t>MA1_C_A</t>
  </si>
  <si>
    <t>MA2_C_A</t>
  </si>
  <si>
    <t>LC1_T_MX</t>
  </si>
  <si>
    <t>LC2_T_MX</t>
  </si>
  <si>
    <t>ML1_T_MX</t>
  </si>
  <si>
    <t>ML2_T_MX</t>
  </si>
  <si>
    <t>MA1_T_MX</t>
  </si>
  <si>
    <t>MA2_T_MX</t>
  </si>
  <si>
    <t>LC1_T_MN</t>
  </si>
  <si>
    <t>LC2_T_MN</t>
  </si>
  <si>
    <t>ML1_T_MN</t>
  </si>
  <si>
    <t>ML2_T_MN</t>
  </si>
  <si>
    <t>MA1_T_MN</t>
  </si>
  <si>
    <t>MA2_T_MN</t>
  </si>
  <si>
    <t>LC1_C_MX</t>
  </si>
  <si>
    <t>LC2_C_MX</t>
  </si>
  <si>
    <t>ML1_C_MX</t>
  </si>
  <si>
    <t>ML2_C_MX</t>
  </si>
  <si>
    <t>MA1_C_MX</t>
  </si>
  <si>
    <t>MA2_C_MX</t>
  </si>
  <si>
    <t>LC1_C_MN</t>
  </si>
  <si>
    <t>LC2_C_MN</t>
  </si>
  <si>
    <t>ML1_C_MN</t>
  </si>
  <si>
    <t>ML2_C_MN</t>
  </si>
  <si>
    <t>MA1_C_MN</t>
  </si>
  <si>
    <t>MA2_C_MN</t>
  </si>
  <si>
    <t>LC1_S</t>
  </si>
  <si>
    <t>LC2_S</t>
  </si>
  <si>
    <t>ML1_S</t>
  </si>
  <si>
    <t>ML2_S</t>
  </si>
  <si>
    <t>MA1_S</t>
  </si>
  <si>
    <t>MA2_S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</si>
</sst>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3C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/>
    <xf numFmtId="176" fontId="2" fillId="2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4"/>
  <sheetViews>
    <sheetView workbookViewId="0">
      <selection activeCell="A24" sqref="A23:AP2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37.18</v>
      </c>
      <c r="C2">
        <v>3606.47</v>
      </c>
      <c r="D2">
        <v>37.36</v>
      </c>
      <c r="E2">
        <v>3580.61</v>
      </c>
      <c r="F2">
        <v>42.89</v>
      </c>
      <c r="G2">
        <v>3868.48</v>
      </c>
      <c r="H2">
        <v>43.34</v>
      </c>
      <c r="I2">
        <v>3863.82</v>
      </c>
      <c r="J2">
        <v>44.61</v>
      </c>
      <c r="K2">
        <v>3555.45</v>
      </c>
      <c r="L2">
        <v>39.63</v>
      </c>
      <c r="M2">
        <v>3518.67</v>
      </c>
    </row>
    <row r="3" spans="1:13">
      <c r="A3" t="s">
        <v>14</v>
      </c>
      <c r="B3">
        <v>38.28</v>
      </c>
      <c r="C3">
        <v>3714.08</v>
      </c>
      <c r="D3">
        <v>38.42</v>
      </c>
      <c r="E3">
        <v>3709.8</v>
      </c>
      <c r="F3">
        <v>44.73</v>
      </c>
      <c r="G3">
        <v>4093.31</v>
      </c>
      <c r="H3">
        <v>44.3</v>
      </c>
      <c r="I3">
        <v>4026.74</v>
      </c>
      <c r="J3">
        <v>40.45</v>
      </c>
      <c r="K3">
        <v>3689.59</v>
      </c>
      <c r="L3">
        <v>40.41</v>
      </c>
      <c r="M3">
        <v>3686.83</v>
      </c>
    </row>
    <row r="4" spans="1:13">
      <c r="A4" t="s">
        <v>15</v>
      </c>
      <c r="B4">
        <v>37.23</v>
      </c>
      <c r="C4">
        <v>3662.35</v>
      </c>
      <c r="D4">
        <v>37.39</v>
      </c>
      <c r="E4">
        <v>3583.25</v>
      </c>
      <c r="F4">
        <v>42.26</v>
      </c>
      <c r="G4">
        <v>3988.13</v>
      </c>
      <c r="H4">
        <v>43.22</v>
      </c>
      <c r="I4">
        <v>3902.42</v>
      </c>
      <c r="J4">
        <v>39.62</v>
      </c>
      <c r="K4">
        <v>3612.65</v>
      </c>
      <c r="L4">
        <v>40.5</v>
      </c>
      <c r="M4">
        <v>3562.72</v>
      </c>
    </row>
    <row r="5" spans="1:13">
      <c r="A5" t="s">
        <v>16</v>
      </c>
      <c r="B5">
        <v>36.34</v>
      </c>
      <c r="C5">
        <v>3493.11</v>
      </c>
      <c r="D5">
        <v>36.36</v>
      </c>
      <c r="E5">
        <v>3517.77</v>
      </c>
      <c r="F5">
        <v>41.32</v>
      </c>
      <c r="G5">
        <v>3884.41</v>
      </c>
      <c r="H5">
        <v>41.82</v>
      </c>
      <c r="I5">
        <v>3864.78</v>
      </c>
      <c r="J5">
        <v>39.56</v>
      </c>
      <c r="K5">
        <v>3470.54</v>
      </c>
      <c r="L5">
        <v>38.16</v>
      </c>
      <c r="M5">
        <v>3455.73</v>
      </c>
    </row>
    <row r="6" spans="1:13">
      <c r="A6" t="s">
        <v>17</v>
      </c>
      <c r="B6">
        <v>37.29</v>
      </c>
      <c r="C6">
        <v>3499.83</v>
      </c>
      <c r="D6">
        <v>37.47</v>
      </c>
      <c r="E6">
        <v>3615.33</v>
      </c>
      <c r="F6">
        <v>40.86</v>
      </c>
      <c r="G6">
        <v>3825.71</v>
      </c>
      <c r="H6">
        <v>42.5</v>
      </c>
      <c r="I6">
        <v>3914.03</v>
      </c>
      <c r="J6">
        <v>41.98</v>
      </c>
      <c r="K6">
        <v>3484.79</v>
      </c>
      <c r="L6">
        <v>39.29</v>
      </c>
      <c r="M6">
        <v>3604.18</v>
      </c>
    </row>
    <row r="7" spans="1:13">
      <c r="A7" t="s">
        <v>18</v>
      </c>
      <c r="B7">
        <v>36.73</v>
      </c>
      <c r="C7">
        <v>3600.31</v>
      </c>
      <c r="D7">
        <v>36.85</v>
      </c>
      <c r="E7">
        <v>3511.65</v>
      </c>
      <c r="F7">
        <v>41.67</v>
      </c>
      <c r="G7">
        <v>3883.84</v>
      </c>
      <c r="H7">
        <v>42.29</v>
      </c>
      <c r="I7">
        <v>3799.92</v>
      </c>
      <c r="J7">
        <v>39.21</v>
      </c>
      <c r="K7">
        <v>3579.6</v>
      </c>
      <c r="L7">
        <v>38.82</v>
      </c>
      <c r="M7">
        <v>3498.01</v>
      </c>
    </row>
    <row r="8" spans="1:13">
      <c r="A8" t="s">
        <v>19</v>
      </c>
      <c r="B8">
        <v>34.47</v>
      </c>
      <c r="C8">
        <v>3534.05</v>
      </c>
      <c r="D8">
        <v>34.35</v>
      </c>
      <c r="E8">
        <v>3310.85</v>
      </c>
      <c r="F8">
        <v>40.94</v>
      </c>
      <c r="G8">
        <v>3803.43</v>
      </c>
      <c r="H8">
        <v>37.41</v>
      </c>
      <c r="I8">
        <v>3578.8</v>
      </c>
      <c r="J8">
        <v>46.41</v>
      </c>
      <c r="K8">
        <v>3507.68</v>
      </c>
      <c r="L8">
        <v>39.17</v>
      </c>
      <c r="M8">
        <v>3297.45</v>
      </c>
    </row>
    <row r="9" spans="1:13">
      <c r="A9" t="s">
        <v>20</v>
      </c>
      <c r="B9">
        <v>37.38</v>
      </c>
      <c r="C9">
        <v>3620</v>
      </c>
      <c r="D9">
        <v>37.53</v>
      </c>
      <c r="E9">
        <v>3580.22</v>
      </c>
      <c r="F9">
        <v>41.27</v>
      </c>
      <c r="G9">
        <v>3977.58</v>
      </c>
      <c r="H9">
        <v>43.5</v>
      </c>
      <c r="I9">
        <v>3892.89</v>
      </c>
      <c r="J9">
        <v>38.46</v>
      </c>
      <c r="K9">
        <v>3586.16</v>
      </c>
      <c r="L9">
        <v>39.93</v>
      </c>
      <c r="M9">
        <v>3540.73</v>
      </c>
    </row>
    <row r="10" spans="1:13">
      <c r="A10" t="s">
        <v>21</v>
      </c>
      <c r="B10">
        <v>37.72</v>
      </c>
      <c r="C10">
        <v>3518.83</v>
      </c>
      <c r="D10">
        <v>37.91</v>
      </c>
      <c r="E10">
        <v>3566.53</v>
      </c>
      <c r="F10">
        <v>43.11</v>
      </c>
      <c r="G10">
        <v>3911.06</v>
      </c>
      <c r="H10">
        <v>43.6</v>
      </c>
      <c r="I10">
        <v>3976.74</v>
      </c>
      <c r="J10">
        <v>39.25</v>
      </c>
      <c r="K10">
        <v>3505.82</v>
      </c>
      <c r="L10">
        <v>39.92</v>
      </c>
      <c r="M10">
        <v>3555.27</v>
      </c>
    </row>
    <row r="11" spans="1:13">
      <c r="A11" t="s">
        <v>22</v>
      </c>
      <c r="B11">
        <v>37.82</v>
      </c>
      <c r="C11">
        <v>3779.03</v>
      </c>
      <c r="D11">
        <v>37.98</v>
      </c>
      <c r="E11">
        <v>3586.86</v>
      </c>
      <c r="F11">
        <v>41.79</v>
      </c>
      <c r="G11">
        <v>4137.71</v>
      </c>
      <c r="H11">
        <v>45.08</v>
      </c>
      <c r="I11">
        <v>3918.89</v>
      </c>
      <c r="J11">
        <v>40.27</v>
      </c>
      <c r="K11">
        <v>3751.6</v>
      </c>
      <c r="L11">
        <v>43.08</v>
      </c>
      <c r="M11">
        <v>3543.22</v>
      </c>
    </row>
    <row r="12" spans="1:13">
      <c r="A12" t="s">
        <v>23</v>
      </c>
      <c r="B12">
        <v>38.08</v>
      </c>
      <c r="C12">
        <v>3667.71</v>
      </c>
      <c r="D12">
        <v>38.19</v>
      </c>
      <c r="E12">
        <v>3804.33</v>
      </c>
      <c r="F12">
        <v>42.63</v>
      </c>
      <c r="G12">
        <v>4022.7</v>
      </c>
      <c r="H12">
        <v>42.42</v>
      </c>
      <c r="I12">
        <v>4102.39</v>
      </c>
      <c r="J12">
        <v>47.4</v>
      </c>
      <c r="K12">
        <v>3660.61</v>
      </c>
      <c r="L12">
        <v>41.14</v>
      </c>
      <c r="M12">
        <v>3768</v>
      </c>
    </row>
    <row r="13" spans="1:13">
      <c r="A13" t="s">
        <v>24</v>
      </c>
      <c r="B13">
        <v>36.04</v>
      </c>
      <c r="C13">
        <v>3559.24</v>
      </c>
      <c r="D13">
        <v>36.16</v>
      </c>
      <c r="E13">
        <v>3525.06</v>
      </c>
      <c r="F13">
        <v>40.72</v>
      </c>
      <c r="G13">
        <v>3839.23</v>
      </c>
      <c r="H13">
        <v>42.5</v>
      </c>
      <c r="I13">
        <v>3876.42</v>
      </c>
      <c r="J13">
        <v>38</v>
      </c>
      <c r="K13">
        <v>3542.57</v>
      </c>
      <c r="L13">
        <v>46.02</v>
      </c>
      <c r="M13">
        <v>3517.52</v>
      </c>
    </row>
    <row r="14" spans="1:13">
      <c r="A14" t="s">
        <v>25</v>
      </c>
      <c r="B14">
        <v>35.86</v>
      </c>
      <c r="C14">
        <v>3290.14</v>
      </c>
      <c r="D14">
        <v>35.97</v>
      </c>
      <c r="E14">
        <v>3401.87</v>
      </c>
      <c r="F14">
        <v>41.17</v>
      </c>
      <c r="G14">
        <v>3554.3</v>
      </c>
      <c r="H14">
        <v>42.59</v>
      </c>
      <c r="I14">
        <v>3655.83</v>
      </c>
      <c r="J14">
        <v>38.19</v>
      </c>
      <c r="K14">
        <v>3253.62</v>
      </c>
      <c r="L14">
        <v>41.21</v>
      </c>
      <c r="M14">
        <v>3338.86</v>
      </c>
    </row>
    <row r="15" spans="1:13">
      <c r="A15" t="s">
        <v>26</v>
      </c>
      <c r="B15">
        <v>37.82</v>
      </c>
      <c r="C15">
        <v>3589.98</v>
      </c>
      <c r="D15">
        <v>38.03</v>
      </c>
      <c r="E15">
        <v>3844.82</v>
      </c>
      <c r="F15">
        <v>41.95</v>
      </c>
      <c r="G15">
        <v>3882.91</v>
      </c>
      <c r="H15">
        <v>44.95</v>
      </c>
      <c r="I15">
        <v>4166.28</v>
      </c>
      <c r="J15">
        <v>39.17</v>
      </c>
      <c r="K15">
        <v>3538.28</v>
      </c>
      <c r="L15">
        <v>40.21</v>
      </c>
      <c r="M15">
        <v>3809.51</v>
      </c>
    </row>
    <row r="16" spans="1:13">
      <c r="A16" t="s">
        <v>27</v>
      </c>
      <c r="B16">
        <v>37.61</v>
      </c>
      <c r="C16">
        <v>3669.86</v>
      </c>
      <c r="D16">
        <v>37.68</v>
      </c>
      <c r="E16">
        <v>3613.51</v>
      </c>
      <c r="F16">
        <v>42.84</v>
      </c>
      <c r="G16">
        <v>3983.27</v>
      </c>
      <c r="H16">
        <v>43.13</v>
      </c>
      <c r="I16">
        <v>3901.82</v>
      </c>
      <c r="J16">
        <v>39.78</v>
      </c>
      <c r="K16">
        <v>3647.39</v>
      </c>
      <c r="L16">
        <v>39.88</v>
      </c>
      <c r="M16">
        <v>3585.77</v>
      </c>
    </row>
    <row r="17" spans="1:13">
      <c r="A17" t="s">
        <v>28</v>
      </c>
      <c r="B17">
        <v>37.12</v>
      </c>
      <c r="C17">
        <v>3496.4</v>
      </c>
      <c r="D17">
        <v>37.22</v>
      </c>
      <c r="E17">
        <v>3644.65</v>
      </c>
      <c r="F17">
        <v>43.36</v>
      </c>
      <c r="G17">
        <v>3825.35</v>
      </c>
      <c r="H17">
        <v>43.91</v>
      </c>
      <c r="I17">
        <v>4002.27</v>
      </c>
      <c r="J17">
        <v>40.65</v>
      </c>
      <c r="K17">
        <v>3471.73</v>
      </c>
      <c r="L17">
        <v>40.38</v>
      </c>
      <c r="M17">
        <v>3623.39</v>
      </c>
    </row>
    <row r="18" spans="1:13">
      <c r="A18" t="s">
        <v>29</v>
      </c>
      <c r="B18">
        <v>36.58</v>
      </c>
      <c r="C18">
        <v>3441.36</v>
      </c>
      <c r="D18">
        <v>36.67</v>
      </c>
      <c r="E18">
        <v>3598.73</v>
      </c>
      <c r="F18">
        <v>40.95</v>
      </c>
      <c r="G18">
        <v>3661.65</v>
      </c>
      <c r="H18">
        <v>40.69</v>
      </c>
      <c r="I18">
        <v>3893.35</v>
      </c>
      <c r="J18">
        <v>37.96</v>
      </c>
      <c r="K18">
        <v>3407.91</v>
      </c>
      <c r="L18">
        <v>41.86</v>
      </c>
      <c r="M18">
        <v>3575.72</v>
      </c>
    </row>
    <row r="19" spans="1:13">
      <c r="A19" t="s">
        <v>30</v>
      </c>
      <c r="B19">
        <v>35.52</v>
      </c>
      <c r="C19">
        <v>3385.83</v>
      </c>
      <c r="D19">
        <v>35.5</v>
      </c>
      <c r="E19">
        <v>3383.94</v>
      </c>
      <c r="F19">
        <v>40.93</v>
      </c>
      <c r="G19">
        <v>3681.98</v>
      </c>
      <c r="H19">
        <v>40.87</v>
      </c>
      <c r="I19">
        <v>3662.26</v>
      </c>
      <c r="J19">
        <v>37.29</v>
      </c>
      <c r="K19">
        <v>3358.61</v>
      </c>
      <c r="L19">
        <v>37.25</v>
      </c>
      <c r="M19">
        <v>3340.73</v>
      </c>
    </row>
    <row r="20" spans="1:13">
      <c r="A20" t="s">
        <v>31</v>
      </c>
      <c r="B20">
        <v>38.42</v>
      </c>
      <c r="C20">
        <v>3735.98</v>
      </c>
      <c r="D20">
        <v>38.54</v>
      </c>
      <c r="E20">
        <v>3719.66</v>
      </c>
      <c r="F20">
        <v>43.19</v>
      </c>
      <c r="G20">
        <v>4100.02</v>
      </c>
      <c r="H20">
        <v>45.03</v>
      </c>
      <c r="I20">
        <v>4070.68</v>
      </c>
      <c r="J20">
        <v>39.93</v>
      </c>
      <c r="K20">
        <v>3700.86</v>
      </c>
      <c r="L20">
        <v>41.22</v>
      </c>
      <c r="M20">
        <v>3698.75</v>
      </c>
    </row>
    <row r="21" spans="1:13">
      <c r="A21" t="s">
        <v>32</v>
      </c>
      <c r="B21">
        <v>36.99</v>
      </c>
      <c r="C21">
        <v>3571.66</v>
      </c>
      <c r="D21">
        <v>37.06</v>
      </c>
      <c r="E21">
        <v>3543.99</v>
      </c>
      <c r="F21">
        <v>41.81</v>
      </c>
      <c r="G21">
        <v>3904.23</v>
      </c>
      <c r="H21">
        <v>42.18</v>
      </c>
      <c r="I21">
        <v>3878.27</v>
      </c>
      <c r="J21">
        <v>38.43</v>
      </c>
      <c r="K21">
        <v>3541.92</v>
      </c>
      <c r="L21">
        <v>39.48</v>
      </c>
      <c r="M21">
        <v>3525.08</v>
      </c>
    </row>
    <row r="23" spans="1:42">
      <c r="A23" s="2" t="s">
        <v>33</v>
      </c>
      <c r="B23" s="2" t="s">
        <v>34</v>
      </c>
      <c r="C23" s="2" t="s">
        <v>35</v>
      </c>
      <c r="D23" s="3" t="s">
        <v>36</v>
      </c>
      <c r="E23" s="2" t="s">
        <v>37</v>
      </c>
      <c r="F23" s="2" t="s">
        <v>38</v>
      </c>
      <c r="G23" s="2" t="s">
        <v>39</v>
      </c>
      <c r="H23" s="2" t="s">
        <v>40</v>
      </c>
      <c r="I23" s="2" t="s">
        <v>41</v>
      </c>
      <c r="J23" s="3" t="s">
        <v>42</v>
      </c>
      <c r="K23" s="2" t="s">
        <v>43</v>
      </c>
      <c r="L23" s="2" t="s">
        <v>44</v>
      </c>
      <c r="M23" s="2" t="s">
        <v>45</v>
      </c>
      <c r="N23" s="2" t="s">
        <v>46</v>
      </c>
      <c r="O23" s="2" t="s">
        <v>47</v>
      </c>
      <c r="P23" s="3" t="s">
        <v>48</v>
      </c>
      <c r="Q23" s="2" t="s">
        <v>49</v>
      </c>
      <c r="R23" s="2" t="s">
        <v>50</v>
      </c>
      <c r="S23" s="2" t="s">
        <v>51</v>
      </c>
      <c r="T23" s="2" t="s">
        <v>52</v>
      </c>
      <c r="U23" s="2" t="s">
        <v>53</v>
      </c>
      <c r="V23" s="3" t="s">
        <v>54</v>
      </c>
      <c r="W23" s="2" t="s">
        <v>55</v>
      </c>
      <c r="X23" s="2" t="s">
        <v>56</v>
      </c>
      <c r="Y23" s="2" t="s">
        <v>57</v>
      </c>
      <c r="Z23" s="2" t="s">
        <v>58</v>
      </c>
      <c r="AA23" s="2" t="s">
        <v>59</v>
      </c>
      <c r="AB23" s="3" t="s">
        <v>60</v>
      </c>
      <c r="AC23" s="2" t="s">
        <v>61</v>
      </c>
      <c r="AD23" s="2" t="s">
        <v>62</v>
      </c>
      <c r="AE23" s="2" t="s">
        <v>63</v>
      </c>
      <c r="AF23" s="2" t="s">
        <v>64</v>
      </c>
      <c r="AG23" s="2" t="s">
        <v>65</v>
      </c>
      <c r="AH23" s="3" t="s">
        <v>66</v>
      </c>
      <c r="AI23" s="2" t="s">
        <v>67</v>
      </c>
      <c r="AJ23" s="2" t="s">
        <v>68</v>
      </c>
      <c r="AK23" s="2" t="s">
        <v>69</v>
      </c>
      <c r="AL23" s="2" t="s">
        <v>70</v>
      </c>
      <c r="AM23" s="2" t="s">
        <v>71</v>
      </c>
      <c r="AN23" s="3" t="s">
        <v>72</v>
      </c>
      <c r="AO23" s="2" t="s">
        <v>73</v>
      </c>
      <c r="AP23" s="2" t="s">
        <v>74</v>
      </c>
    </row>
    <row r="24" spans="1:42">
      <c r="A24" s="4">
        <f>IFERROR(AVERAGEIF($B$2:$B$21,"&lt;&gt; -1"),0)</f>
        <v>37.024</v>
      </c>
      <c r="B24" s="4">
        <f>IFERROR(AVERAGEIF($D$2:$D$21,"&lt;&gt; -1"),0)</f>
        <v>37.132</v>
      </c>
      <c r="C24" s="4">
        <f>IFERROR(AVERAGEIF($F$2:$F$21,"&lt;&gt; -1"),0)</f>
        <v>42.0195</v>
      </c>
      <c r="D24" s="4">
        <f>IFERROR(AVERAGEIF($H$2:$H$21,"&lt;&gt; -1"),0)</f>
        <v>42.7665</v>
      </c>
      <c r="E24" s="4">
        <f>IFERROR(AVERAGEIF($J$2:$J$21,"&lt;&gt; -1"),0)</f>
        <v>40.331</v>
      </c>
      <c r="F24" s="4">
        <f>IFERROR(AVERAGEIF($L$2:$L$21,"&lt;&gt; -1"),0)</f>
        <v>40.378</v>
      </c>
      <c r="G24" s="4">
        <f>IFERROR(AVERAGEIFS($C$2:$C$21,$B$2:$B$21,"&lt;&gt; -1"),0)</f>
        <v>3571.811</v>
      </c>
      <c r="H24" s="4">
        <f>IFERROR(AVERAGEIFS($E$2:$E$21,$D$2:$D$21,"&lt;&gt; -1"),0)</f>
        <v>3582.1715</v>
      </c>
      <c r="I24" s="4">
        <f>IFERROR(AVERAGEIFS($G$2:$G$21,$F$2:$F$21,"&lt;&gt; -1"),0)</f>
        <v>3891.465</v>
      </c>
      <c r="J24" s="4">
        <f>IFERROR(AVERAGEIFS($I$2:$I$21,$H$2:$H$21,"&lt;&gt; -1"),0)</f>
        <v>3897.43</v>
      </c>
      <c r="K24" s="4">
        <f>IFERROR(AVERAGEIFS($K$2:$K$21,$J$2:$J$21,"&lt;&gt; -1"),0)</f>
        <v>3543.369</v>
      </c>
      <c r="L24" s="4">
        <f>IFERROR(AVERAGEIFS($M$2:$M$21,$L$2:$L$21,"&lt;&gt; -1"),0)</f>
        <v>3552.307</v>
      </c>
      <c r="M24" s="4">
        <f>IFERROR(_xlfn.MAXIFS($B$2:$B$21,$B$2:$B$21,"&lt;&gt; -1"),0)</f>
        <v>38.42</v>
      </c>
      <c r="N24" s="4">
        <f>IFERROR(_xlfn.MAXIFS($D$2:$D$21,$D$2:$D$21,"&lt;&gt;-1"),0)</f>
        <v>38.54</v>
      </c>
      <c r="O24" s="4">
        <f>IFERROR(_xlfn.MAXIFS($F$2:$F$21,$F$2:$F$21,"&lt;&gt; -1"),0)</f>
        <v>44.73</v>
      </c>
      <c r="P24" s="4">
        <f>IFERROR(_xlfn.MAXIFS($H$2:$H$21,$H$2:$H$21,"&lt;&gt; -1"),0)</f>
        <v>45.08</v>
      </c>
      <c r="Q24" s="4">
        <f>IFERROR(_xlfn.MAXIFS($J$2:$J$21,$J$2:$J$21,"&lt;&gt; -1"),0)</f>
        <v>47.4</v>
      </c>
      <c r="R24" s="4">
        <f>IFERROR(_xlfn.MAXIFS($L$2:$L$21,$L$2:$L$21,"&lt;&gt; -1"),0)</f>
        <v>46.02</v>
      </c>
      <c r="S24" s="4">
        <f>IFERROR(_xlfn.MINIFS($B$2:$B$21,$B$2:$B$21,"&lt;&gt; -1"),0)</f>
        <v>34.47</v>
      </c>
      <c r="T24" s="4">
        <f>IFERROR(_xlfn.MINIFS($D$2:$D$21,$D$2:$D$21,"&lt;&gt;-1"),0)</f>
        <v>34.35</v>
      </c>
      <c r="U24" s="4">
        <f>IFERROR(_xlfn.MINIFS($F$2:$F$21,$F$2:$F$21,"&lt;&gt; -1"),0)</f>
        <v>40.72</v>
      </c>
      <c r="V24" s="4">
        <f>IFERROR(_xlfn.MINIFS($H$2:$H$21,$H$2:$H$21,"&lt;&gt; -1"),0)</f>
        <v>37.41</v>
      </c>
      <c r="W24" s="4">
        <f>IFERROR(_xlfn.MINIFS($J$2:$J$21,$J$2:$J$21,"&lt;&gt; -1"),0)</f>
        <v>37.29</v>
      </c>
      <c r="X24" s="4">
        <f>IFERROR(_xlfn.MINIFS($L$2:$L$21,$L$2:$L$21,"&lt;&gt; -1"),0)</f>
        <v>37.25</v>
      </c>
      <c r="Y24" s="4">
        <f>IFERROR(_xlfn.MAXIFS($C$2:$C$21,$B$2:$B$21,"&lt;&gt; -1"),0)</f>
        <v>3779.03</v>
      </c>
      <c r="Z24" s="4">
        <f>IFERROR(_xlfn.MAXIFS($E$2:$E$21,$D$2:$D$21,"&lt;&gt; -1"),0)</f>
        <v>3844.82</v>
      </c>
      <c r="AA24" s="4">
        <f>IFERROR(_xlfn.MAXIFS($G$2:$G$21,$F$2:$F$21,"&lt;&gt; -1"),0)</f>
        <v>4137.71</v>
      </c>
      <c r="AB24" s="4">
        <f>IFERROR(_xlfn.MAXIFS($I$2:$I$21,$H$2:$H$21,"&lt;&gt; -1"),0)</f>
        <v>4166.28</v>
      </c>
      <c r="AC24" s="4">
        <f>IFERROR(_xlfn.MAXIFS($K$2:$K$21,$J$2:$J$21,"&lt;&gt; -1"),0)</f>
        <v>3751.6</v>
      </c>
      <c r="AD24" s="4">
        <f>IFERROR(_xlfn.MAXIFS($M$2:$M$21,$L$2:$L$21,"&lt;&gt; -1"),0)</f>
        <v>3809.51</v>
      </c>
      <c r="AE24" s="4">
        <f>IFERROR(_xlfn.MINIFS($C$2:$C$21,$B$2:$B$21,"&lt;&gt; -1"),0)</f>
        <v>3290.14</v>
      </c>
      <c r="AF24" s="4">
        <f>IFERROR(_xlfn.MINIFS($E$2:$E$21,$D$2:$D$21,"&lt;&gt; -1"),0)</f>
        <v>3310.85</v>
      </c>
      <c r="AG24" s="4">
        <f>IFERROR(_xlfn.MINIFS($G$2:$G$21,$F$2:$F$21,"&lt;&gt; -1"),0)</f>
        <v>3554.3</v>
      </c>
      <c r="AH24" s="4">
        <f>IFERROR(_xlfn.MINIFS($I$2:$I$21,$H$2:$H$21,"&lt;&gt; -1"),0)</f>
        <v>3578.8</v>
      </c>
      <c r="AI24" s="4">
        <f>IFERROR(_xlfn.MINIFS($K$2:$K$21,$J$2:$J$21,"&lt;&gt; -1"),0)</f>
        <v>3253.62</v>
      </c>
      <c r="AJ24" s="4">
        <f>IFERROR(_xlfn.MINIFS($M$2:$M$21,$L$2:$L$21,"&lt;&gt; -1"),0)</f>
        <v>3297.45</v>
      </c>
      <c r="AK24" s="4">
        <f>(COUNTIFS($B$2:$B$21,"&gt;0.0",$B$2:$B$21,"&lt;100.0"))/20</f>
        <v>1</v>
      </c>
      <c r="AL24" s="4">
        <f>(COUNTIFS($D$2:$D$21,"&gt;0.0",$D$2:$D$21,"&lt;100.0"))/20</f>
        <v>1</v>
      </c>
      <c r="AM24" s="4">
        <f>(COUNTIFS($F$2:$F$21,"&gt;0.0",$F$2:$F$21,"&lt;100.0"))/20</f>
        <v>1</v>
      </c>
      <c r="AN24" s="4">
        <f>(COUNTIFS($H$2:$H$21,"&gt;0.0",$H$2:$H$21,"&lt;100.0"))/20</f>
        <v>1</v>
      </c>
      <c r="AO24" s="4">
        <f>(COUNTIFS($J$2:$J$21,"&gt;0.0",$J$2:$J$21,"&lt;100.0"))/20</f>
        <v>1</v>
      </c>
      <c r="AP24" s="4">
        <f>(COUNTIFS($L$2:$L$21,"&gt;0.0",$L$2:$L$21,"&lt;100.0"))/20</f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4"/>
  <sheetViews>
    <sheetView workbookViewId="0">
      <selection activeCell="A24" sqref="$A24:$XFD2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43.5</v>
      </c>
      <c r="C2">
        <v>3656.05</v>
      </c>
      <c r="D2">
        <v>43.74</v>
      </c>
      <c r="E2">
        <v>3673.31</v>
      </c>
      <c r="F2">
        <v>55.36</v>
      </c>
      <c r="G2">
        <v>3892.75</v>
      </c>
      <c r="H2">
        <v>53.91</v>
      </c>
      <c r="I2">
        <v>3900.48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44.04</v>
      </c>
      <c r="C3">
        <v>3673.94</v>
      </c>
      <c r="D3">
        <v>44.27</v>
      </c>
      <c r="E3">
        <v>3618.98</v>
      </c>
      <c r="F3">
        <v>52.7</v>
      </c>
      <c r="G3">
        <v>3990.53</v>
      </c>
      <c r="H3">
        <v>51.79</v>
      </c>
      <c r="I3">
        <v>3913.95</v>
      </c>
      <c r="J3">
        <v>-1</v>
      </c>
      <c r="K3">
        <v>0</v>
      </c>
      <c r="L3">
        <v>-1</v>
      </c>
      <c r="M3">
        <v>549.2</v>
      </c>
    </row>
    <row r="4" spans="1:13">
      <c r="A4" t="s">
        <v>15</v>
      </c>
      <c r="B4">
        <v>43.11</v>
      </c>
      <c r="C4">
        <v>3645.9</v>
      </c>
      <c r="D4">
        <v>43.22</v>
      </c>
      <c r="E4">
        <v>3791.09</v>
      </c>
      <c r="F4">
        <v>54.06</v>
      </c>
      <c r="G4">
        <v>3922.49</v>
      </c>
      <c r="H4">
        <v>51.51</v>
      </c>
      <c r="I4">
        <v>4043.43</v>
      </c>
      <c r="J4">
        <v>-1</v>
      </c>
      <c r="K4">
        <v>2794.57</v>
      </c>
      <c r="L4">
        <v>-1</v>
      </c>
      <c r="M4">
        <v>0</v>
      </c>
    </row>
    <row r="5" spans="1:13">
      <c r="A5" t="s">
        <v>16</v>
      </c>
      <c r="B5">
        <v>43.14</v>
      </c>
      <c r="C5">
        <v>3534.45</v>
      </c>
      <c r="D5">
        <v>43.38</v>
      </c>
      <c r="E5">
        <v>3486.42</v>
      </c>
      <c r="F5">
        <v>51.13</v>
      </c>
      <c r="G5">
        <v>3829.59</v>
      </c>
      <c r="H5">
        <v>53.94</v>
      </c>
      <c r="I5">
        <v>3852.53</v>
      </c>
      <c r="J5">
        <v>51.69</v>
      </c>
      <c r="K5">
        <v>3485.82</v>
      </c>
      <c r="L5">
        <v>-1</v>
      </c>
      <c r="M5">
        <v>531.56</v>
      </c>
    </row>
    <row r="6" spans="1:13">
      <c r="A6" t="s">
        <v>17</v>
      </c>
      <c r="B6">
        <v>41.92</v>
      </c>
      <c r="C6">
        <v>3416.03</v>
      </c>
      <c r="D6">
        <v>42.25</v>
      </c>
      <c r="E6">
        <v>3466.8</v>
      </c>
      <c r="F6">
        <v>45.12</v>
      </c>
      <c r="G6">
        <v>3712.01</v>
      </c>
      <c r="H6">
        <v>49.92</v>
      </c>
      <c r="I6">
        <v>3790.17</v>
      </c>
      <c r="J6">
        <v>-1</v>
      </c>
      <c r="K6">
        <v>436.45</v>
      </c>
      <c r="L6">
        <v>-1</v>
      </c>
      <c r="M6">
        <v>0</v>
      </c>
    </row>
    <row r="7" spans="1:13">
      <c r="A7" t="s">
        <v>18</v>
      </c>
      <c r="B7">
        <v>42.48</v>
      </c>
      <c r="C7">
        <v>3652.19</v>
      </c>
      <c r="D7">
        <v>42.57</v>
      </c>
      <c r="E7">
        <v>3657.13</v>
      </c>
      <c r="F7">
        <v>48.91</v>
      </c>
      <c r="G7">
        <v>3936.66</v>
      </c>
      <c r="H7">
        <v>48.78</v>
      </c>
      <c r="I7">
        <v>3902.19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40.11</v>
      </c>
      <c r="C8">
        <v>3470.72</v>
      </c>
      <c r="D8">
        <v>40.33</v>
      </c>
      <c r="E8">
        <v>3382.02</v>
      </c>
      <c r="F8">
        <v>51.39</v>
      </c>
      <c r="G8">
        <v>3692.57</v>
      </c>
      <c r="H8">
        <v>57.81</v>
      </c>
      <c r="I8">
        <v>3643.27</v>
      </c>
      <c r="J8">
        <v>-1</v>
      </c>
      <c r="K8">
        <v>0</v>
      </c>
      <c r="L8">
        <v>-1</v>
      </c>
      <c r="M8">
        <v>530.73</v>
      </c>
    </row>
    <row r="9" spans="1:13">
      <c r="A9" t="s">
        <v>20</v>
      </c>
      <c r="B9">
        <v>44.2</v>
      </c>
      <c r="C9">
        <v>3735.89</v>
      </c>
      <c r="D9">
        <v>44.55</v>
      </c>
      <c r="E9">
        <v>3766.92</v>
      </c>
      <c r="F9">
        <v>53.73</v>
      </c>
      <c r="G9">
        <v>4021.33</v>
      </c>
      <c r="H9">
        <v>54.8</v>
      </c>
      <c r="I9">
        <v>4007.89</v>
      </c>
      <c r="J9">
        <v>-1</v>
      </c>
      <c r="K9">
        <v>589.23</v>
      </c>
      <c r="L9">
        <v>-1</v>
      </c>
      <c r="M9">
        <v>564.35</v>
      </c>
    </row>
    <row r="10" spans="1:13">
      <c r="A10" t="s">
        <v>21</v>
      </c>
      <c r="B10">
        <v>43.54</v>
      </c>
      <c r="C10">
        <v>3550.46</v>
      </c>
      <c r="D10">
        <v>43.68</v>
      </c>
      <c r="E10">
        <v>3465</v>
      </c>
      <c r="F10">
        <v>51.34</v>
      </c>
      <c r="G10">
        <v>3882.08</v>
      </c>
      <c r="H10">
        <v>52</v>
      </c>
      <c r="I10">
        <v>3778.56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43.17</v>
      </c>
      <c r="C11">
        <v>3744.06</v>
      </c>
      <c r="D11">
        <v>43.46</v>
      </c>
      <c r="E11">
        <v>3748.27</v>
      </c>
      <c r="F11">
        <v>51.08</v>
      </c>
      <c r="G11">
        <v>4035.99</v>
      </c>
      <c r="H11">
        <v>62.17</v>
      </c>
      <c r="I11">
        <v>4091.89</v>
      </c>
      <c r="J11">
        <v>-1</v>
      </c>
      <c r="K11">
        <v>0</v>
      </c>
      <c r="L11">
        <v>-1</v>
      </c>
      <c r="M11">
        <v>581.36</v>
      </c>
    </row>
    <row r="12" spans="1:13">
      <c r="A12" t="s">
        <v>23</v>
      </c>
      <c r="B12">
        <v>45.17</v>
      </c>
      <c r="C12">
        <v>3738.56</v>
      </c>
      <c r="D12">
        <v>45.36</v>
      </c>
      <c r="E12">
        <v>3817.63</v>
      </c>
      <c r="F12">
        <v>58.69</v>
      </c>
      <c r="G12">
        <v>3998.58</v>
      </c>
      <c r="H12">
        <v>56.16</v>
      </c>
      <c r="I12">
        <v>4063.94</v>
      </c>
      <c r="J12">
        <v>-1</v>
      </c>
      <c r="K12">
        <v>0</v>
      </c>
      <c r="L12">
        <v>-1</v>
      </c>
      <c r="M12">
        <v>0</v>
      </c>
    </row>
    <row r="13" spans="1:13">
      <c r="A13" t="s">
        <v>24</v>
      </c>
      <c r="B13">
        <v>41.74</v>
      </c>
      <c r="C13">
        <v>3543.57</v>
      </c>
      <c r="D13">
        <v>41.99</v>
      </c>
      <c r="E13">
        <v>3570.21</v>
      </c>
      <c r="F13">
        <v>46.06</v>
      </c>
      <c r="G13">
        <v>3812.27</v>
      </c>
      <c r="H13">
        <v>47.3</v>
      </c>
      <c r="I13">
        <v>3829.13</v>
      </c>
      <c r="J13">
        <v>-1</v>
      </c>
      <c r="K13">
        <v>511.86</v>
      </c>
      <c r="L13">
        <v>-1</v>
      </c>
      <c r="M13">
        <v>0</v>
      </c>
    </row>
    <row r="14" spans="1:13">
      <c r="A14" t="s">
        <v>25</v>
      </c>
      <c r="B14">
        <v>71.79</v>
      </c>
      <c r="C14">
        <v>3409.82</v>
      </c>
      <c r="D14">
        <v>72</v>
      </c>
      <c r="E14">
        <v>3444.8</v>
      </c>
      <c r="F14">
        <v>79.06</v>
      </c>
      <c r="G14">
        <v>3679.11</v>
      </c>
      <c r="H14">
        <v>80.88</v>
      </c>
      <c r="I14">
        <v>3701.94</v>
      </c>
      <c r="J14">
        <v>-1</v>
      </c>
      <c r="K14">
        <v>0</v>
      </c>
      <c r="L14">
        <v>-1</v>
      </c>
      <c r="M14">
        <v>506.69</v>
      </c>
    </row>
    <row r="15" spans="1:13">
      <c r="A15" t="s">
        <v>26</v>
      </c>
      <c r="B15">
        <v>60.24</v>
      </c>
      <c r="C15">
        <v>3907.9</v>
      </c>
      <c r="D15">
        <v>60.82</v>
      </c>
      <c r="E15">
        <v>3861.06</v>
      </c>
      <c r="F15">
        <v>73.76</v>
      </c>
      <c r="G15">
        <v>4194.98</v>
      </c>
      <c r="H15">
        <v>76.33</v>
      </c>
      <c r="I15">
        <v>4175.56</v>
      </c>
      <c r="J15">
        <v>-1</v>
      </c>
      <c r="K15">
        <v>0</v>
      </c>
      <c r="L15">
        <v>-1</v>
      </c>
      <c r="M15">
        <v>0</v>
      </c>
    </row>
    <row r="16" spans="1:13">
      <c r="A16" t="s">
        <v>27</v>
      </c>
      <c r="B16">
        <v>52.79</v>
      </c>
      <c r="C16">
        <v>3616.35</v>
      </c>
      <c r="D16">
        <v>52.88</v>
      </c>
      <c r="E16">
        <v>3737.87</v>
      </c>
      <c r="F16">
        <v>63.07</v>
      </c>
      <c r="G16">
        <v>3872.66</v>
      </c>
      <c r="H16">
        <v>64.45</v>
      </c>
      <c r="I16">
        <v>3977.14</v>
      </c>
      <c r="J16">
        <v>-1</v>
      </c>
      <c r="K16">
        <v>504.52</v>
      </c>
      <c r="L16">
        <v>-1</v>
      </c>
      <c r="M16">
        <v>0</v>
      </c>
    </row>
    <row r="17" spans="1:13">
      <c r="A17" t="s">
        <v>28</v>
      </c>
      <c r="B17">
        <v>58.38</v>
      </c>
      <c r="C17">
        <v>3667.8</v>
      </c>
      <c r="D17">
        <v>58.7</v>
      </c>
      <c r="E17">
        <v>3477.9</v>
      </c>
      <c r="F17">
        <v>65.18</v>
      </c>
      <c r="G17">
        <v>4024.53</v>
      </c>
      <c r="H17">
        <v>69.72</v>
      </c>
      <c r="I17">
        <v>3830.85</v>
      </c>
      <c r="J17">
        <v>-1</v>
      </c>
      <c r="K17">
        <v>0</v>
      </c>
      <c r="L17">
        <v>-1</v>
      </c>
      <c r="M17">
        <v>0</v>
      </c>
    </row>
    <row r="18" spans="1:13">
      <c r="A18" t="s">
        <v>29</v>
      </c>
      <c r="B18">
        <v>54.81</v>
      </c>
      <c r="C18">
        <v>3616.65</v>
      </c>
      <c r="D18">
        <v>55.12</v>
      </c>
      <c r="E18">
        <v>3659.77</v>
      </c>
      <c r="F18">
        <v>64.27</v>
      </c>
      <c r="G18">
        <v>3808.35</v>
      </c>
      <c r="H18">
        <v>67.88</v>
      </c>
      <c r="I18">
        <v>3871.92</v>
      </c>
      <c r="J18">
        <v>-1</v>
      </c>
      <c r="K18">
        <v>0</v>
      </c>
      <c r="L18">
        <v>-1</v>
      </c>
      <c r="M18">
        <v>0</v>
      </c>
    </row>
    <row r="19" spans="1:13">
      <c r="A19" t="s">
        <v>30</v>
      </c>
      <c r="B19">
        <v>50.52</v>
      </c>
      <c r="C19">
        <v>3554.78</v>
      </c>
      <c r="D19">
        <v>50.67</v>
      </c>
      <c r="E19">
        <v>3527.46</v>
      </c>
      <c r="F19">
        <v>68.29</v>
      </c>
      <c r="G19">
        <v>3867.29</v>
      </c>
      <c r="H19">
        <v>60.42</v>
      </c>
      <c r="I19">
        <v>3865.4</v>
      </c>
      <c r="J19">
        <v>-1</v>
      </c>
      <c r="K19">
        <v>0</v>
      </c>
      <c r="L19">
        <v>-1</v>
      </c>
      <c r="M19">
        <v>0</v>
      </c>
    </row>
    <row r="20" spans="1:13">
      <c r="A20" t="s">
        <v>31</v>
      </c>
      <c r="B20">
        <v>55.48</v>
      </c>
      <c r="C20">
        <v>3717.7</v>
      </c>
      <c r="D20">
        <v>55.71</v>
      </c>
      <c r="E20">
        <v>3681.24</v>
      </c>
      <c r="F20">
        <v>65.15</v>
      </c>
      <c r="G20">
        <v>3985.82</v>
      </c>
      <c r="H20">
        <v>66.17</v>
      </c>
      <c r="I20">
        <v>3981.85</v>
      </c>
      <c r="J20">
        <v>-1</v>
      </c>
      <c r="K20">
        <v>0</v>
      </c>
      <c r="L20">
        <v>-1</v>
      </c>
      <c r="M20">
        <v>0</v>
      </c>
    </row>
    <row r="21" spans="1:13">
      <c r="A21" t="s">
        <v>32</v>
      </c>
      <c r="B21">
        <v>55.54</v>
      </c>
      <c r="C21">
        <v>3565.57</v>
      </c>
      <c r="D21">
        <v>56.17</v>
      </c>
      <c r="E21">
        <v>3753.28</v>
      </c>
      <c r="F21">
        <v>70.5</v>
      </c>
      <c r="G21">
        <v>3861.57</v>
      </c>
      <c r="H21">
        <v>72.06</v>
      </c>
      <c r="I21">
        <v>3989.95</v>
      </c>
      <c r="J21">
        <v>-1</v>
      </c>
      <c r="K21">
        <v>0</v>
      </c>
      <c r="L21">
        <v>-1</v>
      </c>
      <c r="M21">
        <v>0</v>
      </c>
    </row>
    <row r="23" spans="1:42">
      <c r="A23" s="2" t="s">
        <v>33</v>
      </c>
      <c r="B23" s="2" t="s">
        <v>34</v>
      </c>
      <c r="C23" s="2" t="s">
        <v>35</v>
      </c>
      <c r="D23" s="3" t="s">
        <v>36</v>
      </c>
      <c r="E23" s="2" t="s">
        <v>37</v>
      </c>
      <c r="F23" s="2" t="s">
        <v>38</v>
      </c>
      <c r="G23" s="2" t="s">
        <v>39</v>
      </c>
      <c r="H23" s="2" t="s">
        <v>40</v>
      </c>
      <c r="I23" s="2" t="s">
        <v>41</v>
      </c>
      <c r="J23" s="3" t="s">
        <v>42</v>
      </c>
      <c r="K23" s="2" t="s">
        <v>43</v>
      </c>
      <c r="L23" s="2" t="s">
        <v>44</v>
      </c>
      <c r="M23" s="2" t="s">
        <v>45</v>
      </c>
      <c r="N23" s="2" t="s">
        <v>46</v>
      </c>
      <c r="O23" s="2" t="s">
        <v>47</v>
      </c>
      <c r="P23" s="3" t="s">
        <v>48</v>
      </c>
      <c r="Q23" s="2" t="s">
        <v>49</v>
      </c>
      <c r="R23" s="2" t="s">
        <v>50</v>
      </c>
      <c r="S23" s="2" t="s">
        <v>51</v>
      </c>
      <c r="T23" s="2" t="s">
        <v>52</v>
      </c>
      <c r="U23" s="2" t="s">
        <v>53</v>
      </c>
      <c r="V23" s="3" t="s">
        <v>54</v>
      </c>
      <c r="W23" s="2" t="s">
        <v>55</v>
      </c>
      <c r="X23" s="2" t="s">
        <v>56</v>
      </c>
      <c r="Y23" s="2" t="s">
        <v>57</v>
      </c>
      <c r="Z23" s="2" t="s">
        <v>58</v>
      </c>
      <c r="AA23" s="2" t="s">
        <v>59</v>
      </c>
      <c r="AB23" s="3" t="s">
        <v>60</v>
      </c>
      <c r="AC23" s="2" t="s">
        <v>61</v>
      </c>
      <c r="AD23" s="2" t="s">
        <v>62</v>
      </c>
      <c r="AE23" s="2" t="s">
        <v>63</v>
      </c>
      <c r="AF23" s="2" t="s">
        <v>64</v>
      </c>
      <c r="AG23" s="2" t="s">
        <v>65</v>
      </c>
      <c r="AH23" s="3" t="s">
        <v>66</v>
      </c>
      <c r="AI23" s="2" t="s">
        <v>67</v>
      </c>
      <c r="AJ23" s="2" t="s">
        <v>68</v>
      </c>
      <c r="AK23" s="2" t="s">
        <v>69</v>
      </c>
      <c r="AL23" s="2" t="s">
        <v>70</v>
      </c>
      <c r="AM23" s="2" t="s">
        <v>71</v>
      </c>
      <c r="AN23" s="3" t="s">
        <v>72</v>
      </c>
      <c r="AO23" s="2" t="s">
        <v>73</v>
      </c>
      <c r="AP23" s="2" t="s">
        <v>74</v>
      </c>
    </row>
    <row r="24" spans="1:42">
      <c r="A24" s="4">
        <f>IFERROR(AVERAGEIF($B$2:$B$21,"&lt;&gt; -1"),0)</f>
        <v>48.7835</v>
      </c>
      <c r="B24" s="4">
        <f>IFERROR(AVERAGEIF($D$2:$D$21,"&lt;&gt; -1"),0)</f>
        <v>49.0435</v>
      </c>
      <c r="C24" s="4">
        <f>IFERROR(AVERAGEIF($F$2:$F$21,"&lt;&gt; -1"),0)</f>
        <v>58.4425</v>
      </c>
      <c r="D24" s="4">
        <f>IFERROR(AVERAGEIF($H$2:$H$21,"&lt;&gt; -1"),0)</f>
        <v>59.9</v>
      </c>
      <c r="E24" s="4">
        <f>IFERROR(AVERAGEIF($J$2:$J$21,"&lt;&gt; -1"),0)</f>
        <v>51.69</v>
      </c>
      <c r="F24" s="4">
        <f>IFERROR(AVERAGEIF($L$2:$L$21,"&lt;&gt; -1"),0)</f>
        <v>0</v>
      </c>
      <c r="G24" s="4">
        <f>IFERROR(AVERAGEIFS($C$2:$C$21,$B$2:$B$21,"&lt;&gt; -1"),0)</f>
        <v>3620.9195</v>
      </c>
      <c r="H24" s="4">
        <f>IFERROR(AVERAGEIFS($E$2:$E$21,$D$2:$D$21,"&lt;&gt; -1"),0)</f>
        <v>3629.358</v>
      </c>
      <c r="I24" s="4">
        <f>IFERROR(AVERAGEIFS($G$2:$G$21,$F$2:$F$21,"&lt;&gt; -1"),0)</f>
        <v>3901.058</v>
      </c>
      <c r="J24" s="4">
        <f>IFERROR(AVERAGEIFS($I$2:$I$21,$H$2:$H$21,"&lt;&gt; -1"),0)</f>
        <v>3910.602</v>
      </c>
      <c r="K24" s="4">
        <f>IFERROR(AVERAGEIFS($K$2:$K$21,$J$2:$J$21,"&lt;&gt; -1"),0)</f>
        <v>3485.82</v>
      </c>
      <c r="L24" s="4">
        <f>IFERROR(AVERAGEIFS($M$2:$M$21,$L$2:$L$21,"&lt;&gt; -1"),0)</f>
        <v>0</v>
      </c>
      <c r="M24" s="4">
        <f>IFERROR(_xlfn.MAXIFS($B$2:$B$21,$B$2:$B$21,"&lt;&gt; -1"),0)</f>
        <v>71.79</v>
      </c>
      <c r="N24" s="4">
        <f>IFERROR(_xlfn.MAXIFS($D$2:$D$21,$D$2:$D$21,"&lt;&gt;-1"),0)</f>
        <v>72</v>
      </c>
      <c r="O24" s="4">
        <f>IFERROR(_xlfn.MAXIFS($F$2:$F$21,$F$2:$F$21,"&lt;&gt; -1"),0)</f>
        <v>79.06</v>
      </c>
      <c r="P24" s="4">
        <f>IFERROR(_xlfn.MAXIFS($H$2:$H$21,$H$2:$H$21,"&lt;&gt; -1"),0)</f>
        <v>80.88</v>
      </c>
      <c r="Q24" s="4">
        <f>IFERROR(_xlfn.MAXIFS($J$2:$J$21,$J$2:$J$21,"&lt;&gt; -1"),0)</f>
        <v>51.69</v>
      </c>
      <c r="R24" s="4">
        <f>IFERROR(_xlfn.MAXIFS($L$2:$L$21,$L$2:$L$21,"&lt;&gt; -1"),0)</f>
        <v>0</v>
      </c>
      <c r="S24" s="4">
        <f>IFERROR(_xlfn.MINIFS($B$2:$B$21,$B$2:$B$21,"&lt;&gt; -1"),0)</f>
        <v>40.11</v>
      </c>
      <c r="T24" s="4">
        <f>IFERROR(_xlfn.MINIFS($D$2:$D$21,$D$2:$D$21,"&lt;&gt;-1"),0)</f>
        <v>40.33</v>
      </c>
      <c r="U24" s="4">
        <f>IFERROR(_xlfn.MINIFS($F$2:$F$21,$F$2:$F$21,"&lt;&gt; -1"),0)</f>
        <v>45.12</v>
      </c>
      <c r="V24" s="4">
        <f>IFERROR(_xlfn.MINIFS($H$2:$H$21,$H$2:$H$21,"&lt;&gt; -1"),0)</f>
        <v>47.3</v>
      </c>
      <c r="W24" s="4">
        <f>IFERROR(_xlfn.MINIFS($J$2:$J$21,$J$2:$J$21,"&lt;&gt; -1"),0)</f>
        <v>51.69</v>
      </c>
      <c r="X24" s="4">
        <f>IFERROR(_xlfn.MINIFS($L$2:$L$21,$L$2:$L$21,"&lt;&gt; -1"),0)</f>
        <v>0</v>
      </c>
      <c r="Y24" s="4">
        <f>IFERROR(_xlfn.MAXIFS($C$2:$C$21,$B$2:$B$21,"&lt;&gt; -1"),0)</f>
        <v>3907.9</v>
      </c>
      <c r="Z24" s="4">
        <f>IFERROR(_xlfn.MAXIFS($E$2:$E$21,$D$2:$D$21,"&lt;&gt; -1"),0)</f>
        <v>3861.06</v>
      </c>
      <c r="AA24" s="4">
        <f>IFERROR(_xlfn.MAXIFS($G$2:$G$21,$F$2:$F$21,"&lt;&gt; -1"),0)</f>
        <v>4194.98</v>
      </c>
      <c r="AB24" s="4">
        <f>IFERROR(_xlfn.MAXIFS($I$2:$I$21,$H$2:$H$21,"&lt;&gt; -1"),0)</f>
        <v>4175.56</v>
      </c>
      <c r="AC24" s="4">
        <f>IFERROR(_xlfn.MAXIFS($K$2:$K$21,$J$2:$J$21,"&lt;&gt; -1"),0)</f>
        <v>3485.82</v>
      </c>
      <c r="AD24" s="4">
        <f>IFERROR(_xlfn.MAXIFS($M$2:$M$21,$L$2:$L$21,"&lt;&gt; -1"),0)</f>
        <v>0</v>
      </c>
      <c r="AE24" s="4">
        <f>IFERROR(_xlfn.MINIFS($C$2:$C$21,$B$2:$B$21,"&lt;&gt; -1"),0)</f>
        <v>3409.82</v>
      </c>
      <c r="AF24" s="4">
        <f>IFERROR(_xlfn.MINIFS($E$2:$E$21,$D$2:$D$21,"&lt;&gt; -1"),0)</f>
        <v>3382.02</v>
      </c>
      <c r="AG24" s="4">
        <f>IFERROR(_xlfn.MINIFS($G$2:$G$21,$F$2:$F$21,"&lt;&gt; -1"),0)</f>
        <v>3679.11</v>
      </c>
      <c r="AH24" s="4">
        <f>IFERROR(_xlfn.MINIFS($I$2:$I$21,$H$2:$H$21,"&lt;&gt; -1"),0)</f>
        <v>3643.27</v>
      </c>
      <c r="AI24" s="4">
        <f>IFERROR(_xlfn.MINIFS($K$2:$K$21,$J$2:$J$21,"&lt;&gt; -1"),0)</f>
        <v>3485.82</v>
      </c>
      <c r="AJ24" s="4">
        <f>IFERROR(_xlfn.MINIFS($M$2:$M$21,$L$2:$L$21,"&lt;&gt; -1"),0)</f>
        <v>0</v>
      </c>
      <c r="AK24" s="4">
        <f>(COUNTIFS($B$2:$B$21,"&gt;0.0",$B$2:$B$21,"&lt;100.0"))/20</f>
        <v>1</v>
      </c>
      <c r="AL24" s="4">
        <f>(COUNTIFS($D$2:$D$21,"&gt;0.0",$D$2:$D$21,"&lt;100.0"))/20</f>
        <v>1</v>
      </c>
      <c r="AM24" s="4">
        <f>(COUNTIFS($F$2:$F$21,"&gt;0.0",$F$2:$F$21,"&lt;100.0"))/20</f>
        <v>1</v>
      </c>
      <c r="AN24" s="4">
        <f>(COUNTIFS($H$2:$H$21,"&gt;0.0",$H$2:$H$21,"&lt;100.0"))/20</f>
        <v>1</v>
      </c>
      <c r="AO24" s="4">
        <f>(COUNTIFS($J$2:$J$21,"&gt;0.0",$J$2:$J$21,"&lt;100.0"))/20</f>
        <v>0.05</v>
      </c>
      <c r="AP24" s="4">
        <f>(COUNTIFS($L$2:$L$21,"&gt;0.0",$L$2:$L$21,"&lt;100.0"))/20</f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4"/>
  <sheetViews>
    <sheetView workbookViewId="0">
      <selection activeCell="A24" sqref="$A24:$XFD2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69.61</v>
      </c>
      <c r="C2">
        <v>3588.22</v>
      </c>
      <c r="D2">
        <v>70.09</v>
      </c>
      <c r="E2">
        <v>3826.18</v>
      </c>
      <c r="F2">
        <v>-1</v>
      </c>
      <c r="G2">
        <v>0</v>
      </c>
      <c r="H2">
        <v>-1</v>
      </c>
      <c r="I2">
        <v>0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60.91</v>
      </c>
      <c r="C3">
        <v>3874.96</v>
      </c>
      <c r="D3">
        <v>61.3</v>
      </c>
      <c r="E3">
        <v>3711.43</v>
      </c>
      <c r="F3">
        <v>66.12</v>
      </c>
      <c r="G3">
        <v>4161.95</v>
      </c>
      <c r="H3">
        <v>70.31</v>
      </c>
      <c r="I3">
        <v>3983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61.08</v>
      </c>
      <c r="C4">
        <v>3581.97</v>
      </c>
      <c r="D4">
        <v>61.37</v>
      </c>
      <c r="E4">
        <v>3663.76</v>
      </c>
      <c r="F4">
        <v>67.41</v>
      </c>
      <c r="G4">
        <v>3840.51</v>
      </c>
      <c r="H4">
        <v>71.87</v>
      </c>
      <c r="I4">
        <v>3942.97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58.39</v>
      </c>
      <c r="C5">
        <v>3608.38</v>
      </c>
      <c r="D5">
        <v>58.94</v>
      </c>
      <c r="E5">
        <v>3571.24</v>
      </c>
      <c r="F5">
        <v>66.54</v>
      </c>
      <c r="G5">
        <v>3960.12</v>
      </c>
      <c r="H5">
        <v>70.53</v>
      </c>
      <c r="I5">
        <v>3871.14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56.19</v>
      </c>
      <c r="C6">
        <v>3437.9</v>
      </c>
      <c r="D6">
        <v>56.34</v>
      </c>
      <c r="E6">
        <v>3632.26</v>
      </c>
      <c r="F6">
        <v>-1</v>
      </c>
      <c r="G6">
        <v>971.02</v>
      </c>
      <c r="H6">
        <v>-1</v>
      </c>
      <c r="I6">
        <v>0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58.28</v>
      </c>
      <c r="C7">
        <v>3557.94</v>
      </c>
      <c r="D7">
        <v>58.71</v>
      </c>
      <c r="E7">
        <v>3687.36</v>
      </c>
      <c r="F7">
        <v>-1</v>
      </c>
      <c r="G7">
        <v>1018.68</v>
      </c>
      <c r="H7">
        <v>-1</v>
      </c>
      <c r="I7">
        <v>3425.95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59.99</v>
      </c>
      <c r="C8">
        <v>3630.93</v>
      </c>
      <c r="D8">
        <v>60.27</v>
      </c>
      <c r="E8">
        <v>3558.97</v>
      </c>
      <c r="F8">
        <v>-1</v>
      </c>
      <c r="G8">
        <v>0</v>
      </c>
      <c r="H8">
        <v>-1</v>
      </c>
      <c r="I8">
        <v>1143.17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66.11</v>
      </c>
      <c r="C9">
        <v>3861.74</v>
      </c>
      <c r="D9">
        <v>66.63</v>
      </c>
      <c r="E9">
        <v>3801.59</v>
      </c>
      <c r="F9">
        <v>79.75</v>
      </c>
      <c r="G9">
        <v>4208.32</v>
      </c>
      <c r="H9">
        <v>-1</v>
      </c>
      <c r="I9">
        <v>962.55</v>
      </c>
      <c r="J9">
        <v>-1</v>
      </c>
      <c r="K9">
        <v>0</v>
      </c>
      <c r="L9">
        <v>-1</v>
      </c>
      <c r="M9">
        <v>0</v>
      </c>
    </row>
    <row r="10" spans="1:13">
      <c r="A10" t="s">
        <v>21</v>
      </c>
      <c r="B10">
        <v>62.66</v>
      </c>
      <c r="C10">
        <v>3549.45</v>
      </c>
      <c r="D10">
        <v>63.17</v>
      </c>
      <c r="E10">
        <v>3746.57</v>
      </c>
      <c r="F10">
        <v>66.84</v>
      </c>
      <c r="G10">
        <v>3898.44</v>
      </c>
      <c r="H10">
        <v>84.2</v>
      </c>
      <c r="I10">
        <v>4069.18</v>
      </c>
      <c r="J10">
        <v>-1</v>
      </c>
      <c r="K10">
        <v>633.84</v>
      </c>
      <c r="L10">
        <v>-1</v>
      </c>
      <c r="M10">
        <v>0</v>
      </c>
    </row>
    <row r="11" spans="1:13">
      <c r="A11" t="s">
        <v>22</v>
      </c>
      <c r="B11">
        <v>62.82</v>
      </c>
      <c r="C11">
        <v>3482.37</v>
      </c>
      <c r="D11">
        <v>63.07</v>
      </c>
      <c r="E11">
        <v>3636.88</v>
      </c>
      <c r="F11">
        <v>71.97</v>
      </c>
      <c r="G11">
        <v>3830.19</v>
      </c>
      <c r="H11">
        <v>73.01</v>
      </c>
      <c r="I11">
        <v>3910.86</v>
      </c>
      <c r="J11">
        <v>-1</v>
      </c>
      <c r="K11">
        <v>0</v>
      </c>
      <c r="L11">
        <v>-1</v>
      </c>
      <c r="M11">
        <v>0</v>
      </c>
    </row>
    <row r="12" spans="1:13">
      <c r="A12" t="s">
        <v>23</v>
      </c>
      <c r="B12">
        <v>66.43</v>
      </c>
      <c r="C12">
        <v>3735.77</v>
      </c>
      <c r="D12">
        <v>66.52</v>
      </c>
      <c r="E12">
        <v>3717.44</v>
      </c>
      <c r="F12">
        <v>-1</v>
      </c>
      <c r="G12">
        <v>1059.36</v>
      </c>
      <c r="H12">
        <v>82.4</v>
      </c>
      <c r="I12">
        <v>3968.81</v>
      </c>
      <c r="J12">
        <v>-1</v>
      </c>
      <c r="K12">
        <v>0</v>
      </c>
      <c r="L12">
        <v>-1</v>
      </c>
      <c r="M12">
        <v>0</v>
      </c>
    </row>
    <row r="13" spans="1:13">
      <c r="A13" t="s">
        <v>24</v>
      </c>
      <c r="B13">
        <v>60.01</v>
      </c>
      <c r="C13">
        <v>3669.33</v>
      </c>
      <c r="D13">
        <v>60.53</v>
      </c>
      <c r="E13">
        <v>3603.83</v>
      </c>
      <c r="F13">
        <v>-1</v>
      </c>
      <c r="G13">
        <v>0</v>
      </c>
      <c r="H13">
        <v>-1</v>
      </c>
      <c r="I13">
        <v>3664.56</v>
      </c>
      <c r="J13">
        <v>-1</v>
      </c>
      <c r="K13">
        <v>0</v>
      </c>
      <c r="L13">
        <v>-1</v>
      </c>
      <c r="M13">
        <v>0</v>
      </c>
    </row>
    <row r="14" spans="1:13">
      <c r="A14" t="s">
        <v>25</v>
      </c>
      <c r="B14">
        <v>57.71</v>
      </c>
      <c r="C14">
        <v>3503.75</v>
      </c>
      <c r="D14">
        <v>58.07</v>
      </c>
      <c r="E14">
        <v>3649.19</v>
      </c>
      <c r="F14">
        <v>-1</v>
      </c>
      <c r="G14">
        <v>0</v>
      </c>
      <c r="H14">
        <v>78.2</v>
      </c>
      <c r="I14">
        <v>3882.46</v>
      </c>
      <c r="J14">
        <v>-1</v>
      </c>
      <c r="K14">
        <v>0</v>
      </c>
      <c r="L14">
        <v>-1</v>
      </c>
      <c r="M14">
        <v>0</v>
      </c>
    </row>
    <row r="15" spans="1:13">
      <c r="A15" t="s">
        <v>26</v>
      </c>
      <c r="B15">
        <v>62.05</v>
      </c>
      <c r="C15">
        <v>3849.24</v>
      </c>
      <c r="D15">
        <v>62.29</v>
      </c>
      <c r="E15">
        <v>3911.23</v>
      </c>
      <c r="F15">
        <v>71.13</v>
      </c>
      <c r="G15">
        <v>4131.25</v>
      </c>
      <c r="H15">
        <v>76.11</v>
      </c>
      <c r="I15">
        <v>4240.27</v>
      </c>
      <c r="J15">
        <v>-1</v>
      </c>
      <c r="K15">
        <v>0</v>
      </c>
      <c r="L15">
        <v>-1</v>
      </c>
      <c r="M15">
        <v>0</v>
      </c>
    </row>
    <row r="16" spans="1:13">
      <c r="A16" t="s">
        <v>27</v>
      </c>
      <c r="B16">
        <v>62.56</v>
      </c>
      <c r="C16">
        <v>3874.54</v>
      </c>
      <c r="D16">
        <v>63.24</v>
      </c>
      <c r="E16">
        <v>3804.85</v>
      </c>
      <c r="F16">
        <v>-1</v>
      </c>
      <c r="G16">
        <v>1101.33</v>
      </c>
      <c r="H16">
        <v>-1</v>
      </c>
      <c r="I16">
        <v>0</v>
      </c>
      <c r="J16">
        <v>-1</v>
      </c>
      <c r="K16">
        <v>0</v>
      </c>
      <c r="L16">
        <v>-1</v>
      </c>
      <c r="M16">
        <v>0</v>
      </c>
    </row>
    <row r="17" spans="1:13">
      <c r="A17" t="s">
        <v>28</v>
      </c>
      <c r="B17">
        <v>65.76</v>
      </c>
      <c r="C17">
        <v>3650.51</v>
      </c>
      <c r="D17">
        <v>65.89</v>
      </c>
      <c r="E17">
        <v>3716.06</v>
      </c>
      <c r="F17">
        <v>-1</v>
      </c>
      <c r="G17">
        <v>909.31</v>
      </c>
      <c r="H17">
        <v>-1</v>
      </c>
      <c r="I17">
        <v>948.14</v>
      </c>
      <c r="J17">
        <v>-1</v>
      </c>
      <c r="K17">
        <v>0</v>
      </c>
      <c r="L17">
        <v>-1</v>
      </c>
      <c r="M17">
        <v>0</v>
      </c>
    </row>
    <row r="18" spans="1:13">
      <c r="A18" t="s">
        <v>29</v>
      </c>
      <c r="B18">
        <v>62.7</v>
      </c>
      <c r="C18">
        <v>3549.83</v>
      </c>
      <c r="D18">
        <v>63.21</v>
      </c>
      <c r="E18">
        <v>3628.93</v>
      </c>
      <c r="F18">
        <v>-1</v>
      </c>
      <c r="G18">
        <v>991.96</v>
      </c>
      <c r="H18">
        <v>90.68</v>
      </c>
      <c r="I18">
        <v>3828.6</v>
      </c>
      <c r="J18">
        <v>-1</v>
      </c>
      <c r="K18">
        <v>0</v>
      </c>
      <c r="L18">
        <v>-1</v>
      </c>
      <c r="M18">
        <v>0</v>
      </c>
    </row>
    <row r="19" spans="1:13">
      <c r="A19" t="s">
        <v>30</v>
      </c>
      <c r="B19">
        <v>57.97</v>
      </c>
      <c r="C19">
        <v>3308.96</v>
      </c>
      <c r="D19">
        <v>58.19</v>
      </c>
      <c r="E19">
        <v>3475.5</v>
      </c>
      <c r="F19">
        <v>-1</v>
      </c>
      <c r="G19">
        <v>0</v>
      </c>
      <c r="H19">
        <v>-1</v>
      </c>
      <c r="I19">
        <v>0</v>
      </c>
      <c r="J19">
        <v>-1</v>
      </c>
      <c r="K19">
        <v>0</v>
      </c>
      <c r="L19">
        <v>-1</v>
      </c>
      <c r="M19">
        <v>0</v>
      </c>
    </row>
    <row r="20" spans="1:13">
      <c r="A20" t="s">
        <v>31</v>
      </c>
      <c r="B20">
        <v>62.61</v>
      </c>
      <c r="C20">
        <v>3793.61</v>
      </c>
      <c r="D20">
        <v>63.05</v>
      </c>
      <c r="E20">
        <v>3829.82</v>
      </c>
      <c r="F20">
        <v>-1</v>
      </c>
      <c r="G20">
        <v>0</v>
      </c>
      <c r="H20">
        <v>-1</v>
      </c>
      <c r="I20">
        <v>1008.2</v>
      </c>
      <c r="J20">
        <v>-1</v>
      </c>
      <c r="K20">
        <v>0</v>
      </c>
      <c r="L20">
        <v>-1</v>
      </c>
      <c r="M20">
        <v>0</v>
      </c>
    </row>
    <row r="21" spans="1:13">
      <c r="A21" t="s">
        <v>32</v>
      </c>
      <c r="B21">
        <v>64.24</v>
      </c>
      <c r="C21">
        <v>3665.06</v>
      </c>
      <c r="D21">
        <v>64.69</v>
      </c>
      <c r="E21">
        <v>3806.36</v>
      </c>
      <c r="F21">
        <v>71.55</v>
      </c>
      <c r="G21">
        <v>3897.77</v>
      </c>
      <c r="H21">
        <v>69.96</v>
      </c>
      <c r="I21">
        <v>4091.6</v>
      </c>
      <c r="J21">
        <v>-1</v>
      </c>
      <c r="K21">
        <v>0</v>
      </c>
      <c r="L21">
        <v>-1</v>
      </c>
      <c r="M21">
        <v>0</v>
      </c>
    </row>
    <row r="23" spans="1:42">
      <c r="A23" s="2" t="s">
        <v>33</v>
      </c>
      <c r="B23" s="2" t="s">
        <v>34</v>
      </c>
      <c r="C23" s="2" t="s">
        <v>35</v>
      </c>
      <c r="D23" s="3" t="s">
        <v>36</v>
      </c>
      <c r="E23" s="2" t="s">
        <v>37</v>
      </c>
      <c r="F23" s="2" t="s">
        <v>38</v>
      </c>
      <c r="G23" s="2" t="s">
        <v>39</v>
      </c>
      <c r="H23" s="2" t="s">
        <v>40</v>
      </c>
      <c r="I23" s="2" t="s">
        <v>41</v>
      </c>
      <c r="J23" s="3" t="s">
        <v>42</v>
      </c>
      <c r="K23" s="2" t="s">
        <v>43</v>
      </c>
      <c r="L23" s="2" t="s">
        <v>44</v>
      </c>
      <c r="M23" s="2" t="s">
        <v>45</v>
      </c>
      <c r="N23" s="2" t="s">
        <v>46</v>
      </c>
      <c r="O23" s="2" t="s">
        <v>47</v>
      </c>
      <c r="P23" s="3" t="s">
        <v>48</v>
      </c>
      <c r="Q23" s="2" t="s">
        <v>49</v>
      </c>
      <c r="R23" s="2" t="s">
        <v>50</v>
      </c>
      <c r="S23" s="2" t="s">
        <v>51</v>
      </c>
      <c r="T23" s="2" t="s">
        <v>52</v>
      </c>
      <c r="U23" s="2" t="s">
        <v>53</v>
      </c>
      <c r="V23" s="3" t="s">
        <v>54</v>
      </c>
      <c r="W23" s="2" t="s">
        <v>55</v>
      </c>
      <c r="X23" s="2" t="s">
        <v>56</v>
      </c>
      <c r="Y23" s="2" t="s">
        <v>57</v>
      </c>
      <c r="Z23" s="2" t="s">
        <v>58</v>
      </c>
      <c r="AA23" s="2" t="s">
        <v>59</v>
      </c>
      <c r="AB23" s="3" t="s">
        <v>60</v>
      </c>
      <c r="AC23" s="2" t="s">
        <v>61</v>
      </c>
      <c r="AD23" s="2" t="s">
        <v>62</v>
      </c>
      <c r="AE23" s="2" t="s">
        <v>63</v>
      </c>
      <c r="AF23" s="2" t="s">
        <v>64</v>
      </c>
      <c r="AG23" s="2" t="s">
        <v>65</v>
      </c>
      <c r="AH23" s="3" t="s">
        <v>66</v>
      </c>
      <c r="AI23" s="2" t="s">
        <v>67</v>
      </c>
      <c r="AJ23" s="2" t="s">
        <v>68</v>
      </c>
      <c r="AK23" s="2" t="s">
        <v>69</v>
      </c>
      <c r="AL23" s="2" t="s">
        <v>70</v>
      </c>
      <c r="AM23" s="2" t="s">
        <v>71</v>
      </c>
      <c r="AN23" s="3" t="s">
        <v>72</v>
      </c>
      <c r="AO23" s="2" t="s">
        <v>73</v>
      </c>
      <c r="AP23" s="2" t="s">
        <v>74</v>
      </c>
    </row>
    <row r="24" spans="1:42">
      <c r="A24" s="4">
        <f>IFERROR(AVERAGEIF($B$2:$B$21,"&lt;&gt; -1"),0)</f>
        <v>61.904</v>
      </c>
      <c r="B24" s="4">
        <f>IFERROR(AVERAGEIF($D$2:$D$21,"&lt;&gt; -1"),0)</f>
        <v>62.2785</v>
      </c>
      <c r="C24" s="4">
        <f>IFERROR(AVERAGEIF($F$2:$F$21,"&lt;&gt; -1"),0)</f>
        <v>70.16375</v>
      </c>
      <c r="D24" s="4">
        <f>IFERROR(AVERAGEIF($H$2:$H$21,"&lt;&gt; -1"),0)</f>
        <v>76.727</v>
      </c>
      <c r="E24" s="4">
        <f>IFERROR(AVERAGEIF($J$2:$J$21,"&lt;&gt; -1"),0)</f>
        <v>0</v>
      </c>
      <c r="F24" s="4">
        <f>IFERROR(AVERAGEIF($L$2:$L$21,"&lt;&gt; -1"),0)</f>
        <v>0</v>
      </c>
      <c r="G24" s="4">
        <f>IFERROR(AVERAGEIFS($C$2:$C$21,$B$2:$B$21,"&lt;&gt; -1"),0)</f>
        <v>3638.723</v>
      </c>
      <c r="H24" s="4">
        <f>IFERROR(AVERAGEIFS($E$2:$E$21,$D$2:$D$21,"&lt;&gt; -1"),0)</f>
        <v>3698.9725</v>
      </c>
      <c r="I24" s="4">
        <f>IFERROR(AVERAGEIFS($G$2:$G$21,$F$2:$F$21,"&lt;&gt; -1"),0)</f>
        <v>3991.06875</v>
      </c>
      <c r="J24" s="4">
        <f>IFERROR(AVERAGEIFS($I$2:$I$21,$H$2:$H$21,"&lt;&gt; -1"),0)</f>
        <v>3978.889</v>
      </c>
      <c r="K24" s="4">
        <f>IFERROR(AVERAGEIFS($K$2:$K$21,$J$2:$J$21,"&lt;&gt; -1"),0)</f>
        <v>0</v>
      </c>
      <c r="L24" s="4">
        <f>IFERROR(AVERAGEIFS($M$2:$M$21,$L$2:$L$21,"&lt;&gt; -1"),0)</f>
        <v>0</v>
      </c>
      <c r="M24" s="4">
        <f>IFERROR(_xlfn.MAXIFS($B$2:$B$21,$B$2:$B$21,"&lt;&gt; -1"),0)</f>
        <v>69.61</v>
      </c>
      <c r="N24" s="4">
        <f>IFERROR(_xlfn.MAXIFS($D$2:$D$21,$D$2:$D$21,"&lt;&gt;-1"),0)</f>
        <v>70.09</v>
      </c>
      <c r="O24" s="4">
        <f>IFERROR(_xlfn.MAXIFS($F$2:$F$21,$F$2:$F$21,"&lt;&gt; -1"),0)</f>
        <v>79.75</v>
      </c>
      <c r="P24" s="4">
        <f>IFERROR(_xlfn.MAXIFS($H$2:$H$21,$H$2:$H$21,"&lt;&gt; -1"),0)</f>
        <v>90.68</v>
      </c>
      <c r="Q24" s="4">
        <f>IFERROR(_xlfn.MAXIFS($J$2:$J$21,$J$2:$J$21,"&lt;&gt; -1"),0)</f>
        <v>0</v>
      </c>
      <c r="R24" s="4">
        <f>IFERROR(_xlfn.MAXIFS($L$2:$L$21,$L$2:$L$21,"&lt;&gt; -1"),0)</f>
        <v>0</v>
      </c>
      <c r="S24" s="4">
        <f>IFERROR(_xlfn.MINIFS($B$2:$B$21,$B$2:$B$21,"&lt;&gt; -1"),0)</f>
        <v>56.19</v>
      </c>
      <c r="T24" s="4">
        <f>IFERROR(_xlfn.MINIFS($D$2:$D$21,$D$2:$D$21,"&lt;&gt;-1"),0)</f>
        <v>56.34</v>
      </c>
      <c r="U24" s="4">
        <f>IFERROR(_xlfn.MINIFS($F$2:$F$21,$F$2:$F$21,"&lt;&gt; -1"),0)</f>
        <v>66.12</v>
      </c>
      <c r="V24" s="4">
        <f>IFERROR(_xlfn.MINIFS($H$2:$H$21,$H$2:$H$21,"&lt;&gt; -1"),0)</f>
        <v>69.96</v>
      </c>
      <c r="W24" s="4">
        <f>IFERROR(_xlfn.MINIFS($J$2:$J$21,$J$2:$J$21,"&lt;&gt; -1"),0)</f>
        <v>0</v>
      </c>
      <c r="X24" s="4">
        <f>IFERROR(_xlfn.MINIFS($L$2:$L$21,$L$2:$L$21,"&lt;&gt; -1"),0)</f>
        <v>0</v>
      </c>
      <c r="Y24" s="4">
        <f>IFERROR(_xlfn.MAXIFS($C$2:$C$21,$B$2:$B$21,"&lt;&gt; -1"),0)</f>
        <v>3874.96</v>
      </c>
      <c r="Z24" s="4">
        <f>IFERROR(_xlfn.MAXIFS($E$2:$E$21,$D$2:$D$21,"&lt;&gt; -1"),0)</f>
        <v>3911.23</v>
      </c>
      <c r="AA24" s="4">
        <f>IFERROR(_xlfn.MAXIFS($G$2:$G$21,$F$2:$F$21,"&lt;&gt; -1"),0)</f>
        <v>4208.32</v>
      </c>
      <c r="AB24" s="4">
        <f>IFERROR(_xlfn.MAXIFS($I$2:$I$21,$H$2:$H$21,"&lt;&gt; -1"),0)</f>
        <v>4240.27</v>
      </c>
      <c r="AC24" s="4">
        <f>IFERROR(_xlfn.MAXIFS($K$2:$K$21,$J$2:$J$21,"&lt;&gt; -1"),0)</f>
        <v>0</v>
      </c>
      <c r="AD24" s="4">
        <f>IFERROR(_xlfn.MAXIFS($M$2:$M$21,$L$2:$L$21,"&lt;&gt; -1"),0)</f>
        <v>0</v>
      </c>
      <c r="AE24" s="4">
        <f>IFERROR(_xlfn.MINIFS($C$2:$C$21,$B$2:$B$21,"&lt;&gt; -1"),0)</f>
        <v>3308.96</v>
      </c>
      <c r="AF24" s="4">
        <f>IFERROR(_xlfn.MINIFS($E$2:$E$21,$D$2:$D$21,"&lt;&gt; -1"),0)</f>
        <v>3475.5</v>
      </c>
      <c r="AG24" s="4">
        <f>IFERROR(_xlfn.MINIFS($G$2:$G$21,$F$2:$F$21,"&lt;&gt; -1"),0)</f>
        <v>3830.19</v>
      </c>
      <c r="AH24" s="4">
        <f>IFERROR(_xlfn.MINIFS($I$2:$I$21,$H$2:$H$21,"&lt;&gt; -1"),0)</f>
        <v>3828.6</v>
      </c>
      <c r="AI24" s="4">
        <f>IFERROR(_xlfn.MINIFS($K$2:$K$21,$J$2:$J$21,"&lt;&gt; -1"),0)</f>
        <v>0</v>
      </c>
      <c r="AJ24" s="4">
        <f>IFERROR(_xlfn.MINIFS($M$2:$M$21,$L$2:$L$21,"&lt;&gt; -1"),0)</f>
        <v>0</v>
      </c>
      <c r="AK24" s="4">
        <f>(COUNTIFS($B$2:$B$21,"&gt;0.0",$B$2:$B$21,"&lt;100.0"))/20</f>
        <v>1</v>
      </c>
      <c r="AL24" s="4">
        <f>(COUNTIFS($D$2:$D$21,"&gt;0.0",$D$2:$D$21,"&lt;100.0"))/20</f>
        <v>1</v>
      </c>
      <c r="AM24" s="4">
        <f>(COUNTIFS($F$2:$F$21,"&gt;0.0",$F$2:$F$21,"&lt;100.0"))/20</f>
        <v>0.4</v>
      </c>
      <c r="AN24" s="4">
        <f>(COUNTIFS($H$2:$H$21,"&gt;0.0",$H$2:$H$21,"&lt;100.0"))/20</f>
        <v>0.5</v>
      </c>
      <c r="AO24" s="4">
        <f>(COUNTIFS($J$2:$J$21,"&gt;0.0",$J$2:$J$21,"&lt;100.0"))/20</f>
        <v>0</v>
      </c>
      <c r="AP24" s="4">
        <f>(COUNTIFS($L$2:$L$21,"&gt;0.0",$L$2:$L$21,"&lt;100.0"))/20</f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4"/>
  <sheetViews>
    <sheetView workbookViewId="0">
      <selection activeCell="A24" sqref="$A24:$XFD2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74.38</v>
      </c>
      <c r="C2">
        <v>3889.83</v>
      </c>
      <c r="D2">
        <v>75.03</v>
      </c>
      <c r="E2">
        <v>3918.69</v>
      </c>
      <c r="F2">
        <v>-1</v>
      </c>
      <c r="G2">
        <v>1136.56</v>
      </c>
      <c r="H2">
        <v>-1</v>
      </c>
      <c r="I2">
        <v>0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67.25</v>
      </c>
      <c r="C3">
        <v>3708.82</v>
      </c>
      <c r="D3">
        <v>67.64</v>
      </c>
      <c r="E3">
        <v>3602.54</v>
      </c>
      <c r="F3">
        <v>72.8</v>
      </c>
      <c r="G3">
        <v>3960.09</v>
      </c>
      <c r="H3">
        <v>78.03</v>
      </c>
      <c r="I3">
        <v>3907.19</v>
      </c>
      <c r="J3">
        <v>-1</v>
      </c>
      <c r="K3">
        <v>615.7</v>
      </c>
      <c r="L3">
        <v>-1</v>
      </c>
      <c r="M3">
        <v>0</v>
      </c>
    </row>
    <row r="4" spans="1:13">
      <c r="A4" t="s">
        <v>15</v>
      </c>
      <c r="B4">
        <v>70.35</v>
      </c>
      <c r="C4">
        <v>3634.48</v>
      </c>
      <c r="D4">
        <v>70.71</v>
      </c>
      <c r="E4">
        <v>3689.33</v>
      </c>
      <c r="F4">
        <v>96.93</v>
      </c>
      <c r="G4">
        <v>3906.29</v>
      </c>
      <c r="H4">
        <v>-1</v>
      </c>
      <c r="I4">
        <v>0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70.07</v>
      </c>
      <c r="C5">
        <v>3676.48</v>
      </c>
      <c r="D5">
        <v>70.7</v>
      </c>
      <c r="E5">
        <v>3579.61</v>
      </c>
      <c r="F5">
        <v>-1</v>
      </c>
      <c r="G5">
        <v>1128.87</v>
      </c>
      <c r="H5">
        <v>-1</v>
      </c>
      <c r="I5">
        <v>0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66.19</v>
      </c>
      <c r="C6">
        <v>3292.22</v>
      </c>
      <c r="D6">
        <v>66.57</v>
      </c>
      <c r="E6">
        <v>3397.45</v>
      </c>
      <c r="F6">
        <v>72.13</v>
      </c>
      <c r="G6">
        <v>3591.5</v>
      </c>
      <c r="H6">
        <v>73.29</v>
      </c>
      <c r="I6">
        <v>3682.05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66.94</v>
      </c>
      <c r="C7">
        <v>3557.07</v>
      </c>
      <c r="D7">
        <v>67.36</v>
      </c>
      <c r="E7">
        <v>3566.19</v>
      </c>
      <c r="F7">
        <v>77.52</v>
      </c>
      <c r="G7">
        <v>3850.54</v>
      </c>
      <c r="H7">
        <v>79.4</v>
      </c>
      <c r="I7">
        <v>3815.34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68.94</v>
      </c>
      <c r="C8">
        <v>3581.18</v>
      </c>
      <c r="D8">
        <v>69.67</v>
      </c>
      <c r="E8">
        <v>3564.45</v>
      </c>
      <c r="F8">
        <v>-1</v>
      </c>
      <c r="G8">
        <v>893.45</v>
      </c>
      <c r="H8">
        <v>-1</v>
      </c>
      <c r="I8">
        <v>869.27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69.85</v>
      </c>
      <c r="C9">
        <v>3756.12</v>
      </c>
      <c r="D9">
        <v>70.19</v>
      </c>
      <c r="E9">
        <v>3878.4</v>
      </c>
      <c r="F9">
        <v>-1</v>
      </c>
      <c r="G9">
        <v>0</v>
      </c>
      <c r="H9">
        <v>-1</v>
      </c>
      <c r="I9">
        <v>1225.18</v>
      </c>
      <c r="J9">
        <v>-1</v>
      </c>
      <c r="K9">
        <v>0</v>
      </c>
      <c r="L9">
        <v>-1</v>
      </c>
      <c r="M9">
        <v>0</v>
      </c>
    </row>
    <row r="10" spans="1:13">
      <c r="A10" t="s">
        <v>21</v>
      </c>
      <c r="B10">
        <v>73.1</v>
      </c>
      <c r="C10">
        <v>3568.09</v>
      </c>
      <c r="D10">
        <v>73.62</v>
      </c>
      <c r="E10">
        <v>3533.7</v>
      </c>
      <c r="F10">
        <v>78.53</v>
      </c>
      <c r="G10">
        <v>3891.36</v>
      </c>
      <c r="H10">
        <v>80.73</v>
      </c>
      <c r="I10">
        <v>3885.36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72.31</v>
      </c>
      <c r="C11">
        <v>3574.64</v>
      </c>
      <c r="D11">
        <v>72.61</v>
      </c>
      <c r="E11">
        <v>3514.25</v>
      </c>
      <c r="F11">
        <v>-1</v>
      </c>
      <c r="G11">
        <v>3706</v>
      </c>
      <c r="H11">
        <v>97.5</v>
      </c>
      <c r="I11">
        <v>3843.69</v>
      </c>
      <c r="J11">
        <v>-1</v>
      </c>
      <c r="K11">
        <v>0</v>
      </c>
      <c r="L11">
        <v>-1</v>
      </c>
      <c r="M11">
        <v>0</v>
      </c>
    </row>
    <row r="12" spans="1:13">
      <c r="A12" t="s">
        <v>23</v>
      </c>
      <c r="B12">
        <v>70.3</v>
      </c>
      <c r="C12">
        <v>3538.18</v>
      </c>
      <c r="D12">
        <v>70.83</v>
      </c>
      <c r="E12">
        <v>3860.65</v>
      </c>
      <c r="F12">
        <v>75.42</v>
      </c>
      <c r="G12">
        <v>3791.49</v>
      </c>
      <c r="H12">
        <v>77.75</v>
      </c>
      <c r="I12">
        <v>4067.5</v>
      </c>
      <c r="J12">
        <v>-1</v>
      </c>
      <c r="K12">
        <v>0</v>
      </c>
      <c r="L12">
        <v>-1</v>
      </c>
      <c r="M12">
        <v>0</v>
      </c>
    </row>
    <row r="13" spans="1:13">
      <c r="A13" t="s">
        <v>24</v>
      </c>
      <c r="B13">
        <v>70.03</v>
      </c>
      <c r="C13">
        <v>3753.07</v>
      </c>
      <c r="D13">
        <v>70.69</v>
      </c>
      <c r="E13">
        <v>3672.49</v>
      </c>
      <c r="F13">
        <v>-1</v>
      </c>
      <c r="G13">
        <v>0</v>
      </c>
      <c r="H13">
        <v>-1</v>
      </c>
      <c r="I13">
        <v>0</v>
      </c>
      <c r="J13">
        <v>-1</v>
      </c>
      <c r="K13">
        <v>0</v>
      </c>
      <c r="L13">
        <v>-1</v>
      </c>
      <c r="M13">
        <v>0</v>
      </c>
    </row>
    <row r="14" spans="1:13">
      <c r="A14" t="s">
        <v>25</v>
      </c>
      <c r="B14">
        <v>67.98</v>
      </c>
      <c r="C14">
        <v>3468.68</v>
      </c>
      <c r="D14">
        <v>68.62</v>
      </c>
      <c r="E14">
        <v>3550.81</v>
      </c>
      <c r="F14">
        <v>-1</v>
      </c>
      <c r="G14">
        <v>0</v>
      </c>
      <c r="H14">
        <v>-1</v>
      </c>
      <c r="I14">
        <v>1093.07</v>
      </c>
      <c r="J14">
        <v>-1</v>
      </c>
      <c r="K14">
        <v>0</v>
      </c>
      <c r="L14">
        <v>-1</v>
      </c>
      <c r="M14">
        <v>0</v>
      </c>
    </row>
    <row r="15" spans="1:13">
      <c r="A15" t="s">
        <v>26</v>
      </c>
      <c r="B15">
        <v>69.31</v>
      </c>
      <c r="C15">
        <v>3623.47</v>
      </c>
      <c r="D15">
        <v>69.73</v>
      </c>
      <c r="E15">
        <v>3894.22</v>
      </c>
      <c r="F15">
        <v>81.38</v>
      </c>
      <c r="G15">
        <v>3855.78</v>
      </c>
      <c r="H15">
        <v>88.13</v>
      </c>
      <c r="I15">
        <v>4121.11</v>
      </c>
      <c r="J15">
        <v>-1</v>
      </c>
      <c r="K15">
        <v>0</v>
      </c>
      <c r="L15">
        <v>-1</v>
      </c>
      <c r="M15">
        <v>0</v>
      </c>
    </row>
    <row r="16" spans="1:13">
      <c r="A16" t="s">
        <v>27</v>
      </c>
      <c r="B16">
        <v>69.69</v>
      </c>
      <c r="C16">
        <v>3804.1</v>
      </c>
      <c r="D16">
        <v>70.12</v>
      </c>
      <c r="E16">
        <v>3779.44</v>
      </c>
      <c r="F16">
        <v>82.38</v>
      </c>
      <c r="G16">
        <v>4056.12</v>
      </c>
      <c r="H16">
        <v>93.84</v>
      </c>
      <c r="I16">
        <v>4090.16</v>
      </c>
      <c r="J16">
        <v>-1</v>
      </c>
      <c r="K16">
        <v>0</v>
      </c>
      <c r="L16">
        <v>-1</v>
      </c>
      <c r="M16">
        <v>0</v>
      </c>
    </row>
    <row r="17" spans="1:13">
      <c r="A17" t="s">
        <v>28</v>
      </c>
      <c r="B17">
        <v>73.26</v>
      </c>
      <c r="C17">
        <v>3642.27</v>
      </c>
      <c r="D17">
        <v>73.54</v>
      </c>
      <c r="E17">
        <v>3673.81</v>
      </c>
      <c r="F17">
        <v>99.83</v>
      </c>
      <c r="G17">
        <v>3900.49</v>
      </c>
      <c r="H17">
        <v>100.85</v>
      </c>
      <c r="I17">
        <v>3959.19</v>
      </c>
      <c r="J17">
        <v>-1</v>
      </c>
      <c r="K17">
        <v>0</v>
      </c>
      <c r="L17">
        <v>-1</v>
      </c>
      <c r="M17">
        <v>0</v>
      </c>
    </row>
    <row r="18" spans="1:13">
      <c r="A18" t="s">
        <v>29</v>
      </c>
      <c r="B18">
        <v>67.62</v>
      </c>
      <c r="C18">
        <v>3653.13</v>
      </c>
      <c r="D18">
        <v>68.05</v>
      </c>
      <c r="E18">
        <v>3573.72</v>
      </c>
      <c r="F18">
        <v>87.44</v>
      </c>
      <c r="G18">
        <v>3833.55</v>
      </c>
      <c r="H18">
        <v>86.54</v>
      </c>
      <c r="I18">
        <v>3730.09</v>
      </c>
      <c r="J18">
        <v>-1</v>
      </c>
      <c r="K18">
        <v>0</v>
      </c>
      <c r="L18">
        <v>-1</v>
      </c>
      <c r="M18">
        <v>0</v>
      </c>
    </row>
    <row r="19" spans="1:13">
      <c r="A19" t="s">
        <v>30</v>
      </c>
      <c r="B19">
        <v>70.07</v>
      </c>
      <c r="C19">
        <v>3628.22</v>
      </c>
      <c r="D19">
        <v>70.52</v>
      </c>
      <c r="E19">
        <v>3653.9</v>
      </c>
      <c r="F19">
        <v>-1</v>
      </c>
      <c r="G19">
        <v>0</v>
      </c>
      <c r="H19">
        <v>-1</v>
      </c>
      <c r="I19">
        <v>3073.52</v>
      </c>
      <c r="J19">
        <v>-1</v>
      </c>
      <c r="K19">
        <v>0</v>
      </c>
      <c r="L19">
        <v>-1</v>
      </c>
      <c r="M19">
        <v>0</v>
      </c>
    </row>
    <row r="20" spans="1:13">
      <c r="A20" t="s">
        <v>31</v>
      </c>
      <c r="B20">
        <v>74.68</v>
      </c>
      <c r="C20">
        <v>3815.09</v>
      </c>
      <c r="D20">
        <v>75.28</v>
      </c>
      <c r="E20">
        <v>3856.02</v>
      </c>
      <c r="F20">
        <v>-1</v>
      </c>
      <c r="G20">
        <v>0</v>
      </c>
      <c r="H20">
        <v>-1</v>
      </c>
      <c r="I20">
        <v>0</v>
      </c>
      <c r="J20">
        <v>-1</v>
      </c>
      <c r="K20">
        <v>0</v>
      </c>
      <c r="L20">
        <v>-1</v>
      </c>
      <c r="M20">
        <v>0</v>
      </c>
    </row>
    <row r="21" spans="1:13">
      <c r="A21" t="s">
        <v>32</v>
      </c>
      <c r="B21">
        <v>65.56</v>
      </c>
      <c r="C21">
        <v>3772.49</v>
      </c>
      <c r="D21">
        <v>65.52</v>
      </c>
      <c r="E21">
        <v>3645.38</v>
      </c>
      <c r="F21">
        <v>82.48</v>
      </c>
      <c r="G21">
        <v>4037.34</v>
      </c>
      <c r="H21">
        <v>-1</v>
      </c>
      <c r="I21">
        <v>0</v>
      </c>
      <c r="J21">
        <v>-1</v>
      </c>
      <c r="K21">
        <v>0</v>
      </c>
      <c r="L21">
        <v>-1</v>
      </c>
      <c r="M21">
        <v>0</v>
      </c>
    </row>
    <row r="23" spans="1:42">
      <c r="A23" s="2" t="s">
        <v>33</v>
      </c>
      <c r="B23" s="2" t="s">
        <v>34</v>
      </c>
      <c r="C23" s="2" t="s">
        <v>35</v>
      </c>
      <c r="D23" s="3" t="s">
        <v>36</v>
      </c>
      <c r="E23" s="2" t="s">
        <v>37</v>
      </c>
      <c r="F23" s="2" t="s">
        <v>38</v>
      </c>
      <c r="G23" s="2" t="s">
        <v>39</v>
      </c>
      <c r="H23" s="2" t="s">
        <v>40</v>
      </c>
      <c r="I23" s="2" t="s">
        <v>41</v>
      </c>
      <c r="J23" s="3" t="s">
        <v>42</v>
      </c>
      <c r="K23" s="2" t="s">
        <v>43</v>
      </c>
      <c r="L23" s="2" t="s">
        <v>44</v>
      </c>
      <c r="M23" s="2" t="s">
        <v>45</v>
      </c>
      <c r="N23" s="2" t="s">
        <v>46</v>
      </c>
      <c r="O23" s="2" t="s">
        <v>47</v>
      </c>
      <c r="P23" s="3" t="s">
        <v>48</v>
      </c>
      <c r="Q23" s="2" t="s">
        <v>49</v>
      </c>
      <c r="R23" s="2" t="s">
        <v>50</v>
      </c>
      <c r="S23" s="2" t="s">
        <v>51</v>
      </c>
      <c r="T23" s="2" t="s">
        <v>52</v>
      </c>
      <c r="U23" s="2" t="s">
        <v>53</v>
      </c>
      <c r="V23" s="3" t="s">
        <v>54</v>
      </c>
      <c r="W23" s="2" t="s">
        <v>55</v>
      </c>
      <c r="X23" s="2" t="s">
        <v>56</v>
      </c>
      <c r="Y23" s="2" t="s">
        <v>57</v>
      </c>
      <c r="Z23" s="2" t="s">
        <v>58</v>
      </c>
      <c r="AA23" s="2" t="s">
        <v>59</v>
      </c>
      <c r="AB23" s="3" t="s">
        <v>60</v>
      </c>
      <c r="AC23" s="2" t="s">
        <v>61</v>
      </c>
      <c r="AD23" s="2" t="s">
        <v>62</v>
      </c>
      <c r="AE23" s="2" t="s">
        <v>63</v>
      </c>
      <c r="AF23" s="2" t="s">
        <v>64</v>
      </c>
      <c r="AG23" s="2" t="s">
        <v>65</v>
      </c>
      <c r="AH23" s="3" t="s">
        <v>66</v>
      </c>
      <c r="AI23" s="2" t="s">
        <v>67</v>
      </c>
      <c r="AJ23" s="2" t="s">
        <v>68</v>
      </c>
      <c r="AK23" s="2" t="s">
        <v>69</v>
      </c>
      <c r="AL23" s="2" t="s">
        <v>70</v>
      </c>
      <c r="AM23" s="2" t="s">
        <v>71</v>
      </c>
      <c r="AN23" s="3" t="s">
        <v>72</v>
      </c>
      <c r="AO23" s="2" t="s">
        <v>73</v>
      </c>
      <c r="AP23" s="2" t="s">
        <v>74</v>
      </c>
    </row>
    <row r="24" spans="1:42">
      <c r="A24" s="4">
        <f>IFERROR(AVERAGEIF($B$2:$B$21,"&lt;&gt; -1"),0)</f>
        <v>69.894</v>
      </c>
      <c r="B24" s="4">
        <f>IFERROR(AVERAGEIF($D$2:$D$21,"&lt;&gt; -1"),0)</f>
        <v>70.35</v>
      </c>
      <c r="C24" s="4">
        <f>IFERROR(AVERAGEIF($F$2:$F$21,"&lt;&gt; -1"),0)</f>
        <v>82.44</v>
      </c>
      <c r="D24" s="4">
        <f>IFERROR(AVERAGEIF($H$2:$H$21,"&lt;&gt; -1"),0)</f>
        <v>85.606</v>
      </c>
      <c r="E24" s="4">
        <f>IFERROR(AVERAGEIF($J$2:$J$21,"&lt;&gt; -1"),0)</f>
        <v>0</v>
      </c>
      <c r="F24" s="4">
        <f>IFERROR(AVERAGEIF($L$2:$L$21,"&lt;&gt; -1"),0)</f>
        <v>0</v>
      </c>
      <c r="G24" s="4">
        <f>IFERROR(AVERAGEIFS($C$2:$C$21,$B$2:$B$21,"&lt;&gt; -1"),0)</f>
        <v>3646.8815</v>
      </c>
      <c r="H24" s="4">
        <f>IFERROR(AVERAGEIFS($E$2:$E$21,$D$2:$D$21,"&lt;&gt; -1"),0)</f>
        <v>3670.2525</v>
      </c>
      <c r="I24" s="4">
        <f>IFERROR(AVERAGEIFS($G$2:$G$21,$F$2:$F$21,"&lt;&gt; -1"),0)</f>
        <v>3879.50454545455</v>
      </c>
      <c r="J24" s="4">
        <f>IFERROR(AVERAGEIFS($I$2:$I$21,$H$2:$H$21,"&lt;&gt; -1"),0)</f>
        <v>3910.168</v>
      </c>
      <c r="K24" s="4">
        <f>IFERROR(AVERAGEIFS($K$2:$K$21,$J$2:$J$21,"&lt;&gt; -1"),0)</f>
        <v>0</v>
      </c>
      <c r="L24" s="4">
        <f>IFERROR(AVERAGEIFS($M$2:$M$21,$L$2:$L$21,"&lt;&gt; -1"),0)</f>
        <v>0</v>
      </c>
      <c r="M24" s="4">
        <f>IFERROR(_xlfn.MAXIFS($B$2:$B$21,$B$2:$B$21,"&lt;&gt; -1"),0)</f>
        <v>74.68</v>
      </c>
      <c r="N24" s="4">
        <f>IFERROR(_xlfn.MAXIFS($D$2:$D$21,$D$2:$D$21,"&lt;&gt;-1"),0)</f>
        <v>75.28</v>
      </c>
      <c r="O24" s="4">
        <f>IFERROR(_xlfn.MAXIFS($F$2:$F$21,$F$2:$F$21,"&lt;&gt; -1"),0)</f>
        <v>99.83</v>
      </c>
      <c r="P24" s="4">
        <f>IFERROR(_xlfn.MAXIFS($H$2:$H$21,$H$2:$H$21,"&lt;&gt; -1"),0)</f>
        <v>100.85</v>
      </c>
      <c r="Q24" s="4">
        <f>IFERROR(_xlfn.MAXIFS($J$2:$J$21,$J$2:$J$21,"&lt;&gt; -1"),0)</f>
        <v>0</v>
      </c>
      <c r="R24" s="4">
        <f>IFERROR(_xlfn.MAXIFS($L$2:$L$21,$L$2:$L$21,"&lt;&gt; -1"),0)</f>
        <v>0</v>
      </c>
      <c r="S24" s="4">
        <f>IFERROR(_xlfn.MINIFS($B$2:$B$21,$B$2:$B$21,"&lt;&gt; -1"),0)</f>
        <v>65.56</v>
      </c>
      <c r="T24" s="4">
        <f>IFERROR(_xlfn.MINIFS($D$2:$D$21,$D$2:$D$21,"&lt;&gt;-1"),0)</f>
        <v>65.52</v>
      </c>
      <c r="U24" s="4">
        <f>IFERROR(_xlfn.MINIFS($F$2:$F$21,$F$2:$F$21,"&lt;&gt; -1"),0)</f>
        <v>72.13</v>
      </c>
      <c r="V24" s="4">
        <f>IFERROR(_xlfn.MINIFS($H$2:$H$21,$H$2:$H$21,"&lt;&gt; -1"),0)</f>
        <v>73.29</v>
      </c>
      <c r="W24" s="4">
        <f>IFERROR(_xlfn.MINIFS($J$2:$J$21,$J$2:$J$21,"&lt;&gt; -1"),0)</f>
        <v>0</v>
      </c>
      <c r="X24" s="4">
        <f>IFERROR(_xlfn.MINIFS($L$2:$L$21,$L$2:$L$21,"&lt;&gt; -1"),0)</f>
        <v>0</v>
      </c>
      <c r="Y24" s="4">
        <f>IFERROR(_xlfn.MAXIFS($C$2:$C$21,$B$2:$B$21,"&lt;&gt; -1"),0)</f>
        <v>3889.83</v>
      </c>
      <c r="Z24" s="4">
        <f>IFERROR(_xlfn.MAXIFS($E$2:$E$21,$D$2:$D$21,"&lt;&gt; -1"),0)</f>
        <v>3918.69</v>
      </c>
      <c r="AA24" s="4">
        <f>IFERROR(_xlfn.MAXIFS($G$2:$G$21,$F$2:$F$21,"&lt;&gt; -1"),0)</f>
        <v>4056.12</v>
      </c>
      <c r="AB24" s="4">
        <f>IFERROR(_xlfn.MAXIFS($I$2:$I$21,$H$2:$H$21,"&lt;&gt; -1"),0)</f>
        <v>4121.11</v>
      </c>
      <c r="AC24" s="4">
        <f>IFERROR(_xlfn.MAXIFS($K$2:$K$21,$J$2:$J$21,"&lt;&gt; -1"),0)</f>
        <v>0</v>
      </c>
      <c r="AD24" s="4">
        <f>IFERROR(_xlfn.MAXIFS($M$2:$M$21,$L$2:$L$21,"&lt;&gt; -1"),0)</f>
        <v>0</v>
      </c>
      <c r="AE24" s="4">
        <f>IFERROR(_xlfn.MINIFS($C$2:$C$21,$B$2:$B$21,"&lt;&gt; -1"),0)</f>
        <v>3292.22</v>
      </c>
      <c r="AF24" s="4">
        <f>IFERROR(_xlfn.MINIFS($E$2:$E$21,$D$2:$D$21,"&lt;&gt; -1"),0)</f>
        <v>3397.45</v>
      </c>
      <c r="AG24" s="4">
        <f>IFERROR(_xlfn.MINIFS($G$2:$G$21,$F$2:$F$21,"&lt;&gt; -1"),0)</f>
        <v>3591.5</v>
      </c>
      <c r="AH24" s="4">
        <f>IFERROR(_xlfn.MINIFS($I$2:$I$21,$H$2:$H$21,"&lt;&gt; -1"),0)</f>
        <v>3682.05</v>
      </c>
      <c r="AI24" s="4">
        <f>IFERROR(_xlfn.MINIFS($K$2:$K$21,$J$2:$J$21,"&lt;&gt; -1"),0)</f>
        <v>0</v>
      </c>
      <c r="AJ24" s="4">
        <f>IFERROR(_xlfn.MINIFS($M$2:$M$21,$L$2:$L$21,"&lt;&gt; -1"),0)</f>
        <v>0</v>
      </c>
      <c r="AK24" s="4">
        <f>(COUNTIFS($B$2:$B$21,"&gt;0.0",$B$2:$B$21,"&lt;100.0"))/20</f>
        <v>1</v>
      </c>
      <c r="AL24" s="4">
        <f>(COUNTIFS($D$2:$D$21,"&gt;0.0",$D$2:$D$21,"&lt;100.0"))/20</f>
        <v>1</v>
      </c>
      <c r="AM24" s="4">
        <f>(COUNTIFS($F$2:$F$21,"&gt;0.0",$F$2:$F$21,"&lt;100.0"))/20</f>
        <v>0.55</v>
      </c>
      <c r="AN24" s="4">
        <f>(COUNTIFS($H$2:$H$21,"&gt;0.0",$H$2:$H$21,"&lt;100.0"))/20</f>
        <v>0.45</v>
      </c>
      <c r="AO24" s="4">
        <f>(COUNTIFS($J$2:$J$21,"&gt;0.0",$J$2:$J$21,"&lt;100.0"))/20</f>
        <v>0</v>
      </c>
      <c r="AP24" s="4">
        <f>(COUNTIFS($L$2:$L$21,"&gt;0.0",$L$2:$L$21,"&lt;100.0"))/20</f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5"/>
  <sheetViews>
    <sheetView workbookViewId="0">
      <selection activeCell="A25" sqref="$A25:$XFD25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74.73</v>
      </c>
      <c r="C2">
        <v>3799.08</v>
      </c>
      <c r="D2">
        <v>75.24</v>
      </c>
      <c r="E2">
        <v>3949.36</v>
      </c>
      <c r="F2">
        <v>89.49</v>
      </c>
      <c r="G2">
        <v>4022.14</v>
      </c>
      <c r="H2">
        <v>88.26</v>
      </c>
      <c r="I2">
        <v>4174.71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77.44</v>
      </c>
      <c r="C3">
        <v>3764.55</v>
      </c>
      <c r="D3">
        <v>77.91</v>
      </c>
      <c r="E3">
        <v>3707.77</v>
      </c>
      <c r="F3">
        <v>-1</v>
      </c>
      <c r="G3">
        <v>0</v>
      </c>
      <c r="H3">
        <v>-1</v>
      </c>
      <c r="I3">
        <v>0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69.41</v>
      </c>
      <c r="C4">
        <v>3507.52</v>
      </c>
      <c r="D4">
        <v>70.06</v>
      </c>
      <c r="E4">
        <v>3499.88</v>
      </c>
      <c r="F4">
        <v>78.62</v>
      </c>
      <c r="G4">
        <v>3809.91</v>
      </c>
      <c r="H4">
        <v>81.59</v>
      </c>
      <c r="I4">
        <v>3789.21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72.91</v>
      </c>
      <c r="C5">
        <v>3603.09</v>
      </c>
      <c r="D5">
        <v>73.4</v>
      </c>
      <c r="E5">
        <v>3708.56</v>
      </c>
      <c r="F5">
        <v>-1</v>
      </c>
      <c r="G5">
        <v>0</v>
      </c>
      <c r="H5">
        <v>-1</v>
      </c>
      <c r="I5">
        <v>909.31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76.23</v>
      </c>
      <c r="C6">
        <v>3232.92</v>
      </c>
      <c r="D6">
        <v>76.57</v>
      </c>
      <c r="E6">
        <v>3445.61</v>
      </c>
      <c r="F6">
        <v>83.63</v>
      </c>
      <c r="G6">
        <v>3500.3</v>
      </c>
      <c r="H6">
        <v>84.03</v>
      </c>
      <c r="I6">
        <v>3664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81.12</v>
      </c>
      <c r="C7">
        <v>3576.51</v>
      </c>
      <c r="D7">
        <v>81.69</v>
      </c>
      <c r="E7">
        <v>3562.55</v>
      </c>
      <c r="F7">
        <v>-1</v>
      </c>
      <c r="G7">
        <v>967.56</v>
      </c>
      <c r="H7">
        <v>-1</v>
      </c>
      <c r="I7">
        <v>0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77.2</v>
      </c>
      <c r="C8">
        <v>3651.47</v>
      </c>
      <c r="D8">
        <v>77.84</v>
      </c>
      <c r="E8">
        <v>3401.27</v>
      </c>
      <c r="F8">
        <v>82.39</v>
      </c>
      <c r="G8">
        <v>3940.5</v>
      </c>
      <c r="H8">
        <v>83.83</v>
      </c>
      <c r="I8">
        <v>3656.7</v>
      </c>
      <c r="J8">
        <v>99.76</v>
      </c>
      <c r="K8">
        <v>3651.02</v>
      </c>
      <c r="L8">
        <v>-1</v>
      </c>
      <c r="M8">
        <v>332.42</v>
      </c>
    </row>
    <row r="9" spans="1:13">
      <c r="A9" t="s">
        <v>20</v>
      </c>
      <c r="B9">
        <v>77.56</v>
      </c>
      <c r="C9">
        <v>3875.23</v>
      </c>
      <c r="D9">
        <v>77.86</v>
      </c>
      <c r="E9">
        <v>3775.8</v>
      </c>
      <c r="F9">
        <v>94.37</v>
      </c>
      <c r="G9">
        <v>4048.54</v>
      </c>
      <c r="H9">
        <v>86.81</v>
      </c>
      <c r="I9">
        <v>3968.63</v>
      </c>
      <c r="J9">
        <v>-1</v>
      </c>
      <c r="K9">
        <v>0</v>
      </c>
      <c r="L9">
        <v>-1</v>
      </c>
      <c r="M9">
        <v>0</v>
      </c>
    </row>
    <row r="10" spans="1:13">
      <c r="A10" t="s">
        <v>21</v>
      </c>
      <c r="B10">
        <v>81.03</v>
      </c>
      <c r="C10">
        <v>3548.09</v>
      </c>
      <c r="D10">
        <v>81.62</v>
      </c>
      <c r="E10">
        <v>3670.87</v>
      </c>
      <c r="F10">
        <v>85.97</v>
      </c>
      <c r="G10">
        <v>3858.94</v>
      </c>
      <c r="H10">
        <v>91.53</v>
      </c>
      <c r="I10">
        <v>3971.98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88.07</v>
      </c>
      <c r="C11">
        <v>3610.59</v>
      </c>
      <c r="D11">
        <v>88.65</v>
      </c>
      <c r="E11">
        <v>3411.62</v>
      </c>
      <c r="F11">
        <v>-1</v>
      </c>
      <c r="G11">
        <v>0</v>
      </c>
      <c r="H11">
        <v>-1</v>
      </c>
      <c r="I11">
        <v>0</v>
      </c>
      <c r="J11">
        <v>-1</v>
      </c>
      <c r="K11">
        <v>0</v>
      </c>
      <c r="L11">
        <v>-1</v>
      </c>
      <c r="M11">
        <v>0</v>
      </c>
    </row>
    <row r="12" spans="1:13">
      <c r="A12" t="s">
        <v>23</v>
      </c>
      <c r="B12">
        <v>81.35</v>
      </c>
      <c r="C12">
        <v>3666.89</v>
      </c>
      <c r="D12">
        <v>81.68</v>
      </c>
      <c r="E12">
        <v>3748.26</v>
      </c>
      <c r="F12">
        <v>91</v>
      </c>
      <c r="G12">
        <v>3945.38</v>
      </c>
      <c r="H12">
        <v>90.25</v>
      </c>
      <c r="I12">
        <v>4050.42</v>
      </c>
      <c r="J12">
        <v>-1</v>
      </c>
      <c r="K12">
        <v>555.45</v>
      </c>
      <c r="L12">
        <v>-1</v>
      </c>
      <c r="M12">
        <v>0</v>
      </c>
    </row>
    <row r="13" spans="1:13">
      <c r="A13" t="s">
        <v>24</v>
      </c>
      <c r="B13">
        <v>72.66</v>
      </c>
      <c r="C13">
        <v>3619.62</v>
      </c>
      <c r="D13">
        <v>73.28</v>
      </c>
      <c r="E13">
        <v>3541.61</v>
      </c>
      <c r="F13">
        <v>-1</v>
      </c>
      <c r="G13">
        <v>0</v>
      </c>
      <c r="H13">
        <v>-1</v>
      </c>
      <c r="I13">
        <v>0</v>
      </c>
      <c r="J13">
        <v>-1</v>
      </c>
      <c r="K13">
        <v>0</v>
      </c>
      <c r="L13">
        <v>-1</v>
      </c>
      <c r="M13">
        <v>0</v>
      </c>
    </row>
    <row r="14" spans="1:13">
      <c r="A14" t="s">
        <v>25</v>
      </c>
      <c r="B14">
        <v>87.19</v>
      </c>
      <c r="C14">
        <v>3523.79</v>
      </c>
      <c r="D14">
        <v>87.76</v>
      </c>
      <c r="E14">
        <v>3403.56</v>
      </c>
      <c r="F14">
        <v>95.85</v>
      </c>
      <c r="G14">
        <v>3829.65</v>
      </c>
      <c r="H14">
        <v>97.24</v>
      </c>
      <c r="I14">
        <v>3679.66</v>
      </c>
      <c r="J14">
        <v>-1</v>
      </c>
      <c r="K14">
        <v>0</v>
      </c>
      <c r="L14">
        <v>-1</v>
      </c>
      <c r="M14">
        <v>483.59</v>
      </c>
    </row>
    <row r="15" spans="1:13">
      <c r="A15" t="s">
        <v>26</v>
      </c>
      <c r="B15">
        <v>83.78</v>
      </c>
      <c r="C15">
        <v>3721.9</v>
      </c>
      <c r="D15">
        <v>83.93</v>
      </c>
      <c r="E15">
        <v>3903.14</v>
      </c>
      <c r="F15">
        <v>-1</v>
      </c>
      <c r="G15">
        <v>0</v>
      </c>
      <c r="H15">
        <v>-1</v>
      </c>
      <c r="I15">
        <v>0</v>
      </c>
      <c r="J15">
        <v>-1</v>
      </c>
      <c r="K15">
        <v>0</v>
      </c>
      <c r="L15">
        <v>-1</v>
      </c>
      <c r="M15">
        <v>0</v>
      </c>
    </row>
    <row r="16" spans="1:13">
      <c r="A16" t="s">
        <v>27</v>
      </c>
      <c r="B16">
        <v>87.34</v>
      </c>
      <c r="C16">
        <v>3851.43</v>
      </c>
      <c r="D16">
        <v>87.93</v>
      </c>
      <c r="E16">
        <v>3790.91</v>
      </c>
      <c r="F16">
        <v>-1</v>
      </c>
      <c r="G16">
        <v>4104.1</v>
      </c>
      <c r="H16">
        <v>-1</v>
      </c>
      <c r="I16">
        <v>978.63</v>
      </c>
      <c r="J16">
        <v>-1</v>
      </c>
      <c r="K16">
        <v>0</v>
      </c>
      <c r="L16">
        <v>-1</v>
      </c>
      <c r="M16">
        <v>0</v>
      </c>
    </row>
    <row r="17" spans="1:13">
      <c r="A17" t="s">
        <v>28</v>
      </c>
      <c r="B17">
        <v>76.15</v>
      </c>
      <c r="C17">
        <v>3760.26</v>
      </c>
      <c r="D17">
        <v>76.63</v>
      </c>
      <c r="E17">
        <v>3554.51</v>
      </c>
      <c r="F17">
        <v>84.34</v>
      </c>
      <c r="G17">
        <v>4073.04</v>
      </c>
      <c r="H17">
        <v>87.53</v>
      </c>
      <c r="I17">
        <v>3764.97</v>
      </c>
      <c r="J17">
        <v>-1</v>
      </c>
      <c r="K17">
        <v>0</v>
      </c>
      <c r="L17">
        <v>-1</v>
      </c>
      <c r="M17">
        <v>0</v>
      </c>
    </row>
    <row r="18" spans="1:13">
      <c r="A18" t="s">
        <v>29</v>
      </c>
      <c r="B18">
        <v>83.87</v>
      </c>
      <c r="C18">
        <v>3516.68</v>
      </c>
      <c r="D18">
        <v>84.61</v>
      </c>
      <c r="E18">
        <v>3673.5</v>
      </c>
      <c r="F18">
        <v>93.78</v>
      </c>
      <c r="G18">
        <v>3760.47</v>
      </c>
      <c r="H18">
        <v>94.86</v>
      </c>
      <c r="I18">
        <v>3877.11</v>
      </c>
      <c r="J18">
        <v>-1</v>
      </c>
      <c r="K18">
        <v>0</v>
      </c>
      <c r="L18">
        <v>-1</v>
      </c>
      <c r="M18">
        <v>0</v>
      </c>
    </row>
    <row r="19" spans="1:13">
      <c r="A19" t="s">
        <v>30</v>
      </c>
      <c r="B19">
        <v>77.06</v>
      </c>
      <c r="C19">
        <v>3504.56</v>
      </c>
      <c r="D19">
        <v>77.55</v>
      </c>
      <c r="E19">
        <v>3452.28</v>
      </c>
      <c r="F19">
        <v>85.62</v>
      </c>
      <c r="G19">
        <v>3810.75</v>
      </c>
      <c r="H19">
        <v>88.85</v>
      </c>
      <c r="I19">
        <v>3685.57</v>
      </c>
      <c r="J19">
        <v>-1</v>
      </c>
      <c r="K19">
        <v>0</v>
      </c>
      <c r="L19">
        <v>-1</v>
      </c>
      <c r="M19">
        <v>0</v>
      </c>
    </row>
    <row r="20" spans="1:13">
      <c r="A20" t="s">
        <v>31</v>
      </c>
      <c r="B20">
        <v>75.38</v>
      </c>
      <c r="C20">
        <v>3900.12</v>
      </c>
      <c r="D20">
        <v>75.62</v>
      </c>
      <c r="E20">
        <v>3898.04</v>
      </c>
      <c r="F20">
        <v>-1</v>
      </c>
      <c r="G20">
        <v>0</v>
      </c>
      <c r="H20">
        <v>-1</v>
      </c>
      <c r="I20">
        <v>3839.9</v>
      </c>
      <c r="J20">
        <v>-1</v>
      </c>
      <c r="K20">
        <v>0</v>
      </c>
      <c r="L20">
        <v>-1</v>
      </c>
      <c r="M20">
        <v>0</v>
      </c>
    </row>
    <row r="21" spans="1:13">
      <c r="A21" t="s">
        <v>32</v>
      </c>
      <c r="B21">
        <v>81.08</v>
      </c>
      <c r="C21">
        <v>3780.9</v>
      </c>
      <c r="D21">
        <v>81.61</v>
      </c>
      <c r="E21">
        <v>3690.39</v>
      </c>
      <c r="F21">
        <v>-1</v>
      </c>
      <c r="G21">
        <v>0</v>
      </c>
      <c r="H21">
        <v>-1</v>
      </c>
      <c r="I21">
        <v>0</v>
      </c>
      <c r="J21">
        <v>-1</v>
      </c>
      <c r="K21">
        <v>0</v>
      </c>
      <c r="L21">
        <v>-1</v>
      </c>
      <c r="M21">
        <v>0</v>
      </c>
    </row>
    <row r="24" spans="1:42">
      <c r="A24" s="2" t="s">
        <v>33</v>
      </c>
      <c r="B24" s="2" t="s">
        <v>34</v>
      </c>
      <c r="C24" s="2" t="s">
        <v>35</v>
      </c>
      <c r="D24" s="3" t="s">
        <v>36</v>
      </c>
      <c r="E24" s="2" t="s">
        <v>37</v>
      </c>
      <c r="F24" s="2" t="s">
        <v>38</v>
      </c>
      <c r="G24" s="2" t="s">
        <v>39</v>
      </c>
      <c r="H24" s="2" t="s">
        <v>40</v>
      </c>
      <c r="I24" s="2" t="s">
        <v>41</v>
      </c>
      <c r="J24" s="3" t="s">
        <v>42</v>
      </c>
      <c r="K24" s="2" t="s">
        <v>43</v>
      </c>
      <c r="L24" s="2" t="s">
        <v>44</v>
      </c>
      <c r="M24" s="2" t="s">
        <v>45</v>
      </c>
      <c r="N24" s="2" t="s">
        <v>46</v>
      </c>
      <c r="O24" s="2" t="s">
        <v>47</v>
      </c>
      <c r="P24" s="3" t="s">
        <v>48</v>
      </c>
      <c r="Q24" s="2" t="s">
        <v>49</v>
      </c>
      <c r="R24" s="2" t="s">
        <v>50</v>
      </c>
      <c r="S24" s="2" t="s">
        <v>51</v>
      </c>
      <c r="T24" s="2" t="s">
        <v>52</v>
      </c>
      <c r="U24" s="2" t="s">
        <v>53</v>
      </c>
      <c r="V24" s="3" t="s">
        <v>54</v>
      </c>
      <c r="W24" s="2" t="s">
        <v>55</v>
      </c>
      <c r="X24" s="2" t="s">
        <v>56</v>
      </c>
      <c r="Y24" s="2" t="s">
        <v>57</v>
      </c>
      <c r="Z24" s="2" t="s">
        <v>58</v>
      </c>
      <c r="AA24" s="2" t="s">
        <v>59</v>
      </c>
      <c r="AB24" s="3" t="s">
        <v>60</v>
      </c>
      <c r="AC24" s="2" t="s">
        <v>61</v>
      </c>
      <c r="AD24" s="2" t="s">
        <v>62</v>
      </c>
      <c r="AE24" s="2" t="s">
        <v>63</v>
      </c>
      <c r="AF24" s="2" t="s">
        <v>64</v>
      </c>
      <c r="AG24" s="2" t="s">
        <v>65</v>
      </c>
      <c r="AH24" s="3" t="s">
        <v>66</v>
      </c>
      <c r="AI24" s="2" t="s">
        <v>67</v>
      </c>
      <c r="AJ24" s="2" t="s">
        <v>68</v>
      </c>
      <c r="AK24" s="2" t="s">
        <v>69</v>
      </c>
      <c r="AL24" s="2" t="s">
        <v>70</v>
      </c>
      <c r="AM24" s="2" t="s">
        <v>71</v>
      </c>
      <c r="AN24" s="3" t="s">
        <v>72</v>
      </c>
      <c r="AO24" s="2" t="s">
        <v>73</v>
      </c>
      <c r="AP24" s="2" t="s">
        <v>74</v>
      </c>
    </row>
    <row r="25" spans="1:42">
      <c r="A25" s="4">
        <f>IFERROR(AVERAGEIF($B$2:$B$21,"&lt;&gt; -1"),0)</f>
        <v>79.078</v>
      </c>
      <c r="B25" s="4">
        <f>IFERROR(AVERAGEIF($D$2:$D$21,"&lt;&gt; -1"),0)</f>
        <v>79.572</v>
      </c>
      <c r="C25" s="4">
        <f>IFERROR(AVERAGEIF($F$2:$F$21,"&lt;&gt; -1"),0)</f>
        <v>87.7327272727273</v>
      </c>
      <c r="D25" s="4">
        <f>IFERROR(AVERAGEIF($H$2:$H$21,"&lt;&gt; -1"),0)</f>
        <v>88.6163636363636</v>
      </c>
      <c r="E25" s="4">
        <f>IFERROR(AVERAGEIF($J$2:$J$21,"&lt;&gt; -1"),0)</f>
        <v>99.76</v>
      </c>
      <c r="F25" s="4">
        <f>IFERROR(AVERAGEIF($L$2:$L$21,"&lt;&gt; -1"),0)</f>
        <v>0</v>
      </c>
      <c r="G25" s="4">
        <f>IFERROR(AVERAGEIFS($C$2:$C$21,$B$2:$B$21,"&lt;&gt; -1"),0)</f>
        <v>3650.76</v>
      </c>
      <c r="H25" s="4">
        <f>IFERROR(AVERAGEIFS($E$2:$E$21,$D$2:$D$21,"&lt;&gt; -1"),0)</f>
        <v>3639.4745</v>
      </c>
      <c r="I25" s="4">
        <f>IFERROR(AVERAGEIFS($G$2:$G$21,$F$2:$F$21,"&lt;&gt; -1"),0)</f>
        <v>3872.69272727273</v>
      </c>
      <c r="J25" s="4">
        <f>IFERROR(AVERAGEIFS($I$2:$I$21,$H$2:$H$21,"&lt;&gt; -1"),0)</f>
        <v>3843.90545454545</v>
      </c>
      <c r="K25" s="4">
        <f>IFERROR(AVERAGEIFS($K$2:$K$21,$J$2:$J$21,"&lt;&gt; -1"),0)</f>
        <v>3651.02</v>
      </c>
      <c r="L25" s="4">
        <f>IFERROR(AVERAGEIFS($M$2:$M$21,$L$2:$L$21,"&lt;&gt; -1"),0)</f>
        <v>0</v>
      </c>
      <c r="M25" s="4">
        <f>IFERROR(_xlfn.MAXIFS($B$2:$B$21,$B$2:$B$21,"&lt;&gt; -1"),0)</f>
        <v>88.07</v>
      </c>
      <c r="N25" s="4">
        <f>IFERROR(_xlfn.MAXIFS($D$2:$D$21,$D$2:$D$21,"&lt;&gt;-1"),0)</f>
        <v>88.65</v>
      </c>
      <c r="O25" s="4">
        <f>IFERROR(_xlfn.MAXIFS($F$2:$F$21,$F$2:$F$21,"&lt;&gt; -1"),0)</f>
        <v>95.85</v>
      </c>
      <c r="P25" s="4">
        <f>IFERROR(_xlfn.MAXIFS($H$2:$H$21,$H$2:$H$21,"&lt;&gt; -1"),0)</f>
        <v>97.24</v>
      </c>
      <c r="Q25" s="4">
        <f>IFERROR(_xlfn.MAXIFS($J$2:$J$21,$J$2:$J$21,"&lt;&gt; -1"),0)</f>
        <v>99.76</v>
      </c>
      <c r="R25" s="4">
        <f>IFERROR(_xlfn.MAXIFS($L$2:$L$21,$L$2:$L$21,"&lt;&gt; -1"),0)</f>
        <v>0</v>
      </c>
      <c r="S25" s="4">
        <f>IFERROR(_xlfn.MINIFS($B$2:$B$21,$B$2:$B$21,"&lt;&gt; -1"),0)</f>
        <v>69.41</v>
      </c>
      <c r="T25" s="4">
        <f>IFERROR(_xlfn.MINIFS($D$2:$D$21,$D$2:$D$21,"&lt;&gt;-1"),0)</f>
        <v>70.06</v>
      </c>
      <c r="U25" s="4">
        <f>IFERROR(_xlfn.MINIFS($F$2:$F$21,$F$2:$F$21,"&lt;&gt; -1"),0)</f>
        <v>78.62</v>
      </c>
      <c r="V25" s="4">
        <f>IFERROR(_xlfn.MINIFS($H$2:$H$21,$H$2:$H$21,"&lt;&gt; -1"),0)</f>
        <v>81.59</v>
      </c>
      <c r="W25" s="4">
        <f>IFERROR(_xlfn.MINIFS($J$2:$J$21,$J$2:$J$21,"&lt;&gt; -1"),0)</f>
        <v>99.76</v>
      </c>
      <c r="X25" s="4">
        <f>IFERROR(_xlfn.MINIFS($L$2:$L$21,$L$2:$L$21,"&lt;&gt; -1"),0)</f>
        <v>0</v>
      </c>
      <c r="Y25" s="4">
        <f>IFERROR(_xlfn.MAXIFS($C$2:$C$21,$B$2:$B$21,"&lt;&gt; -1"),0)</f>
        <v>3900.12</v>
      </c>
      <c r="Z25" s="4">
        <f>IFERROR(_xlfn.MAXIFS($E$2:$E$21,$D$2:$D$21,"&lt;&gt; -1"),0)</f>
        <v>3949.36</v>
      </c>
      <c r="AA25" s="4">
        <f>IFERROR(_xlfn.MAXIFS($G$2:$G$21,$F$2:$F$21,"&lt;&gt; -1"),0)</f>
        <v>4073.04</v>
      </c>
      <c r="AB25" s="4">
        <f>IFERROR(_xlfn.MAXIFS($I$2:$I$21,$H$2:$H$21,"&lt;&gt; -1"),0)</f>
        <v>4174.71</v>
      </c>
      <c r="AC25" s="4">
        <f>IFERROR(_xlfn.MAXIFS($K$2:$K$21,$J$2:$J$21,"&lt;&gt; -1"),0)</f>
        <v>3651.02</v>
      </c>
      <c r="AD25" s="4">
        <f>IFERROR(_xlfn.MAXIFS($M$2:$M$21,$L$2:$L$21,"&lt;&gt; -1"),0)</f>
        <v>0</v>
      </c>
      <c r="AE25" s="4">
        <f>IFERROR(_xlfn.MINIFS($C$2:$C$21,$B$2:$B$21,"&lt;&gt; -1"),0)</f>
        <v>3232.92</v>
      </c>
      <c r="AF25" s="4">
        <f>IFERROR(_xlfn.MINIFS($E$2:$E$21,$D$2:$D$21,"&lt;&gt; -1"),0)</f>
        <v>3401.27</v>
      </c>
      <c r="AG25" s="4">
        <f>IFERROR(_xlfn.MINIFS($G$2:$G$21,$F$2:$F$21,"&lt;&gt; -1"),0)</f>
        <v>3500.3</v>
      </c>
      <c r="AH25" s="4">
        <f>IFERROR(_xlfn.MINIFS($I$2:$I$21,$H$2:$H$21,"&lt;&gt; -1"),0)</f>
        <v>3656.7</v>
      </c>
      <c r="AI25" s="4">
        <f>IFERROR(_xlfn.MINIFS($K$2:$K$21,$J$2:$J$21,"&lt;&gt; -1"),0)</f>
        <v>3651.02</v>
      </c>
      <c r="AJ25" s="4">
        <f>IFERROR(_xlfn.MINIFS($M$2:$M$21,$L$2:$L$21,"&lt;&gt; -1"),0)</f>
        <v>0</v>
      </c>
      <c r="AK25" s="4">
        <f>(COUNTIFS($B$2:$B$21,"&gt;0.0",$B$2:$B$21,"&lt;100.0"))/20</f>
        <v>1</v>
      </c>
      <c r="AL25" s="4">
        <f>(COUNTIFS($D$2:$D$21,"&gt;0.0",$D$2:$D$21,"&lt;100.0"))/20</f>
        <v>1</v>
      </c>
      <c r="AM25" s="4">
        <f>(COUNTIFS($F$2:$F$21,"&gt;0.0",$F$2:$F$21,"&lt;100.0"))/20</f>
        <v>0.55</v>
      </c>
      <c r="AN25" s="4">
        <f>(COUNTIFS($H$2:$H$21,"&gt;0.0",$H$2:$H$21,"&lt;100.0"))/20</f>
        <v>0.55</v>
      </c>
      <c r="AO25" s="4">
        <f>(COUNTIFS($J$2:$J$21,"&gt;0.0",$J$2:$J$21,"&lt;100.0"))/20</f>
        <v>0.05</v>
      </c>
      <c r="AP25" s="4">
        <f>(COUNTIFS($L$2:$L$21,"&gt;0.0",$L$2:$L$21,"&lt;100.0"))/20</f>
        <v>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6"/>
  <sheetViews>
    <sheetView workbookViewId="0">
      <selection activeCell="A26" sqref="$A26:$XFD26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70.76</v>
      </c>
      <c r="C2">
        <v>3911.66</v>
      </c>
      <c r="D2">
        <v>71.28</v>
      </c>
      <c r="E2">
        <v>3926.66</v>
      </c>
      <c r="F2">
        <v>89.5</v>
      </c>
      <c r="G2">
        <v>4135.37</v>
      </c>
      <c r="H2">
        <v>-1</v>
      </c>
      <c r="I2">
        <v>0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70.21</v>
      </c>
      <c r="C3">
        <v>3815.68</v>
      </c>
      <c r="D3">
        <v>70.67</v>
      </c>
      <c r="E3">
        <v>3786.17</v>
      </c>
      <c r="F3">
        <v>-1</v>
      </c>
      <c r="G3">
        <v>1330.15</v>
      </c>
      <c r="H3">
        <v>-1</v>
      </c>
      <c r="I3">
        <v>0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65.14</v>
      </c>
      <c r="C4">
        <v>3740.67</v>
      </c>
      <c r="D4">
        <v>65.61</v>
      </c>
      <c r="E4">
        <v>3637.82</v>
      </c>
      <c r="F4">
        <v>85.17</v>
      </c>
      <c r="G4">
        <v>3948.55</v>
      </c>
      <c r="H4">
        <v>-1</v>
      </c>
      <c r="I4">
        <v>0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65.97</v>
      </c>
      <c r="C5">
        <v>3663.92</v>
      </c>
      <c r="D5">
        <v>66.32</v>
      </c>
      <c r="E5">
        <v>3477.45</v>
      </c>
      <c r="F5">
        <v>-1</v>
      </c>
      <c r="G5">
        <v>0</v>
      </c>
      <c r="H5">
        <v>-1</v>
      </c>
      <c r="I5">
        <v>0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62.3</v>
      </c>
      <c r="C6">
        <v>3468.09</v>
      </c>
      <c r="D6">
        <v>62.89</v>
      </c>
      <c r="E6">
        <v>3431.24</v>
      </c>
      <c r="F6">
        <v>-1</v>
      </c>
      <c r="G6">
        <v>0</v>
      </c>
      <c r="H6">
        <v>-1</v>
      </c>
      <c r="I6">
        <v>0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63.69</v>
      </c>
      <c r="C7">
        <v>3564.36</v>
      </c>
      <c r="D7">
        <v>64.22</v>
      </c>
      <c r="E7">
        <v>3532.31</v>
      </c>
      <c r="F7">
        <v>-1</v>
      </c>
      <c r="G7">
        <v>0</v>
      </c>
      <c r="H7">
        <v>-1</v>
      </c>
      <c r="I7">
        <v>0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63.88</v>
      </c>
      <c r="C8">
        <v>3614.29</v>
      </c>
      <c r="D8">
        <v>64.59</v>
      </c>
      <c r="E8">
        <v>3610.32</v>
      </c>
      <c r="F8">
        <v>-1</v>
      </c>
      <c r="G8">
        <v>0</v>
      </c>
      <c r="H8">
        <v>-1</v>
      </c>
      <c r="I8">
        <v>1265.46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68.72</v>
      </c>
      <c r="C9">
        <v>3774.08</v>
      </c>
      <c r="D9">
        <v>69.22</v>
      </c>
      <c r="E9">
        <v>3893.16</v>
      </c>
      <c r="F9">
        <v>-1</v>
      </c>
      <c r="G9">
        <v>0</v>
      </c>
      <c r="H9">
        <v>-1</v>
      </c>
      <c r="I9">
        <v>0</v>
      </c>
      <c r="J9">
        <v>-1</v>
      </c>
      <c r="K9">
        <v>0</v>
      </c>
      <c r="L9">
        <v>-1</v>
      </c>
      <c r="M9">
        <v>0</v>
      </c>
    </row>
    <row r="10" spans="1:13">
      <c r="A10" t="s">
        <v>21</v>
      </c>
      <c r="B10">
        <v>65.9</v>
      </c>
      <c r="C10">
        <v>3715.67</v>
      </c>
      <c r="D10">
        <v>66.42</v>
      </c>
      <c r="E10">
        <v>3647.06</v>
      </c>
      <c r="F10">
        <v>-1</v>
      </c>
      <c r="G10">
        <v>0</v>
      </c>
      <c r="H10">
        <v>-1</v>
      </c>
      <c r="I10">
        <v>0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66.84</v>
      </c>
      <c r="C11">
        <v>3680.48</v>
      </c>
      <c r="D11">
        <v>67.38</v>
      </c>
      <c r="E11">
        <v>3834.56</v>
      </c>
      <c r="F11">
        <v>82.43</v>
      </c>
      <c r="G11">
        <v>3926.33</v>
      </c>
      <c r="H11">
        <v>78.58</v>
      </c>
      <c r="I11">
        <v>4103.33</v>
      </c>
      <c r="J11">
        <v>-1</v>
      </c>
      <c r="K11">
        <v>0</v>
      </c>
      <c r="L11">
        <v>-1</v>
      </c>
      <c r="M11">
        <v>0</v>
      </c>
    </row>
    <row r="12" spans="1:13">
      <c r="A12" t="s">
        <v>23</v>
      </c>
      <c r="B12">
        <v>67.53</v>
      </c>
      <c r="C12">
        <v>3797.43</v>
      </c>
      <c r="D12">
        <v>68.21</v>
      </c>
      <c r="E12">
        <v>3922.79</v>
      </c>
      <c r="F12">
        <v>-1</v>
      </c>
      <c r="G12">
        <v>1056</v>
      </c>
      <c r="H12">
        <v>-1</v>
      </c>
      <c r="I12">
        <v>1025.13</v>
      </c>
      <c r="J12">
        <v>-1</v>
      </c>
      <c r="K12">
        <v>0</v>
      </c>
      <c r="L12">
        <v>-1</v>
      </c>
      <c r="M12">
        <v>0</v>
      </c>
    </row>
    <row r="13" spans="1:13">
      <c r="A13" t="s">
        <v>24</v>
      </c>
      <c r="B13">
        <v>64.16</v>
      </c>
      <c r="C13">
        <v>3638.56</v>
      </c>
      <c r="D13">
        <v>64.72</v>
      </c>
      <c r="E13">
        <v>3531.58</v>
      </c>
      <c r="F13">
        <v>-1</v>
      </c>
      <c r="G13">
        <v>0</v>
      </c>
      <c r="H13">
        <v>-1</v>
      </c>
      <c r="I13">
        <v>0</v>
      </c>
      <c r="J13">
        <v>-1</v>
      </c>
      <c r="K13">
        <v>0</v>
      </c>
      <c r="L13">
        <v>-1</v>
      </c>
      <c r="M13">
        <v>0</v>
      </c>
    </row>
    <row r="14" spans="1:13">
      <c r="A14" t="s">
        <v>25</v>
      </c>
      <c r="B14">
        <v>67.32</v>
      </c>
      <c r="C14">
        <v>3655.23</v>
      </c>
      <c r="D14">
        <v>67.9</v>
      </c>
      <c r="E14">
        <v>3608.88</v>
      </c>
      <c r="F14">
        <v>-1</v>
      </c>
      <c r="G14">
        <v>0</v>
      </c>
      <c r="H14">
        <v>-1</v>
      </c>
      <c r="I14">
        <v>1168.43</v>
      </c>
      <c r="J14">
        <v>-1</v>
      </c>
      <c r="K14">
        <v>0</v>
      </c>
      <c r="L14">
        <v>-1</v>
      </c>
      <c r="M14">
        <v>0</v>
      </c>
    </row>
    <row r="15" spans="1:13">
      <c r="A15" t="s">
        <v>26</v>
      </c>
      <c r="B15">
        <v>69.96</v>
      </c>
      <c r="C15">
        <v>3906.22</v>
      </c>
      <c r="D15">
        <v>70.64</v>
      </c>
      <c r="E15">
        <v>4027.55</v>
      </c>
      <c r="F15">
        <v>-1</v>
      </c>
      <c r="G15">
        <v>0</v>
      </c>
      <c r="H15">
        <v>-1</v>
      </c>
      <c r="I15">
        <v>1046.23</v>
      </c>
      <c r="J15">
        <v>-1</v>
      </c>
      <c r="K15">
        <v>0</v>
      </c>
      <c r="L15">
        <v>-1</v>
      </c>
      <c r="M15">
        <v>0</v>
      </c>
    </row>
    <row r="16" spans="1:13">
      <c r="A16" t="s">
        <v>27</v>
      </c>
      <c r="B16">
        <v>68.79</v>
      </c>
      <c r="C16">
        <v>3832.35</v>
      </c>
      <c r="D16">
        <v>69.5</v>
      </c>
      <c r="E16">
        <v>3695.96</v>
      </c>
      <c r="F16">
        <v>-1</v>
      </c>
      <c r="G16">
        <v>1259.37</v>
      </c>
      <c r="H16">
        <v>-1</v>
      </c>
      <c r="I16">
        <v>0</v>
      </c>
      <c r="J16">
        <v>-1</v>
      </c>
      <c r="K16">
        <v>0</v>
      </c>
      <c r="L16">
        <v>-1</v>
      </c>
      <c r="M16">
        <v>0</v>
      </c>
    </row>
    <row r="17" spans="1:13">
      <c r="A17" t="s">
        <v>28</v>
      </c>
      <c r="B17">
        <v>87.97</v>
      </c>
      <c r="C17">
        <v>3734.16</v>
      </c>
      <c r="D17">
        <v>89.08</v>
      </c>
      <c r="E17">
        <v>3725.23</v>
      </c>
      <c r="F17">
        <v>-1</v>
      </c>
      <c r="G17">
        <v>0</v>
      </c>
      <c r="H17">
        <v>-1</v>
      </c>
      <c r="I17">
        <v>1096.83</v>
      </c>
      <c r="J17">
        <v>-1</v>
      </c>
      <c r="K17">
        <v>0</v>
      </c>
      <c r="L17">
        <v>-1</v>
      </c>
      <c r="M17">
        <v>0</v>
      </c>
    </row>
    <row r="18" spans="1:13">
      <c r="A18" t="s">
        <v>29</v>
      </c>
      <c r="B18">
        <v>88.84</v>
      </c>
      <c r="C18">
        <v>3729.96</v>
      </c>
      <c r="D18">
        <v>90.14</v>
      </c>
      <c r="E18">
        <v>3738.6</v>
      </c>
      <c r="F18">
        <v>-1</v>
      </c>
      <c r="G18">
        <v>0</v>
      </c>
      <c r="H18">
        <v>-1</v>
      </c>
      <c r="I18">
        <v>0</v>
      </c>
      <c r="J18">
        <v>-1</v>
      </c>
      <c r="K18">
        <v>0</v>
      </c>
      <c r="L18">
        <v>-1</v>
      </c>
      <c r="M18">
        <v>0</v>
      </c>
    </row>
    <row r="19" spans="1:13">
      <c r="A19" t="s">
        <v>30</v>
      </c>
      <c r="B19">
        <v>86.1</v>
      </c>
      <c r="C19">
        <v>3614.88</v>
      </c>
      <c r="D19">
        <v>86.62</v>
      </c>
      <c r="E19">
        <v>3586.65</v>
      </c>
      <c r="F19">
        <v>-1</v>
      </c>
      <c r="G19">
        <v>1135.8</v>
      </c>
      <c r="H19">
        <v>111.38</v>
      </c>
      <c r="I19">
        <v>3840.53</v>
      </c>
      <c r="J19">
        <v>-1</v>
      </c>
      <c r="K19">
        <v>0</v>
      </c>
      <c r="L19">
        <v>-1</v>
      </c>
      <c r="M19">
        <v>0</v>
      </c>
    </row>
    <row r="20" spans="1:13">
      <c r="A20" t="s">
        <v>31</v>
      </c>
      <c r="B20">
        <v>90.8</v>
      </c>
      <c r="C20">
        <v>3933.57</v>
      </c>
      <c r="D20">
        <v>91.64</v>
      </c>
      <c r="E20">
        <v>3947.47</v>
      </c>
      <c r="F20">
        <v>-1</v>
      </c>
      <c r="G20">
        <v>0</v>
      </c>
      <c r="H20">
        <v>-1</v>
      </c>
      <c r="I20">
        <v>0</v>
      </c>
      <c r="J20">
        <v>-1</v>
      </c>
      <c r="K20">
        <v>0</v>
      </c>
      <c r="L20">
        <v>-1</v>
      </c>
      <c r="M20">
        <v>0</v>
      </c>
    </row>
    <row r="21" spans="1:13">
      <c r="A21" t="s">
        <v>32</v>
      </c>
      <c r="B21">
        <v>82.71</v>
      </c>
      <c r="C21">
        <v>3775.62</v>
      </c>
      <c r="D21">
        <v>83.05</v>
      </c>
      <c r="E21">
        <v>3904</v>
      </c>
      <c r="F21">
        <v>-1</v>
      </c>
      <c r="G21">
        <v>0</v>
      </c>
      <c r="H21">
        <v>-1</v>
      </c>
      <c r="I21">
        <v>0</v>
      </c>
      <c r="J21">
        <v>-1</v>
      </c>
      <c r="K21">
        <v>0</v>
      </c>
      <c r="L21">
        <v>-1</v>
      </c>
      <c r="M21">
        <v>0</v>
      </c>
    </row>
    <row r="25" spans="1:42">
      <c r="A25" s="2" t="s">
        <v>33</v>
      </c>
      <c r="B25" s="2" t="s">
        <v>34</v>
      </c>
      <c r="C25" s="2" t="s">
        <v>35</v>
      </c>
      <c r="D25" s="3" t="s">
        <v>36</v>
      </c>
      <c r="E25" s="2" t="s">
        <v>37</v>
      </c>
      <c r="F25" s="2" t="s">
        <v>38</v>
      </c>
      <c r="G25" s="2" t="s">
        <v>39</v>
      </c>
      <c r="H25" s="2" t="s">
        <v>40</v>
      </c>
      <c r="I25" s="2" t="s">
        <v>41</v>
      </c>
      <c r="J25" s="3" t="s">
        <v>42</v>
      </c>
      <c r="K25" s="2" t="s">
        <v>43</v>
      </c>
      <c r="L25" s="2" t="s">
        <v>44</v>
      </c>
      <c r="M25" s="2" t="s">
        <v>45</v>
      </c>
      <c r="N25" s="2" t="s">
        <v>46</v>
      </c>
      <c r="O25" s="2" t="s">
        <v>47</v>
      </c>
      <c r="P25" s="3" t="s">
        <v>48</v>
      </c>
      <c r="Q25" s="2" t="s">
        <v>49</v>
      </c>
      <c r="R25" s="2" t="s">
        <v>50</v>
      </c>
      <c r="S25" s="2" t="s">
        <v>51</v>
      </c>
      <c r="T25" s="2" t="s">
        <v>52</v>
      </c>
      <c r="U25" s="2" t="s">
        <v>53</v>
      </c>
      <c r="V25" s="3" t="s">
        <v>54</v>
      </c>
      <c r="W25" s="2" t="s">
        <v>55</v>
      </c>
      <c r="X25" s="2" t="s">
        <v>56</v>
      </c>
      <c r="Y25" s="2" t="s">
        <v>57</v>
      </c>
      <c r="Z25" s="2" t="s">
        <v>58</v>
      </c>
      <c r="AA25" s="2" t="s">
        <v>59</v>
      </c>
      <c r="AB25" s="3" t="s">
        <v>60</v>
      </c>
      <c r="AC25" s="2" t="s">
        <v>61</v>
      </c>
      <c r="AD25" s="2" t="s">
        <v>62</v>
      </c>
      <c r="AE25" s="2" t="s">
        <v>63</v>
      </c>
      <c r="AF25" s="2" t="s">
        <v>64</v>
      </c>
      <c r="AG25" s="2" t="s">
        <v>65</v>
      </c>
      <c r="AH25" s="3" t="s">
        <v>66</v>
      </c>
      <c r="AI25" s="2" t="s">
        <v>67</v>
      </c>
      <c r="AJ25" s="2" t="s">
        <v>68</v>
      </c>
      <c r="AK25" s="2" t="s">
        <v>69</v>
      </c>
      <c r="AL25" s="2" t="s">
        <v>70</v>
      </c>
      <c r="AM25" s="2" t="s">
        <v>71</v>
      </c>
      <c r="AN25" s="3" t="s">
        <v>72</v>
      </c>
      <c r="AO25" s="2" t="s">
        <v>73</v>
      </c>
      <c r="AP25" s="2" t="s">
        <v>74</v>
      </c>
    </row>
    <row r="26" spans="1:42">
      <c r="A26" s="4">
        <f>IFERROR(AVERAGEIF($B$2:$B$21,"&lt;&gt; -1"),0)</f>
        <v>71.8795</v>
      </c>
      <c r="B26" s="4">
        <f>IFERROR(AVERAGEIF($D$2:$D$21,"&lt;&gt; -1"),0)</f>
        <v>72.505</v>
      </c>
      <c r="C26" s="4">
        <f>IFERROR(AVERAGEIF($F$2:$F$21,"&lt;&gt; -1"),0)</f>
        <v>85.7</v>
      </c>
      <c r="D26" s="4">
        <f>IFERROR(AVERAGEIF($H$2:$H$21,"&lt;&gt; -1"),0)</f>
        <v>94.98</v>
      </c>
      <c r="E26" s="4">
        <f>IFERROR(AVERAGEIF($J$2:$J$21,"&lt;&gt; -1"),0)</f>
        <v>0</v>
      </c>
      <c r="F26" s="4">
        <f>IFERROR(AVERAGEIF($L$2:$L$21,"&lt;&gt; -1"),0)</f>
        <v>0</v>
      </c>
      <c r="G26" s="4">
        <f>IFERROR(AVERAGEIFS($C$2:$C$21,$B$2:$B$21,"&lt;&gt; -1"),0)</f>
        <v>3728.344</v>
      </c>
      <c r="H26" s="4">
        <f>IFERROR(AVERAGEIFS($E$2:$E$21,$D$2:$D$21,"&lt;&gt; -1"),0)</f>
        <v>3723.273</v>
      </c>
      <c r="I26" s="4">
        <f>IFERROR(AVERAGEIFS($G$2:$G$21,$F$2:$F$21,"&lt;&gt; -1"),0)</f>
        <v>4003.41666666667</v>
      </c>
      <c r="J26" s="4">
        <f>IFERROR(AVERAGEIFS($I$2:$I$21,$H$2:$H$21,"&lt;&gt; -1"),0)</f>
        <v>3971.93</v>
      </c>
      <c r="K26" s="4">
        <f>IFERROR(AVERAGEIFS($K$2:$K$21,$J$2:$J$21,"&lt;&gt; -1"),0)</f>
        <v>0</v>
      </c>
      <c r="L26" s="4">
        <f>IFERROR(AVERAGEIFS($M$2:$M$21,$L$2:$L$21,"&lt;&gt; -1"),0)</f>
        <v>0</v>
      </c>
      <c r="M26" s="4">
        <f>IFERROR(_xlfn.MAXIFS($B$2:$B$21,$B$2:$B$21,"&lt;&gt; -1"),0)</f>
        <v>90.8</v>
      </c>
      <c r="N26" s="4">
        <f>IFERROR(_xlfn.MAXIFS($D$2:$D$21,$D$2:$D$21,"&lt;&gt;-1"),0)</f>
        <v>91.64</v>
      </c>
      <c r="O26" s="4">
        <f>IFERROR(_xlfn.MAXIFS($F$2:$F$21,$F$2:$F$21,"&lt;&gt; -1"),0)</f>
        <v>89.5</v>
      </c>
      <c r="P26" s="4">
        <f>IFERROR(_xlfn.MAXIFS($H$2:$H$21,$H$2:$H$21,"&lt;&gt; -1"),0)</f>
        <v>111.38</v>
      </c>
      <c r="Q26" s="4">
        <f>IFERROR(_xlfn.MAXIFS($J$2:$J$21,$J$2:$J$21,"&lt;&gt; -1"),0)</f>
        <v>0</v>
      </c>
      <c r="R26" s="4">
        <f>IFERROR(_xlfn.MAXIFS($L$2:$L$21,$L$2:$L$21,"&lt;&gt; -1"),0)</f>
        <v>0</v>
      </c>
      <c r="S26" s="4">
        <f>IFERROR(_xlfn.MINIFS($B$2:$B$21,$B$2:$B$21,"&lt;&gt; -1"),0)</f>
        <v>62.3</v>
      </c>
      <c r="T26" s="4">
        <f>IFERROR(_xlfn.MINIFS($D$2:$D$21,$D$2:$D$21,"&lt;&gt;-1"),0)</f>
        <v>62.89</v>
      </c>
      <c r="U26" s="4">
        <f>IFERROR(_xlfn.MINIFS($F$2:$F$21,$F$2:$F$21,"&lt;&gt; -1"),0)</f>
        <v>82.43</v>
      </c>
      <c r="V26" s="4">
        <f>IFERROR(_xlfn.MINIFS($H$2:$H$21,$H$2:$H$21,"&lt;&gt; -1"),0)</f>
        <v>78.58</v>
      </c>
      <c r="W26" s="4">
        <f>IFERROR(_xlfn.MINIFS($J$2:$J$21,$J$2:$J$21,"&lt;&gt; -1"),0)</f>
        <v>0</v>
      </c>
      <c r="X26" s="4">
        <f>IFERROR(_xlfn.MINIFS($L$2:$L$21,$L$2:$L$21,"&lt;&gt; -1"),0)</f>
        <v>0</v>
      </c>
      <c r="Y26" s="4">
        <f>IFERROR(_xlfn.MAXIFS($C$2:$C$21,$B$2:$B$21,"&lt;&gt; -1"),0)</f>
        <v>3933.57</v>
      </c>
      <c r="Z26" s="4">
        <f>IFERROR(_xlfn.MAXIFS($E$2:$E$21,$D$2:$D$21,"&lt;&gt; -1"),0)</f>
        <v>4027.55</v>
      </c>
      <c r="AA26" s="4">
        <f>IFERROR(_xlfn.MAXIFS($G$2:$G$21,$F$2:$F$21,"&lt;&gt; -1"),0)</f>
        <v>4135.37</v>
      </c>
      <c r="AB26" s="4">
        <f>IFERROR(_xlfn.MAXIFS($I$2:$I$21,$H$2:$H$21,"&lt;&gt; -1"),0)</f>
        <v>4103.33</v>
      </c>
      <c r="AC26" s="4">
        <f>IFERROR(_xlfn.MAXIFS($K$2:$K$21,$J$2:$J$21,"&lt;&gt; -1"),0)</f>
        <v>0</v>
      </c>
      <c r="AD26" s="4">
        <f>IFERROR(_xlfn.MAXIFS($M$2:$M$21,$L$2:$L$21,"&lt;&gt; -1"),0)</f>
        <v>0</v>
      </c>
      <c r="AE26" s="4">
        <f>IFERROR(_xlfn.MINIFS($C$2:$C$21,$B$2:$B$21,"&lt;&gt; -1"),0)</f>
        <v>3468.09</v>
      </c>
      <c r="AF26" s="4">
        <f>IFERROR(_xlfn.MINIFS($E$2:$E$21,$D$2:$D$21,"&lt;&gt; -1"),0)</f>
        <v>3431.24</v>
      </c>
      <c r="AG26" s="4">
        <f>IFERROR(_xlfn.MINIFS($G$2:$G$21,$F$2:$F$21,"&lt;&gt; -1"),0)</f>
        <v>3926.33</v>
      </c>
      <c r="AH26" s="4">
        <f>IFERROR(_xlfn.MINIFS($I$2:$I$21,$H$2:$H$21,"&lt;&gt; -1"),0)</f>
        <v>3840.53</v>
      </c>
      <c r="AI26" s="4">
        <f>IFERROR(_xlfn.MINIFS($K$2:$K$21,$J$2:$J$21,"&lt;&gt; -1"),0)</f>
        <v>0</v>
      </c>
      <c r="AJ26" s="4">
        <f>IFERROR(_xlfn.MINIFS($M$2:$M$21,$L$2:$L$21,"&lt;&gt; -1"),0)</f>
        <v>0</v>
      </c>
      <c r="AK26" s="4">
        <f>(COUNTIFS($B$2:$B$21,"&gt;0.0",$B$2:$B$21,"&lt;100.0"))/20</f>
        <v>1</v>
      </c>
      <c r="AL26" s="4">
        <f>(COUNTIFS($D$2:$D$21,"&gt;0.0",$D$2:$D$21,"&lt;100.0"))/20</f>
        <v>1</v>
      </c>
      <c r="AM26" s="4">
        <f>(COUNTIFS($F$2:$F$21,"&gt;0.0",$F$2:$F$21,"&lt;100.0"))/20</f>
        <v>0.15</v>
      </c>
      <c r="AN26" s="4">
        <f>(COUNTIFS($H$2:$H$21,"&gt;0.0",$H$2:$H$21,"&lt;100.0"))/20</f>
        <v>0.05</v>
      </c>
      <c r="AO26" s="4">
        <f>(COUNTIFS($J$2:$J$21,"&gt;0.0",$J$2:$J$21,"&lt;100.0"))/20</f>
        <v>0</v>
      </c>
      <c r="AP26" s="4">
        <f>(COUNTIFS($L$2:$L$21,"&gt;0.0",$L$2:$L$21,"&lt;100.0"))/20</f>
        <v>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7"/>
  <sheetViews>
    <sheetView tabSelected="1" workbookViewId="0">
      <selection activeCell="F11" sqref="F11"/>
    </sheetView>
  </sheetViews>
  <sheetFormatPr defaultColWidth="8.72727272727273" defaultRowHeight="14" outlineLevelRow="6"/>
  <sheetData>
    <row r="1" spans="1:42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54</v>
      </c>
      <c r="W1" t="s">
        <v>55</v>
      </c>
      <c r="X1" t="s">
        <v>56</v>
      </c>
      <c r="Y1" t="s">
        <v>57</v>
      </c>
      <c r="Z1" t="s">
        <v>58</v>
      </c>
      <c r="AA1" t="s">
        <v>59</v>
      </c>
      <c r="AB1" t="s">
        <v>60</v>
      </c>
      <c r="AC1" t="s">
        <v>61</v>
      </c>
      <c r="AD1" t="s">
        <v>62</v>
      </c>
      <c r="AE1" t="s">
        <v>63</v>
      </c>
      <c r="AF1" t="s">
        <v>64</v>
      </c>
      <c r="AG1" t="s">
        <v>65</v>
      </c>
      <c r="AH1" t="s">
        <v>66</v>
      </c>
      <c r="AI1" t="s">
        <v>67</v>
      </c>
      <c r="AJ1" t="s">
        <v>68</v>
      </c>
      <c r="AK1" t="s">
        <v>69</v>
      </c>
      <c r="AL1" t="s">
        <v>70</v>
      </c>
      <c r="AM1" t="s">
        <v>71</v>
      </c>
      <c r="AN1" t="s">
        <v>72</v>
      </c>
      <c r="AO1" t="s">
        <v>73</v>
      </c>
      <c r="AP1" t="s">
        <v>74</v>
      </c>
    </row>
    <row r="2" spans="1:42">
      <c r="A2">
        <v>37.024</v>
      </c>
      <c r="B2">
        <v>37.132</v>
      </c>
      <c r="C2">
        <v>42.0195</v>
      </c>
      <c r="D2">
        <v>42.7665</v>
      </c>
      <c r="E2">
        <v>40.331</v>
      </c>
      <c r="F2">
        <v>40.378</v>
      </c>
      <c r="G2">
        <v>3571.811</v>
      </c>
      <c r="H2">
        <v>3582.1715</v>
      </c>
      <c r="I2">
        <v>3891.465</v>
      </c>
      <c r="J2">
        <v>3897.43</v>
      </c>
      <c r="K2">
        <v>3543.369</v>
      </c>
      <c r="L2">
        <v>3552.307</v>
      </c>
      <c r="M2">
        <v>38.42</v>
      </c>
      <c r="N2">
        <v>38.54</v>
      </c>
      <c r="O2">
        <v>44.73</v>
      </c>
      <c r="P2">
        <v>45.08</v>
      </c>
      <c r="Q2">
        <v>47.4</v>
      </c>
      <c r="R2">
        <v>46.02</v>
      </c>
      <c r="S2">
        <v>34.47</v>
      </c>
      <c r="T2">
        <v>34.35</v>
      </c>
      <c r="U2">
        <v>40.72</v>
      </c>
      <c r="V2">
        <v>37.41</v>
      </c>
      <c r="W2">
        <v>37.29</v>
      </c>
      <c r="X2">
        <v>37.25</v>
      </c>
      <c r="Y2">
        <v>3779.03</v>
      </c>
      <c r="Z2">
        <v>3844.82</v>
      </c>
      <c r="AA2">
        <v>4137.71</v>
      </c>
      <c r="AB2">
        <v>4166.28</v>
      </c>
      <c r="AC2">
        <v>3751.6</v>
      </c>
      <c r="AD2">
        <v>3809.51</v>
      </c>
      <c r="AE2">
        <v>3290.14</v>
      </c>
      <c r="AF2">
        <v>3310.85</v>
      </c>
      <c r="AG2">
        <v>3554.3</v>
      </c>
      <c r="AH2">
        <v>3578.8</v>
      </c>
      <c r="AI2">
        <v>3253.62</v>
      </c>
      <c r="AJ2">
        <v>3297.45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</row>
    <row r="3" spans="1:42">
      <c r="A3">
        <v>48.7835</v>
      </c>
      <c r="B3">
        <v>49.0435</v>
      </c>
      <c r="C3">
        <v>58.4425</v>
      </c>
      <c r="D3">
        <v>59.9</v>
      </c>
      <c r="E3">
        <v>51.69</v>
      </c>
      <c r="F3">
        <v>0</v>
      </c>
      <c r="G3">
        <v>3620.9195</v>
      </c>
      <c r="H3">
        <v>3629.358</v>
      </c>
      <c r="I3">
        <v>3901.058</v>
      </c>
      <c r="J3">
        <v>3910.602</v>
      </c>
      <c r="K3">
        <v>3485.82</v>
      </c>
      <c r="L3">
        <v>0</v>
      </c>
      <c r="M3">
        <v>71.79</v>
      </c>
      <c r="N3">
        <v>72</v>
      </c>
      <c r="O3">
        <v>79.06</v>
      </c>
      <c r="P3">
        <v>80.88</v>
      </c>
      <c r="Q3">
        <v>51.69</v>
      </c>
      <c r="R3">
        <v>0</v>
      </c>
      <c r="S3">
        <v>40.11</v>
      </c>
      <c r="T3">
        <v>40.33</v>
      </c>
      <c r="U3">
        <v>45.12</v>
      </c>
      <c r="V3">
        <v>47.3</v>
      </c>
      <c r="W3">
        <v>51.69</v>
      </c>
      <c r="X3">
        <v>0</v>
      </c>
      <c r="Y3">
        <v>3907.9</v>
      </c>
      <c r="Z3">
        <v>3861.06</v>
      </c>
      <c r="AA3">
        <v>4194.98</v>
      </c>
      <c r="AB3">
        <v>4175.56</v>
      </c>
      <c r="AC3">
        <v>3485.82</v>
      </c>
      <c r="AD3">
        <v>0</v>
      </c>
      <c r="AE3">
        <v>3409.82</v>
      </c>
      <c r="AF3">
        <v>3382.02</v>
      </c>
      <c r="AG3">
        <v>3679.11</v>
      </c>
      <c r="AH3">
        <v>3643.27</v>
      </c>
      <c r="AI3">
        <v>3485.82</v>
      </c>
      <c r="AJ3">
        <v>0</v>
      </c>
      <c r="AK3">
        <v>1</v>
      </c>
      <c r="AL3">
        <v>1</v>
      </c>
      <c r="AM3">
        <v>1</v>
      </c>
      <c r="AN3">
        <v>1</v>
      </c>
      <c r="AO3">
        <v>0.05</v>
      </c>
      <c r="AP3">
        <v>0</v>
      </c>
    </row>
    <row r="4" spans="1:42">
      <c r="A4">
        <v>61.904</v>
      </c>
      <c r="B4">
        <v>62.2785</v>
      </c>
      <c r="C4">
        <v>70.16375</v>
      </c>
      <c r="D4">
        <v>76.727</v>
      </c>
      <c r="E4">
        <v>0</v>
      </c>
      <c r="F4">
        <v>0</v>
      </c>
      <c r="G4">
        <v>3638.723</v>
      </c>
      <c r="H4">
        <v>3698.9725</v>
      </c>
      <c r="I4">
        <v>3991.06875</v>
      </c>
      <c r="J4">
        <v>3978.889</v>
      </c>
      <c r="K4">
        <v>0</v>
      </c>
      <c r="L4">
        <v>0</v>
      </c>
      <c r="M4">
        <v>69.61</v>
      </c>
      <c r="N4">
        <v>70.09</v>
      </c>
      <c r="O4">
        <v>79.75</v>
      </c>
      <c r="P4">
        <v>90.68</v>
      </c>
      <c r="Q4">
        <v>0</v>
      </c>
      <c r="R4">
        <v>0</v>
      </c>
      <c r="S4">
        <v>56.19</v>
      </c>
      <c r="T4">
        <v>56.34</v>
      </c>
      <c r="U4">
        <v>66.12</v>
      </c>
      <c r="V4">
        <v>69.96</v>
      </c>
      <c r="W4">
        <v>0</v>
      </c>
      <c r="X4">
        <v>0</v>
      </c>
      <c r="Y4">
        <v>3874.96</v>
      </c>
      <c r="Z4">
        <v>3911.23</v>
      </c>
      <c r="AA4">
        <v>4208.32</v>
      </c>
      <c r="AB4">
        <v>4240.27</v>
      </c>
      <c r="AC4">
        <v>0</v>
      </c>
      <c r="AD4">
        <v>0</v>
      </c>
      <c r="AE4">
        <v>3308.96</v>
      </c>
      <c r="AF4">
        <v>3475.5</v>
      </c>
      <c r="AG4">
        <v>3830.19</v>
      </c>
      <c r="AH4">
        <v>3828.6</v>
      </c>
      <c r="AI4">
        <v>0</v>
      </c>
      <c r="AJ4">
        <v>0</v>
      </c>
      <c r="AK4">
        <v>1</v>
      </c>
      <c r="AL4">
        <v>1</v>
      </c>
      <c r="AM4">
        <v>0.4</v>
      </c>
      <c r="AN4">
        <v>0.5</v>
      </c>
      <c r="AO4">
        <v>0</v>
      </c>
      <c r="AP4">
        <v>0</v>
      </c>
    </row>
    <row r="5" spans="1:42">
      <c r="A5">
        <v>69.894</v>
      </c>
      <c r="B5">
        <v>70.35</v>
      </c>
      <c r="C5">
        <v>82.44</v>
      </c>
      <c r="D5">
        <v>85.606</v>
      </c>
      <c r="E5">
        <v>0</v>
      </c>
      <c r="F5">
        <v>0</v>
      </c>
      <c r="G5">
        <v>3646.8815</v>
      </c>
      <c r="H5">
        <v>3670.2525</v>
      </c>
      <c r="I5">
        <v>3879.50454545455</v>
      </c>
      <c r="J5">
        <v>3910.168</v>
      </c>
      <c r="K5">
        <v>0</v>
      </c>
      <c r="L5">
        <v>0</v>
      </c>
      <c r="M5">
        <v>74.68</v>
      </c>
      <c r="N5">
        <v>75.28</v>
      </c>
      <c r="O5">
        <v>99.83</v>
      </c>
      <c r="P5">
        <v>100.85</v>
      </c>
      <c r="Q5">
        <v>0</v>
      </c>
      <c r="R5">
        <v>0</v>
      </c>
      <c r="S5">
        <v>65.56</v>
      </c>
      <c r="T5">
        <v>65.52</v>
      </c>
      <c r="U5">
        <v>72.13</v>
      </c>
      <c r="V5">
        <v>73.29</v>
      </c>
      <c r="W5">
        <v>0</v>
      </c>
      <c r="X5">
        <v>0</v>
      </c>
      <c r="Y5">
        <v>3889.83</v>
      </c>
      <c r="Z5">
        <v>3918.69</v>
      </c>
      <c r="AA5">
        <v>4056.12</v>
      </c>
      <c r="AB5">
        <v>4121.11</v>
      </c>
      <c r="AC5">
        <v>0</v>
      </c>
      <c r="AD5">
        <v>0</v>
      </c>
      <c r="AE5">
        <v>3292.22</v>
      </c>
      <c r="AF5">
        <v>3397.45</v>
      </c>
      <c r="AG5">
        <v>3591.5</v>
      </c>
      <c r="AH5">
        <v>3682.05</v>
      </c>
      <c r="AI5">
        <v>0</v>
      </c>
      <c r="AJ5">
        <v>0</v>
      </c>
      <c r="AK5">
        <v>1</v>
      </c>
      <c r="AL5">
        <v>1</v>
      </c>
      <c r="AM5">
        <v>0.55</v>
      </c>
      <c r="AN5">
        <v>0.45</v>
      </c>
      <c r="AO5">
        <v>0</v>
      </c>
      <c r="AP5">
        <v>0</v>
      </c>
    </row>
    <row r="6" spans="1:42">
      <c r="A6">
        <v>79.078</v>
      </c>
      <c r="B6">
        <v>79.572</v>
      </c>
      <c r="C6">
        <v>87.7327272727273</v>
      </c>
      <c r="D6">
        <v>88.6163636363636</v>
      </c>
      <c r="E6">
        <v>99.76</v>
      </c>
      <c r="F6">
        <v>0</v>
      </c>
      <c r="G6">
        <v>3650.76</v>
      </c>
      <c r="H6">
        <v>3639.4745</v>
      </c>
      <c r="I6">
        <v>3872.69272727273</v>
      </c>
      <c r="J6">
        <v>3843.90545454545</v>
      </c>
      <c r="K6">
        <v>3651.02</v>
      </c>
      <c r="L6">
        <v>0</v>
      </c>
      <c r="M6">
        <v>88.07</v>
      </c>
      <c r="N6">
        <v>88.65</v>
      </c>
      <c r="O6">
        <v>95.85</v>
      </c>
      <c r="P6">
        <v>97.24</v>
      </c>
      <c r="Q6">
        <v>99.76</v>
      </c>
      <c r="R6">
        <v>0</v>
      </c>
      <c r="S6">
        <v>69.41</v>
      </c>
      <c r="T6">
        <v>70.06</v>
      </c>
      <c r="U6">
        <v>78.62</v>
      </c>
      <c r="V6">
        <v>81.59</v>
      </c>
      <c r="W6">
        <v>99.76</v>
      </c>
      <c r="X6">
        <v>0</v>
      </c>
      <c r="Y6">
        <v>3900.12</v>
      </c>
      <c r="Z6">
        <v>3949.36</v>
      </c>
      <c r="AA6">
        <v>4073.04</v>
      </c>
      <c r="AB6">
        <v>4174.71</v>
      </c>
      <c r="AC6">
        <v>3651.02</v>
      </c>
      <c r="AD6">
        <v>0</v>
      </c>
      <c r="AE6">
        <v>3232.92</v>
      </c>
      <c r="AF6">
        <v>3401.27</v>
      </c>
      <c r="AG6">
        <v>3500.3</v>
      </c>
      <c r="AH6">
        <v>3656.7</v>
      </c>
      <c r="AI6">
        <v>3651.02</v>
      </c>
      <c r="AJ6">
        <v>0</v>
      </c>
      <c r="AK6">
        <v>1</v>
      </c>
      <c r="AL6">
        <v>1</v>
      </c>
      <c r="AM6">
        <v>0.55</v>
      </c>
      <c r="AN6">
        <v>0.55</v>
      </c>
      <c r="AO6">
        <v>0.05</v>
      </c>
      <c r="AP6">
        <v>0</v>
      </c>
    </row>
    <row r="7" spans="1:42">
      <c r="A7">
        <v>71.8795</v>
      </c>
      <c r="B7">
        <v>72.505</v>
      </c>
      <c r="C7">
        <v>85.7</v>
      </c>
      <c r="D7">
        <v>94.98</v>
      </c>
      <c r="E7">
        <v>0</v>
      </c>
      <c r="F7">
        <v>0</v>
      </c>
      <c r="G7">
        <v>3728.344</v>
      </c>
      <c r="H7">
        <v>3723.273</v>
      </c>
      <c r="I7">
        <v>4003.41666666667</v>
      </c>
      <c r="J7">
        <v>3971.93</v>
      </c>
      <c r="K7">
        <v>0</v>
      </c>
      <c r="L7">
        <v>0</v>
      </c>
      <c r="M7">
        <v>90.8</v>
      </c>
      <c r="N7">
        <v>91.64</v>
      </c>
      <c r="O7">
        <v>89.5</v>
      </c>
      <c r="P7">
        <v>111.38</v>
      </c>
      <c r="Q7">
        <v>0</v>
      </c>
      <c r="R7">
        <v>0</v>
      </c>
      <c r="S7">
        <v>62.3</v>
      </c>
      <c r="T7">
        <v>62.89</v>
      </c>
      <c r="U7">
        <v>82.43</v>
      </c>
      <c r="V7">
        <v>78.58</v>
      </c>
      <c r="W7">
        <v>0</v>
      </c>
      <c r="X7">
        <v>0</v>
      </c>
      <c r="Y7">
        <v>3933.57</v>
      </c>
      <c r="Z7">
        <v>4027.55</v>
      </c>
      <c r="AA7">
        <v>4135.37</v>
      </c>
      <c r="AB7">
        <v>4103.33</v>
      </c>
      <c r="AC7">
        <v>0</v>
      </c>
      <c r="AD7">
        <v>0</v>
      </c>
      <c r="AE7">
        <v>3468.09</v>
      </c>
      <c r="AF7">
        <v>3431.24</v>
      </c>
      <c r="AG7">
        <v>3926.33</v>
      </c>
      <c r="AH7">
        <v>3840.53</v>
      </c>
      <c r="AI7">
        <v>0</v>
      </c>
      <c r="AJ7">
        <v>0</v>
      </c>
      <c r="AK7">
        <v>1</v>
      </c>
      <c r="AL7">
        <v>1</v>
      </c>
      <c r="AM7">
        <v>0.15</v>
      </c>
      <c r="AN7">
        <v>0.05</v>
      </c>
      <c r="AO7">
        <v>0</v>
      </c>
      <c r="AP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20_100</vt:lpstr>
      <vt:lpstr>40_100</vt:lpstr>
      <vt:lpstr>60_100</vt:lpstr>
      <vt:lpstr>80_100</vt:lpstr>
      <vt:lpstr>100_100</vt:lpstr>
      <vt:lpstr>120_100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傲雪剑豪</cp:lastModifiedBy>
  <dcterms:created xsi:type="dcterms:W3CDTF">2024-08-26T13:35:00Z</dcterms:created>
  <dcterms:modified xsi:type="dcterms:W3CDTF">2024-08-26T16:39:08Z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D0EE3DCC638643B78393D3E76841C911_12</vt:lpwstr>
  </property>
  <property fmtid="{D5CDD505-2E9C-101B-9397-08002B2CF9AE}" pid="3" name="KSOProductBuildVer">
    <vt:lpwstr>2052-12.1.0.17827</vt:lpwstr>
  </property>
</Properties>
</file>