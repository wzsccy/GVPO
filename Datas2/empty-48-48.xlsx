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<sst xmlns="http://schemas.openxmlformats.org/spreadsheetml/2006/main" count="492" uniqueCount="75">
  <si>
    <t>scen</t>
  </si>
  <si>
    <t>LC_1_T</t>
  </si>
  <si>
    <t>LC_1_C</t>
  </si>
  <si>
    <t>LC_2_T</t>
  </si>
  <si>
    <t>LC_2_C</t>
  </si>
  <si>
    <t>ML_1_T</t>
  </si>
  <si>
    <t>ML_1_C</t>
  </si>
  <si>
    <t>ML_2_T</t>
  </si>
  <si>
    <t>ML_2_C</t>
  </si>
  <si>
    <t>MA_1_T</t>
  </si>
  <si>
    <t>MA_1_C</t>
  </si>
  <si>
    <t>MA_2_T</t>
  </si>
  <si>
    <t>MA_2_C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</si>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</sst>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76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A23:AP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81.11</v>
      </c>
      <c r="C2">
        <v>5265.77</v>
      </c>
      <c r="D2">
        <v>81.39</v>
      </c>
      <c r="E2">
        <v>5389.12</v>
      </c>
      <c r="F2">
        <v>96.31</v>
      </c>
      <c r="G2">
        <v>5830.07</v>
      </c>
      <c r="H2">
        <v>98.62</v>
      </c>
      <c r="I2">
        <v>5950.94</v>
      </c>
      <c r="J2">
        <v>89.41</v>
      </c>
      <c r="K2">
        <v>5263.3</v>
      </c>
      <c r="L2">
        <v>88.49</v>
      </c>
      <c r="M2">
        <v>5382.4</v>
      </c>
    </row>
    <row r="3" spans="1:13">
      <c r="A3" t="s">
        <v>14</v>
      </c>
      <c r="B3">
        <v>87.3</v>
      </c>
      <c r="C3">
        <v>5342.59</v>
      </c>
      <c r="D3">
        <v>87.55</v>
      </c>
      <c r="E3">
        <v>5407.96</v>
      </c>
      <c r="F3">
        <v>97.66</v>
      </c>
      <c r="G3">
        <v>5842.77</v>
      </c>
      <c r="H3">
        <v>110.75</v>
      </c>
      <c r="I3">
        <v>5845.59</v>
      </c>
      <c r="J3">
        <v>93.56</v>
      </c>
      <c r="K3">
        <v>5348.95</v>
      </c>
      <c r="L3">
        <v>-1</v>
      </c>
      <c r="M3">
        <v>1702.4</v>
      </c>
    </row>
    <row r="4" spans="1:13">
      <c r="A4" t="s">
        <v>15</v>
      </c>
      <c r="B4">
        <v>106.93</v>
      </c>
      <c r="C4">
        <v>5242.62</v>
      </c>
      <c r="D4">
        <v>107.1</v>
      </c>
      <c r="E4">
        <v>5225.77</v>
      </c>
      <c r="F4">
        <v>119.32</v>
      </c>
      <c r="G4">
        <v>5579.73</v>
      </c>
      <c r="H4">
        <v>129.88</v>
      </c>
      <c r="I4">
        <v>5598.36</v>
      </c>
      <c r="J4">
        <v>-1</v>
      </c>
      <c r="K4">
        <v>4954.71</v>
      </c>
      <c r="L4">
        <v>115.9</v>
      </c>
      <c r="M4">
        <v>5221.04</v>
      </c>
    </row>
    <row r="5" spans="1:13">
      <c r="A5" t="s">
        <v>16</v>
      </c>
      <c r="B5">
        <v>111.17</v>
      </c>
      <c r="C5">
        <v>5308.82</v>
      </c>
      <c r="D5">
        <v>111.47</v>
      </c>
      <c r="E5">
        <v>5401.78</v>
      </c>
      <c r="F5">
        <v>122.5</v>
      </c>
      <c r="G5">
        <v>5889.69</v>
      </c>
      <c r="H5">
        <v>126.21</v>
      </c>
      <c r="I5">
        <v>6084.16</v>
      </c>
      <c r="J5">
        <v>122.35</v>
      </c>
      <c r="K5">
        <v>5304.69</v>
      </c>
      <c r="L5">
        <v>120.54</v>
      </c>
      <c r="M5">
        <v>5395.11</v>
      </c>
    </row>
    <row r="6" spans="1:13">
      <c r="A6" t="s">
        <v>17</v>
      </c>
      <c r="B6">
        <v>120.43</v>
      </c>
      <c r="C6">
        <v>5305.21</v>
      </c>
      <c r="D6">
        <v>120.56</v>
      </c>
      <c r="E6">
        <v>5257.97</v>
      </c>
      <c r="F6">
        <v>146.85</v>
      </c>
      <c r="G6">
        <v>5816.68</v>
      </c>
      <c r="H6">
        <v>135.27</v>
      </c>
      <c r="I6">
        <v>5703.97</v>
      </c>
      <c r="J6">
        <v>129.08</v>
      </c>
      <c r="K6">
        <v>5291.96</v>
      </c>
      <c r="L6">
        <v>-1</v>
      </c>
      <c r="M6">
        <v>0</v>
      </c>
    </row>
    <row r="7" spans="1:13">
      <c r="A7" t="s">
        <v>18</v>
      </c>
      <c r="B7">
        <v>104.48</v>
      </c>
      <c r="C7">
        <v>5007.52</v>
      </c>
      <c r="D7">
        <v>104.67</v>
      </c>
      <c r="E7">
        <v>5319.35</v>
      </c>
      <c r="F7">
        <v>126.75</v>
      </c>
      <c r="G7">
        <v>5650.7</v>
      </c>
      <c r="H7">
        <v>130.75</v>
      </c>
      <c r="I7">
        <v>5886.62</v>
      </c>
      <c r="J7">
        <v>124.21</v>
      </c>
      <c r="K7">
        <v>5017.82</v>
      </c>
      <c r="L7">
        <v>-1</v>
      </c>
      <c r="M7">
        <v>1543.86</v>
      </c>
    </row>
    <row r="8" spans="1:13">
      <c r="A8" t="s">
        <v>19</v>
      </c>
      <c r="B8">
        <v>104.71</v>
      </c>
      <c r="C8">
        <v>5234.8</v>
      </c>
      <c r="D8">
        <v>104.93</v>
      </c>
      <c r="E8">
        <v>5366.78</v>
      </c>
      <c r="F8">
        <v>115.1</v>
      </c>
      <c r="G8">
        <v>5751.78</v>
      </c>
      <c r="H8">
        <v>123.07</v>
      </c>
      <c r="I8">
        <v>5874.83</v>
      </c>
      <c r="J8">
        <v>109.27</v>
      </c>
      <c r="K8">
        <v>5233.94</v>
      </c>
      <c r="L8">
        <v>-1</v>
      </c>
      <c r="M8">
        <v>2312.34</v>
      </c>
    </row>
    <row r="9" spans="1:13">
      <c r="A9" t="s">
        <v>20</v>
      </c>
      <c r="B9">
        <v>83.03</v>
      </c>
      <c r="C9">
        <v>5193.8</v>
      </c>
      <c r="D9">
        <v>83.19</v>
      </c>
      <c r="E9">
        <v>5089.41</v>
      </c>
      <c r="F9">
        <v>96</v>
      </c>
      <c r="G9">
        <v>5680.93</v>
      </c>
      <c r="H9">
        <v>99.26</v>
      </c>
      <c r="I9">
        <v>5572.58</v>
      </c>
      <c r="J9">
        <v>92.58</v>
      </c>
      <c r="K9">
        <v>5197.27</v>
      </c>
      <c r="L9">
        <v>98.02</v>
      </c>
      <c r="M9">
        <v>5085.02</v>
      </c>
    </row>
    <row r="10" spans="1:13">
      <c r="A10" t="s">
        <v>21</v>
      </c>
      <c r="B10">
        <v>88.15</v>
      </c>
      <c r="C10">
        <v>5341.27</v>
      </c>
      <c r="D10">
        <v>88.25</v>
      </c>
      <c r="E10">
        <v>5445.04</v>
      </c>
      <c r="F10">
        <v>103.49</v>
      </c>
      <c r="G10">
        <v>5887.08</v>
      </c>
      <c r="H10">
        <v>104.82</v>
      </c>
      <c r="I10">
        <v>5980.15</v>
      </c>
      <c r="J10">
        <v>-1</v>
      </c>
      <c r="K10">
        <v>3482.04</v>
      </c>
      <c r="L10">
        <v>103.89</v>
      </c>
      <c r="M10">
        <v>5411</v>
      </c>
    </row>
    <row r="11" spans="1:13">
      <c r="A11" t="s">
        <v>22</v>
      </c>
      <c r="B11">
        <v>84.76</v>
      </c>
      <c r="C11">
        <v>5405.44</v>
      </c>
      <c r="D11">
        <v>84.86</v>
      </c>
      <c r="E11">
        <v>5304.31</v>
      </c>
      <c r="F11">
        <v>99.65</v>
      </c>
      <c r="G11">
        <v>5905.41</v>
      </c>
      <c r="H11">
        <v>100.07</v>
      </c>
      <c r="I11">
        <v>5794.26</v>
      </c>
      <c r="J11">
        <v>93.87</v>
      </c>
      <c r="K11">
        <v>5395.9</v>
      </c>
      <c r="L11">
        <v>94.01</v>
      </c>
      <c r="M11">
        <v>5308.57</v>
      </c>
    </row>
    <row r="12" spans="1:13">
      <c r="A12" t="s">
        <v>23</v>
      </c>
      <c r="B12">
        <v>87.55</v>
      </c>
      <c r="C12">
        <v>5255.44</v>
      </c>
      <c r="D12">
        <v>87.51</v>
      </c>
      <c r="E12">
        <v>5365.83</v>
      </c>
      <c r="F12">
        <v>115.5</v>
      </c>
      <c r="G12">
        <v>5865.79</v>
      </c>
      <c r="H12">
        <v>111.3</v>
      </c>
      <c r="I12">
        <v>5956.34</v>
      </c>
      <c r="J12">
        <v>-1</v>
      </c>
      <c r="K12">
        <v>3648.03</v>
      </c>
      <c r="L12">
        <v>-1</v>
      </c>
      <c r="M12">
        <v>2802.08</v>
      </c>
    </row>
    <row r="13" spans="1:13">
      <c r="A13" t="s">
        <v>24</v>
      </c>
      <c r="B13">
        <v>100.34</v>
      </c>
      <c r="C13">
        <v>5472.89</v>
      </c>
      <c r="D13">
        <v>100.53</v>
      </c>
      <c r="E13">
        <v>5222.18</v>
      </c>
      <c r="F13">
        <v>113.61</v>
      </c>
      <c r="G13">
        <v>5969.1</v>
      </c>
      <c r="H13">
        <v>121.16</v>
      </c>
      <c r="I13">
        <v>5759.56</v>
      </c>
      <c r="J13">
        <v>107.08</v>
      </c>
      <c r="K13">
        <v>5431.92</v>
      </c>
      <c r="L13">
        <v>-1</v>
      </c>
      <c r="M13">
        <v>5136.19</v>
      </c>
    </row>
    <row r="14" spans="1:13">
      <c r="A14" t="s">
        <v>25</v>
      </c>
      <c r="B14">
        <v>102.79</v>
      </c>
      <c r="C14">
        <v>5133.05</v>
      </c>
      <c r="D14">
        <v>102.94</v>
      </c>
      <c r="E14">
        <v>5110.02</v>
      </c>
      <c r="F14">
        <v>123.14</v>
      </c>
      <c r="G14">
        <v>5613.13</v>
      </c>
      <c r="H14">
        <v>-1</v>
      </c>
      <c r="I14">
        <v>5393.27</v>
      </c>
      <c r="J14">
        <v>-1</v>
      </c>
      <c r="K14">
        <v>4689.32</v>
      </c>
      <c r="L14">
        <v>-1</v>
      </c>
      <c r="M14">
        <v>3702.12</v>
      </c>
    </row>
    <row r="15" spans="1:13">
      <c r="A15" t="s">
        <v>26</v>
      </c>
      <c r="B15">
        <v>104.31</v>
      </c>
      <c r="C15">
        <v>5380.53</v>
      </c>
      <c r="D15">
        <v>104.2</v>
      </c>
      <c r="E15">
        <v>5381.03</v>
      </c>
      <c r="F15">
        <v>127.64</v>
      </c>
      <c r="G15">
        <v>5848.92</v>
      </c>
      <c r="H15">
        <v>121.54</v>
      </c>
      <c r="I15">
        <v>5792.41</v>
      </c>
      <c r="J15">
        <v>131.41</v>
      </c>
      <c r="K15">
        <v>5364.65</v>
      </c>
      <c r="L15">
        <v>109.93</v>
      </c>
      <c r="M15">
        <v>5351.61</v>
      </c>
    </row>
    <row r="16" spans="1:13">
      <c r="A16" t="s">
        <v>27</v>
      </c>
      <c r="B16">
        <v>95.24</v>
      </c>
      <c r="C16">
        <v>4733.65</v>
      </c>
      <c r="D16">
        <v>95.77</v>
      </c>
      <c r="E16">
        <v>4684.6</v>
      </c>
      <c r="F16">
        <v>116.15</v>
      </c>
      <c r="G16">
        <v>5263.7</v>
      </c>
      <c r="H16">
        <v>116.32</v>
      </c>
      <c r="I16">
        <v>5160.83</v>
      </c>
      <c r="J16">
        <v>-1</v>
      </c>
      <c r="K16">
        <v>4277.99</v>
      </c>
      <c r="L16">
        <v>103.18</v>
      </c>
      <c r="M16">
        <v>4650.8</v>
      </c>
    </row>
    <row r="17" spans="1:13">
      <c r="A17" t="s">
        <v>28</v>
      </c>
      <c r="B17">
        <v>106.16</v>
      </c>
      <c r="C17">
        <v>5220.95</v>
      </c>
      <c r="D17">
        <v>106.4</v>
      </c>
      <c r="E17">
        <v>5348.88</v>
      </c>
      <c r="F17">
        <v>126.07</v>
      </c>
      <c r="G17">
        <v>5789.29</v>
      </c>
      <c r="H17">
        <v>123.52</v>
      </c>
      <c r="I17">
        <v>5926.8</v>
      </c>
      <c r="J17">
        <v>113.6</v>
      </c>
      <c r="K17">
        <v>5213.45</v>
      </c>
      <c r="L17">
        <v>116.74</v>
      </c>
      <c r="M17">
        <v>5314.9</v>
      </c>
    </row>
    <row r="18" spans="1:13">
      <c r="A18" t="s">
        <v>29</v>
      </c>
      <c r="B18">
        <v>109.4</v>
      </c>
      <c r="C18">
        <v>5363.95</v>
      </c>
      <c r="D18">
        <v>109.33</v>
      </c>
      <c r="E18">
        <v>5273.87</v>
      </c>
      <c r="F18">
        <v>125.77</v>
      </c>
      <c r="G18">
        <v>5785.79</v>
      </c>
      <c r="H18">
        <v>134.17</v>
      </c>
      <c r="I18">
        <v>5708.43</v>
      </c>
      <c r="J18">
        <v>113.81</v>
      </c>
      <c r="K18">
        <v>5343.53</v>
      </c>
      <c r="L18">
        <v>136.69</v>
      </c>
      <c r="M18">
        <v>5256.51</v>
      </c>
    </row>
    <row r="19" spans="1:13">
      <c r="A19" t="s">
        <v>30</v>
      </c>
      <c r="B19">
        <v>103.36</v>
      </c>
      <c r="C19">
        <v>4984.33</v>
      </c>
      <c r="D19">
        <v>103.36</v>
      </c>
      <c r="E19">
        <v>5006.05</v>
      </c>
      <c r="F19">
        <v>122.79</v>
      </c>
      <c r="G19">
        <v>5473.33</v>
      </c>
      <c r="H19">
        <v>121.7</v>
      </c>
      <c r="I19">
        <v>5547.19</v>
      </c>
      <c r="J19">
        <v>109.78</v>
      </c>
      <c r="K19">
        <v>4957.46</v>
      </c>
      <c r="L19">
        <v>110.31</v>
      </c>
      <c r="M19">
        <v>4982.59</v>
      </c>
    </row>
    <row r="20" spans="1:13">
      <c r="A20" t="s">
        <v>31</v>
      </c>
      <c r="B20">
        <v>112.1</v>
      </c>
      <c r="C20">
        <v>5440.91</v>
      </c>
      <c r="D20">
        <v>112.45</v>
      </c>
      <c r="E20">
        <v>5173.06</v>
      </c>
      <c r="F20">
        <v>130.21</v>
      </c>
      <c r="G20">
        <v>5981.75</v>
      </c>
      <c r="H20">
        <v>128.97</v>
      </c>
      <c r="I20">
        <v>5731.1</v>
      </c>
      <c r="J20">
        <v>119.57</v>
      </c>
      <c r="K20">
        <v>5413.45</v>
      </c>
      <c r="L20">
        <v>118.96</v>
      </c>
      <c r="M20">
        <v>5128.44</v>
      </c>
    </row>
    <row r="21" spans="1:13">
      <c r="A21" t="s">
        <v>32</v>
      </c>
      <c r="B21">
        <v>110.85</v>
      </c>
      <c r="C21">
        <v>5098.58</v>
      </c>
      <c r="D21">
        <v>111.17</v>
      </c>
      <c r="E21">
        <v>5424.32</v>
      </c>
      <c r="F21">
        <v>127.91</v>
      </c>
      <c r="G21">
        <v>5576.08</v>
      </c>
      <c r="H21">
        <v>135.23</v>
      </c>
      <c r="I21">
        <v>5953.15</v>
      </c>
      <c r="J21">
        <v>138.91</v>
      </c>
      <c r="K21">
        <v>5092.49</v>
      </c>
      <c r="L21">
        <v>126.17</v>
      </c>
      <c r="M21">
        <v>5393.21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100.2085</v>
      </c>
      <c r="B24" s="4">
        <f>IFERROR(AVERAGEIF($D$2:$D$21,"&lt;&gt; -1"),0)</f>
        <v>100.3815</v>
      </c>
      <c r="C24" s="4">
        <f>IFERROR(AVERAGEIF($F$2:$F$21,"&lt;&gt; -1"),0)</f>
        <v>117.621</v>
      </c>
      <c r="D24" s="4">
        <f>IFERROR(AVERAGEIF($H$2:$H$21,"&lt;&gt; -1"),0)</f>
        <v>119.611052631579</v>
      </c>
      <c r="E24" s="4">
        <f>IFERROR(AVERAGEIF($J$2:$J$21,"&lt;&gt; -1"),0)</f>
        <v>112.566</v>
      </c>
      <c r="F24" s="4">
        <f>IFERROR(AVERAGEIF($L$2:$L$21,"&lt;&gt; -1"),0)</f>
        <v>110.986923076923</v>
      </c>
      <c r="G24" s="4">
        <f>IFERROR(AVERAGEIFS($C$2:$C$21,$B$2:$B$21,"&lt;&gt; -1"),0)</f>
        <v>5236.606</v>
      </c>
      <c r="H24" s="4">
        <f>IFERROR(AVERAGEIFS($E$2:$E$21,$D$2:$D$21,"&lt;&gt; -1"),0)</f>
        <v>5259.8665</v>
      </c>
      <c r="I24" s="4">
        <f>IFERROR(AVERAGEIFS($G$2:$G$21,$F$2:$F$21,"&lt;&gt; -1"),0)</f>
        <v>5750.086</v>
      </c>
      <c r="J24" s="4">
        <f>IFERROR(AVERAGEIFS($I$2:$I$21,$H$2:$H$21,"&lt;&gt; -1"),0)</f>
        <v>5780.38263157895</v>
      </c>
      <c r="K24" s="4">
        <f>IFERROR(AVERAGEIFS($K$2:$K$21,$J$2:$J$21,"&lt;&gt; -1"),0)</f>
        <v>5258.052</v>
      </c>
      <c r="L24" s="4">
        <f>IFERROR(AVERAGEIFS($M$2:$M$21,$L$2:$L$21,"&lt;&gt; -1"),0)</f>
        <v>5221.63076923077</v>
      </c>
      <c r="M24" s="4">
        <f>IFERROR(_xlfn.MAXIFS($B$2:$B$21,$B$2:$B$21,"&lt;&gt; -1"),0)</f>
        <v>120.43</v>
      </c>
      <c r="N24" s="4">
        <f>IFERROR(_xlfn.MAXIFS($D$2:$D$21,$D$2:$D$21,"&lt;&gt;-1"),0)</f>
        <v>120.56</v>
      </c>
      <c r="O24" s="4">
        <f>IFERROR(_xlfn.MAXIFS($F$2:$F$21,$F$2:$F$21,"&lt;&gt; -1"),0)</f>
        <v>146.85</v>
      </c>
      <c r="P24" s="4">
        <f>IFERROR(_xlfn.MAXIFS($H$2:$H$21,$H$2:$H$21,"&lt;&gt; -1"),0)</f>
        <v>135.27</v>
      </c>
      <c r="Q24" s="4">
        <f>IFERROR(_xlfn.MAXIFS($J$2:$J$21,$J$2:$J$21,"&lt;&gt; -1"),0)</f>
        <v>138.91</v>
      </c>
      <c r="R24" s="4">
        <f>IFERROR(_xlfn.MAXIFS($L$2:$L$21,$L$2:$L$21,"&lt;&gt; -1"),0)</f>
        <v>136.69</v>
      </c>
      <c r="S24" s="4">
        <f>IFERROR(_xlfn.MINIFS($B$2:$B$21,$B$2:$B$21,"&lt;&gt; -1"),0)</f>
        <v>81.11</v>
      </c>
      <c r="T24" s="4">
        <f>IFERROR(_xlfn.MINIFS($D$2:$D$21,$D$2:$D$21,"&lt;&gt;-1"),0)</f>
        <v>81.39</v>
      </c>
      <c r="U24" s="4">
        <f>IFERROR(_xlfn.MINIFS($F$2:$F$21,$F$2:$F$21,"&lt;&gt; -1"),0)</f>
        <v>96</v>
      </c>
      <c r="V24" s="4">
        <f>IFERROR(_xlfn.MINIFS($H$2:$H$21,$H$2:$H$21,"&lt;&gt; -1"),0)</f>
        <v>98.62</v>
      </c>
      <c r="W24" s="4">
        <f>IFERROR(_xlfn.MINIFS($J$2:$J$21,$J$2:$J$21,"&lt;&gt; -1"),0)</f>
        <v>89.41</v>
      </c>
      <c r="X24" s="4">
        <f>IFERROR(_xlfn.MINIFS($L$2:$L$21,$L$2:$L$21,"&lt;&gt; -1"),0)</f>
        <v>88.49</v>
      </c>
      <c r="Y24" s="4">
        <f>IFERROR(_xlfn.MAXIFS($C$2:$C$21,$B$2:$B$21,"&lt;&gt; -1"),0)</f>
        <v>5472.89</v>
      </c>
      <c r="Z24" s="4">
        <f>IFERROR(_xlfn.MAXIFS($E$2:$E$21,$D$2:$D$21,"&lt;&gt; -1"),0)</f>
        <v>5445.04</v>
      </c>
      <c r="AA24" s="4">
        <f>IFERROR(_xlfn.MAXIFS($G$2:$G$21,$F$2:$F$21,"&lt;&gt; -1"),0)</f>
        <v>5981.75</v>
      </c>
      <c r="AB24" s="4">
        <f>IFERROR(_xlfn.MAXIFS($I$2:$I$21,$H$2:$H$21,"&lt;&gt; -1"),0)</f>
        <v>6084.16</v>
      </c>
      <c r="AC24" s="4">
        <f>IFERROR(_xlfn.MAXIFS($K$2:$K$21,$J$2:$J$21,"&lt;&gt; -1"),0)</f>
        <v>5431.92</v>
      </c>
      <c r="AD24" s="4">
        <f>IFERROR(_xlfn.MAXIFS($M$2:$M$21,$L$2:$L$21,"&lt;&gt; -1"),0)</f>
        <v>5411</v>
      </c>
      <c r="AE24" s="4">
        <f>IFERROR(_xlfn.MINIFS($C$2:$C$21,$B$2:$B$21,"&lt;&gt; -1"),0)</f>
        <v>4733.65</v>
      </c>
      <c r="AF24" s="4">
        <f>IFERROR(_xlfn.MINIFS($E$2:$E$21,$D$2:$D$21,"&lt;&gt; -1"),0)</f>
        <v>4684.6</v>
      </c>
      <c r="AG24" s="4">
        <f>IFERROR(_xlfn.MINIFS($G$2:$G$21,$F$2:$F$21,"&lt;&gt; -1"),0)</f>
        <v>5263.7</v>
      </c>
      <c r="AH24" s="4">
        <f>IFERROR(_xlfn.MINIFS($I$2:$I$21,$H$2:$H$21,"&lt;&gt; -1"),0)</f>
        <v>5160.83</v>
      </c>
      <c r="AI24" s="4">
        <f>IFERROR(_xlfn.MINIFS($K$2:$K$21,$J$2:$J$21,"&lt;&gt; -1"),0)</f>
        <v>4957.46</v>
      </c>
      <c r="AJ24" s="4">
        <f>IFERROR(_xlfn.MINIFS($M$2:$M$21,$L$2:$L$21,"&lt;&gt; -1"),0)</f>
        <v>4650.8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1</v>
      </c>
      <c r="AN24" s="4">
        <f>(COUNTIFS($H$2:$H$21,"&gt;0.0",$H$2:$H$21,"&lt;200.0"))/20</f>
        <v>0.95</v>
      </c>
      <c r="AO24" s="4">
        <f>(COUNTIFS($J$2:$J$21,"&gt;0.0",$J$2:$J$21,"&lt;200.0"))/20</f>
        <v>0.75</v>
      </c>
      <c r="AP24" s="4">
        <f>(COUNTIFS($L$2:$L$21,"&gt;0.0",$L$2:$L$21,"&lt;200.0"))/20</f>
        <v>0.65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127.18</v>
      </c>
      <c r="C2">
        <v>5395.23</v>
      </c>
      <c r="D2">
        <v>127.6</v>
      </c>
      <c r="E2">
        <v>5522.55</v>
      </c>
      <c r="F2">
        <v>143.91</v>
      </c>
      <c r="G2">
        <v>5924.96</v>
      </c>
      <c r="H2">
        <v>-1</v>
      </c>
      <c r="I2">
        <v>6075.6</v>
      </c>
      <c r="J2">
        <v>-1</v>
      </c>
      <c r="K2">
        <v>0</v>
      </c>
      <c r="L2">
        <v>-1</v>
      </c>
      <c r="M2">
        <v>882.34</v>
      </c>
    </row>
    <row r="3" spans="1:13">
      <c r="A3" t="s">
        <v>14</v>
      </c>
      <c r="B3">
        <v>120.25</v>
      </c>
      <c r="C3">
        <v>5394.47</v>
      </c>
      <c r="D3">
        <v>120.37</v>
      </c>
      <c r="E3">
        <v>5276.63</v>
      </c>
      <c r="F3">
        <v>-1</v>
      </c>
      <c r="G3">
        <v>4792.37</v>
      </c>
      <c r="H3">
        <v>-1</v>
      </c>
      <c r="I3">
        <v>5297.72</v>
      </c>
      <c r="J3">
        <v>-1</v>
      </c>
      <c r="K3">
        <v>0</v>
      </c>
      <c r="L3">
        <v>-1</v>
      </c>
      <c r="M3">
        <v>3892.47</v>
      </c>
    </row>
    <row r="4" spans="1:13">
      <c r="A4" t="s">
        <v>15</v>
      </c>
      <c r="B4">
        <v>117.5</v>
      </c>
      <c r="C4">
        <v>5331.47</v>
      </c>
      <c r="D4">
        <v>117.52</v>
      </c>
      <c r="E4">
        <v>5194.86</v>
      </c>
      <c r="F4">
        <v>-1</v>
      </c>
      <c r="G4">
        <v>5103.78</v>
      </c>
      <c r="H4">
        <v>-1</v>
      </c>
      <c r="I4">
        <v>5484.76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119.61</v>
      </c>
      <c r="C5">
        <v>5412.82</v>
      </c>
      <c r="D5">
        <v>119.49</v>
      </c>
      <c r="E5">
        <v>5434.71</v>
      </c>
      <c r="F5">
        <v>142.1</v>
      </c>
      <c r="G5">
        <v>6000.51</v>
      </c>
      <c r="H5">
        <v>145.17</v>
      </c>
      <c r="I5">
        <v>6083.67</v>
      </c>
      <c r="J5">
        <v>-1</v>
      </c>
      <c r="K5">
        <v>0</v>
      </c>
      <c r="L5">
        <v>-1</v>
      </c>
      <c r="M5">
        <v>923.92</v>
      </c>
    </row>
    <row r="6" spans="1:13">
      <c r="A6" t="s">
        <v>17</v>
      </c>
      <c r="B6">
        <v>117.22</v>
      </c>
      <c r="C6">
        <v>5517.29</v>
      </c>
      <c r="D6">
        <v>117.85</v>
      </c>
      <c r="E6">
        <v>5244.76</v>
      </c>
      <c r="F6">
        <v>132.64</v>
      </c>
      <c r="G6">
        <v>5995.32</v>
      </c>
      <c r="H6">
        <v>-1</v>
      </c>
      <c r="I6">
        <v>5247.86</v>
      </c>
      <c r="J6">
        <v>-1</v>
      </c>
      <c r="K6">
        <v>0</v>
      </c>
      <c r="L6">
        <v>-1</v>
      </c>
      <c r="M6">
        <v>3604.04</v>
      </c>
    </row>
    <row r="7" spans="1:13">
      <c r="A7" t="s">
        <v>18</v>
      </c>
      <c r="B7">
        <v>116.62</v>
      </c>
      <c r="C7">
        <v>5194.87</v>
      </c>
      <c r="D7">
        <v>116.92</v>
      </c>
      <c r="E7">
        <v>5508.9</v>
      </c>
      <c r="F7">
        <v>-1</v>
      </c>
      <c r="G7">
        <v>5264.42</v>
      </c>
      <c r="H7">
        <v>-1</v>
      </c>
      <c r="I7">
        <v>5526.41</v>
      </c>
      <c r="J7">
        <v>-1</v>
      </c>
      <c r="K7">
        <v>4861.34</v>
      </c>
      <c r="L7">
        <v>142.77</v>
      </c>
      <c r="M7">
        <v>5463.62</v>
      </c>
    </row>
    <row r="8" spans="1:13">
      <c r="A8" t="s">
        <v>19</v>
      </c>
      <c r="B8">
        <v>123.9</v>
      </c>
      <c r="C8">
        <v>5543.59</v>
      </c>
      <c r="D8">
        <v>124.82</v>
      </c>
      <c r="E8">
        <v>5670.81</v>
      </c>
      <c r="F8">
        <v>140.96</v>
      </c>
      <c r="G8">
        <v>6100.32</v>
      </c>
      <c r="H8">
        <v>-1</v>
      </c>
      <c r="I8">
        <v>4871.28</v>
      </c>
      <c r="J8">
        <v>-1</v>
      </c>
      <c r="K8">
        <v>0</v>
      </c>
      <c r="L8">
        <v>-1</v>
      </c>
      <c r="M8">
        <v>5128.41</v>
      </c>
    </row>
    <row r="9" spans="1:13">
      <c r="A9" t="s">
        <v>20</v>
      </c>
      <c r="B9">
        <v>114.88</v>
      </c>
      <c r="C9">
        <v>5454.56</v>
      </c>
      <c r="D9">
        <v>115.2</v>
      </c>
      <c r="E9">
        <v>5135.24</v>
      </c>
      <c r="F9">
        <v>-1</v>
      </c>
      <c r="G9">
        <v>5271.24</v>
      </c>
      <c r="H9">
        <v>-1</v>
      </c>
      <c r="I9">
        <v>5547.48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118.66</v>
      </c>
      <c r="C10">
        <v>5331.27</v>
      </c>
      <c r="D10">
        <v>118.36</v>
      </c>
      <c r="E10">
        <v>5501.92</v>
      </c>
      <c r="F10">
        <v>-1</v>
      </c>
      <c r="G10">
        <v>5544.18</v>
      </c>
      <c r="H10">
        <v>142.18</v>
      </c>
      <c r="I10">
        <v>6060.93</v>
      </c>
      <c r="J10">
        <v>-1</v>
      </c>
      <c r="K10">
        <v>0</v>
      </c>
      <c r="L10">
        <v>-1</v>
      </c>
      <c r="M10">
        <v>865.79</v>
      </c>
    </row>
    <row r="11" spans="1:13">
      <c r="A11" t="s">
        <v>22</v>
      </c>
      <c r="B11">
        <v>114.81</v>
      </c>
      <c r="C11">
        <v>5198.66</v>
      </c>
      <c r="D11">
        <v>115.28</v>
      </c>
      <c r="E11">
        <v>5286.67</v>
      </c>
      <c r="F11">
        <v>136.02</v>
      </c>
      <c r="G11">
        <v>5674.16</v>
      </c>
      <c r="H11">
        <v>139.7</v>
      </c>
      <c r="I11">
        <v>5722.41</v>
      </c>
      <c r="J11">
        <v>-1</v>
      </c>
      <c r="K11">
        <v>4429.75</v>
      </c>
      <c r="L11">
        <v>132.84</v>
      </c>
      <c r="M11">
        <v>5245.83</v>
      </c>
    </row>
    <row r="12" spans="1:13">
      <c r="A12" t="s">
        <v>23</v>
      </c>
      <c r="B12">
        <v>115.53</v>
      </c>
      <c r="C12">
        <v>5449.44</v>
      </c>
      <c r="D12">
        <v>115.4</v>
      </c>
      <c r="E12">
        <v>5450.95</v>
      </c>
      <c r="F12">
        <v>-1</v>
      </c>
      <c r="G12">
        <v>4786.06</v>
      </c>
      <c r="H12">
        <v>-1</v>
      </c>
      <c r="I12">
        <v>5615.1</v>
      </c>
      <c r="J12">
        <v>-1</v>
      </c>
      <c r="K12">
        <v>2773.93</v>
      </c>
      <c r="L12">
        <v>-1</v>
      </c>
      <c r="M12">
        <v>0</v>
      </c>
    </row>
    <row r="13" spans="1:13">
      <c r="A13" t="s">
        <v>24</v>
      </c>
      <c r="B13">
        <v>115.83</v>
      </c>
      <c r="C13">
        <v>5346.63</v>
      </c>
      <c r="D13">
        <v>116.17</v>
      </c>
      <c r="E13">
        <v>5287.02</v>
      </c>
      <c r="F13">
        <v>135.09</v>
      </c>
      <c r="G13">
        <v>5856.48</v>
      </c>
      <c r="H13">
        <v>132.15</v>
      </c>
      <c r="I13">
        <v>5877.51</v>
      </c>
      <c r="J13">
        <v>-1</v>
      </c>
      <c r="K13">
        <v>868.4</v>
      </c>
      <c r="L13">
        <v>-1</v>
      </c>
      <c r="M13">
        <v>807.83</v>
      </c>
    </row>
    <row r="14" spans="1:13">
      <c r="A14" t="s">
        <v>25</v>
      </c>
      <c r="B14">
        <v>121.8</v>
      </c>
      <c r="C14">
        <v>5295.22</v>
      </c>
      <c r="D14">
        <v>122.18</v>
      </c>
      <c r="E14">
        <v>5223.09</v>
      </c>
      <c r="F14">
        <v>148.46</v>
      </c>
      <c r="G14">
        <v>5788.2</v>
      </c>
      <c r="H14">
        <v>142.3</v>
      </c>
      <c r="I14">
        <v>5721.51</v>
      </c>
      <c r="J14">
        <v>-1</v>
      </c>
      <c r="K14">
        <v>0</v>
      </c>
      <c r="L14">
        <v>-1</v>
      </c>
      <c r="M14">
        <v>4659.98</v>
      </c>
    </row>
    <row r="15" spans="1:13">
      <c r="A15" t="s">
        <v>26</v>
      </c>
      <c r="B15">
        <v>124.61</v>
      </c>
      <c r="C15">
        <v>5548.39</v>
      </c>
      <c r="D15">
        <v>124.95</v>
      </c>
      <c r="E15">
        <v>5437.23</v>
      </c>
      <c r="F15">
        <v>146.31</v>
      </c>
      <c r="G15">
        <v>5991.48</v>
      </c>
      <c r="H15">
        <v>152.27</v>
      </c>
      <c r="I15">
        <v>5860.33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109.37</v>
      </c>
      <c r="C16">
        <v>4764.44</v>
      </c>
      <c r="D16">
        <v>110.12</v>
      </c>
      <c r="E16">
        <v>4998.77</v>
      </c>
      <c r="F16">
        <v>129.44</v>
      </c>
      <c r="G16">
        <v>5215.12</v>
      </c>
      <c r="H16">
        <v>-1</v>
      </c>
      <c r="I16">
        <v>4637.69</v>
      </c>
      <c r="J16">
        <v>-1</v>
      </c>
      <c r="K16">
        <v>731.62</v>
      </c>
      <c r="L16">
        <v>-1</v>
      </c>
      <c r="M16">
        <v>0</v>
      </c>
    </row>
    <row r="17" spans="1:13">
      <c r="A17" t="s">
        <v>28</v>
      </c>
      <c r="B17">
        <v>127.57</v>
      </c>
      <c r="C17">
        <v>5197.27</v>
      </c>
      <c r="D17">
        <v>128.31</v>
      </c>
      <c r="E17">
        <v>5554.01</v>
      </c>
      <c r="F17">
        <v>-1</v>
      </c>
      <c r="G17">
        <v>3271.18</v>
      </c>
      <c r="H17">
        <v>-1</v>
      </c>
      <c r="I17">
        <v>2729.45</v>
      </c>
      <c r="J17">
        <v>-1</v>
      </c>
      <c r="K17">
        <v>690.44</v>
      </c>
      <c r="L17">
        <v>-1</v>
      </c>
      <c r="M17">
        <v>825.49</v>
      </c>
    </row>
    <row r="18" spans="1:13">
      <c r="A18" t="s">
        <v>29</v>
      </c>
      <c r="B18">
        <v>125.69</v>
      </c>
      <c r="C18">
        <v>5579.86</v>
      </c>
      <c r="D18">
        <v>125.84</v>
      </c>
      <c r="E18">
        <v>5278.21</v>
      </c>
      <c r="F18">
        <v>150.21</v>
      </c>
      <c r="G18">
        <v>6040.41</v>
      </c>
      <c r="H18">
        <v>-1</v>
      </c>
      <c r="I18">
        <v>5430.6</v>
      </c>
      <c r="J18">
        <v>-1</v>
      </c>
      <c r="K18">
        <v>0</v>
      </c>
      <c r="L18">
        <v>-1</v>
      </c>
      <c r="M18">
        <v>787.73</v>
      </c>
    </row>
    <row r="19" spans="1:13">
      <c r="A19" t="s">
        <v>30</v>
      </c>
      <c r="B19">
        <v>111.18</v>
      </c>
      <c r="C19">
        <v>4925.5</v>
      </c>
      <c r="D19">
        <v>111.47</v>
      </c>
      <c r="E19">
        <v>5188.24</v>
      </c>
      <c r="F19">
        <v>137.03</v>
      </c>
      <c r="G19">
        <v>5348.99</v>
      </c>
      <c r="H19">
        <v>-1</v>
      </c>
      <c r="I19">
        <v>5062.02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115.77</v>
      </c>
      <c r="C20">
        <v>5406.92</v>
      </c>
      <c r="D20">
        <v>115.87</v>
      </c>
      <c r="E20">
        <v>5392.23</v>
      </c>
      <c r="F20">
        <v>140.29</v>
      </c>
      <c r="G20">
        <v>5896.76</v>
      </c>
      <c r="H20">
        <v>141.46</v>
      </c>
      <c r="I20">
        <v>5979.11</v>
      </c>
      <c r="J20">
        <v>-1</v>
      </c>
      <c r="K20">
        <v>3768.39</v>
      </c>
      <c r="L20">
        <v>-1</v>
      </c>
      <c r="M20">
        <v>0</v>
      </c>
    </row>
    <row r="21" spans="1:13">
      <c r="A21" t="s">
        <v>32</v>
      </c>
      <c r="B21">
        <v>117.7</v>
      </c>
      <c r="C21">
        <v>5186.97</v>
      </c>
      <c r="D21">
        <v>118.23</v>
      </c>
      <c r="E21">
        <v>5263.57</v>
      </c>
      <c r="F21">
        <v>142.83</v>
      </c>
      <c r="G21">
        <v>5583.48</v>
      </c>
      <c r="H21">
        <v>-1</v>
      </c>
      <c r="I21">
        <v>4353.61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118.784</v>
      </c>
      <c r="B24" s="4">
        <f>IFERROR(AVERAGEIF($D$2:$D$21,"&lt;&gt; -1"),0)</f>
        <v>119.0975</v>
      </c>
      <c r="C24" s="4">
        <f>IFERROR(AVERAGEIF($F$2:$F$21,"&lt;&gt; -1"),0)</f>
        <v>140.406923076923</v>
      </c>
      <c r="D24" s="4">
        <f>IFERROR(AVERAGEIF($H$2:$H$21,"&lt;&gt; -1"),0)</f>
        <v>142.175714285714</v>
      </c>
      <c r="E24" s="4">
        <f>IFERROR(AVERAGEIF($J$2:$J$21,"&lt;&gt; -1"),0)</f>
        <v>0</v>
      </c>
      <c r="F24" s="4">
        <f>IFERROR(AVERAGEIF($L$2:$L$21,"&lt;&gt; -1"),0)</f>
        <v>137.805</v>
      </c>
      <c r="G24" s="4">
        <f>IFERROR(AVERAGEIFS($C$2:$C$21,$B$2:$B$21,"&lt;&gt; -1"),0)</f>
        <v>5323.7435</v>
      </c>
      <c r="H24" s="4">
        <f>IFERROR(AVERAGEIFS($E$2:$E$21,$D$2:$D$21,"&lt;&gt; -1"),0)</f>
        <v>5342.5185</v>
      </c>
      <c r="I24" s="4">
        <f>IFERROR(AVERAGEIFS($G$2:$G$21,$F$2:$F$21,"&lt;&gt; -1"),0)</f>
        <v>5801.24538461538</v>
      </c>
      <c r="J24" s="4">
        <f>IFERROR(AVERAGEIFS($I$2:$I$21,$H$2:$H$21,"&lt;&gt; -1"),0)</f>
        <v>5900.78142857143</v>
      </c>
      <c r="K24" s="4">
        <f>IFERROR(AVERAGEIFS($K$2:$K$21,$J$2:$J$21,"&lt;&gt; -1"),0)</f>
        <v>0</v>
      </c>
      <c r="L24" s="4">
        <f>IFERROR(AVERAGEIFS($M$2:$M$21,$L$2:$L$21,"&lt;&gt; -1"),0)</f>
        <v>5354.725</v>
      </c>
      <c r="M24" s="4">
        <f>IFERROR(_xlfn.MAXIFS($B$2:$B$21,$B$2:$B$21,"&lt;&gt; -1"),0)</f>
        <v>127.57</v>
      </c>
      <c r="N24" s="4">
        <f>IFERROR(_xlfn.MAXIFS($D$2:$D$21,$D$2:$D$21,"&lt;&gt;-1"),0)</f>
        <v>128.31</v>
      </c>
      <c r="O24" s="4">
        <f>IFERROR(_xlfn.MAXIFS($F$2:$F$21,$F$2:$F$21,"&lt;&gt; -1"),0)</f>
        <v>150.21</v>
      </c>
      <c r="P24" s="4">
        <f>IFERROR(_xlfn.MAXIFS($H$2:$H$21,$H$2:$H$21,"&lt;&gt; -1"),0)</f>
        <v>152.27</v>
      </c>
      <c r="Q24" s="4">
        <f>IFERROR(_xlfn.MAXIFS($J$2:$J$21,$J$2:$J$21,"&lt;&gt; -1"),0)</f>
        <v>0</v>
      </c>
      <c r="R24" s="4">
        <f>IFERROR(_xlfn.MAXIFS($L$2:$L$21,$L$2:$L$21,"&lt;&gt; -1"),0)</f>
        <v>142.77</v>
      </c>
      <c r="S24" s="4">
        <f>IFERROR(_xlfn.MINIFS($B$2:$B$21,$B$2:$B$21,"&lt;&gt; -1"),0)</f>
        <v>109.37</v>
      </c>
      <c r="T24" s="4">
        <f>IFERROR(_xlfn.MINIFS($D$2:$D$21,$D$2:$D$21,"&lt;&gt;-1"),0)</f>
        <v>110.12</v>
      </c>
      <c r="U24" s="4">
        <f>IFERROR(_xlfn.MINIFS($F$2:$F$21,$F$2:$F$21,"&lt;&gt; -1"),0)</f>
        <v>129.44</v>
      </c>
      <c r="V24" s="4">
        <f>IFERROR(_xlfn.MINIFS($H$2:$H$21,$H$2:$H$21,"&lt;&gt; -1"),0)</f>
        <v>132.15</v>
      </c>
      <c r="W24" s="4">
        <f>IFERROR(_xlfn.MINIFS($J$2:$J$21,$J$2:$J$21,"&lt;&gt; -1"),0)</f>
        <v>0</v>
      </c>
      <c r="X24" s="4">
        <f>IFERROR(_xlfn.MINIFS($L$2:$L$21,$L$2:$L$21,"&lt;&gt; -1"),0)</f>
        <v>132.84</v>
      </c>
      <c r="Y24" s="4">
        <f>IFERROR(_xlfn.MAXIFS($C$2:$C$21,$B$2:$B$21,"&lt;&gt; -1"),0)</f>
        <v>5579.86</v>
      </c>
      <c r="Z24" s="4">
        <f>IFERROR(_xlfn.MAXIFS($E$2:$E$21,$D$2:$D$21,"&lt;&gt; -1"),0)</f>
        <v>5670.81</v>
      </c>
      <c r="AA24" s="4">
        <f>IFERROR(_xlfn.MAXIFS($G$2:$G$21,$F$2:$F$21,"&lt;&gt; -1"),0)</f>
        <v>6100.32</v>
      </c>
      <c r="AB24" s="4">
        <f>IFERROR(_xlfn.MAXIFS($I$2:$I$21,$H$2:$H$21,"&lt;&gt; -1"),0)</f>
        <v>6083.67</v>
      </c>
      <c r="AC24" s="4">
        <f>IFERROR(_xlfn.MAXIFS($K$2:$K$21,$J$2:$J$21,"&lt;&gt; -1"),0)</f>
        <v>0</v>
      </c>
      <c r="AD24" s="4">
        <f>IFERROR(_xlfn.MAXIFS($M$2:$M$21,$L$2:$L$21,"&lt;&gt; -1"),0)</f>
        <v>5463.62</v>
      </c>
      <c r="AE24" s="4">
        <f>IFERROR(_xlfn.MINIFS($C$2:$C$21,$B$2:$B$21,"&lt;&gt; -1"),0)</f>
        <v>4764.44</v>
      </c>
      <c r="AF24" s="4">
        <f>IFERROR(_xlfn.MINIFS($E$2:$E$21,$D$2:$D$21,"&lt;&gt; -1"),0)</f>
        <v>4998.77</v>
      </c>
      <c r="AG24" s="4">
        <f>IFERROR(_xlfn.MINIFS($G$2:$G$21,$F$2:$F$21,"&lt;&gt; -1"),0)</f>
        <v>5215.12</v>
      </c>
      <c r="AH24" s="4">
        <f>IFERROR(_xlfn.MINIFS($I$2:$I$21,$H$2:$H$21,"&lt;&gt; -1"),0)</f>
        <v>5721.51</v>
      </c>
      <c r="AI24" s="4">
        <f>IFERROR(_xlfn.MINIFS($K$2:$K$21,$J$2:$J$21,"&lt;&gt; -1"),0)</f>
        <v>0</v>
      </c>
      <c r="AJ24" s="4">
        <f>IFERROR(_xlfn.MINIFS($M$2:$M$21,$L$2:$L$21,"&lt;&gt; -1"),0)</f>
        <v>5245.83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0.65</v>
      </c>
      <c r="AN24" s="4">
        <f>(COUNTIFS($H$2:$H$21,"&gt;0.0",$H$2:$H$21,"&lt;200.0"))/20</f>
        <v>0.35</v>
      </c>
      <c r="AO24" s="4">
        <f>(COUNTIFS($J$2:$J$21,"&gt;0.0",$J$2:$J$21,"&lt;200.0"))/20</f>
        <v>0</v>
      </c>
      <c r="AP24" s="4">
        <f>(COUNTIFS($L$2:$L$21,"&gt;0.0",$L$2:$L$21,"&lt;200.0"))/20</f>
        <v>0.1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137.4</v>
      </c>
      <c r="C2">
        <v>5250.7</v>
      </c>
      <c r="D2">
        <v>137.99</v>
      </c>
      <c r="E2">
        <v>5289.79</v>
      </c>
      <c r="F2">
        <v>151.09</v>
      </c>
      <c r="G2">
        <v>5716.84</v>
      </c>
      <c r="H2">
        <v>-1</v>
      </c>
      <c r="I2">
        <v>4139.99</v>
      </c>
      <c r="J2">
        <v>-1</v>
      </c>
      <c r="K2">
        <v>982.87</v>
      </c>
      <c r="L2">
        <v>-1</v>
      </c>
      <c r="M2">
        <v>0</v>
      </c>
    </row>
    <row r="3" spans="1:13">
      <c r="A3" t="s">
        <v>14</v>
      </c>
      <c r="B3">
        <v>133.24</v>
      </c>
      <c r="C3">
        <v>5315.25</v>
      </c>
      <c r="D3">
        <v>133.85</v>
      </c>
      <c r="E3">
        <v>5353.94</v>
      </c>
      <c r="F3">
        <v>-1</v>
      </c>
      <c r="G3">
        <v>0</v>
      </c>
      <c r="H3">
        <v>-1</v>
      </c>
      <c r="I3">
        <v>5062.93</v>
      </c>
      <c r="J3">
        <v>-1</v>
      </c>
      <c r="K3">
        <v>0</v>
      </c>
      <c r="L3">
        <v>-1</v>
      </c>
      <c r="M3">
        <v>1122.43</v>
      </c>
    </row>
    <row r="4" spans="1:13">
      <c r="A4" t="s">
        <v>15</v>
      </c>
      <c r="B4">
        <v>130.88</v>
      </c>
      <c r="C4">
        <v>5341.76</v>
      </c>
      <c r="D4">
        <v>131.24</v>
      </c>
      <c r="E4">
        <v>5177.64</v>
      </c>
      <c r="F4">
        <v>145.04</v>
      </c>
      <c r="G4">
        <v>5702.55</v>
      </c>
      <c r="H4">
        <v>151.95</v>
      </c>
      <c r="I4">
        <v>5638.14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138.73</v>
      </c>
      <c r="C5">
        <v>5398.8</v>
      </c>
      <c r="D5">
        <v>139.1</v>
      </c>
      <c r="E5">
        <v>5432.17</v>
      </c>
      <c r="F5">
        <v>-1</v>
      </c>
      <c r="G5">
        <v>1599.82</v>
      </c>
      <c r="H5">
        <v>-1</v>
      </c>
      <c r="I5">
        <v>1628.7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132.26</v>
      </c>
      <c r="C6">
        <v>5348.64</v>
      </c>
      <c r="D6">
        <v>132.56</v>
      </c>
      <c r="E6">
        <v>5468.54</v>
      </c>
      <c r="F6">
        <v>160.58</v>
      </c>
      <c r="G6">
        <v>5808.83</v>
      </c>
      <c r="H6">
        <v>-1</v>
      </c>
      <c r="I6">
        <v>0</v>
      </c>
      <c r="J6">
        <v>-1</v>
      </c>
      <c r="K6">
        <v>0</v>
      </c>
      <c r="L6">
        <v>-1</v>
      </c>
      <c r="M6">
        <v>1241.48</v>
      </c>
    </row>
    <row r="7" spans="1:13">
      <c r="A7" t="s">
        <v>18</v>
      </c>
      <c r="B7">
        <v>116.79</v>
      </c>
      <c r="C7">
        <v>5284.96</v>
      </c>
      <c r="D7">
        <v>117.26</v>
      </c>
      <c r="E7">
        <v>5194.68</v>
      </c>
      <c r="F7">
        <v>-1</v>
      </c>
      <c r="G7">
        <v>1525.57</v>
      </c>
      <c r="H7">
        <v>-1</v>
      </c>
      <c r="I7">
        <v>1429.1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130.05</v>
      </c>
      <c r="C8">
        <v>5462.66</v>
      </c>
      <c r="D8">
        <v>130.5</v>
      </c>
      <c r="E8">
        <v>5430.5</v>
      </c>
      <c r="F8">
        <v>155.91</v>
      </c>
      <c r="G8">
        <v>5995.14</v>
      </c>
      <c r="H8">
        <v>154.88</v>
      </c>
      <c r="I8">
        <v>6062.72</v>
      </c>
      <c r="J8">
        <v>-1</v>
      </c>
      <c r="K8">
        <v>846.11</v>
      </c>
      <c r="L8">
        <v>-1</v>
      </c>
      <c r="M8">
        <v>898.51</v>
      </c>
    </row>
    <row r="9" spans="1:13">
      <c r="A9" t="s">
        <v>20</v>
      </c>
      <c r="B9">
        <v>117.83</v>
      </c>
      <c r="C9">
        <v>5391.02</v>
      </c>
      <c r="D9">
        <v>118.4</v>
      </c>
      <c r="E9">
        <v>5211.92</v>
      </c>
      <c r="F9">
        <v>-1</v>
      </c>
      <c r="G9">
        <v>1525.37</v>
      </c>
      <c r="H9">
        <v>-1</v>
      </c>
      <c r="I9">
        <v>3609.55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108.4</v>
      </c>
      <c r="C10">
        <v>5224.01</v>
      </c>
      <c r="D10">
        <v>108.88</v>
      </c>
      <c r="E10">
        <v>5467.06</v>
      </c>
      <c r="F10">
        <v>120.38</v>
      </c>
      <c r="G10">
        <v>5761.42</v>
      </c>
      <c r="H10">
        <v>131.14</v>
      </c>
      <c r="I10">
        <v>5989.12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100.19</v>
      </c>
      <c r="C11">
        <v>5415.31</v>
      </c>
      <c r="D11">
        <v>100.49</v>
      </c>
      <c r="E11">
        <v>5251.6</v>
      </c>
      <c r="F11">
        <v>-1</v>
      </c>
      <c r="G11">
        <v>5831.88</v>
      </c>
      <c r="H11">
        <v>117.66</v>
      </c>
      <c r="I11">
        <v>5715.22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105.7</v>
      </c>
      <c r="C12">
        <v>5281.17</v>
      </c>
      <c r="D12">
        <v>105.89</v>
      </c>
      <c r="E12">
        <v>5454.82</v>
      </c>
      <c r="F12">
        <v>-1</v>
      </c>
      <c r="G12">
        <v>4592.73</v>
      </c>
      <c r="H12">
        <v>126.35</v>
      </c>
      <c r="I12">
        <v>6031.99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105.78</v>
      </c>
      <c r="C13">
        <v>5143.89</v>
      </c>
      <c r="D13">
        <v>106.13</v>
      </c>
      <c r="E13">
        <v>5115.13</v>
      </c>
      <c r="F13">
        <v>-1</v>
      </c>
      <c r="G13">
        <v>1401.53</v>
      </c>
      <c r="H13">
        <v>-1</v>
      </c>
      <c r="I13">
        <v>5373.55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120.02</v>
      </c>
      <c r="C14">
        <v>5205.8</v>
      </c>
      <c r="D14">
        <v>120.34</v>
      </c>
      <c r="E14">
        <v>5064.25</v>
      </c>
      <c r="F14">
        <v>-1</v>
      </c>
      <c r="G14">
        <v>0</v>
      </c>
      <c r="H14">
        <v>-1</v>
      </c>
      <c r="I14">
        <v>1535.23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119.57</v>
      </c>
      <c r="C15">
        <v>5395.85</v>
      </c>
      <c r="D15">
        <v>120.17</v>
      </c>
      <c r="E15">
        <v>5464.57</v>
      </c>
      <c r="F15">
        <v>137.65</v>
      </c>
      <c r="G15">
        <v>5865.26</v>
      </c>
      <c r="H15">
        <v>144.51</v>
      </c>
      <c r="I15">
        <v>5901.18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95.73</v>
      </c>
      <c r="C16">
        <v>4943.18</v>
      </c>
      <c r="D16">
        <v>96.13</v>
      </c>
      <c r="E16">
        <v>4710.95</v>
      </c>
      <c r="F16">
        <v>-1</v>
      </c>
      <c r="G16">
        <v>0</v>
      </c>
      <c r="H16">
        <v>-1</v>
      </c>
      <c r="I16">
        <v>5180.15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103.16</v>
      </c>
      <c r="C17">
        <v>5417.32</v>
      </c>
      <c r="D17">
        <v>103.45</v>
      </c>
      <c r="E17">
        <v>5273.74</v>
      </c>
      <c r="F17">
        <v>-1</v>
      </c>
      <c r="G17">
        <v>1481.01</v>
      </c>
      <c r="H17">
        <v>-1</v>
      </c>
      <c r="I17">
        <v>1454.3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130.98</v>
      </c>
      <c r="C18">
        <v>5618.54</v>
      </c>
      <c r="D18">
        <v>130.93</v>
      </c>
      <c r="E18">
        <v>5441.14</v>
      </c>
      <c r="F18">
        <v>-1</v>
      </c>
      <c r="G18">
        <v>1574.37</v>
      </c>
      <c r="H18">
        <v>-1</v>
      </c>
      <c r="I18">
        <v>1507.05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121.62</v>
      </c>
      <c r="C19">
        <v>5147.15</v>
      </c>
      <c r="D19">
        <v>121.79</v>
      </c>
      <c r="E19">
        <v>4983.35</v>
      </c>
      <c r="F19">
        <v>135.98</v>
      </c>
      <c r="G19">
        <v>5608.16</v>
      </c>
      <c r="H19">
        <v>144.87</v>
      </c>
      <c r="I19">
        <v>5524.56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107.55</v>
      </c>
      <c r="C20">
        <v>5477.35</v>
      </c>
      <c r="D20">
        <v>107.62</v>
      </c>
      <c r="E20">
        <v>5206.8</v>
      </c>
      <c r="F20">
        <v>134.7</v>
      </c>
      <c r="G20">
        <v>6061.72</v>
      </c>
      <c r="H20">
        <v>-1</v>
      </c>
      <c r="I20">
        <v>1141.06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101.84</v>
      </c>
      <c r="C21">
        <v>5151.79</v>
      </c>
      <c r="D21">
        <v>102.34</v>
      </c>
      <c r="E21">
        <v>5240.06</v>
      </c>
      <c r="F21">
        <v>117.51</v>
      </c>
      <c r="G21">
        <v>5631.62</v>
      </c>
      <c r="H21">
        <v>121.9</v>
      </c>
      <c r="I21">
        <v>5727.02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117.886</v>
      </c>
      <c r="B24" s="4">
        <f>IFERROR(AVERAGEIF($D$2:$D$21,"&lt;&gt; -1"),0)</f>
        <v>118.253</v>
      </c>
      <c r="C24" s="4">
        <f>IFERROR(AVERAGEIF($F$2:$F$21,"&lt;&gt; -1"),0)</f>
        <v>139.871111111111</v>
      </c>
      <c r="D24" s="4">
        <f>IFERROR(AVERAGEIF($H$2:$H$21,"&lt;&gt; -1"),0)</f>
        <v>136.6575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5310.7575</v>
      </c>
      <c r="H24" s="4">
        <f>IFERROR(AVERAGEIFS($E$2:$E$21,$D$2:$D$21,"&lt;&gt; -1"),0)</f>
        <v>5261.6325</v>
      </c>
      <c r="I24" s="4">
        <f>IFERROR(AVERAGEIFS($G$2:$G$21,$F$2:$F$21,"&lt;&gt; -1"),0)</f>
        <v>5794.61555555556</v>
      </c>
      <c r="J24" s="4">
        <f>IFERROR(AVERAGEIFS($I$2:$I$21,$H$2:$H$21,"&lt;&gt; -1"),0)</f>
        <v>5823.74375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138.73</v>
      </c>
      <c r="N24" s="4">
        <f>IFERROR(_xlfn.MAXIFS($D$2:$D$21,$D$2:$D$21,"&lt;&gt;-1"),0)</f>
        <v>139.1</v>
      </c>
      <c r="O24" s="4">
        <f>IFERROR(_xlfn.MAXIFS($F$2:$F$21,$F$2:$F$21,"&lt;&gt; -1"),0)</f>
        <v>160.58</v>
      </c>
      <c r="P24" s="4">
        <f>IFERROR(_xlfn.MAXIFS($H$2:$H$21,$H$2:$H$21,"&lt;&gt; -1"),0)</f>
        <v>154.88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95.73</v>
      </c>
      <c r="T24" s="4">
        <f>IFERROR(_xlfn.MINIFS($D$2:$D$21,$D$2:$D$21,"&lt;&gt;-1"),0)</f>
        <v>96.13</v>
      </c>
      <c r="U24" s="4">
        <f>IFERROR(_xlfn.MINIFS($F$2:$F$21,$F$2:$F$21,"&lt;&gt; -1"),0)</f>
        <v>117.51</v>
      </c>
      <c r="V24" s="4">
        <f>IFERROR(_xlfn.MINIFS($H$2:$H$21,$H$2:$H$21,"&lt;&gt; -1"),0)</f>
        <v>117.66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5618.54</v>
      </c>
      <c r="Z24" s="4">
        <f>IFERROR(_xlfn.MAXIFS($E$2:$E$21,$D$2:$D$21,"&lt;&gt; -1"),0)</f>
        <v>5468.54</v>
      </c>
      <c r="AA24" s="4">
        <f>IFERROR(_xlfn.MAXIFS($G$2:$G$21,$F$2:$F$21,"&lt;&gt; -1"),0)</f>
        <v>6061.72</v>
      </c>
      <c r="AB24" s="4">
        <f>IFERROR(_xlfn.MAXIFS($I$2:$I$21,$H$2:$H$21,"&lt;&gt; -1"),0)</f>
        <v>6062.72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4943.18</v>
      </c>
      <c r="AF24" s="4">
        <f>IFERROR(_xlfn.MINIFS($E$2:$E$21,$D$2:$D$21,"&lt;&gt; -1"),0)</f>
        <v>4710.95</v>
      </c>
      <c r="AG24" s="4">
        <f>IFERROR(_xlfn.MINIFS($G$2:$G$21,$F$2:$F$21,"&lt;&gt; -1"),0)</f>
        <v>5608.16</v>
      </c>
      <c r="AH24" s="4">
        <f>IFERROR(_xlfn.MINIFS($I$2:$I$21,$H$2:$H$21,"&lt;&gt; -1"),0)</f>
        <v>5524.56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0.45</v>
      </c>
      <c r="AN24" s="4">
        <f>(COUNTIFS($H$2:$H$21,"&gt;0.0",$H$2:$H$21,"&lt;200.0"))/20</f>
        <v>0.4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120.28</v>
      </c>
      <c r="C2">
        <v>5323.15</v>
      </c>
      <c r="D2">
        <v>120.87</v>
      </c>
      <c r="E2">
        <v>5458.46</v>
      </c>
      <c r="F2">
        <v>136.02</v>
      </c>
      <c r="G2">
        <v>5869.06</v>
      </c>
      <c r="H2">
        <v>144.1</v>
      </c>
      <c r="I2">
        <v>6016.46</v>
      </c>
      <c r="J2">
        <v>-1</v>
      </c>
      <c r="K2">
        <v>0</v>
      </c>
      <c r="L2">
        <v>-1</v>
      </c>
      <c r="M2">
        <v>1003.79</v>
      </c>
    </row>
    <row r="3" spans="1:13">
      <c r="A3" t="s">
        <v>14</v>
      </c>
      <c r="B3">
        <v>143.01</v>
      </c>
      <c r="C3">
        <v>5389.83</v>
      </c>
      <c r="D3">
        <v>142.86</v>
      </c>
      <c r="E3">
        <v>5361.1</v>
      </c>
      <c r="F3">
        <v>170.64</v>
      </c>
      <c r="G3">
        <v>5880.44</v>
      </c>
      <c r="H3">
        <v>167</v>
      </c>
      <c r="I3">
        <v>5897.34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139.48</v>
      </c>
      <c r="C4">
        <v>5343.74</v>
      </c>
      <c r="D4">
        <v>139.66</v>
      </c>
      <c r="E4">
        <v>5215.94</v>
      </c>
      <c r="F4">
        <v>156.36</v>
      </c>
      <c r="G4">
        <v>5724.76</v>
      </c>
      <c r="H4">
        <v>159.4</v>
      </c>
      <c r="I4">
        <v>5591.35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143.33</v>
      </c>
      <c r="C5">
        <v>5372.56</v>
      </c>
      <c r="D5">
        <v>144.11</v>
      </c>
      <c r="E5">
        <v>5276.75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145.06</v>
      </c>
      <c r="C6">
        <v>5433.19</v>
      </c>
      <c r="D6">
        <v>145.49</v>
      </c>
      <c r="E6">
        <v>5479.61</v>
      </c>
      <c r="F6">
        <v>-1</v>
      </c>
      <c r="G6">
        <v>1758.92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143.45</v>
      </c>
      <c r="C7">
        <v>5058.25</v>
      </c>
      <c r="D7">
        <v>144.1</v>
      </c>
      <c r="E7">
        <v>4999.33</v>
      </c>
      <c r="F7">
        <v>166.23</v>
      </c>
      <c r="G7">
        <v>5727.15</v>
      </c>
      <c r="H7">
        <v>165.65</v>
      </c>
      <c r="I7">
        <v>5567.52</v>
      </c>
      <c r="J7">
        <v>-1</v>
      </c>
      <c r="K7">
        <v>2189.65</v>
      </c>
      <c r="L7">
        <v>-1</v>
      </c>
      <c r="M7">
        <v>0</v>
      </c>
    </row>
    <row r="8" spans="1:13">
      <c r="A8" t="s">
        <v>19</v>
      </c>
      <c r="B8">
        <v>149.61</v>
      </c>
      <c r="C8">
        <v>5617.33</v>
      </c>
      <c r="D8">
        <v>149.95</v>
      </c>
      <c r="E8">
        <v>5649.06</v>
      </c>
      <c r="F8">
        <v>-1</v>
      </c>
      <c r="G8">
        <v>1553</v>
      </c>
      <c r="H8">
        <v>-1</v>
      </c>
      <c r="I8">
        <v>4375.06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146.3</v>
      </c>
      <c r="C9">
        <v>5295.05</v>
      </c>
      <c r="D9">
        <v>146.79</v>
      </c>
      <c r="E9">
        <v>5209.63</v>
      </c>
      <c r="F9">
        <v>163.09</v>
      </c>
      <c r="G9">
        <v>5778.68</v>
      </c>
      <c r="H9">
        <v>173.43</v>
      </c>
      <c r="I9">
        <v>5625.47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148.08</v>
      </c>
      <c r="C10">
        <v>5456.52</v>
      </c>
      <c r="D10">
        <v>148.71</v>
      </c>
      <c r="E10">
        <v>5209.03</v>
      </c>
      <c r="F10">
        <v>159.58</v>
      </c>
      <c r="G10">
        <v>5996.43</v>
      </c>
      <c r="H10">
        <v>168.98</v>
      </c>
      <c r="I10">
        <v>5705.39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139.85</v>
      </c>
      <c r="C11">
        <v>5285.06</v>
      </c>
      <c r="D11">
        <v>140.13</v>
      </c>
      <c r="E11">
        <v>5235.22</v>
      </c>
      <c r="F11">
        <v>-1</v>
      </c>
      <c r="G11">
        <v>0</v>
      </c>
      <c r="H11">
        <v>167.97</v>
      </c>
      <c r="I11">
        <v>5755.76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153.04</v>
      </c>
      <c r="C12">
        <v>5238.46</v>
      </c>
      <c r="D12">
        <v>153.72</v>
      </c>
      <c r="E12">
        <v>5219.79</v>
      </c>
      <c r="F12">
        <v>181.4</v>
      </c>
      <c r="G12">
        <v>5888.27</v>
      </c>
      <c r="H12">
        <v>-1</v>
      </c>
      <c r="I12">
        <v>5503.78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144.68</v>
      </c>
      <c r="C13">
        <v>5005.31</v>
      </c>
      <c r="D13">
        <v>145.03</v>
      </c>
      <c r="E13">
        <v>5096.88</v>
      </c>
      <c r="F13">
        <v>161.06</v>
      </c>
      <c r="G13">
        <v>5480.65</v>
      </c>
      <c r="H13">
        <v>169.39</v>
      </c>
      <c r="I13">
        <v>5565.73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147.35</v>
      </c>
      <c r="C14">
        <v>5190.08</v>
      </c>
      <c r="D14">
        <v>147.95</v>
      </c>
      <c r="E14">
        <v>5169.47</v>
      </c>
      <c r="F14">
        <v>-1</v>
      </c>
      <c r="G14">
        <v>1209.07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155.56</v>
      </c>
      <c r="C15">
        <v>5558.85</v>
      </c>
      <c r="D15">
        <v>156.13</v>
      </c>
      <c r="E15">
        <v>5350.79</v>
      </c>
      <c r="F15">
        <v>174.16</v>
      </c>
      <c r="G15">
        <v>6071</v>
      </c>
      <c r="H15">
        <v>182.5</v>
      </c>
      <c r="I15">
        <v>5732.8</v>
      </c>
      <c r="J15">
        <v>-1</v>
      </c>
      <c r="K15">
        <v>0</v>
      </c>
      <c r="L15">
        <v>-1</v>
      </c>
      <c r="M15">
        <v>943.13</v>
      </c>
    </row>
    <row r="16" spans="1:13">
      <c r="A16" t="s">
        <v>27</v>
      </c>
      <c r="B16">
        <v>123.13</v>
      </c>
      <c r="C16">
        <v>4961.97</v>
      </c>
      <c r="D16">
        <v>123.54</v>
      </c>
      <c r="E16">
        <v>4816.95</v>
      </c>
      <c r="F16">
        <v>148.3</v>
      </c>
      <c r="G16">
        <v>5396.42</v>
      </c>
      <c r="H16">
        <v>141.48</v>
      </c>
      <c r="I16">
        <v>5271.3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133.34</v>
      </c>
      <c r="C17">
        <v>5287.22</v>
      </c>
      <c r="D17">
        <v>133.74</v>
      </c>
      <c r="E17">
        <v>5208.11</v>
      </c>
      <c r="F17">
        <v>-1</v>
      </c>
      <c r="G17">
        <v>5332.73</v>
      </c>
      <c r="H17">
        <v>-1</v>
      </c>
      <c r="I17">
        <v>5672.86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141.59</v>
      </c>
      <c r="C18">
        <v>5441.53</v>
      </c>
      <c r="D18">
        <v>142.25</v>
      </c>
      <c r="E18">
        <v>5441.15</v>
      </c>
      <c r="F18">
        <v>166.44</v>
      </c>
      <c r="G18">
        <v>6029.84</v>
      </c>
      <c r="H18">
        <v>-1</v>
      </c>
      <c r="I18">
        <v>5119.46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131.45</v>
      </c>
      <c r="C19">
        <v>5371.01</v>
      </c>
      <c r="D19">
        <v>131.97</v>
      </c>
      <c r="E19">
        <v>5352.71</v>
      </c>
      <c r="F19">
        <v>147.31</v>
      </c>
      <c r="G19">
        <v>5737.65</v>
      </c>
      <c r="H19">
        <v>149.43</v>
      </c>
      <c r="I19">
        <v>5782.09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141.6</v>
      </c>
      <c r="C20">
        <v>5455.7</v>
      </c>
      <c r="D20">
        <v>141.79</v>
      </c>
      <c r="E20">
        <v>5351.5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133.09</v>
      </c>
      <c r="C21">
        <v>5413.18</v>
      </c>
      <c r="D21">
        <v>133.81</v>
      </c>
      <c r="E21">
        <v>5280.7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141.164</v>
      </c>
      <c r="B24" s="4">
        <f>IFERROR(AVERAGEIF($D$2:$D$21,"&lt;&gt; -1"),0)</f>
        <v>141.63</v>
      </c>
      <c r="C24" s="4">
        <f>IFERROR(AVERAGEIF($F$2:$F$21,"&lt;&gt; -1"),0)</f>
        <v>160.8825</v>
      </c>
      <c r="D24" s="4">
        <f>IFERROR(AVERAGEIF($H$2:$H$21,"&lt;&gt; -1"),0)</f>
        <v>162.666363636364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5324.8995</v>
      </c>
      <c r="H24" s="4">
        <f>IFERROR(AVERAGEIFS($E$2:$E$21,$D$2:$D$21,"&lt;&gt; -1"),0)</f>
        <v>5269.109</v>
      </c>
      <c r="I24" s="4">
        <f>IFERROR(AVERAGEIFS($G$2:$G$21,$F$2:$F$21,"&lt;&gt; -1"),0)</f>
        <v>5798.3625</v>
      </c>
      <c r="J24" s="4">
        <f>IFERROR(AVERAGEIFS($I$2:$I$21,$H$2:$H$21,"&lt;&gt; -1"),0)</f>
        <v>5682.83727272727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155.56</v>
      </c>
      <c r="N24" s="4">
        <f>IFERROR(_xlfn.MAXIFS($D$2:$D$21,$D$2:$D$21,"&lt;&gt;-1"),0)</f>
        <v>156.13</v>
      </c>
      <c r="O24" s="4">
        <f>IFERROR(_xlfn.MAXIFS($F$2:$F$21,$F$2:$F$21,"&lt;&gt; -1"),0)</f>
        <v>181.4</v>
      </c>
      <c r="P24" s="4">
        <f>IFERROR(_xlfn.MAXIFS($H$2:$H$21,$H$2:$H$21,"&lt;&gt; -1"),0)</f>
        <v>182.5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120.28</v>
      </c>
      <c r="T24" s="4">
        <f>IFERROR(_xlfn.MINIFS($D$2:$D$21,$D$2:$D$21,"&lt;&gt;-1"),0)</f>
        <v>120.87</v>
      </c>
      <c r="U24" s="4">
        <f>IFERROR(_xlfn.MINIFS($F$2:$F$21,$F$2:$F$21,"&lt;&gt; -1"),0)</f>
        <v>136.02</v>
      </c>
      <c r="V24" s="4">
        <f>IFERROR(_xlfn.MINIFS($H$2:$H$21,$H$2:$H$21,"&lt;&gt; -1"),0)</f>
        <v>141.48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5617.33</v>
      </c>
      <c r="Z24" s="4">
        <f>IFERROR(_xlfn.MAXIFS($E$2:$E$21,$D$2:$D$21,"&lt;&gt; -1"),0)</f>
        <v>5649.06</v>
      </c>
      <c r="AA24" s="4">
        <f>IFERROR(_xlfn.MAXIFS($G$2:$G$21,$F$2:$F$21,"&lt;&gt; -1"),0)</f>
        <v>6071</v>
      </c>
      <c r="AB24" s="4">
        <f>IFERROR(_xlfn.MAXIFS($I$2:$I$21,$H$2:$H$21,"&lt;&gt; -1"),0)</f>
        <v>6016.46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4961.97</v>
      </c>
      <c r="AF24" s="4">
        <f>IFERROR(_xlfn.MINIFS($E$2:$E$21,$D$2:$D$21,"&lt;&gt; -1"),0)</f>
        <v>4816.95</v>
      </c>
      <c r="AG24" s="4">
        <f>IFERROR(_xlfn.MINIFS($G$2:$G$21,$F$2:$F$21,"&lt;&gt; -1"),0)</f>
        <v>5396.42</v>
      </c>
      <c r="AH24" s="4">
        <f>IFERROR(_xlfn.MINIFS($I$2:$I$21,$H$2:$H$21,"&lt;&gt; -1"),0)</f>
        <v>5271.3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0.6</v>
      </c>
      <c r="AN24" s="4">
        <f>(COUNTIFS($H$2:$H$21,"&gt;0.0",$H$2:$H$21,"&lt;200.0"))/20</f>
        <v>0.55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163</v>
      </c>
      <c r="C2">
        <v>5422.4</v>
      </c>
      <c r="D2">
        <v>163.42</v>
      </c>
      <c r="E2">
        <v>5288.9</v>
      </c>
      <c r="F2">
        <v>175.53</v>
      </c>
      <c r="G2">
        <v>5965.81</v>
      </c>
      <c r="H2">
        <v>179.63</v>
      </c>
      <c r="I2">
        <v>5890.24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155.01</v>
      </c>
      <c r="C3">
        <v>5128.4</v>
      </c>
      <c r="D3">
        <v>155.89</v>
      </c>
      <c r="E3">
        <v>5438.5</v>
      </c>
      <c r="F3">
        <v>-1</v>
      </c>
      <c r="G3">
        <v>0</v>
      </c>
      <c r="H3">
        <v>-1</v>
      </c>
      <c r="I3">
        <v>1864.28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156.18</v>
      </c>
      <c r="C4">
        <v>5341.38</v>
      </c>
      <c r="D4">
        <v>156.63</v>
      </c>
      <c r="E4">
        <v>5157.3</v>
      </c>
      <c r="F4">
        <v>173.66</v>
      </c>
      <c r="G4">
        <v>5839.49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157.64</v>
      </c>
      <c r="C5">
        <v>5634.1</v>
      </c>
      <c r="D5">
        <v>158.19</v>
      </c>
      <c r="E5">
        <v>5399.12</v>
      </c>
      <c r="F5">
        <v>182.62</v>
      </c>
      <c r="G5">
        <v>6189.89</v>
      </c>
      <c r="H5">
        <v>180.26</v>
      </c>
      <c r="I5">
        <v>5935.93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166.27</v>
      </c>
      <c r="C6">
        <v>5414.15</v>
      </c>
      <c r="D6">
        <v>166.77</v>
      </c>
      <c r="E6">
        <v>5544.59</v>
      </c>
      <c r="F6">
        <v>186.64</v>
      </c>
      <c r="G6">
        <v>5924.1</v>
      </c>
      <c r="H6">
        <v>187.45</v>
      </c>
      <c r="I6">
        <v>6058.64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147.59</v>
      </c>
      <c r="C7">
        <v>5187.77</v>
      </c>
      <c r="D7">
        <v>148.1</v>
      </c>
      <c r="E7">
        <v>5235.1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163.76</v>
      </c>
      <c r="C8">
        <v>5370.39</v>
      </c>
      <c r="D8">
        <v>164.32</v>
      </c>
      <c r="E8">
        <v>5670.9</v>
      </c>
      <c r="F8">
        <v>-1</v>
      </c>
      <c r="G8">
        <v>5759.43</v>
      </c>
      <c r="H8">
        <v>-1</v>
      </c>
      <c r="I8">
        <v>5503.57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146.08</v>
      </c>
      <c r="C9">
        <v>5314.54</v>
      </c>
      <c r="D9">
        <v>146.45</v>
      </c>
      <c r="E9">
        <v>5344.23</v>
      </c>
      <c r="F9">
        <v>-1</v>
      </c>
      <c r="G9">
        <v>4895.8</v>
      </c>
      <c r="H9">
        <v>172.42</v>
      </c>
      <c r="I9">
        <v>5825.6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145.24</v>
      </c>
      <c r="C10">
        <v>5156.93</v>
      </c>
      <c r="D10">
        <v>145.75</v>
      </c>
      <c r="E10">
        <v>5317.37</v>
      </c>
      <c r="F10">
        <v>163.53</v>
      </c>
      <c r="G10">
        <v>5620.99</v>
      </c>
      <c r="H10">
        <v>162.5</v>
      </c>
      <c r="I10">
        <v>5799.63</v>
      </c>
      <c r="J10">
        <v>168.89</v>
      </c>
      <c r="K10">
        <v>5117.7</v>
      </c>
      <c r="L10">
        <v>155.04</v>
      </c>
      <c r="M10">
        <v>5258.91</v>
      </c>
    </row>
    <row r="11" spans="1:13">
      <c r="A11" t="s">
        <v>22</v>
      </c>
      <c r="B11">
        <v>148.8</v>
      </c>
      <c r="C11">
        <v>5313.23</v>
      </c>
      <c r="D11">
        <v>149.19</v>
      </c>
      <c r="E11">
        <v>5257.71</v>
      </c>
      <c r="F11">
        <v>163.1</v>
      </c>
      <c r="G11">
        <v>5780.99</v>
      </c>
      <c r="H11">
        <v>166.7</v>
      </c>
      <c r="I11">
        <v>5734.18</v>
      </c>
      <c r="J11">
        <v>-1</v>
      </c>
      <c r="K11">
        <v>0</v>
      </c>
      <c r="L11">
        <v>-1</v>
      </c>
      <c r="M11">
        <v>1194.46</v>
      </c>
    </row>
    <row r="12" spans="1:13">
      <c r="A12" t="s">
        <v>23</v>
      </c>
      <c r="B12">
        <v>156.57</v>
      </c>
      <c r="C12">
        <v>5318.17</v>
      </c>
      <c r="D12">
        <v>157.04</v>
      </c>
      <c r="E12">
        <v>5230.84</v>
      </c>
      <c r="F12">
        <v>181.77</v>
      </c>
      <c r="G12">
        <v>5904.51</v>
      </c>
      <c r="H12">
        <v>-1</v>
      </c>
      <c r="I12">
        <v>5607.38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140.76</v>
      </c>
      <c r="C13">
        <v>5118.16</v>
      </c>
      <c r="D13">
        <v>141.07</v>
      </c>
      <c r="E13">
        <v>5221.03</v>
      </c>
      <c r="F13">
        <v>-1</v>
      </c>
      <c r="G13">
        <v>0</v>
      </c>
      <c r="H13">
        <v>156.42</v>
      </c>
      <c r="I13">
        <v>5730.58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149.15</v>
      </c>
      <c r="C14">
        <v>5135.54</v>
      </c>
      <c r="D14">
        <v>149.69</v>
      </c>
      <c r="E14">
        <v>5292.34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146.06</v>
      </c>
      <c r="C15">
        <v>5469.5</v>
      </c>
      <c r="D15">
        <v>146.61</v>
      </c>
      <c r="E15">
        <v>5513.05</v>
      </c>
      <c r="F15">
        <v>-1</v>
      </c>
      <c r="G15">
        <v>0</v>
      </c>
      <c r="H15">
        <v>-1</v>
      </c>
      <c r="I15">
        <v>1804.41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138.45</v>
      </c>
      <c r="C16">
        <v>5026.81</v>
      </c>
      <c r="D16">
        <v>138.93</v>
      </c>
      <c r="E16">
        <v>5022.07</v>
      </c>
      <c r="F16">
        <v>-1</v>
      </c>
      <c r="G16">
        <v>3233.15</v>
      </c>
      <c r="H16">
        <v>-1</v>
      </c>
      <c r="I16">
        <v>5280.81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149.81</v>
      </c>
      <c r="C17">
        <v>5349.09</v>
      </c>
      <c r="D17">
        <v>150.07</v>
      </c>
      <c r="E17">
        <v>5508.87</v>
      </c>
      <c r="F17">
        <v>-1</v>
      </c>
      <c r="G17">
        <v>1240.54</v>
      </c>
      <c r="H17">
        <v>176.36</v>
      </c>
      <c r="I17">
        <v>6008.03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148.3</v>
      </c>
      <c r="C18">
        <v>5518.85</v>
      </c>
      <c r="D18">
        <v>148.96</v>
      </c>
      <c r="E18">
        <v>5546.66</v>
      </c>
      <c r="F18">
        <v>170.28</v>
      </c>
      <c r="G18">
        <v>6049.32</v>
      </c>
      <c r="H18">
        <v>175.26</v>
      </c>
      <c r="I18">
        <v>5984.2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142.45</v>
      </c>
      <c r="C19">
        <v>5166.37</v>
      </c>
      <c r="D19">
        <v>143.28</v>
      </c>
      <c r="E19">
        <v>5197.27</v>
      </c>
      <c r="F19">
        <v>155.02</v>
      </c>
      <c r="G19">
        <v>5643.85</v>
      </c>
      <c r="H19">
        <v>165.05</v>
      </c>
      <c r="I19">
        <v>5598.17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140.23</v>
      </c>
      <c r="C20">
        <v>5458.54</v>
      </c>
      <c r="D20">
        <v>140.57</v>
      </c>
      <c r="E20">
        <v>5577.4</v>
      </c>
      <c r="F20">
        <v>-1</v>
      </c>
      <c r="G20">
        <v>1743.49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160.27</v>
      </c>
      <c r="C21">
        <v>5338.75</v>
      </c>
      <c r="D21">
        <v>160.75</v>
      </c>
      <c r="E21">
        <v>5738.91</v>
      </c>
      <c r="F21">
        <v>187.69</v>
      </c>
      <c r="G21">
        <v>5903.46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151.081</v>
      </c>
      <c r="B25" s="4">
        <f>IFERROR(AVERAGEIF($D$2:$D$21,"&lt;&gt; -1"),0)</f>
        <v>151.584</v>
      </c>
      <c r="C25" s="4">
        <f>IFERROR(AVERAGEIF($F$2:$F$21,"&lt;&gt; -1"),0)</f>
        <v>173.984</v>
      </c>
      <c r="D25" s="4">
        <f>IFERROR(AVERAGEIF($H$2:$H$21,"&lt;&gt; -1"),0)</f>
        <v>172.205</v>
      </c>
      <c r="E25" s="4">
        <f>IFERROR(AVERAGEIF($J$2:$J$21,"&lt;&gt; -1"),0)</f>
        <v>168.89</v>
      </c>
      <c r="F25" s="4">
        <f>IFERROR(AVERAGEIF($L$2:$L$21,"&lt;&gt; -1"),0)</f>
        <v>155.04</v>
      </c>
      <c r="G25" s="4">
        <f>IFERROR(AVERAGEIFS($C$2:$C$21,$B$2:$B$21,"&lt;&gt; -1"),0)</f>
        <v>5309.1535</v>
      </c>
      <c r="H25" s="4">
        <f>IFERROR(AVERAGEIFS($E$2:$E$21,$D$2:$D$21,"&lt;&gt; -1"),0)</f>
        <v>5375.108</v>
      </c>
      <c r="I25" s="4">
        <f>IFERROR(AVERAGEIFS($G$2:$G$21,$F$2:$F$21,"&lt;&gt; -1"),0)</f>
        <v>5882.241</v>
      </c>
      <c r="J25" s="4">
        <f>IFERROR(AVERAGEIFS($I$2:$I$21,$H$2:$H$21,"&lt;&gt; -1"),0)</f>
        <v>5856.52</v>
      </c>
      <c r="K25" s="4">
        <f>IFERROR(AVERAGEIFS($K$2:$K$21,$J$2:$J$21,"&lt;&gt; -1"),0)</f>
        <v>5117.7</v>
      </c>
      <c r="L25" s="4">
        <f>IFERROR(AVERAGEIFS($M$2:$M$21,$L$2:$L$21,"&lt;&gt; -1"),0)</f>
        <v>5258.91</v>
      </c>
      <c r="M25" s="4">
        <f>IFERROR(_xlfn.MAXIFS($B$2:$B$21,$B$2:$B$21,"&lt;&gt; -1"),0)</f>
        <v>166.27</v>
      </c>
      <c r="N25" s="4">
        <f>IFERROR(_xlfn.MAXIFS($D$2:$D$21,$D$2:$D$21,"&lt;&gt;-1"),0)</f>
        <v>166.77</v>
      </c>
      <c r="O25" s="4">
        <f>IFERROR(_xlfn.MAXIFS($F$2:$F$21,$F$2:$F$21,"&lt;&gt; -1"),0)</f>
        <v>187.69</v>
      </c>
      <c r="P25" s="4">
        <f>IFERROR(_xlfn.MAXIFS($H$2:$H$21,$H$2:$H$21,"&lt;&gt; -1"),0)</f>
        <v>187.45</v>
      </c>
      <c r="Q25" s="4">
        <f>IFERROR(_xlfn.MAXIFS($J$2:$J$21,$J$2:$J$21,"&lt;&gt; -1"),0)</f>
        <v>168.89</v>
      </c>
      <c r="R25" s="4">
        <f>IFERROR(_xlfn.MAXIFS($L$2:$L$21,$L$2:$L$21,"&lt;&gt; -1"),0)</f>
        <v>155.04</v>
      </c>
      <c r="S25" s="4">
        <f>IFERROR(_xlfn.MINIFS($B$2:$B$21,$B$2:$B$21,"&lt;&gt; -1"),0)</f>
        <v>138.45</v>
      </c>
      <c r="T25" s="4">
        <f>IFERROR(_xlfn.MINIFS($D$2:$D$21,$D$2:$D$21,"&lt;&gt;-1"),0)</f>
        <v>138.93</v>
      </c>
      <c r="U25" s="4">
        <f>IFERROR(_xlfn.MINIFS($F$2:$F$21,$F$2:$F$21,"&lt;&gt; -1"),0)</f>
        <v>155.02</v>
      </c>
      <c r="V25" s="4">
        <f>IFERROR(_xlfn.MINIFS($H$2:$H$21,$H$2:$H$21,"&lt;&gt; -1"),0)</f>
        <v>156.42</v>
      </c>
      <c r="W25" s="4">
        <f>IFERROR(_xlfn.MINIFS($J$2:$J$21,$J$2:$J$21,"&lt;&gt; -1"),0)</f>
        <v>168.89</v>
      </c>
      <c r="X25" s="4">
        <f>IFERROR(_xlfn.MINIFS($L$2:$L$21,$L$2:$L$21,"&lt;&gt; -1"),0)</f>
        <v>155.04</v>
      </c>
      <c r="Y25" s="4">
        <f>IFERROR(_xlfn.MAXIFS($C$2:$C$21,$B$2:$B$21,"&lt;&gt; -1"),0)</f>
        <v>5634.1</v>
      </c>
      <c r="Z25" s="4">
        <f>IFERROR(_xlfn.MAXIFS($E$2:$E$21,$D$2:$D$21,"&lt;&gt; -1"),0)</f>
        <v>5738.91</v>
      </c>
      <c r="AA25" s="4">
        <f>IFERROR(_xlfn.MAXIFS($G$2:$G$21,$F$2:$F$21,"&lt;&gt; -1"),0)</f>
        <v>6189.89</v>
      </c>
      <c r="AB25" s="4">
        <f>IFERROR(_xlfn.MAXIFS($I$2:$I$21,$H$2:$H$21,"&lt;&gt; -1"),0)</f>
        <v>6058.64</v>
      </c>
      <c r="AC25" s="4">
        <f>IFERROR(_xlfn.MAXIFS($K$2:$K$21,$J$2:$J$21,"&lt;&gt; -1"),0)</f>
        <v>5117.7</v>
      </c>
      <c r="AD25" s="4">
        <f>IFERROR(_xlfn.MAXIFS($M$2:$M$21,$L$2:$L$21,"&lt;&gt; -1"),0)</f>
        <v>5258.91</v>
      </c>
      <c r="AE25" s="4">
        <f>IFERROR(_xlfn.MINIFS($C$2:$C$21,$B$2:$B$21,"&lt;&gt; -1"),0)</f>
        <v>5026.81</v>
      </c>
      <c r="AF25" s="4">
        <f>IFERROR(_xlfn.MINIFS($E$2:$E$21,$D$2:$D$21,"&lt;&gt; -1"),0)</f>
        <v>5022.07</v>
      </c>
      <c r="AG25" s="4">
        <f>IFERROR(_xlfn.MINIFS($G$2:$G$21,$F$2:$F$21,"&lt;&gt; -1"),0)</f>
        <v>5620.99</v>
      </c>
      <c r="AH25" s="4">
        <f>IFERROR(_xlfn.MINIFS($I$2:$I$21,$H$2:$H$21,"&lt;&gt; -1"),0)</f>
        <v>5598.17</v>
      </c>
      <c r="AI25" s="4">
        <f>IFERROR(_xlfn.MINIFS($K$2:$K$21,$J$2:$J$21,"&lt;&gt; -1"),0)</f>
        <v>5117.7</v>
      </c>
      <c r="AJ25" s="4">
        <f>IFERROR(_xlfn.MINIFS($M$2:$M$21,$L$2:$L$21,"&lt;&gt; -1"),0)</f>
        <v>5258.91</v>
      </c>
      <c r="AK25" s="4">
        <f>(COUNTIFS($B$2:$B$21,"&gt;0.0",$B$2:$B$21,"&lt;200.0"))/20</f>
        <v>1</v>
      </c>
      <c r="AL25" s="4">
        <f>(COUNTIFS($D$2:$D$21,"&gt;0.0",$D$2:$D$21,"&lt;200.0"))/20</f>
        <v>1</v>
      </c>
      <c r="AM25" s="4">
        <f>(COUNTIFS($F$2:$F$21,"&gt;0.0",$F$2:$F$21,"&lt;200.0"))/20</f>
        <v>0.5</v>
      </c>
      <c r="AN25" s="4">
        <f>(COUNTIFS($H$2:$H$21,"&gt;0.0",$H$2:$H$21,"&lt;200.0"))/20</f>
        <v>0.5</v>
      </c>
      <c r="AO25" s="4">
        <f>(COUNTIFS($J$2:$J$21,"&gt;0.0",$J$2:$J$21,"&lt;200.0"))/20</f>
        <v>0.05</v>
      </c>
      <c r="AP25" s="4">
        <f>(COUNTIFS($L$2:$L$21,"&gt;0.0",$L$2:$L$21,"&lt;200.0"))/20</f>
        <v>0.05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167.08</v>
      </c>
      <c r="C2">
        <v>5609.82</v>
      </c>
      <c r="D2">
        <v>167.81</v>
      </c>
      <c r="E2">
        <v>5607.49</v>
      </c>
      <c r="F2">
        <v>-1</v>
      </c>
      <c r="G2">
        <v>2099.06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159.1</v>
      </c>
      <c r="C3">
        <v>5400.77</v>
      </c>
      <c r="D3">
        <v>159.96</v>
      </c>
      <c r="E3">
        <v>5399.18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152.71</v>
      </c>
      <c r="C4">
        <v>5274.03</v>
      </c>
      <c r="D4">
        <v>153.17</v>
      </c>
      <c r="E4">
        <v>5331.3</v>
      </c>
      <c r="F4">
        <v>-1</v>
      </c>
      <c r="G4">
        <v>2018.46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157.25</v>
      </c>
      <c r="C5">
        <v>5338.51</v>
      </c>
      <c r="D5">
        <v>158.14</v>
      </c>
      <c r="E5">
        <v>5454.75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161.38</v>
      </c>
      <c r="C6">
        <v>5657.93</v>
      </c>
      <c r="D6">
        <v>161.95</v>
      </c>
      <c r="E6">
        <v>5727.34</v>
      </c>
      <c r="F6">
        <v>-1</v>
      </c>
      <c r="G6">
        <v>1921.21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155.18</v>
      </c>
      <c r="C7">
        <v>5407.39</v>
      </c>
      <c r="D7">
        <v>155.81</v>
      </c>
      <c r="E7">
        <v>5360.94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166.98</v>
      </c>
      <c r="C8">
        <v>5640.12</v>
      </c>
      <c r="D8">
        <v>167.45</v>
      </c>
      <c r="E8">
        <v>5481.52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152.79</v>
      </c>
      <c r="C9">
        <v>5161.69</v>
      </c>
      <c r="D9">
        <v>153.36</v>
      </c>
      <c r="E9">
        <v>5251.01</v>
      </c>
      <c r="F9">
        <v>172.02</v>
      </c>
      <c r="G9">
        <v>5623.65</v>
      </c>
      <c r="H9">
        <v>178.93</v>
      </c>
      <c r="I9">
        <v>5738.99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148.31</v>
      </c>
      <c r="C10">
        <v>5239.46</v>
      </c>
      <c r="D10">
        <v>149.19</v>
      </c>
      <c r="E10">
        <v>5193.08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166.13</v>
      </c>
      <c r="C11">
        <v>5328.27</v>
      </c>
      <c r="D11">
        <v>166.69</v>
      </c>
      <c r="E11">
        <v>5484.36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150.62</v>
      </c>
      <c r="C12">
        <v>5155.4</v>
      </c>
      <c r="D12">
        <v>151.31</v>
      </c>
      <c r="E12">
        <v>5257.04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151.73</v>
      </c>
      <c r="C13">
        <v>5218.26</v>
      </c>
      <c r="D13">
        <v>152.81</v>
      </c>
      <c r="E13">
        <v>5266.48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161.78</v>
      </c>
      <c r="C14">
        <v>5509.9</v>
      </c>
      <c r="D14">
        <v>162.34</v>
      </c>
      <c r="E14">
        <v>5527.84</v>
      </c>
      <c r="F14">
        <v>-1</v>
      </c>
      <c r="G14">
        <v>1927.11</v>
      </c>
      <c r="H14">
        <v>-1</v>
      </c>
      <c r="I14">
        <v>1875.23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158.45</v>
      </c>
      <c r="C15">
        <v>5588.94</v>
      </c>
      <c r="D15">
        <v>159.19</v>
      </c>
      <c r="E15">
        <v>5407.21</v>
      </c>
      <c r="F15">
        <v>-1</v>
      </c>
      <c r="G15">
        <v>0</v>
      </c>
      <c r="H15">
        <v>-1</v>
      </c>
      <c r="I15">
        <v>2179.4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150.95</v>
      </c>
      <c r="C16">
        <v>4955.04</v>
      </c>
      <c r="D16">
        <v>151.37</v>
      </c>
      <c r="E16">
        <v>5103.02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164.24</v>
      </c>
      <c r="C17">
        <v>5373.96</v>
      </c>
      <c r="D17">
        <v>164.55</v>
      </c>
      <c r="E17">
        <v>5359.37</v>
      </c>
      <c r="F17">
        <v>-1</v>
      </c>
      <c r="G17">
        <v>1763.39</v>
      </c>
      <c r="H17">
        <v>-1</v>
      </c>
      <c r="I17">
        <v>1837.05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167.05</v>
      </c>
      <c r="C18">
        <v>5591.8</v>
      </c>
      <c r="D18">
        <v>167.86</v>
      </c>
      <c r="E18">
        <v>5622.1</v>
      </c>
      <c r="F18">
        <v>187.43</v>
      </c>
      <c r="G18">
        <v>6117.01</v>
      </c>
      <c r="H18">
        <v>-1</v>
      </c>
      <c r="I18">
        <v>1936.18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154.49</v>
      </c>
      <c r="C19">
        <v>5350.42</v>
      </c>
      <c r="D19">
        <v>155.08</v>
      </c>
      <c r="E19">
        <v>5312.9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173.55</v>
      </c>
      <c r="C20">
        <v>5735.59</v>
      </c>
      <c r="D20">
        <v>174.05</v>
      </c>
      <c r="E20">
        <v>5477.38</v>
      </c>
      <c r="F20">
        <v>-1</v>
      </c>
      <c r="G20">
        <v>2073.18</v>
      </c>
      <c r="H20">
        <v>-1</v>
      </c>
      <c r="I20">
        <v>1924.16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177.05</v>
      </c>
      <c r="C21">
        <v>5564.85</v>
      </c>
      <c r="D21">
        <v>177.54</v>
      </c>
      <c r="E21">
        <v>5473.9</v>
      </c>
      <c r="F21">
        <v>-1</v>
      </c>
      <c r="G21">
        <v>0</v>
      </c>
      <c r="H21">
        <v>-1</v>
      </c>
      <c r="I21">
        <v>4272.84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159.841</v>
      </c>
      <c r="B24" s="4">
        <f>IFERROR(AVERAGEIF($D$2:$D$21,"&lt;&gt; -1"),0)</f>
        <v>160.4815</v>
      </c>
      <c r="C24" s="4">
        <f>IFERROR(AVERAGEIF($F$2:$F$21,"&lt;&gt; -1"),0)</f>
        <v>179.725</v>
      </c>
      <c r="D24" s="4">
        <f>IFERROR(AVERAGEIF($H$2:$H$21,"&lt;&gt; -1"),0)</f>
        <v>178.93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5405.1075</v>
      </c>
      <c r="H24" s="4">
        <f>IFERROR(AVERAGEIFS($E$2:$E$21,$D$2:$D$21,"&lt;&gt; -1"),0)</f>
        <v>5404.9105</v>
      </c>
      <c r="I24" s="4">
        <f>IFERROR(AVERAGEIFS($G$2:$G$21,$F$2:$F$21,"&lt;&gt; -1"),0)</f>
        <v>5870.33</v>
      </c>
      <c r="J24" s="4">
        <f>IFERROR(AVERAGEIFS($I$2:$I$21,$H$2:$H$21,"&lt;&gt; -1"),0)</f>
        <v>5738.99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177.05</v>
      </c>
      <c r="N24" s="4">
        <f>IFERROR(_xlfn.MAXIFS($D$2:$D$21,$D$2:$D$21,"&lt;&gt;-1"),0)</f>
        <v>177.54</v>
      </c>
      <c r="O24" s="4">
        <f>IFERROR(_xlfn.MAXIFS($F$2:$F$21,$F$2:$F$21,"&lt;&gt; -1"),0)</f>
        <v>187.43</v>
      </c>
      <c r="P24" s="4">
        <f>IFERROR(_xlfn.MAXIFS($H$2:$H$21,$H$2:$H$21,"&lt;&gt; -1"),0)</f>
        <v>178.93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148.31</v>
      </c>
      <c r="T24" s="4">
        <f>IFERROR(_xlfn.MINIFS($D$2:$D$21,$D$2:$D$21,"&lt;&gt;-1"),0)</f>
        <v>149.19</v>
      </c>
      <c r="U24" s="4">
        <f>IFERROR(_xlfn.MINIFS($F$2:$F$21,$F$2:$F$21,"&lt;&gt; -1"),0)</f>
        <v>172.02</v>
      </c>
      <c r="V24" s="4">
        <f>IFERROR(_xlfn.MINIFS($H$2:$H$21,$H$2:$H$21,"&lt;&gt; -1"),0)</f>
        <v>178.93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5735.59</v>
      </c>
      <c r="Z24" s="4">
        <f>IFERROR(_xlfn.MAXIFS($E$2:$E$21,$D$2:$D$21,"&lt;&gt; -1"),0)</f>
        <v>5727.34</v>
      </c>
      <c r="AA24" s="4">
        <f>IFERROR(_xlfn.MAXIFS($G$2:$G$21,$F$2:$F$21,"&lt;&gt; -1"),0)</f>
        <v>6117.01</v>
      </c>
      <c r="AB24" s="4">
        <f>IFERROR(_xlfn.MAXIFS($I$2:$I$21,$H$2:$H$21,"&lt;&gt; -1"),0)</f>
        <v>5738.99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4955.04</v>
      </c>
      <c r="AF24" s="4">
        <f>IFERROR(_xlfn.MINIFS($E$2:$E$21,$D$2:$D$21,"&lt;&gt; -1"),0)</f>
        <v>5103.02</v>
      </c>
      <c r="AG24" s="4">
        <f>IFERROR(_xlfn.MINIFS($G$2:$G$21,$F$2:$F$21,"&lt;&gt; -1"),0)</f>
        <v>5623.65</v>
      </c>
      <c r="AH24" s="4">
        <f>IFERROR(_xlfn.MINIFS($I$2:$I$21,$H$2:$H$21,"&lt;&gt; -1"),0)</f>
        <v>5738.99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0.1</v>
      </c>
      <c r="AN24" s="4">
        <f>(COUNTIFS($H$2:$H$21,"&gt;0.0",$H$2:$H$21,"&lt;200.0"))/20</f>
        <v>0.05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topLeftCell="S1" workbookViewId="0">
      <selection activeCell="AN7" sqref="AN7"/>
    </sheetView>
  </sheetViews>
  <sheetFormatPr defaultColWidth="8.72727272727273" defaultRowHeight="14" outlineLevelRow="6"/>
  <sheetData>
    <row r="1" spans="1:4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</row>
    <row r="2" spans="1:42">
      <c r="A2">
        <v>100.2085</v>
      </c>
      <c r="B2">
        <v>100.3815</v>
      </c>
      <c r="C2">
        <v>117.621</v>
      </c>
      <c r="D2">
        <v>119.611052631579</v>
      </c>
      <c r="E2">
        <v>112.566</v>
      </c>
      <c r="F2">
        <v>110.986923076923</v>
      </c>
      <c r="G2">
        <v>5236.606</v>
      </c>
      <c r="H2">
        <v>5259.8665</v>
      </c>
      <c r="I2">
        <v>5750.086</v>
      </c>
      <c r="J2">
        <v>5780.38263157895</v>
      </c>
      <c r="K2">
        <v>5258.052</v>
      </c>
      <c r="L2">
        <v>5221.63076923077</v>
      </c>
      <c r="M2">
        <v>120.43</v>
      </c>
      <c r="N2">
        <v>120.56</v>
      </c>
      <c r="O2">
        <v>146.85</v>
      </c>
      <c r="P2">
        <v>135.27</v>
      </c>
      <c r="Q2">
        <v>138.91</v>
      </c>
      <c r="R2">
        <v>136.69</v>
      </c>
      <c r="S2">
        <v>81.11</v>
      </c>
      <c r="T2">
        <v>81.39</v>
      </c>
      <c r="U2">
        <v>96</v>
      </c>
      <c r="V2">
        <v>98.62</v>
      </c>
      <c r="W2">
        <v>89.41</v>
      </c>
      <c r="X2">
        <v>88.49</v>
      </c>
      <c r="Y2">
        <v>5472.89</v>
      </c>
      <c r="Z2">
        <v>5445.04</v>
      </c>
      <c r="AA2">
        <v>5981.75</v>
      </c>
      <c r="AB2">
        <v>6084.16</v>
      </c>
      <c r="AC2">
        <v>5431.92</v>
      </c>
      <c r="AD2">
        <v>5411</v>
      </c>
      <c r="AE2">
        <v>4733.65</v>
      </c>
      <c r="AF2">
        <v>4684.6</v>
      </c>
      <c r="AG2">
        <v>5263.7</v>
      </c>
      <c r="AH2">
        <v>5160.83</v>
      </c>
      <c r="AI2">
        <v>4957.46</v>
      </c>
      <c r="AJ2">
        <v>4650.8</v>
      </c>
      <c r="AK2">
        <v>1</v>
      </c>
      <c r="AL2">
        <v>1</v>
      </c>
      <c r="AM2">
        <v>1</v>
      </c>
      <c r="AN2">
        <v>0.95</v>
      </c>
      <c r="AO2">
        <v>0.75</v>
      </c>
      <c r="AP2">
        <v>0.65</v>
      </c>
    </row>
    <row r="3" spans="1:42">
      <c r="A3">
        <v>118.784</v>
      </c>
      <c r="B3">
        <v>119.0975</v>
      </c>
      <c r="C3">
        <v>140.406923076923</v>
      </c>
      <c r="D3">
        <v>142.175714285714</v>
      </c>
      <c r="E3">
        <v>0</v>
      </c>
      <c r="F3">
        <v>137.805</v>
      </c>
      <c r="G3">
        <v>5323.7435</v>
      </c>
      <c r="H3">
        <v>5342.5185</v>
      </c>
      <c r="I3">
        <v>5801.24538461538</v>
      </c>
      <c r="J3">
        <v>5900.78142857143</v>
      </c>
      <c r="K3">
        <v>0</v>
      </c>
      <c r="L3">
        <v>5354.725</v>
      </c>
      <c r="M3">
        <v>127.57</v>
      </c>
      <c r="N3">
        <v>128.31</v>
      </c>
      <c r="O3">
        <v>150.21</v>
      </c>
      <c r="P3">
        <v>152.27</v>
      </c>
      <c r="Q3">
        <v>0</v>
      </c>
      <c r="R3">
        <v>142.77</v>
      </c>
      <c r="S3">
        <v>109.37</v>
      </c>
      <c r="T3">
        <v>110.12</v>
      </c>
      <c r="U3">
        <v>129.44</v>
      </c>
      <c r="V3">
        <v>132.15</v>
      </c>
      <c r="W3">
        <v>0</v>
      </c>
      <c r="X3">
        <v>132.84</v>
      </c>
      <c r="Y3">
        <v>5579.86</v>
      </c>
      <c r="Z3">
        <v>5670.81</v>
      </c>
      <c r="AA3">
        <v>6100.32</v>
      </c>
      <c r="AB3">
        <v>6083.67</v>
      </c>
      <c r="AC3">
        <v>0</v>
      </c>
      <c r="AD3">
        <v>5463.62</v>
      </c>
      <c r="AE3">
        <v>4764.44</v>
      </c>
      <c r="AF3">
        <v>4998.77</v>
      </c>
      <c r="AG3">
        <v>5215.12</v>
      </c>
      <c r="AH3">
        <v>5721.51</v>
      </c>
      <c r="AI3">
        <v>0</v>
      </c>
      <c r="AJ3">
        <v>5245.83</v>
      </c>
      <c r="AK3">
        <v>1</v>
      </c>
      <c r="AL3">
        <v>1</v>
      </c>
      <c r="AM3">
        <v>0.65</v>
      </c>
      <c r="AN3">
        <v>0.35</v>
      </c>
      <c r="AO3">
        <v>0</v>
      </c>
      <c r="AP3">
        <v>0.1</v>
      </c>
    </row>
    <row r="4" spans="1:42">
      <c r="A4">
        <v>117.886</v>
      </c>
      <c r="B4">
        <v>118.253</v>
      </c>
      <c r="C4">
        <v>139.871111111111</v>
      </c>
      <c r="D4">
        <v>136.6575</v>
      </c>
      <c r="E4">
        <v>0</v>
      </c>
      <c r="F4">
        <v>0</v>
      </c>
      <c r="G4">
        <v>5310.7575</v>
      </c>
      <c r="H4">
        <v>5261.6325</v>
      </c>
      <c r="I4">
        <v>5794.61555555556</v>
      </c>
      <c r="J4">
        <v>5823.74375</v>
      </c>
      <c r="K4">
        <v>0</v>
      </c>
      <c r="L4">
        <v>0</v>
      </c>
      <c r="M4">
        <v>138.73</v>
      </c>
      <c r="N4">
        <v>139.1</v>
      </c>
      <c r="O4">
        <v>160.58</v>
      </c>
      <c r="P4">
        <v>154.88</v>
      </c>
      <c r="Q4">
        <v>0</v>
      </c>
      <c r="R4">
        <v>0</v>
      </c>
      <c r="S4">
        <v>95.73</v>
      </c>
      <c r="T4">
        <v>96.13</v>
      </c>
      <c r="U4">
        <v>117.51</v>
      </c>
      <c r="V4">
        <v>117.66</v>
      </c>
      <c r="W4">
        <v>0</v>
      </c>
      <c r="X4">
        <v>0</v>
      </c>
      <c r="Y4">
        <v>5618.54</v>
      </c>
      <c r="Z4">
        <v>5468.54</v>
      </c>
      <c r="AA4">
        <v>6061.72</v>
      </c>
      <c r="AB4">
        <v>6062.72</v>
      </c>
      <c r="AC4">
        <v>0</v>
      </c>
      <c r="AD4">
        <v>0</v>
      </c>
      <c r="AE4">
        <v>4943.18</v>
      </c>
      <c r="AF4">
        <v>4710.95</v>
      </c>
      <c r="AG4">
        <v>5608.16</v>
      </c>
      <c r="AH4">
        <v>5524.56</v>
      </c>
      <c r="AI4">
        <v>0</v>
      </c>
      <c r="AJ4">
        <v>0</v>
      </c>
      <c r="AK4">
        <v>1</v>
      </c>
      <c r="AL4">
        <v>1</v>
      </c>
      <c r="AM4">
        <v>0.45</v>
      </c>
      <c r="AN4">
        <v>0.4</v>
      </c>
      <c r="AO4">
        <v>0</v>
      </c>
      <c r="AP4">
        <v>0</v>
      </c>
    </row>
    <row r="5" spans="1:42">
      <c r="A5">
        <v>141.164</v>
      </c>
      <c r="B5">
        <v>141.63</v>
      </c>
      <c r="C5">
        <v>160.8825</v>
      </c>
      <c r="D5">
        <v>162.666363636364</v>
      </c>
      <c r="E5">
        <v>0</v>
      </c>
      <c r="F5">
        <v>0</v>
      </c>
      <c r="G5">
        <v>5324.8995</v>
      </c>
      <c r="H5">
        <v>5269.109</v>
      </c>
      <c r="I5">
        <v>5798.3625</v>
      </c>
      <c r="J5">
        <v>5682.83727272727</v>
      </c>
      <c r="K5">
        <v>0</v>
      </c>
      <c r="L5">
        <v>0</v>
      </c>
      <c r="M5">
        <v>155.56</v>
      </c>
      <c r="N5">
        <v>156.13</v>
      </c>
      <c r="O5">
        <v>181.4</v>
      </c>
      <c r="P5">
        <v>182.5</v>
      </c>
      <c r="Q5">
        <v>0</v>
      </c>
      <c r="R5">
        <v>0</v>
      </c>
      <c r="S5">
        <v>120.28</v>
      </c>
      <c r="T5">
        <v>120.87</v>
      </c>
      <c r="U5">
        <v>136.02</v>
      </c>
      <c r="V5">
        <v>141.48</v>
      </c>
      <c r="W5">
        <v>0</v>
      </c>
      <c r="X5">
        <v>0</v>
      </c>
      <c r="Y5">
        <v>5617.33</v>
      </c>
      <c r="Z5">
        <v>5649.06</v>
      </c>
      <c r="AA5">
        <v>6071</v>
      </c>
      <c r="AB5">
        <v>6016.46</v>
      </c>
      <c r="AC5">
        <v>0</v>
      </c>
      <c r="AD5">
        <v>0</v>
      </c>
      <c r="AE5">
        <v>4961.97</v>
      </c>
      <c r="AF5">
        <v>4816.95</v>
      </c>
      <c r="AG5">
        <v>5396.42</v>
      </c>
      <c r="AH5">
        <v>5271.3</v>
      </c>
      <c r="AI5">
        <v>0</v>
      </c>
      <c r="AJ5">
        <v>0</v>
      </c>
      <c r="AK5">
        <v>1</v>
      </c>
      <c r="AL5">
        <v>1</v>
      </c>
      <c r="AM5">
        <v>0.6</v>
      </c>
      <c r="AN5">
        <v>0.55</v>
      </c>
      <c r="AO5">
        <v>0</v>
      </c>
      <c r="AP5">
        <v>0</v>
      </c>
    </row>
    <row r="6" spans="1:42">
      <c r="A6">
        <v>151.081</v>
      </c>
      <c r="B6">
        <v>151.584</v>
      </c>
      <c r="C6">
        <v>173.984</v>
      </c>
      <c r="D6">
        <v>172.205</v>
      </c>
      <c r="E6">
        <v>168.89</v>
      </c>
      <c r="F6">
        <v>155.04</v>
      </c>
      <c r="G6">
        <v>5309.1535</v>
      </c>
      <c r="H6">
        <v>5375.108</v>
      </c>
      <c r="I6">
        <v>5882.241</v>
      </c>
      <c r="J6">
        <v>5856.52</v>
      </c>
      <c r="K6">
        <v>5117.7</v>
      </c>
      <c r="L6">
        <v>5258.91</v>
      </c>
      <c r="M6">
        <v>166.27</v>
      </c>
      <c r="N6">
        <v>166.77</v>
      </c>
      <c r="O6">
        <v>187.69</v>
      </c>
      <c r="P6">
        <v>187.45</v>
      </c>
      <c r="Q6">
        <v>168.89</v>
      </c>
      <c r="R6">
        <v>155.04</v>
      </c>
      <c r="S6">
        <v>138.45</v>
      </c>
      <c r="T6">
        <v>138.93</v>
      </c>
      <c r="U6">
        <v>155.02</v>
      </c>
      <c r="V6">
        <v>156.42</v>
      </c>
      <c r="W6">
        <v>168.89</v>
      </c>
      <c r="X6">
        <v>155.04</v>
      </c>
      <c r="Y6">
        <v>5634.1</v>
      </c>
      <c r="Z6">
        <v>5738.91</v>
      </c>
      <c r="AA6">
        <v>6189.89</v>
      </c>
      <c r="AB6">
        <v>6058.64</v>
      </c>
      <c r="AC6">
        <v>5117.7</v>
      </c>
      <c r="AD6">
        <v>5258.91</v>
      </c>
      <c r="AE6">
        <v>5026.81</v>
      </c>
      <c r="AF6">
        <v>5022.07</v>
      </c>
      <c r="AG6">
        <v>5620.99</v>
      </c>
      <c r="AH6">
        <v>5598.17</v>
      </c>
      <c r="AI6">
        <v>5117.7</v>
      </c>
      <c r="AJ6">
        <v>5258.91</v>
      </c>
      <c r="AK6">
        <v>1</v>
      </c>
      <c r="AL6">
        <v>1</v>
      </c>
      <c r="AM6">
        <v>0.5</v>
      </c>
      <c r="AN6">
        <v>0.5</v>
      </c>
      <c r="AO6">
        <v>0.05</v>
      </c>
      <c r="AP6">
        <v>0.05</v>
      </c>
    </row>
    <row r="7" spans="1:42">
      <c r="A7">
        <v>159.841</v>
      </c>
      <c r="B7">
        <v>160.4815</v>
      </c>
      <c r="C7">
        <v>179.725</v>
      </c>
      <c r="D7">
        <v>178.93</v>
      </c>
      <c r="E7">
        <v>0</v>
      </c>
      <c r="F7">
        <v>0</v>
      </c>
      <c r="G7">
        <v>5405.1075</v>
      </c>
      <c r="H7">
        <v>5404.9105</v>
      </c>
      <c r="I7">
        <v>5870.33</v>
      </c>
      <c r="J7">
        <v>5738.99</v>
      </c>
      <c r="K7">
        <v>0</v>
      </c>
      <c r="L7">
        <v>0</v>
      </c>
      <c r="M7">
        <v>177.05</v>
      </c>
      <c r="N7">
        <v>177.54</v>
      </c>
      <c r="O7">
        <v>187.43</v>
      </c>
      <c r="P7">
        <v>178.93</v>
      </c>
      <c r="Q7">
        <v>0</v>
      </c>
      <c r="R7">
        <v>0</v>
      </c>
      <c r="S7">
        <v>148.31</v>
      </c>
      <c r="T7">
        <v>149.19</v>
      </c>
      <c r="U7">
        <v>172.02</v>
      </c>
      <c r="V7">
        <v>178.93</v>
      </c>
      <c r="W7">
        <v>0</v>
      </c>
      <c r="X7">
        <v>0</v>
      </c>
      <c r="Y7">
        <v>5735.59</v>
      </c>
      <c r="Z7">
        <v>5727.34</v>
      </c>
      <c r="AA7">
        <v>6117.01</v>
      </c>
      <c r="AB7">
        <v>5738.99</v>
      </c>
      <c r="AC7">
        <v>0</v>
      </c>
      <c r="AD7">
        <v>0</v>
      </c>
      <c r="AE7">
        <v>4955.04</v>
      </c>
      <c r="AF7">
        <v>5103.02</v>
      </c>
      <c r="AG7">
        <v>5623.65</v>
      </c>
      <c r="AH7">
        <v>5738.99</v>
      </c>
      <c r="AI7">
        <v>0</v>
      </c>
      <c r="AJ7">
        <v>0</v>
      </c>
      <c r="AK7">
        <v>1</v>
      </c>
      <c r="AL7">
        <v>1</v>
      </c>
      <c r="AM7">
        <v>0.1</v>
      </c>
      <c r="AN7">
        <v>0.05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2024-08-24T17:57:00Z</dcterms:created>
  <dcterms:modified xsi:type="dcterms:W3CDTF">2024-08-26T16:47:27Z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D9F987D0D63C473798F5EFFF42CB6DBE_12</vt:lpwstr>
  </property>
  <property fmtid="{D5CDD505-2E9C-101B-9397-08002B2CF9AE}" pid="3" name="KSOProductBuildVer">
    <vt:lpwstr>2052-12.1.0.17827</vt:lpwstr>
  </property>
</Properties>
</file>