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9270" windowHeight="12800" activeTab="6"/>
  </bookViews>
  <sheets>
    <sheet name="20_100" sheetId="1" r:id="rId1"/>
    <sheet name="40_100" sheetId="2" r:id="rId2"/>
    <sheet name="60_100" sheetId="3" r:id="rId3"/>
    <sheet name="80_100" sheetId="4" r:id="rId4"/>
    <sheet name="100_100" sheetId="5" r:id="rId5"/>
    <sheet name="120_100" sheetId="6" r:id="rId6"/>
    <sheet name="Sheet1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<sst xmlns="http://schemas.openxmlformats.org/spreadsheetml/2006/main" count="492" uniqueCount="75">
  <si>
    <t>scen</t>
  </si>
  <si>
    <t>LC_1_T</t>
  </si>
  <si>
    <t>LC_1_C</t>
  </si>
  <si>
    <t>LC_2_T</t>
  </si>
  <si>
    <t>LC_2_C</t>
  </si>
  <si>
    <t>ML_1_T</t>
  </si>
  <si>
    <t>ML_1_C</t>
  </si>
  <si>
    <t>ML_2_T</t>
  </si>
  <si>
    <t>ML_2_C</t>
  </si>
  <si>
    <t>MA_1_T</t>
  </si>
  <si>
    <t>MA_1_C</t>
  </si>
  <si>
    <t>MA_2_T</t>
  </si>
  <si>
    <t>MA_2_C</t>
  </si>
  <si>
    <t>random-1</t>
  </si>
  <si>
    <t>random-2</t>
  </si>
  <si>
    <t>random-3</t>
  </si>
  <si>
    <t>random-4</t>
  </si>
  <si>
    <t>random-5</t>
  </si>
  <si>
    <t>random-6</t>
  </si>
  <si>
    <t>random-7</t>
  </si>
  <si>
    <t>random-8</t>
  </si>
  <si>
    <t>random-9</t>
  </si>
  <si>
    <t>random-10</t>
  </si>
  <si>
    <t>random-11</t>
  </si>
  <si>
    <t>random-12</t>
  </si>
  <si>
    <t>random-13</t>
  </si>
  <si>
    <t>random-14</t>
  </si>
  <si>
    <t>random-15</t>
  </si>
  <si>
    <t>random-16</t>
  </si>
  <si>
    <t>random-17</t>
  </si>
  <si>
    <t>random-18</t>
  </si>
  <si>
    <t>random-19</t>
  </si>
  <si>
    <t>random-20</t>
  </si>
  <si>
    <t>LC1_T_A</t>
  </si>
  <si>
    <t>LC2_T_A</t>
  </si>
  <si>
    <t>ML1_T_A</t>
  </si>
  <si>
    <t>ML2_T_A</t>
  </si>
  <si>
    <t>MA1_T_A</t>
  </si>
  <si>
    <t>MA2_T_A</t>
  </si>
  <si>
    <t>LC1_C_A</t>
  </si>
  <si>
    <t>LC2_C_A</t>
  </si>
  <si>
    <t>ML1_C_A</t>
  </si>
  <si>
    <t>ML2_C_A</t>
  </si>
  <si>
    <t>MA1_C_A</t>
  </si>
  <si>
    <t>MA2_C_A</t>
  </si>
  <si>
    <t>LC1_T_MX</t>
  </si>
  <si>
    <t>LC2_T_MX</t>
  </si>
  <si>
    <t>ML1_T_MX</t>
  </si>
  <si>
    <t>ML2_T_MX</t>
  </si>
  <si>
    <t>MA1_T_MX</t>
  </si>
  <si>
    <t>MA2_T_MX</t>
  </si>
  <si>
    <t>LC1_T_MN</t>
  </si>
  <si>
    <t>LC2_T_MN</t>
  </si>
  <si>
    <t>ML1_T_MN</t>
  </si>
  <si>
    <t>ML2_T_MN</t>
  </si>
  <si>
    <t>MA1_T_MN</t>
  </si>
  <si>
    <t>MA2_T_MN</t>
  </si>
  <si>
    <t>LC1_C_MX</t>
  </si>
  <si>
    <t>LC2_C_MX</t>
  </si>
  <si>
    <t>ML1_C_MX</t>
  </si>
  <si>
    <t>ML2_C_MX</t>
  </si>
  <si>
    <t>MA1_C_MX</t>
  </si>
  <si>
    <t>MA2_C_MX</t>
  </si>
  <si>
    <t>LC1_C_MN</t>
  </si>
  <si>
    <t>LC2_C_MN</t>
  </si>
  <si>
    <t>ML1_C_MN</t>
  </si>
  <si>
    <t>ML2_C_MN</t>
  </si>
  <si>
    <t>MA1_C_MN</t>
  </si>
  <si>
    <t>MA2_C_MN</t>
  </si>
  <si>
    <t>LC1_S</t>
  </si>
  <si>
    <t>LC2_S</t>
  </si>
  <si>
    <t>ML1_S</t>
  </si>
  <si>
    <t>ML2_S</t>
  </si>
  <si>
    <t>MA1_S</t>
  </si>
  <si>
    <t>MA2_S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</si>
</sst>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3C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/>
    <xf numFmtId="176" fontId="0" fillId="2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24"/>
  <sheetViews>
    <sheetView workbookViewId="0">
      <selection activeCell="A23" sqref="A23:AP24"/>
    </sheetView>
  </sheetViews>
  <sheetFormatPr defaultColWidth="9" defaultRowHeight="14"/>
  <cols>
    <col min="1" max="12" width="9.54545454545454"/>
    <col min="25" max="36" width="9.54545454545454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38.88</v>
      </c>
      <c r="C2">
        <v>3848.42</v>
      </c>
      <c r="D2">
        <v>38.97</v>
      </c>
      <c r="E2">
        <v>3855.94</v>
      </c>
      <c r="F2">
        <v>44.91</v>
      </c>
      <c r="G2">
        <v>4161.99</v>
      </c>
      <c r="H2">
        <v>45.33</v>
      </c>
      <c r="I2">
        <v>4206.4</v>
      </c>
      <c r="J2">
        <v>41.37</v>
      </c>
      <c r="K2">
        <v>3787.56</v>
      </c>
      <c r="L2">
        <v>52.58</v>
      </c>
      <c r="M2">
        <v>3818.65</v>
      </c>
    </row>
    <row r="3" spans="1:13">
      <c r="A3" t="s">
        <v>14</v>
      </c>
      <c r="B3">
        <v>41.13</v>
      </c>
      <c r="C3">
        <v>3753.84</v>
      </c>
      <c r="D3">
        <v>41.04</v>
      </c>
      <c r="E3">
        <v>3638.87</v>
      </c>
      <c r="F3">
        <v>46.3</v>
      </c>
      <c r="G3">
        <v>4037.77</v>
      </c>
      <c r="H3">
        <v>45.49</v>
      </c>
      <c r="I3">
        <v>3951.19</v>
      </c>
      <c r="J3">
        <v>45.93</v>
      </c>
      <c r="K3">
        <v>3718.31</v>
      </c>
      <c r="L3">
        <v>42.61</v>
      </c>
      <c r="M3">
        <v>3598.84</v>
      </c>
    </row>
    <row r="4" spans="1:13">
      <c r="A4" t="s">
        <v>15</v>
      </c>
      <c r="B4">
        <v>42.98</v>
      </c>
      <c r="C4">
        <v>4041.47</v>
      </c>
      <c r="D4">
        <v>43.13</v>
      </c>
      <c r="E4">
        <v>4002.23</v>
      </c>
      <c r="F4">
        <v>48.61</v>
      </c>
      <c r="G4">
        <v>4290.72</v>
      </c>
      <c r="H4">
        <v>47.79</v>
      </c>
      <c r="I4">
        <v>4267.75</v>
      </c>
      <c r="J4">
        <v>48.36</v>
      </c>
      <c r="K4">
        <v>3985.86</v>
      </c>
      <c r="L4">
        <v>46.32</v>
      </c>
      <c r="M4">
        <v>3930.12</v>
      </c>
    </row>
    <row r="5" spans="1:13">
      <c r="A5" t="s">
        <v>16</v>
      </c>
      <c r="B5">
        <v>40.52</v>
      </c>
      <c r="C5">
        <v>3489.06</v>
      </c>
      <c r="D5">
        <v>40.67</v>
      </c>
      <c r="E5">
        <v>3611.05</v>
      </c>
      <c r="F5">
        <v>46.87</v>
      </c>
      <c r="G5">
        <v>3759.07</v>
      </c>
      <c r="H5">
        <v>46.38</v>
      </c>
      <c r="I5">
        <v>3915</v>
      </c>
      <c r="J5">
        <v>44.12</v>
      </c>
      <c r="K5">
        <v>3466.46</v>
      </c>
      <c r="L5">
        <v>43.22</v>
      </c>
      <c r="M5">
        <v>3564.65</v>
      </c>
    </row>
    <row r="6" spans="1:13">
      <c r="A6" t="s">
        <v>17</v>
      </c>
      <c r="B6">
        <v>43.45</v>
      </c>
      <c r="C6">
        <v>3800.81</v>
      </c>
      <c r="D6">
        <v>43.58</v>
      </c>
      <c r="E6">
        <v>3766.85</v>
      </c>
      <c r="F6">
        <v>47.51</v>
      </c>
      <c r="G6">
        <v>4091.12</v>
      </c>
      <c r="H6">
        <v>47.24</v>
      </c>
      <c r="I6">
        <v>4037.39</v>
      </c>
      <c r="J6">
        <v>46.52</v>
      </c>
      <c r="K6">
        <v>3768.21</v>
      </c>
      <c r="L6">
        <v>45.43</v>
      </c>
      <c r="M6">
        <v>3723.32</v>
      </c>
    </row>
    <row r="7" spans="1:13">
      <c r="A7" t="s">
        <v>18</v>
      </c>
      <c r="B7">
        <v>41.2</v>
      </c>
      <c r="C7">
        <v>3887.4</v>
      </c>
      <c r="D7">
        <v>41.26</v>
      </c>
      <c r="E7">
        <v>3712.3</v>
      </c>
      <c r="F7">
        <v>46.05</v>
      </c>
      <c r="G7">
        <v>4160.75</v>
      </c>
      <c r="H7">
        <v>46.41</v>
      </c>
      <c r="I7">
        <v>4001.14</v>
      </c>
      <c r="J7">
        <v>46.87</v>
      </c>
      <c r="K7">
        <v>3842.64</v>
      </c>
      <c r="L7">
        <v>43.04</v>
      </c>
      <c r="M7">
        <v>3657.54</v>
      </c>
    </row>
    <row r="8" spans="1:13">
      <c r="A8" t="s">
        <v>19</v>
      </c>
      <c r="B8">
        <v>39.93</v>
      </c>
      <c r="C8">
        <v>3784.3</v>
      </c>
      <c r="D8">
        <v>39.92</v>
      </c>
      <c r="E8">
        <v>3585.04</v>
      </c>
      <c r="F8">
        <v>46.61</v>
      </c>
      <c r="G8">
        <v>4111.04</v>
      </c>
      <c r="H8">
        <v>44.84</v>
      </c>
      <c r="I8">
        <v>3860.71</v>
      </c>
      <c r="J8">
        <v>48.96</v>
      </c>
      <c r="K8">
        <v>3772.28</v>
      </c>
      <c r="L8">
        <v>41.72</v>
      </c>
      <c r="M8">
        <v>3541.51</v>
      </c>
    </row>
    <row r="9" spans="1:13">
      <c r="A9" t="s">
        <v>20</v>
      </c>
      <c r="B9">
        <v>37.46</v>
      </c>
      <c r="C9">
        <v>3512.27</v>
      </c>
      <c r="D9">
        <v>37.44</v>
      </c>
      <c r="E9">
        <v>3572.69</v>
      </c>
      <c r="F9">
        <v>41.01</v>
      </c>
      <c r="G9">
        <v>3824.4</v>
      </c>
      <c r="H9">
        <v>40.75</v>
      </c>
      <c r="I9">
        <v>3856.48</v>
      </c>
      <c r="J9">
        <v>43.1</v>
      </c>
      <c r="K9">
        <v>3489.96</v>
      </c>
      <c r="L9">
        <v>38.75</v>
      </c>
      <c r="M9">
        <v>3510.27</v>
      </c>
    </row>
    <row r="10" spans="1:13">
      <c r="A10" t="s">
        <v>21</v>
      </c>
      <c r="B10">
        <v>44.68</v>
      </c>
      <c r="C10">
        <v>3757.82</v>
      </c>
      <c r="D10">
        <v>44.82</v>
      </c>
      <c r="E10">
        <v>3854.49</v>
      </c>
      <c r="F10">
        <v>50.95</v>
      </c>
      <c r="G10">
        <v>4026.86</v>
      </c>
      <c r="H10">
        <v>49.7</v>
      </c>
      <c r="I10">
        <v>4106.22</v>
      </c>
      <c r="J10">
        <v>-1</v>
      </c>
      <c r="K10">
        <v>3408.7</v>
      </c>
      <c r="L10">
        <v>-1</v>
      </c>
      <c r="M10">
        <v>2632.52</v>
      </c>
    </row>
    <row r="11" spans="1:13">
      <c r="A11" t="s">
        <v>22</v>
      </c>
      <c r="B11">
        <v>41.86</v>
      </c>
      <c r="C11">
        <v>3886.36</v>
      </c>
      <c r="D11">
        <v>42.07</v>
      </c>
      <c r="E11">
        <v>3856.09</v>
      </c>
      <c r="F11">
        <v>47.34</v>
      </c>
      <c r="G11">
        <v>4155.04</v>
      </c>
      <c r="H11">
        <v>47.35</v>
      </c>
      <c r="I11">
        <v>4142.86</v>
      </c>
      <c r="J11">
        <v>43.7</v>
      </c>
      <c r="K11">
        <v>3833.34</v>
      </c>
      <c r="L11">
        <v>44.38</v>
      </c>
      <c r="M11">
        <v>3803.45</v>
      </c>
    </row>
    <row r="12" spans="1:13">
      <c r="A12" t="s">
        <v>23</v>
      </c>
      <c r="B12">
        <v>41.7</v>
      </c>
      <c r="C12">
        <v>3636.15</v>
      </c>
      <c r="D12">
        <v>41.85</v>
      </c>
      <c r="E12">
        <v>3658.43</v>
      </c>
      <c r="F12">
        <v>-1</v>
      </c>
      <c r="G12">
        <v>3711.03</v>
      </c>
      <c r="H12">
        <v>47.6</v>
      </c>
      <c r="I12">
        <v>3947.64</v>
      </c>
      <c r="J12">
        <v>55.08</v>
      </c>
      <c r="K12">
        <v>3606.44</v>
      </c>
      <c r="L12">
        <v>53.35</v>
      </c>
      <c r="M12">
        <v>3592.22</v>
      </c>
    </row>
    <row r="13" spans="1:13">
      <c r="A13" t="s">
        <v>24</v>
      </c>
      <c r="B13">
        <v>38.82</v>
      </c>
      <c r="C13">
        <v>3615.65</v>
      </c>
      <c r="D13">
        <v>38.91</v>
      </c>
      <c r="E13">
        <v>3621.83</v>
      </c>
      <c r="F13">
        <v>45.04</v>
      </c>
      <c r="G13">
        <v>3858.75</v>
      </c>
      <c r="H13">
        <v>44.24</v>
      </c>
      <c r="I13">
        <v>3837.33</v>
      </c>
      <c r="J13">
        <v>41.32</v>
      </c>
      <c r="K13">
        <v>3585.68</v>
      </c>
      <c r="L13">
        <v>41.29</v>
      </c>
      <c r="M13">
        <v>3571.42</v>
      </c>
    </row>
    <row r="14" spans="1:13">
      <c r="A14" t="s">
        <v>25</v>
      </c>
      <c r="B14">
        <v>37.27</v>
      </c>
      <c r="C14">
        <v>3500.82</v>
      </c>
      <c r="D14">
        <v>37.41</v>
      </c>
      <c r="E14">
        <v>3590.91</v>
      </c>
      <c r="F14">
        <v>43.51</v>
      </c>
      <c r="G14">
        <v>3746.21</v>
      </c>
      <c r="H14">
        <v>44.22</v>
      </c>
      <c r="I14">
        <v>3865.12</v>
      </c>
      <c r="J14">
        <v>38.79</v>
      </c>
      <c r="K14">
        <v>3484.94</v>
      </c>
      <c r="L14">
        <v>39.06</v>
      </c>
      <c r="M14">
        <v>3576.74</v>
      </c>
    </row>
    <row r="15" spans="1:13">
      <c r="A15" t="s">
        <v>26</v>
      </c>
      <c r="B15">
        <v>40.9</v>
      </c>
      <c r="C15">
        <v>3793.62</v>
      </c>
      <c r="D15">
        <v>41.03</v>
      </c>
      <c r="E15">
        <v>3807.89</v>
      </c>
      <c r="F15">
        <v>46.09</v>
      </c>
      <c r="G15">
        <v>4099.37</v>
      </c>
      <c r="H15">
        <v>46.67</v>
      </c>
      <c r="I15">
        <v>4139.12</v>
      </c>
      <c r="J15">
        <v>-1</v>
      </c>
      <c r="K15">
        <v>210.69</v>
      </c>
      <c r="L15">
        <v>43.87</v>
      </c>
      <c r="M15">
        <v>3797.48</v>
      </c>
    </row>
    <row r="16" spans="1:13">
      <c r="A16" t="s">
        <v>27</v>
      </c>
      <c r="B16">
        <v>39.74</v>
      </c>
      <c r="C16">
        <v>3613.31</v>
      </c>
      <c r="D16">
        <v>39.89</v>
      </c>
      <c r="E16">
        <v>3552.06</v>
      </c>
      <c r="F16">
        <v>44.54</v>
      </c>
      <c r="G16">
        <v>3896.63</v>
      </c>
      <c r="H16">
        <v>45.56</v>
      </c>
      <c r="I16">
        <v>3792.47</v>
      </c>
      <c r="J16">
        <v>40.92</v>
      </c>
      <c r="K16">
        <v>3599.23</v>
      </c>
      <c r="L16">
        <v>42.29</v>
      </c>
      <c r="M16">
        <v>3513.2</v>
      </c>
    </row>
    <row r="17" spans="1:13">
      <c r="A17" t="s">
        <v>28</v>
      </c>
      <c r="B17">
        <v>37.31</v>
      </c>
      <c r="C17">
        <v>3450.11</v>
      </c>
      <c r="D17">
        <v>37.34</v>
      </c>
      <c r="E17">
        <v>3617.77</v>
      </c>
      <c r="F17">
        <v>42.82</v>
      </c>
      <c r="G17">
        <v>3744.92</v>
      </c>
      <c r="H17">
        <v>42.93</v>
      </c>
      <c r="I17">
        <v>3951.04</v>
      </c>
      <c r="J17">
        <v>39.33</v>
      </c>
      <c r="K17">
        <v>3435.43</v>
      </c>
      <c r="L17">
        <v>-1</v>
      </c>
      <c r="M17">
        <v>1920.31</v>
      </c>
    </row>
    <row r="18" spans="1:13">
      <c r="A18" t="s">
        <v>29</v>
      </c>
      <c r="B18">
        <v>38.33</v>
      </c>
      <c r="C18">
        <v>3492.11</v>
      </c>
      <c r="D18">
        <v>38.5</v>
      </c>
      <c r="E18">
        <v>3628.84</v>
      </c>
      <c r="F18">
        <v>43.24</v>
      </c>
      <c r="G18">
        <v>3785.55</v>
      </c>
      <c r="H18">
        <v>45.02</v>
      </c>
      <c r="I18">
        <v>3845.39</v>
      </c>
      <c r="J18">
        <v>40.49</v>
      </c>
      <c r="K18">
        <v>3461.3</v>
      </c>
      <c r="L18">
        <v>40.75</v>
      </c>
      <c r="M18">
        <v>3546.22</v>
      </c>
    </row>
    <row r="19" spans="1:13">
      <c r="A19" t="s">
        <v>30</v>
      </c>
      <c r="B19">
        <v>37.63</v>
      </c>
      <c r="C19">
        <v>3912.16</v>
      </c>
      <c r="D19">
        <v>37.77</v>
      </c>
      <c r="E19">
        <v>3847.39</v>
      </c>
      <c r="F19">
        <v>43.09</v>
      </c>
      <c r="G19">
        <v>4242.73</v>
      </c>
      <c r="H19">
        <v>45.68</v>
      </c>
      <c r="I19">
        <v>4201.37</v>
      </c>
      <c r="J19">
        <v>40.03</v>
      </c>
      <c r="K19">
        <v>3853.16</v>
      </c>
      <c r="L19">
        <v>44.91</v>
      </c>
      <c r="M19">
        <v>3812.92</v>
      </c>
    </row>
    <row r="20" spans="1:13">
      <c r="A20" t="s">
        <v>31</v>
      </c>
      <c r="B20">
        <v>41.63</v>
      </c>
      <c r="C20">
        <v>3633.73</v>
      </c>
      <c r="D20">
        <v>41.75</v>
      </c>
      <c r="E20">
        <v>3646</v>
      </c>
      <c r="F20">
        <v>46.2</v>
      </c>
      <c r="G20">
        <v>3936.19</v>
      </c>
      <c r="H20">
        <v>46.2</v>
      </c>
      <c r="I20">
        <v>4014.12</v>
      </c>
      <c r="J20">
        <v>42.59</v>
      </c>
      <c r="K20">
        <v>3603.31</v>
      </c>
      <c r="L20">
        <v>44.45</v>
      </c>
      <c r="M20">
        <v>3648.86</v>
      </c>
    </row>
    <row r="21" spans="1:13">
      <c r="A21" t="s">
        <v>32</v>
      </c>
      <c r="B21">
        <v>37.57</v>
      </c>
      <c r="C21">
        <v>3714.52</v>
      </c>
      <c r="D21">
        <v>37.57</v>
      </c>
      <c r="E21">
        <v>3797.29</v>
      </c>
      <c r="F21">
        <v>42.98</v>
      </c>
      <c r="G21">
        <v>3974.09</v>
      </c>
      <c r="H21">
        <v>41.73</v>
      </c>
      <c r="I21">
        <v>4110.13</v>
      </c>
      <c r="J21">
        <v>40.3</v>
      </c>
      <c r="K21">
        <v>3681.52</v>
      </c>
      <c r="L21">
        <v>43.88</v>
      </c>
      <c r="M21">
        <v>3784.98</v>
      </c>
    </row>
    <row r="23" spans="1:42">
      <c r="A23" s="2" t="s">
        <v>33</v>
      </c>
      <c r="B23" s="2" t="s">
        <v>34</v>
      </c>
      <c r="C23" s="2" t="s">
        <v>35</v>
      </c>
      <c r="D23" s="3" t="s">
        <v>36</v>
      </c>
      <c r="E23" s="2" t="s">
        <v>37</v>
      </c>
      <c r="F23" s="2" t="s">
        <v>38</v>
      </c>
      <c r="G23" s="2" t="s">
        <v>39</v>
      </c>
      <c r="H23" s="2" t="s">
        <v>40</v>
      </c>
      <c r="I23" s="2" t="s">
        <v>41</v>
      </c>
      <c r="J23" s="3" t="s">
        <v>42</v>
      </c>
      <c r="K23" s="2" t="s">
        <v>43</v>
      </c>
      <c r="L23" s="2" t="s">
        <v>44</v>
      </c>
      <c r="M23" s="2" t="s">
        <v>45</v>
      </c>
      <c r="N23" s="2" t="s">
        <v>46</v>
      </c>
      <c r="O23" s="2" t="s">
        <v>47</v>
      </c>
      <c r="P23" s="3" t="s">
        <v>48</v>
      </c>
      <c r="Q23" s="2" t="s">
        <v>49</v>
      </c>
      <c r="R23" s="2" t="s">
        <v>50</v>
      </c>
      <c r="S23" s="2" t="s">
        <v>51</v>
      </c>
      <c r="T23" s="2" t="s">
        <v>52</v>
      </c>
      <c r="U23" s="2" t="s">
        <v>53</v>
      </c>
      <c r="V23" s="3" t="s">
        <v>54</v>
      </c>
      <c r="W23" s="2" t="s">
        <v>55</v>
      </c>
      <c r="X23" s="2" t="s">
        <v>56</v>
      </c>
      <c r="Y23" s="2" t="s">
        <v>57</v>
      </c>
      <c r="Z23" s="2" t="s">
        <v>58</v>
      </c>
      <c r="AA23" s="2" t="s">
        <v>59</v>
      </c>
      <c r="AB23" s="3" t="s">
        <v>60</v>
      </c>
      <c r="AC23" s="2" t="s">
        <v>61</v>
      </c>
      <c r="AD23" s="2" t="s">
        <v>62</v>
      </c>
      <c r="AE23" s="2" t="s">
        <v>63</v>
      </c>
      <c r="AF23" s="2" t="s">
        <v>64</v>
      </c>
      <c r="AG23" s="2" t="s">
        <v>65</v>
      </c>
      <c r="AH23" s="3" t="s">
        <v>66</v>
      </c>
      <c r="AI23" s="2" t="s">
        <v>67</v>
      </c>
      <c r="AJ23" s="2" t="s">
        <v>68</v>
      </c>
      <c r="AK23" s="2" t="s">
        <v>69</v>
      </c>
      <c r="AL23" s="2" t="s">
        <v>70</v>
      </c>
      <c r="AM23" s="2" t="s">
        <v>71</v>
      </c>
      <c r="AN23" s="3" t="s">
        <v>72</v>
      </c>
      <c r="AO23" s="2" t="s">
        <v>73</v>
      </c>
      <c r="AP23" s="2" t="s">
        <v>74</v>
      </c>
    </row>
    <row r="24" spans="1:42">
      <c r="A24" s="4">
        <f>IFERROR(AVERAGEIF($B$2:$B$21,"&lt;&gt; -1"),0)</f>
        <v>40.1495</v>
      </c>
      <c r="B24" s="4">
        <f>IFERROR(AVERAGEIF($D$2:$D$21,"&lt;&gt; -1"),0)</f>
        <v>40.246</v>
      </c>
      <c r="C24" s="4">
        <f>IFERROR(AVERAGEIF($F$2:$F$21,"&lt;&gt; -1"),0)</f>
        <v>45.4563157894737</v>
      </c>
      <c r="D24" s="4">
        <f>IFERROR(AVERAGEIF($H$2:$H$21,"&lt;&gt; -1"),0)</f>
        <v>45.5565</v>
      </c>
      <c r="E24" s="4">
        <f>IFERROR(AVERAGEIF($J$2:$J$21,"&lt;&gt; -1"),0)</f>
        <v>43.7655555555556</v>
      </c>
      <c r="F24" s="4">
        <f>IFERROR(AVERAGEIF($L$2:$L$21,"&lt;&gt; -1"),0)</f>
        <v>43.9944444444444</v>
      </c>
      <c r="G24" s="4">
        <f>IFERROR(AVERAGEIFS($C$2:$C$21,$B$2:$B$21,"&lt;&gt; -1"),0)</f>
        <v>3706.1965</v>
      </c>
      <c r="H24" s="4">
        <f>IFERROR(AVERAGEIFS($E$2:$E$21,$D$2:$D$21,"&lt;&gt; -1"),0)</f>
        <v>3711.198</v>
      </c>
      <c r="I24" s="4">
        <f>IFERROR(AVERAGEIFS($G$2:$G$21,$F$2:$F$21,"&lt;&gt; -1"),0)</f>
        <v>3994.90526315789</v>
      </c>
      <c r="J24" s="4">
        <f>IFERROR(AVERAGEIFS($I$2:$I$21,$H$2:$H$21,"&lt;&gt; -1"),0)</f>
        <v>4002.4435</v>
      </c>
      <c r="K24" s="4">
        <f>IFERROR(AVERAGEIFS($K$2:$K$21,$J$2:$J$21,"&lt;&gt; -1"),0)</f>
        <v>3665.31277777778</v>
      </c>
      <c r="L24" s="4">
        <f>IFERROR(AVERAGEIFS($M$2:$M$21,$L$2:$L$21,"&lt;&gt; -1"),0)</f>
        <v>3666.24388888889</v>
      </c>
      <c r="M24" s="4">
        <f>IFERROR(_xlfn.MAXIFS($B$2:$B$21,$B$2:$B$21,"&lt;&gt; -1"),0)</f>
        <v>44.68</v>
      </c>
      <c r="N24" s="4">
        <f>IFERROR(_xlfn.MAXIFS($D$2:$D$21,$D$2:$D$21,"&lt;&gt;-1"),0)</f>
        <v>44.82</v>
      </c>
      <c r="O24" s="4">
        <f>IFERROR(_xlfn.MAXIFS($F$2:$F$21,$F$2:$F$21,"&lt;&gt; -1"),0)</f>
        <v>50.95</v>
      </c>
      <c r="P24" s="4">
        <f>IFERROR(_xlfn.MAXIFS($H$2:$H$21,$H$2:$H$21,"&lt;&gt; -1"),0)</f>
        <v>49.7</v>
      </c>
      <c r="Q24" s="4">
        <f>IFERROR(_xlfn.MAXIFS($J$2:$J$21,$J$2:$J$21,"&lt;&gt; -1"),0)</f>
        <v>55.08</v>
      </c>
      <c r="R24" s="4">
        <f>IFERROR(_xlfn.MAXIFS($L$2:$L$21,$L$2:$L$21,"&lt;&gt; -1"),0)</f>
        <v>53.35</v>
      </c>
      <c r="S24" s="4">
        <f>IFERROR(_xlfn.MINIFS($B$2:$B$21,$B$2:$B$21,"&lt;&gt; -1"),0)</f>
        <v>37.27</v>
      </c>
      <c r="T24" s="4">
        <f>IFERROR(_xlfn.MINIFS($D$2:$D$21,$D$2:$D$21,"&lt;&gt;-1"),0)</f>
        <v>37.34</v>
      </c>
      <c r="U24" s="4">
        <f>IFERROR(_xlfn.MINIFS($F$2:$F$21,$F$2:$F$21,"&lt;&gt; -1"),0)</f>
        <v>41.01</v>
      </c>
      <c r="V24" s="4">
        <f>IFERROR(_xlfn.MINIFS($H$2:$H$21,$H$2:$H$21,"&lt;&gt; -1"),0)</f>
        <v>40.75</v>
      </c>
      <c r="W24" s="4">
        <f>IFERROR(_xlfn.MINIFS($J$2:$J$21,$J$2:$J$21,"&lt;&gt; -1"),0)</f>
        <v>38.79</v>
      </c>
      <c r="X24" s="4">
        <f>IFERROR(_xlfn.MINIFS($L$2:$L$21,$L$2:$L$21,"&lt;&gt; -1"),0)</f>
        <v>38.75</v>
      </c>
      <c r="Y24" s="4">
        <f>IFERROR(_xlfn.MAXIFS($C$2:$C$21,$B$2:$B$21,"&lt;&gt; -1"),0)</f>
        <v>4041.47</v>
      </c>
      <c r="Z24" s="4">
        <f>IFERROR(_xlfn.MAXIFS($E$2:$E$21,$D$2:$D$21,"&lt;&gt; -1"),0)</f>
        <v>4002.23</v>
      </c>
      <c r="AA24" s="4">
        <f>IFERROR(_xlfn.MAXIFS($G$2:$G$21,$F$2:$F$21,"&lt;&gt; -1"),0)</f>
        <v>4290.72</v>
      </c>
      <c r="AB24" s="4">
        <f>IFERROR(_xlfn.MAXIFS($I$2:$I$21,$H$2:$H$21,"&lt;&gt; -1"),0)</f>
        <v>4267.75</v>
      </c>
      <c r="AC24" s="4">
        <f>IFERROR(_xlfn.MAXIFS($K$2:$K$21,$J$2:$J$21,"&lt;&gt; -1"),0)</f>
        <v>3985.86</v>
      </c>
      <c r="AD24" s="4">
        <f>IFERROR(_xlfn.MAXIFS($M$2:$M$21,$L$2:$L$21,"&lt;&gt; -1"),0)</f>
        <v>3930.12</v>
      </c>
      <c r="AE24" s="4">
        <f>IFERROR(_xlfn.MINIFS($C$2:$C$21,$B$2:$B$21,"&lt;&gt; -1"),0)</f>
        <v>3450.11</v>
      </c>
      <c r="AF24" s="4">
        <f>IFERROR(_xlfn.MINIFS($E$2:$E$21,$D$2:$D$21,"&lt;&gt; -1"),0)</f>
        <v>3552.06</v>
      </c>
      <c r="AG24" s="4">
        <f>IFERROR(_xlfn.MINIFS($G$2:$G$21,$F$2:$F$21,"&lt;&gt; -1"),0)</f>
        <v>3744.92</v>
      </c>
      <c r="AH24" s="4">
        <f>IFERROR(_xlfn.MINIFS($I$2:$I$21,$H$2:$H$21,"&lt;&gt; -1"),0)</f>
        <v>3792.47</v>
      </c>
      <c r="AI24" s="4">
        <f>IFERROR(_xlfn.MINIFS($K$2:$K$21,$J$2:$J$21,"&lt;&gt; -1"),0)</f>
        <v>3435.43</v>
      </c>
      <c r="AJ24" s="4">
        <f>IFERROR(_xlfn.MINIFS($M$2:$M$21,$L$2:$L$21,"&lt;&gt; -1"),0)</f>
        <v>3510.27</v>
      </c>
      <c r="AK24" s="4">
        <f>(COUNTIFS($B$2:$B$21,"&gt;0.0",$B$2:$B$21,"&lt;100.0"))/20</f>
        <v>1</v>
      </c>
      <c r="AL24" s="4">
        <f>(COUNTIFS($D$2:$D$21,"&gt;0.0",$D$2:$D$21,"&lt;100.0"))/20</f>
        <v>1</v>
      </c>
      <c r="AM24" s="4">
        <f>(COUNTIFS($F$2:$F$21,"&gt;0.0",$F$2:$F$21,"&lt;100.0"))/20</f>
        <v>0.95</v>
      </c>
      <c r="AN24" s="4">
        <f>(COUNTIFS($H$2:$H$21,"&gt;0.0",$H$2:$H$21,"&lt;100.0"))/20</f>
        <v>1</v>
      </c>
      <c r="AO24" s="4">
        <f>(COUNTIFS($J$2:$J$21,"&gt;0.0",$J$2:$J$21,"&lt;100.0"))/20</f>
        <v>0.9</v>
      </c>
      <c r="AP24" s="4">
        <f>(COUNTIFS($L$2:$L$21,"&gt;0.0",$L$2:$L$21,"&lt;100.0"))/20</f>
        <v>0.9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24"/>
  <sheetViews>
    <sheetView workbookViewId="0">
      <selection activeCell="A24" sqref="$A24:$XFD24"/>
    </sheetView>
  </sheetViews>
  <sheetFormatPr defaultColWidth="9" defaultRowHeight="14"/>
  <cols>
    <col min="7" max="10" width="9.54545454545454"/>
    <col min="11" max="11" width="12.0909090909091" customWidth="1"/>
    <col min="12" max="12" width="9.54545454545454"/>
    <col min="25" max="28" width="9.54545454545454"/>
    <col min="30" max="34" width="9.54545454545454"/>
    <col min="36" max="36" width="9.54545454545454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47.19</v>
      </c>
      <c r="C2">
        <v>3848.68</v>
      </c>
      <c r="D2">
        <v>47.39</v>
      </c>
      <c r="E2">
        <v>3726.67</v>
      </c>
      <c r="F2">
        <v>55.04</v>
      </c>
      <c r="G2">
        <v>4079.97</v>
      </c>
      <c r="H2">
        <v>55.48</v>
      </c>
      <c r="I2">
        <v>4028.67</v>
      </c>
      <c r="J2">
        <v>-1</v>
      </c>
      <c r="K2">
        <v>0</v>
      </c>
      <c r="L2">
        <v>-1</v>
      </c>
      <c r="M2">
        <v>0</v>
      </c>
    </row>
    <row r="3" spans="1:13">
      <c r="A3" t="s">
        <v>14</v>
      </c>
      <c r="B3">
        <v>44.04</v>
      </c>
      <c r="C3">
        <v>3826.5</v>
      </c>
      <c r="D3">
        <v>44.3</v>
      </c>
      <c r="E3">
        <v>3874.4</v>
      </c>
      <c r="F3">
        <v>53.32</v>
      </c>
      <c r="G3">
        <v>4054.29</v>
      </c>
      <c r="H3">
        <v>53.55</v>
      </c>
      <c r="I3">
        <v>4100.96</v>
      </c>
      <c r="J3">
        <v>-1</v>
      </c>
      <c r="K3">
        <v>0</v>
      </c>
      <c r="L3">
        <v>70.37</v>
      </c>
      <c r="M3">
        <v>3782.22</v>
      </c>
    </row>
    <row r="4" spans="1:13">
      <c r="A4" t="s">
        <v>15</v>
      </c>
      <c r="B4">
        <v>44.96</v>
      </c>
      <c r="C4">
        <v>3919.04</v>
      </c>
      <c r="D4">
        <v>45.28</v>
      </c>
      <c r="E4">
        <v>3951.17</v>
      </c>
      <c r="F4">
        <v>55.79</v>
      </c>
      <c r="G4">
        <v>4096.72</v>
      </c>
      <c r="H4">
        <v>66.59</v>
      </c>
      <c r="I4">
        <v>4161.26</v>
      </c>
      <c r="J4">
        <v>-1</v>
      </c>
      <c r="K4">
        <v>0</v>
      </c>
      <c r="L4">
        <v>-1</v>
      </c>
      <c r="M4">
        <v>0</v>
      </c>
    </row>
    <row r="5" spans="1:13">
      <c r="A5" t="s">
        <v>16</v>
      </c>
      <c r="B5">
        <v>42.22</v>
      </c>
      <c r="C5">
        <v>3714.33</v>
      </c>
      <c r="D5">
        <v>42.41</v>
      </c>
      <c r="E5">
        <v>3648.48</v>
      </c>
      <c r="F5">
        <v>54.32</v>
      </c>
      <c r="G5">
        <v>3946.45</v>
      </c>
      <c r="H5">
        <v>52.94</v>
      </c>
      <c r="I5">
        <v>3901.61</v>
      </c>
      <c r="J5">
        <v>-1</v>
      </c>
      <c r="K5">
        <v>549.27</v>
      </c>
      <c r="L5">
        <v>-1</v>
      </c>
      <c r="M5">
        <v>0</v>
      </c>
    </row>
    <row r="6" spans="1:13">
      <c r="A6" t="s">
        <v>17</v>
      </c>
      <c r="B6">
        <v>48.82</v>
      </c>
      <c r="C6">
        <v>3758.72</v>
      </c>
      <c r="D6">
        <v>49.16</v>
      </c>
      <c r="E6">
        <v>3899.42</v>
      </c>
      <c r="F6">
        <v>-1</v>
      </c>
      <c r="G6">
        <v>2778.92</v>
      </c>
      <c r="H6">
        <v>-1</v>
      </c>
      <c r="I6">
        <v>3878.5</v>
      </c>
      <c r="J6">
        <v>-1</v>
      </c>
      <c r="K6">
        <v>0</v>
      </c>
      <c r="L6">
        <v>-1</v>
      </c>
      <c r="M6">
        <v>616.33</v>
      </c>
    </row>
    <row r="7" spans="1:13">
      <c r="A7" t="s">
        <v>18</v>
      </c>
      <c r="B7">
        <v>46.08</v>
      </c>
      <c r="C7">
        <v>3954.39</v>
      </c>
      <c r="D7">
        <v>46.38</v>
      </c>
      <c r="E7">
        <v>3764.57</v>
      </c>
      <c r="F7">
        <v>56.78</v>
      </c>
      <c r="G7">
        <v>4234.19</v>
      </c>
      <c r="H7">
        <v>54.26</v>
      </c>
      <c r="I7">
        <v>4017.17</v>
      </c>
      <c r="J7">
        <v>-1</v>
      </c>
      <c r="K7">
        <v>630.39</v>
      </c>
      <c r="L7">
        <v>-1</v>
      </c>
      <c r="M7">
        <v>625.43</v>
      </c>
    </row>
    <row r="8" spans="1:13">
      <c r="A8" t="s">
        <v>19</v>
      </c>
      <c r="B8">
        <v>46.64</v>
      </c>
      <c r="C8">
        <v>3942.23</v>
      </c>
      <c r="D8">
        <v>46.68</v>
      </c>
      <c r="E8">
        <v>3825.63</v>
      </c>
      <c r="F8">
        <v>55.84</v>
      </c>
      <c r="G8">
        <v>4201.56</v>
      </c>
      <c r="H8">
        <v>56.41</v>
      </c>
      <c r="I8">
        <v>4013.56</v>
      </c>
      <c r="J8">
        <v>-1</v>
      </c>
      <c r="K8">
        <v>0</v>
      </c>
      <c r="L8">
        <v>-1</v>
      </c>
      <c r="M8">
        <v>0</v>
      </c>
    </row>
    <row r="9" spans="1:13">
      <c r="A9" t="s">
        <v>20</v>
      </c>
      <c r="B9">
        <v>43.37</v>
      </c>
      <c r="C9">
        <v>3561.42</v>
      </c>
      <c r="D9">
        <v>43.53</v>
      </c>
      <c r="E9">
        <v>3657.23</v>
      </c>
      <c r="F9">
        <v>55.86</v>
      </c>
      <c r="G9">
        <v>3778.62</v>
      </c>
      <c r="H9">
        <v>53.5</v>
      </c>
      <c r="I9">
        <v>3846.61</v>
      </c>
      <c r="J9">
        <v>-1</v>
      </c>
      <c r="K9">
        <v>548.03</v>
      </c>
      <c r="L9">
        <v>-1</v>
      </c>
      <c r="M9">
        <v>0</v>
      </c>
    </row>
    <row r="10" spans="1:13">
      <c r="A10" t="s">
        <v>21</v>
      </c>
      <c r="B10">
        <v>48.48</v>
      </c>
      <c r="C10">
        <v>3947.47</v>
      </c>
      <c r="D10">
        <v>48.77</v>
      </c>
      <c r="E10">
        <v>3851.2</v>
      </c>
      <c r="F10">
        <v>53.5</v>
      </c>
      <c r="G10">
        <v>4171.99</v>
      </c>
      <c r="H10">
        <v>54.68</v>
      </c>
      <c r="I10">
        <v>4156.2</v>
      </c>
      <c r="J10">
        <v>-1</v>
      </c>
      <c r="K10">
        <v>0</v>
      </c>
      <c r="L10">
        <v>-1</v>
      </c>
      <c r="M10">
        <v>561.72</v>
      </c>
    </row>
    <row r="11" spans="1:13">
      <c r="A11" t="s">
        <v>22</v>
      </c>
      <c r="B11">
        <v>53.59</v>
      </c>
      <c r="C11">
        <v>3918.27</v>
      </c>
      <c r="D11">
        <v>53.97</v>
      </c>
      <c r="E11">
        <v>4054.7</v>
      </c>
      <c r="F11">
        <v>60.35</v>
      </c>
      <c r="G11">
        <v>4145.11</v>
      </c>
      <c r="H11">
        <v>66.04</v>
      </c>
      <c r="I11">
        <v>4273.34</v>
      </c>
      <c r="J11">
        <v>-1</v>
      </c>
      <c r="K11">
        <v>0</v>
      </c>
      <c r="L11">
        <v>-1</v>
      </c>
      <c r="M11">
        <v>0</v>
      </c>
    </row>
    <row r="12" spans="1:13">
      <c r="A12" t="s">
        <v>23</v>
      </c>
      <c r="B12">
        <v>48.24</v>
      </c>
      <c r="C12">
        <v>3809.57</v>
      </c>
      <c r="D12">
        <v>48.75</v>
      </c>
      <c r="E12">
        <v>3938.02</v>
      </c>
      <c r="F12">
        <v>55.02</v>
      </c>
      <c r="G12">
        <v>4011.76</v>
      </c>
      <c r="H12">
        <v>61.93</v>
      </c>
      <c r="I12">
        <v>4182.87</v>
      </c>
      <c r="J12">
        <v>-1</v>
      </c>
      <c r="K12">
        <v>0</v>
      </c>
      <c r="L12">
        <v>-1</v>
      </c>
      <c r="M12">
        <v>0</v>
      </c>
    </row>
    <row r="13" spans="1:13">
      <c r="A13" t="s">
        <v>24</v>
      </c>
      <c r="B13">
        <v>45.52</v>
      </c>
      <c r="C13">
        <v>3726.63</v>
      </c>
      <c r="D13">
        <v>45.93</v>
      </c>
      <c r="E13">
        <v>3783.28</v>
      </c>
      <c r="F13">
        <v>51.09</v>
      </c>
      <c r="G13">
        <v>3950.41</v>
      </c>
      <c r="H13">
        <v>54.19</v>
      </c>
      <c r="I13">
        <v>3997.78</v>
      </c>
      <c r="J13">
        <v>-1</v>
      </c>
      <c r="K13">
        <v>549.93</v>
      </c>
      <c r="L13">
        <v>-1</v>
      </c>
      <c r="M13">
        <v>0</v>
      </c>
    </row>
    <row r="14" spans="1:13">
      <c r="A14" t="s">
        <v>25</v>
      </c>
      <c r="B14">
        <v>43.7</v>
      </c>
      <c r="C14">
        <v>3510.85</v>
      </c>
      <c r="D14">
        <v>44.45</v>
      </c>
      <c r="E14">
        <v>3712.25</v>
      </c>
      <c r="F14">
        <v>52.19</v>
      </c>
      <c r="G14">
        <v>3760.61</v>
      </c>
      <c r="H14">
        <v>57.43</v>
      </c>
      <c r="I14">
        <v>3986.77</v>
      </c>
      <c r="J14">
        <v>-1</v>
      </c>
      <c r="K14">
        <v>0</v>
      </c>
      <c r="L14">
        <v>-1</v>
      </c>
      <c r="M14">
        <v>0</v>
      </c>
    </row>
    <row r="15" spans="1:13">
      <c r="A15" t="s">
        <v>26</v>
      </c>
      <c r="B15">
        <v>46.42</v>
      </c>
      <c r="C15">
        <v>3938.27</v>
      </c>
      <c r="D15">
        <v>46.6</v>
      </c>
      <c r="E15">
        <v>3971.18</v>
      </c>
      <c r="F15">
        <v>50.84</v>
      </c>
      <c r="G15">
        <v>4193.76</v>
      </c>
      <c r="H15">
        <v>53.14</v>
      </c>
      <c r="I15">
        <v>4224.41</v>
      </c>
      <c r="J15">
        <v>-1</v>
      </c>
      <c r="K15">
        <v>0</v>
      </c>
      <c r="L15">
        <v>-1</v>
      </c>
      <c r="M15">
        <v>0</v>
      </c>
    </row>
    <row r="16" spans="1:13">
      <c r="A16" t="s">
        <v>27</v>
      </c>
      <c r="B16">
        <v>47.29</v>
      </c>
      <c r="C16">
        <v>3735.08</v>
      </c>
      <c r="D16">
        <v>47.69</v>
      </c>
      <c r="E16">
        <v>3801.43</v>
      </c>
      <c r="F16">
        <v>56.28</v>
      </c>
      <c r="G16">
        <v>3903.75</v>
      </c>
      <c r="H16">
        <v>60.05</v>
      </c>
      <c r="I16">
        <v>4031</v>
      </c>
      <c r="J16">
        <v>-1</v>
      </c>
      <c r="K16">
        <v>0</v>
      </c>
      <c r="L16">
        <v>-1</v>
      </c>
      <c r="M16">
        <v>0</v>
      </c>
    </row>
    <row r="17" spans="1:13">
      <c r="A17" t="s">
        <v>28</v>
      </c>
      <c r="B17">
        <v>49.69</v>
      </c>
      <c r="C17">
        <v>3665.95</v>
      </c>
      <c r="D17">
        <v>49.77</v>
      </c>
      <c r="E17">
        <v>3767.08</v>
      </c>
      <c r="F17">
        <v>59.81</v>
      </c>
      <c r="G17">
        <v>3952.19</v>
      </c>
      <c r="H17">
        <v>58.1</v>
      </c>
      <c r="I17">
        <v>4075.37</v>
      </c>
      <c r="J17">
        <v>-1</v>
      </c>
      <c r="K17">
        <v>0</v>
      </c>
      <c r="L17">
        <v>-1</v>
      </c>
      <c r="M17">
        <v>0</v>
      </c>
    </row>
    <row r="18" spans="1:13">
      <c r="A18" t="s">
        <v>29</v>
      </c>
      <c r="B18">
        <v>49.26</v>
      </c>
      <c r="C18">
        <v>3686.96</v>
      </c>
      <c r="D18">
        <v>49.45</v>
      </c>
      <c r="E18">
        <v>3729.21</v>
      </c>
      <c r="F18">
        <v>54.67</v>
      </c>
      <c r="G18">
        <v>3962.29</v>
      </c>
      <c r="H18">
        <v>54.65</v>
      </c>
      <c r="I18">
        <v>4037.35</v>
      </c>
      <c r="J18">
        <v>-1</v>
      </c>
      <c r="K18">
        <v>0</v>
      </c>
      <c r="L18">
        <v>-1</v>
      </c>
      <c r="M18">
        <v>0</v>
      </c>
    </row>
    <row r="19" spans="1:13">
      <c r="A19" t="s">
        <v>30</v>
      </c>
      <c r="B19">
        <v>47.58</v>
      </c>
      <c r="C19">
        <v>3889.39</v>
      </c>
      <c r="D19">
        <v>47.87</v>
      </c>
      <c r="E19">
        <v>3991.24</v>
      </c>
      <c r="F19">
        <v>60.21</v>
      </c>
      <c r="G19">
        <v>4152.28</v>
      </c>
      <c r="H19">
        <v>57.59</v>
      </c>
      <c r="I19">
        <v>4260.66</v>
      </c>
      <c r="J19">
        <v>-1</v>
      </c>
      <c r="K19">
        <v>0</v>
      </c>
      <c r="L19">
        <v>-1</v>
      </c>
      <c r="M19">
        <v>0</v>
      </c>
    </row>
    <row r="20" spans="1:13">
      <c r="A20" t="s">
        <v>31</v>
      </c>
      <c r="B20">
        <v>45.02</v>
      </c>
      <c r="C20">
        <v>3784.07</v>
      </c>
      <c r="D20">
        <v>45.42</v>
      </c>
      <c r="E20">
        <v>3782.74</v>
      </c>
      <c r="F20">
        <v>54.38</v>
      </c>
      <c r="G20">
        <v>4008.87</v>
      </c>
      <c r="H20">
        <v>57.84</v>
      </c>
      <c r="I20">
        <v>4064.7</v>
      </c>
      <c r="J20">
        <v>-1</v>
      </c>
      <c r="K20">
        <v>0</v>
      </c>
      <c r="L20">
        <v>-1</v>
      </c>
      <c r="M20">
        <v>0</v>
      </c>
    </row>
    <row r="21" spans="1:13">
      <c r="A21" t="s">
        <v>32</v>
      </c>
      <c r="B21">
        <v>48.32</v>
      </c>
      <c r="C21">
        <v>3823.96</v>
      </c>
      <c r="D21">
        <v>48.6</v>
      </c>
      <c r="E21">
        <v>3742.07</v>
      </c>
      <c r="F21">
        <v>53.35</v>
      </c>
      <c r="G21">
        <v>4066.41</v>
      </c>
      <c r="H21">
        <v>56.05</v>
      </c>
      <c r="I21">
        <v>3950.39</v>
      </c>
      <c r="J21">
        <v>-1</v>
      </c>
      <c r="K21">
        <v>0</v>
      </c>
      <c r="L21">
        <v>-1</v>
      </c>
      <c r="M21">
        <v>0</v>
      </c>
    </row>
    <row r="23" spans="1:42">
      <c r="A23" s="2" t="s">
        <v>33</v>
      </c>
      <c r="B23" s="2" t="s">
        <v>34</v>
      </c>
      <c r="C23" s="2" t="s">
        <v>35</v>
      </c>
      <c r="D23" s="3" t="s">
        <v>36</v>
      </c>
      <c r="E23" s="2" t="s">
        <v>37</v>
      </c>
      <c r="F23" s="2" t="s">
        <v>38</v>
      </c>
      <c r="G23" s="2" t="s">
        <v>39</v>
      </c>
      <c r="H23" s="2" t="s">
        <v>40</v>
      </c>
      <c r="I23" s="2" t="s">
        <v>41</v>
      </c>
      <c r="J23" s="3" t="s">
        <v>42</v>
      </c>
      <c r="K23" s="2" t="s">
        <v>43</v>
      </c>
      <c r="L23" s="2" t="s">
        <v>44</v>
      </c>
      <c r="M23" s="2" t="s">
        <v>45</v>
      </c>
      <c r="N23" s="2" t="s">
        <v>46</v>
      </c>
      <c r="O23" s="2" t="s">
        <v>47</v>
      </c>
      <c r="P23" s="3" t="s">
        <v>48</v>
      </c>
      <c r="Q23" s="2" t="s">
        <v>49</v>
      </c>
      <c r="R23" s="2" t="s">
        <v>50</v>
      </c>
      <c r="S23" s="2" t="s">
        <v>51</v>
      </c>
      <c r="T23" s="2" t="s">
        <v>52</v>
      </c>
      <c r="U23" s="2" t="s">
        <v>53</v>
      </c>
      <c r="V23" s="3" t="s">
        <v>54</v>
      </c>
      <c r="W23" s="2" t="s">
        <v>55</v>
      </c>
      <c r="X23" s="2" t="s">
        <v>56</v>
      </c>
      <c r="Y23" s="2" t="s">
        <v>57</v>
      </c>
      <c r="Z23" s="2" t="s">
        <v>58</v>
      </c>
      <c r="AA23" s="2" t="s">
        <v>59</v>
      </c>
      <c r="AB23" s="3" t="s">
        <v>60</v>
      </c>
      <c r="AC23" s="2" t="s">
        <v>61</v>
      </c>
      <c r="AD23" s="2" t="s">
        <v>62</v>
      </c>
      <c r="AE23" s="2" t="s">
        <v>63</v>
      </c>
      <c r="AF23" s="2" t="s">
        <v>64</v>
      </c>
      <c r="AG23" s="2" t="s">
        <v>65</v>
      </c>
      <c r="AH23" s="3" t="s">
        <v>66</v>
      </c>
      <c r="AI23" s="2" t="s">
        <v>67</v>
      </c>
      <c r="AJ23" s="2" t="s">
        <v>68</v>
      </c>
      <c r="AK23" s="2" t="s">
        <v>69</v>
      </c>
      <c r="AL23" s="2" t="s">
        <v>70</v>
      </c>
      <c r="AM23" s="2" t="s">
        <v>71</v>
      </c>
      <c r="AN23" s="3" t="s">
        <v>72</v>
      </c>
      <c r="AO23" s="2" t="s">
        <v>73</v>
      </c>
      <c r="AP23" s="2" t="s">
        <v>74</v>
      </c>
    </row>
    <row r="24" spans="1:42">
      <c r="A24" s="4">
        <f>IFERROR(AVERAGEIF($B$2:$B$21,"&lt;&gt; -1"),0)</f>
        <v>46.8215</v>
      </c>
      <c r="B24" s="4">
        <f>IFERROR(AVERAGEIF($D$2:$D$21,"&lt;&gt; -1"),0)</f>
        <v>47.12</v>
      </c>
      <c r="C24" s="4">
        <f>IFERROR(AVERAGEIF($F$2:$F$21,"&lt;&gt; -1"),0)</f>
        <v>55.1915789473684</v>
      </c>
      <c r="D24" s="4">
        <f>IFERROR(AVERAGEIF($H$2:$H$21,"&lt;&gt; -1"),0)</f>
        <v>57.0747368421053</v>
      </c>
      <c r="E24" s="4">
        <f>IFERROR(AVERAGEIF($J$2:$J$21,"&lt;&gt; -1"),0)</f>
        <v>0</v>
      </c>
      <c r="F24" s="4">
        <f>IFERROR(AVERAGEIF($L$2:$L$21,"&lt;&gt; -1"),0)</f>
        <v>70.37</v>
      </c>
      <c r="G24" s="4">
        <f>IFERROR(AVERAGEIFS($C$2:$C$21,$B$2:$B$21,"&lt;&gt; -1"),0)</f>
        <v>3798.089</v>
      </c>
      <c r="H24" s="4">
        <f>IFERROR(AVERAGEIFS($E$2:$E$21,$D$2:$D$21,"&lt;&gt; -1"),0)</f>
        <v>3823.5985</v>
      </c>
      <c r="I24" s="4">
        <f>IFERROR(AVERAGEIFS($G$2:$G$21,$F$2:$F$21,"&lt;&gt; -1"),0)</f>
        <v>4035.32789473684</v>
      </c>
      <c r="J24" s="4">
        <f>IFERROR(AVERAGEIFS($I$2:$I$21,$H$2:$H$21,"&lt;&gt; -1"),0)</f>
        <v>4068.98315789474</v>
      </c>
      <c r="K24" s="4">
        <f>IFERROR(AVERAGEIFS($K$2:$K$21,$J$2:$J$21,"&lt;&gt; -1"),0)</f>
        <v>0</v>
      </c>
      <c r="L24" s="4">
        <f>IFERROR(AVERAGEIFS($M$2:$M$21,$L$2:$L$21,"&lt;&gt; -1"),0)</f>
        <v>3782.22</v>
      </c>
      <c r="M24" s="4">
        <f>IFERROR(_xlfn.MAXIFS($B$2:$B$21,$B$2:$B$21,"&lt;&gt; -1"),0)</f>
        <v>53.59</v>
      </c>
      <c r="N24" s="4">
        <f>IFERROR(_xlfn.MAXIFS($D$2:$D$21,$D$2:$D$21,"&lt;&gt;-1"),0)</f>
        <v>53.97</v>
      </c>
      <c r="O24" s="4">
        <f>IFERROR(_xlfn.MAXIFS($F$2:$F$21,$F$2:$F$21,"&lt;&gt; -1"),0)</f>
        <v>60.35</v>
      </c>
      <c r="P24" s="4">
        <f>IFERROR(_xlfn.MAXIFS($H$2:$H$21,$H$2:$H$21,"&lt;&gt; -1"),0)</f>
        <v>66.59</v>
      </c>
      <c r="Q24" s="4">
        <f>IFERROR(_xlfn.MAXIFS($J$2:$J$21,$J$2:$J$21,"&lt;&gt; -1"),0)</f>
        <v>0</v>
      </c>
      <c r="R24" s="4">
        <f>IFERROR(_xlfn.MAXIFS($L$2:$L$21,$L$2:$L$21,"&lt;&gt; -1"),0)</f>
        <v>70.37</v>
      </c>
      <c r="S24" s="4">
        <f>IFERROR(_xlfn.MINIFS($B$2:$B$21,$B$2:$B$21,"&lt;&gt; -1"),0)</f>
        <v>42.22</v>
      </c>
      <c r="T24" s="4">
        <f>IFERROR(_xlfn.MINIFS($D$2:$D$21,$D$2:$D$21,"&lt;&gt;-1"),0)</f>
        <v>42.41</v>
      </c>
      <c r="U24" s="4">
        <f>IFERROR(_xlfn.MINIFS($F$2:$F$21,$F$2:$F$21,"&lt;&gt; -1"),0)</f>
        <v>50.84</v>
      </c>
      <c r="V24" s="4">
        <f>IFERROR(_xlfn.MINIFS($H$2:$H$21,$H$2:$H$21,"&lt;&gt; -1"),0)</f>
        <v>52.94</v>
      </c>
      <c r="W24" s="4">
        <f>IFERROR(_xlfn.MINIFS($J$2:$J$21,$J$2:$J$21,"&lt;&gt; -1"),0)</f>
        <v>0</v>
      </c>
      <c r="X24" s="4">
        <f>IFERROR(_xlfn.MINIFS($L$2:$L$21,$L$2:$L$21,"&lt;&gt; -1"),0)</f>
        <v>70.37</v>
      </c>
      <c r="Y24" s="4">
        <f>IFERROR(_xlfn.MAXIFS($C$2:$C$21,$B$2:$B$21,"&lt;&gt; -1"),0)</f>
        <v>3954.39</v>
      </c>
      <c r="Z24" s="4">
        <f>IFERROR(_xlfn.MAXIFS($E$2:$E$21,$D$2:$D$21,"&lt;&gt; -1"),0)</f>
        <v>4054.7</v>
      </c>
      <c r="AA24" s="4">
        <f>IFERROR(_xlfn.MAXIFS($G$2:$G$21,$F$2:$F$21,"&lt;&gt; -1"),0)</f>
        <v>4234.19</v>
      </c>
      <c r="AB24" s="4">
        <f>IFERROR(_xlfn.MAXIFS($I$2:$I$21,$H$2:$H$21,"&lt;&gt; -1"),0)</f>
        <v>4273.34</v>
      </c>
      <c r="AC24" s="4">
        <f>IFERROR(_xlfn.MAXIFS($K$2:$K$21,$J$2:$J$21,"&lt;&gt; -1"),0)</f>
        <v>0</v>
      </c>
      <c r="AD24" s="4">
        <f>IFERROR(_xlfn.MAXIFS($M$2:$M$21,$L$2:$L$21,"&lt;&gt; -1"),0)</f>
        <v>3782.22</v>
      </c>
      <c r="AE24" s="4">
        <f>IFERROR(_xlfn.MINIFS($C$2:$C$21,$B$2:$B$21,"&lt;&gt; -1"),0)</f>
        <v>3510.85</v>
      </c>
      <c r="AF24" s="4">
        <f>IFERROR(_xlfn.MINIFS($E$2:$E$21,$D$2:$D$21,"&lt;&gt; -1"),0)</f>
        <v>3648.48</v>
      </c>
      <c r="AG24" s="4">
        <f>IFERROR(_xlfn.MINIFS($G$2:$G$21,$F$2:$F$21,"&lt;&gt; -1"),0)</f>
        <v>3760.61</v>
      </c>
      <c r="AH24" s="4">
        <f>IFERROR(_xlfn.MINIFS($I$2:$I$21,$H$2:$H$21,"&lt;&gt; -1"),0)</f>
        <v>3846.61</v>
      </c>
      <c r="AI24" s="4">
        <f>IFERROR(_xlfn.MINIFS($K$2:$K$21,$J$2:$J$21,"&lt;&gt; -1"),0)</f>
        <v>0</v>
      </c>
      <c r="AJ24" s="4">
        <f>IFERROR(_xlfn.MINIFS($M$2:$M$21,$L$2:$L$21,"&lt;&gt; -1"),0)</f>
        <v>3782.22</v>
      </c>
      <c r="AK24" s="4">
        <f>(COUNTIFS($B$2:$B$21,"&gt;0.0",$B$2:$B$21,"&lt;100.0"))/20</f>
        <v>1</v>
      </c>
      <c r="AL24" s="4">
        <f>(COUNTIFS($D$2:$D$21,"&gt;0.0",$D$2:$D$21,"&lt;100.0"))/20</f>
        <v>1</v>
      </c>
      <c r="AM24" s="4">
        <f>(COUNTIFS($F$2:$F$21,"&gt;0.0",$F$2:$F$21,"&lt;100.0"))/20</f>
        <v>0.95</v>
      </c>
      <c r="AN24" s="4">
        <f>(COUNTIFS($H$2:$H$21,"&gt;0.0",$H$2:$H$21,"&lt;100.0"))/20</f>
        <v>0.95</v>
      </c>
      <c r="AO24" s="4">
        <f>(COUNTIFS($J$2:$J$21,"&gt;0.0",$J$2:$J$21,"&lt;100.0"))/20</f>
        <v>0</v>
      </c>
      <c r="AP24" s="4">
        <f>(COUNTIFS($L$2:$L$21,"&gt;0.0",$L$2:$L$21,"&lt;100.0"))/20</f>
        <v>0.05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24"/>
  <sheetViews>
    <sheetView workbookViewId="0">
      <selection activeCell="A24" sqref="$A24:$XFD24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49.97</v>
      </c>
      <c r="C2">
        <v>3902.31</v>
      </c>
      <c r="D2">
        <v>50.15</v>
      </c>
      <c r="E2">
        <v>3767.73</v>
      </c>
      <c r="F2">
        <v>-1</v>
      </c>
      <c r="G2">
        <v>0</v>
      </c>
      <c r="H2">
        <v>-1</v>
      </c>
      <c r="I2">
        <v>1013.5</v>
      </c>
      <c r="J2">
        <v>-1</v>
      </c>
      <c r="K2">
        <v>0</v>
      </c>
      <c r="L2">
        <v>-1</v>
      </c>
      <c r="M2">
        <v>0</v>
      </c>
    </row>
    <row r="3" spans="1:13">
      <c r="A3" t="s">
        <v>14</v>
      </c>
      <c r="B3">
        <v>51.78</v>
      </c>
      <c r="C3">
        <v>3879.99</v>
      </c>
      <c r="D3">
        <v>52.17</v>
      </c>
      <c r="E3">
        <v>3806.28</v>
      </c>
      <c r="F3">
        <v>68.86</v>
      </c>
      <c r="G3">
        <v>4134.39</v>
      </c>
      <c r="H3">
        <v>-1</v>
      </c>
      <c r="I3">
        <v>986.89</v>
      </c>
      <c r="J3">
        <v>-1</v>
      </c>
      <c r="K3">
        <v>0</v>
      </c>
      <c r="L3">
        <v>-1</v>
      </c>
      <c r="M3">
        <v>0</v>
      </c>
    </row>
    <row r="4" spans="1:13">
      <c r="A4" t="s">
        <v>15</v>
      </c>
      <c r="B4">
        <v>53.27</v>
      </c>
      <c r="C4">
        <v>4020.23</v>
      </c>
      <c r="D4">
        <v>53.79</v>
      </c>
      <c r="E4">
        <v>4003.54</v>
      </c>
      <c r="F4">
        <v>-1</v>
      </c>
      <c r="G4">
        <v>933.99</v>
      </c>
      <c r="H4">
        <v>74.28</v>
      </c>
      <c r="I4">
        <v>4158.66</v>
      </c>
      <c r="J4">
        <v>-1</v>
      </c>
      <c r="K4">
        <v>0</v>
      </c>
      <c r="L4">
        <v>-1</v>
      </c>
      <c r="M4">
        <v>0</v>
      </c>
    </row>
    <row r="5" spans="1:13">
      <c r="A5" t="s">
        <v>16</v>
      </c>
      <c r="B5">
        <v>53.08</v>
      </c>
      <c r="C5">
        <v>3844.6</v>
      </c>
      <c r="D5">
        <v>53.32</v>
      </c>
      <c r="E5">
        <v>3962.28</v>
      </c>
      <c r="F5">
        <v>60.05</v>
      </c>
      <c r="G5">
        <v>4048.48</v>
      </c>
      <c r="H5">
        <v>63.11</v>
      </c>
      <c r="I5">
        <v>4201.94</v>
      </c>
      <c r="J5">
        <v>-1</v>
      </c>
      <c r="K5">
        <v>0</v>
      </c>
      <c r="L5">
        <v>-1</v>
      </c>
      <c r="M5">
        <v>0</v>
      </c>
    </row>
    <row r="6" spans="1:13">
      <c r="A6" t="s">
        <v>17</v>
      </c>
      <c r="B6">
        <v>50.8</v>
      </c>
      <c r="C6">
        <v>3982.6</v>
      </c>
      <c r="D6">
        <v>51.12</v>
      </c>
      <c r="E6">
        <v>4068.29</v>
      </c>
      <c r="F6">
        <v>-1</v>
      </c>
      <c r="G6">
        <v>0</v>
      </c>
      <c r="H6">
        <v>80.46</v>
      </c>
      <c r="I6">
        <v>4268.93</v>
      </c>
      <c r="J6">
        <v>-1</v>
      </c>
      <c r="K6">
        <v>0</v>
      </c>
      <c r="L6">
        <v>-1</v>
      </c>
      <c r="M6">
        <v>0</v>
      </c>
    </row>
    <row r="7" spans="1:13">
      <c r="A7" t="s">
        <v>18</v>
      </c>
      <c r="B7">
        <v>53.7</v>
      </c>
      <c r="C7">
        <v>4068.99</v>
      </c>
      <c r="D7">
        <v>54.16</v>
      </c>
      <c r="E7">
        <v>3918.2</v>
      </c>
      <c r="F7">
        <v>-1</v>
      </c>
      <c r="G7">
        <v>0</v>
      </c>
      <c r="H7">
        <v>73.77</v>
      </c>
      <c r="I7">
        <v>4181.49</v>
      </c>
      <c r="J7">
        <v>-1</v>
      </c>
      <c r="K7">
        <v>0</v>
      </c>
      <c r="L7">
        <v>-1</v>
      </c>
      <c r="M7">
        <v>0</v>
      </c>
    </row>
    <row r="8" spans="1:13">
      <c r="A8" t="s">
        <v>19</v>
      </c>
      <c r="B8">
        <v>46.96</v>
      </c>
      <c r="C8">
        <v>3914.6</v>
      </c>
      <c r="D8">
        <v>47.29</v>
      </c>
      <c r="E8">
        <v>3694.78</v>
      </c>
      <c r="F8">
        <v>61.01</v>
      </c>
      <c r="G8">
        <v>4213.52</v>
      </c>
      <c r="H8">
        <v>56.7</v>
      </c>
      <c r="I8">
        <v>3975.62</v>
      </c>
      <c r="J8">
        <v>-1</v>
      </c>
      <c r="K8">
        <v>0</v>
      </c>
      <c r="L8">
        <v>-1</v>
      </c>
      <c r="M8">
        <v>0</v>
      </c>
    </row>
    <row r="9" spans="1:13">
      <c r="A9" t="s">
        <v>20</v>
      </c>
      <c r="B9">
        <v>49.58</v>
      </c>
      <c r="C9">
        <v>3828.4</v>
      </c>
      <c r="D9">
        <v>50.14</v>
      </c>
      <c r="E9">
        <v>4074.07</v>
      </c>
      <c r="F9">
        <v>-1</v>
      </c>
      <c r="G9">
        <v>1105.8</v>
      </c>
      <c r="H9">
        <v>-1</v>
      </c>
      <c r="I9">
        <v>0</v>
      </c>
      <c r="J9">
        <v>-1</v>
      </c>
      <c r="K9">
        <v>0</v>
      </c>
      <c r="L9">
        <v>-1</v>
      </c>
      <c r="M9">
        <v>0</v>
      </c>
    </row>
    <row r="10" spans="1:13">
      <c r="A10" t="s">
        <v>21</v>
      </c>
      <c r="B10">
        <v>52.56</v>
      </c>
      <c r="C10">
        <v>3939.43</v>
      </c>
      <c r="D10">
        <v>52.92</v>
      </c>
      <c r="E10">
        <v>3879.92</v>
      </c>
      <c r="F10">
        <v>76.21</v>
      </c>
      <c r="G10">
        <v>4124.89</v>
      </c>
      <c r="H10">
        <v>65.61</v>
      </c>
      <c r="I10">
        <v>4096.3</v>
      </c>
      <c r="J10">
        <v>-1</v>
      </c>
      <c r="K10">
        <v>0</v>
      </c>
      <c r="L10">
        <v>-1</v>
      </c>
      <c r="M10">
        <v>0</v>
      </c>
    </row>
    <row r="11" spans="1:13">
      <c r="A11" t="s">
        <v>22</v>
      </c>
      <c r="B11">
        <v>51.85</v>
      </c>
      <c r="C11">
        <v>3951.89</v>
      </c>
      <c r="D11">
        <v>52.37</v>
      </c>
      <c r="E11">
        <v>3926.65</v>
      </c>
      <c r="F11">
        <v>58.05</v>
      </c>
      <c r="G11">
        <v>4203.03</v>
      </c>
      <c r="H11">
        <v>60.98</v>
      </c>
      <c r="I11">
        <v>4213.45</v>
      </c>
      <c r="J11">
        <v>-1</v>
      </c>
      <c r="K11">
        <v>0</v>
      </c>
      <c r="L11">
        <v>-1</v>
      </c>
      <c r="M11">
        <v>0</v>
      </c>
    </row>
    <row r="12" spans="1:13">
      <c r="A12" t="s">
        <v>23</v>
      </c>
      <c r="B12">
        <v>52.35</v>
      </c>
      <c r="C12">
        <v>3759.88</v>
      </c>
      <c r="D12">
        <v>52.71</v>
      </c>
      <c r="E12">
        <v>3841.01</v>
      </c>
      <c r="F12">
        <v>67.07</v>
      </c>
      <c r="G12">
        <v>3973.49</v>
      </c>
      <c r="H12">
        <v>-1</v>
      </c>
      <c r="I12">
        <v>3786.18</v>
      </c>
      <c r="J12">
        <v>-1</v>
      </c>
      <c r="K12">
        <v>0</v>
      </c>
      <c r="L12">
        <v>-1</v>
      </c>
      <c r="M12">
        <v>0</v>
      </c>
    </row>
    <row r="13" spans="1:13">
      <c r="A13" t="s">
        <v>24</v>
      </c>
      <c r="B13">
        <v>49.81</v>
      </c>
      <c r="C13">
        <v>3991.25</v>
      </c>
      <c r="D13">
        <v>50.1</v>
      </c>
      <c r="E13">
        <v>3826.51</v>
      </c>
      <c r="F13">
        <v>60.98</v>
      </c>
      <c r="G13">
        <v>4243.74</v>
      </c>
      <c r="H13">
        <v>-1</v>
      </c>
      <c r="I13">
        <v>0</v>
      </c>
      <c r="J13">
        <v>-1</v>
      </c>
      <c r="K13">
        <v>0</v>
      </c>
      <c r="L13">
        <v>-1</v>
      </c>
      <c r="M13">
        <v>0</v>
      </c>
    </row>
    <row r="14" spans="1:13">
      <c r="A14" t="s">
        <v>25</v>
      </c>
      <c r="B14">
        <v>50.13</v>
      </c>
      <c r="C14">
        <v>3785.85</v>
      </c>
      <c r="D14">
        <v>50.5</v>
      </c>
      <c r="E14">
        <v>3710.5</v>
      </c>
      <c r="F14">
        <v>-1</v>
      </c>
      <c r="G14">
        <v>0</v>
      </c>
      <c r="H14">
        <v>-1</v>
      </c>
      <c r="I14">
        <v>0</v>
      </c>
      <c r="J14">
        <v>-1</v>
      </c>
      <c r="K14">
        <v>0</v>
      </c>
      <c r="L14">
        <v>-1</v>
      </c>
      <c r="M14">
        <v>0</v>
      </c>
    </row>
    <row r="15" spans="1:13">
      <c r="A15" t="s">
        <v>26</v>
      </c>
      <c r="B15">
        <v>50.32</v>
      </c>
      <c r="C15">
        <v>3978.85</v>
      </c>
      <c r="D15">
        <v>50.8</v>
      </c>
      <c r="E15">
        <v>3993.93</v>
      </c>
      <c r="F15">
        <v>-1</v>
      </c>
      <c r="G15">
        <v>0</v>
      </c>
      <c r="H15">
        <v>-1</v>
      </c>
      <c r="I15">
        <v>0</v>
      </c>
      <c r="J15">
        <v>-1</v>
      </c>
      <c r="K15">
        <v>0</v>
      </c>
      <c r="L15">
        <v>-1</v>
      </c>
      <c r="M15">
        <v>0</v>
      </c>
    </row>
    <row r="16" spans="1:13">
      <c r="A16" t="s">
        <v>27</v>
      </c>
      <c r="B16">
        <v>50.41</v>
      </c>
      <c r="C16">
        <v>3777.22</v>
      </c>
      <c r="D16">
        <v>50.75</v>
      </c>
      <c r="E16">
        <v>3764.45</v>
      </c>
      <c r="F16">
        <v>74.44</v>
      </c>
      <c r="G16">
        <v>3960.84</v>
      </c>
      <c r="H16">
        <v>-1</v>
      </c>
      <c r="I16">
        <v>3366.5</v>
      </c>
      <c r="J16">
        <v>-1</v>
      </c>
      <c r="K16">
        <v>0</v>
      </c>
      <c r="L16">
        <v>-1</v>
      </c>
      <c r="M16">
        <v>0</v>
      </c>
    </row>
    <row r="17" spans="1:13">
      <c r="A17" t="s">
        <v>28</v>
      </c>
      <c r="B17">
        <v>47.87</v>
      </c>
      <c r="C17">
        <v>3758.87</v>
      </c>
      <c r="D17">
        <v>48.4</v>
      </c>
      <c r="E17">
        <v>3815.21</v>
      </c>
      <c r="F17">
        <v>-1</v>
      </c>
      <c r="G17">
        <v>856.5</v>
      </c>
      <c r="H17">
        <v>-1</v>
      </c>
      <c r="I17">
        <v>818.28</v>
      </c>
      <c r="J17">
        <v>-1</v>
      </c>
      <c r="K17">
        <v>0</v>
      </c>
      <c r="L17">
        <v>-1</v>
      </c>
      <c r="M17">
        <v>0</v>
      </c>
    </row>
    <row r="18" spans="1:13">
      <c r="A18" t="s">
        <v>29</v>
      </c>
      <c r="B18">
        <v>50.98</v>
      </c>
      <c r="C18">
        <v>3841.15</v>
      </c>
      <c r="D18">
        <v>51.3</v>
      </c>
      <c r="E18">
        <v>3491.12</v>
      </c>
      <c r="F18">
        <v>-1</v>
      </c>
      <c r="G18">
        <v>0</v>
      </c>
      <c r="H18">
        <v>-1</v>
      </c>
      <c r="I18">
        <v>0</v>
      </c>
      <c r="J18">
        <v>-1</v>
      </c>
      <c r="K18">
        <v>0</v>
      </c>
      <c r="L18">
        <v>-1</v>
      </c>
      <c r="M18">
        <v>0</v>
      </c>
    </row>
    <row r="19" spans="1:13">
      <c r="A19" t="s">
        <v>30</v>
      </c>
      <c r="B19">
        <v>56.19</v>
      </c>
      <c r="C19">
        <v>4121.79</v>
      </c>
      <c r="D19">
        <v>56.54</v>
      </c>
      <c r="E19">
        <v>4037.27</v>
      </c>
      <c r="F19">
        <v>-1</v>
      </c>
      <c r="G19">
        <v>1067.06</v>
      </c>
      <c r="H19">
        <v>-1</v>
      </c>
      <c r="I19">
        <v>1071.32</v>
      </c>
      <c r="J19">
        <v>-1</v>
      </c>
      <c r="K19">
        <v>0</v>
      </c>
      <c r="L19">
        <v>-1</v>
      </c>
      <c r="M19">
        <v>0</v>
      </c>
    </row>
    <row r="20" spans="1:13">
      <c r="A20" t="s">
        <v>31</v>
      </c>
      <c r="B20">
        <v>51.04</v>
      </c>
      <c r="C20">
        <v>3860.78</v>
      </c>
      <c r="D20">
        <v>51.35</v>
      </c>
      <c r="E20">
        <v>3777.45</v>
      </c>
      <c r="F20">
        <v>-1</v>
      </c>
      <c r="G20">
        <v>862.87</v>
      </c>
      <c r="H20">
        <v>-1</v>
      </c>
      <c r="I20">
        <v>897.14</v>
      </c>
      <c r="J20">
        <v>-1</v>
      </c>
      <c r="K20">
        <v>0</v>
      </c>
      <c r="L20">
        <v>-1</v>
      </c>
      <c r="M20">
        <v>0</v>
      </c>
    </row>
    <row r="21" spans="1:13">
      <c r="A21" t="s">
        <v>32</v>
      </c>
      <c r="B21">
        <v>51.32</v>
      </c>
      <c r="C21">
        <v>3578.04</v>
      </c>
      <c r="D21">
        <v>51.46</v>
      </c>
      <c r="E21">
        <v>3525.04</v>
      </c>
      <c r="F21">
        <v>59.83</v>
      </c>
      <c r="G21">
        <v>3763.14</v>
      </c>
      <c r="H21">
        <v>62.82</v>
      </c>
      <c r="I21">
        <v>3796.36</v>
      </c>
      <c r="J21">
        <v>-1</v>
      </c>
      <c r="K21">
        <v>649.67</v>
      </c>
      <c r="L21">
        <v>-1</v>
      </c>
      <c r="M21">
        <v>0</v>
      </c>
    </row>
    <row r="23" spans="1:42">
      <c r="A23" s="2" t="s">
        <v>33</v>
      </c>
      <c r="B23" s="2" t="s">
        <v>34</v>
      </c>
      <c r="C23" s="2" t="s">
        <v>35</v>
      </c>
      <c r="D23" s="3" t="s">
        <v>36</v>
      </c>
      <c r="E23" s="2" t="s">
        <v>37</v>
      </c>
      <c r="F23" s="2" t="s">
        <v>38</v>
      </c>
      <c r="G23" s="2" t="s">
        <v>39</v>
      </c>
      <c r="H23" s="2" t="s">
        <v>40</v>
      </c>
      <c r="I23" s="2" t="s">
        <v>41</v>
      </c>
      <c r="J23" s="3" t="s">
        <v>42</v>
      </c>
      <c r="K23" s="2" t="s">
        <v>43</v>
      </c>
      <c r="L23" s="2" t="s">
        <v>44</v>
      </c>
      <c r="M23" s="2" t="s">
        <v>45</v>
      </c>
      <c r="N23" s="2" t="s">
        <v>46</v>
      </c>
      <c r="O23" s="2" t="s">
        <v>47</v>
      </c>
      <c r="P23" s="3" t="s">
        <v>48</v>
      </c>
      <c r="Q23" s="2" t="s">
        <v>49</v>
      </c>
      <c r="R23" s="2" t="s">
        <v>50</v>
      </c>
      <c r="S23" s="2" t="s">
        <v>51</v>
      </c>
      <c r="T23" s="2" t="s">
        <v>52</v>
      </c>
      <c r="U23" s="2" t="s">
        <v>53</v>
      </c>
      <c r="V23" s="3" t="s">
        <v>54</v>
      </c>
      <c r="W23" s="2" t="s">
        <v>55</v>
      </c>
      <c r="X23" s="2" t="s">
        <v>56</v>
      </c>
      <c r="Y23" s="2" t="s">
        <v>57</v>
      </c>
      <c r="Z23" s="2" t="s">
        <v>58</v>
      </c>
      <c r="AA23" s="2" t="s">
        <v>59</v>
      </c>
      <c r="AB23" s="3" t="s">
        <v>60</v>
      </c>
      <c r="AC23" s="2" t="s">
        <v>61</v>
      </c>
      <c r="AD23" s="2" t="s">
        <v>62</v>
      </c>
      <c r="AE23" s="2" t="s">
        <v>63</v>
      </c>
      <c r="AF23" s="2" t="s">
        <v>64</v>
      </c>
      <c r="AG23" s="2" t="s">
        <v>65</v>
      </c>
      <c r="AH23" s="3" t="s">
        <v>66</v>
      </c>
      <c r="AI23" s="2" t="s">
        <v>67</v>
      </c>
      <c r="AJ23" s="2" t="s">
        <v>68</v>
      </c>
      <c r="AK23" s="2" t="s">
        <v>69</v>
      </c>
      <c r="AL23" s="2" t="s">
        <v>70</v>
      </c>
      <c r="AM23" s="2" t="s">
        <v>71</v>
      </c>
      <c r="AN23" s="3" t="s">
        <v>72</v>
      </c>
      <c r="AO23" s="2" t="s">
        <v>73</v>
      </c>
      <c r="AP23" s="2" t="s">
        <v>74</v>
      </c>
    </row>
    <row r="24" spans="1:42">
      <c r="A24" s="4">
        <f>IFERROR(AVERAGEIF($B$2:$B$21,"&lt;&gt; -1"),0)</f>
        <v>51.1985</v>
      </c>
      <c r="B24" s="4">
        <f>IFERROR(AVERAGEIF($D$2:$D$21,"&lt;&gt; -1"),0)</f>
        <v>51.567</v>
      </c>
      <c r="C24" s="4">
        <f>IFERROR(AVERAGEIF($F$2:$F$21,"&lt;&gt; -1"),0)</f>
        <v>65.1666666666667</v>
      </c>
      <c r="D24" s="4">
        <f>IFERROR(AVERAGEIF($H$2:$H$21,"&lt;&gt; -1"),0)</f>
        <v>67.21625</v>
      </c>
      <c r="E24" s="4">
        <f>IFERROR(AVERAGEIF($J$2:$J$21,"&lt;&gt; -1"),0)</f>
        <v>0</v>
      </c>
      <c r="F24" s="4">
        <f>IFERROR(AVERAGEIF($L$2:$L$21,"&lt;&gt; -1"),0)</f>
        <v>0</v>
      </c>
      <c r="G24" s="4">
        <f>IFERROR(AVERAGEIFS($C$2:$C$21,$B$2:$B$21,"&lt;&gt; -1"),0)</f>
        <v>3889.336</v>
      </c>
      <c r="H24" s="4">
        <f>IFERROR(AVERAGEIFS($E$2:$E$21,$D$2:$D$21,"&lt;&gt; -1"),0)</f>
        <v>3844.2115</v>
      </c>
      <c r="I24" s="4">
        <f>IFERROR(AVERAGEIFS($G$2:$G$21,$F$2:$F$21,"&lt;&gt; -1"),0)</f>
        <v>4073.94666666667</v>
      </c>
      <c r="J24" s="4">
        <f>IFERROR(AVERAGEIFS($I$2:$I$21,$H$2:$H$21,"&lt;&gt; -1"),0)</f>
        <v>4111.59375</v>
      </c>
      <c r="K24" s="4">
        <f>IFERROR(AVERAGEIFS($K$2:$K$21,$J$2:$J$21,"&lt;&gt; -1"),0)</f>
        <v>0</v>
      </c>
      <c r="L24" s="4">
        <f>IFERROR(AVERAGEIFS($M$2:$M$21,$L$2:$L$21,"&lt;&gt; -1"),0)</f>
        <v>0</v>
      </c>
      <c r="M24" s="4">
        <f>IFERROR(_xlfn.MAXIFS($B$2:$B$21,$B$2:$B$21,"&lt;&gt; -1"),0)</f>
        <v>56.19</v>
      </c>
      <c r="N24" s="4">
        <f>IFERROR(_xlfn.MAXIFS($D$2:$D$21,$D$2:$D$21,"&lt;&gt;-1"),0)</f>
        <v>56.54</v>
      </c>
      <c r="O24" s="4">
        <f>IFERROR(_xlfn.MAXIFS($F$2:$F$21,$F$2:$F$21,"&lt;&gt; -1"),0)</f>
        <v>76.21</v>
      </c>
      <c r="P24" s="4">
        <f>IFERROR(_xlfn.MAXIFS($H$2:$H$21,$H$2:$H$21,"&lt;&gt; -1"),0)</f>
        <v>80.46</v>
      </c>
      <c r="Q24" s="4">
        <f>IFERROR(_xlfn.MAXIFS($J$2:$J$21,$J$2:$J$21,"&lt;&gt; -1"),0)</f>
        <v>0</v>
      </c>
      <c r="R24" s="4">
        <f>IFERROR(_xlfn.MAXIFS($L$2:$L$21,$L$2:$L$21,"&lt;&gt; -1"),0)</f>
        <v>0</v>
      </c>
      <c r="S24" s="4">
        <f>IFERROR(_xlfn.MINIFS($B$2:$B$21,$B$2:$B$21,"&lt;&gt; -1"),0)</f>
        <v>46.96</v>
      </c>
      <c r="T24" s="4">
        <f>IFERROR(_xlfn.MINIFS($D$2:$D$21,$D$2:$D$21,"&lt;&gt;-1"),0)</f>
        <v>47.29</v>
      </c>
      <c r="U24" s="4">
        <f>IFERROR(_xlfn.MINIFS($F$2:$F$21,$F$2:$F$21,"&lt;&gt; -1"),0)</f>
        <v>58.05</v>
      </c>
      <c r="V24" s="4">
        <f>IFERROR(_xlfn.MINIFS($H$2:$H$21,$H$2:$H$21,"&lt;&gt; -1"),0)</f>
        <v>56.7</v>
      </c>
      <c r="W24" s="4">
        <f>IFERROR(_xlfn.MINIFS($J$2:$J$21,$J$2:$J$21,"&lt;&gt; -1"),0)</f>
        <v>0</v>
      </c>
      <c r="X24" s="4">
        <f>IFERROR(_xlfn.MINIFS($L$2:$L$21,$L$2:$L$21,"&lt;&gt; -1"),0)</f>
        <v>0</v>
      </c>
      <c r="Y24" s="4">
        <f>IFERROR(_xlfn.MAXIFS($C$2:$C$21,$B$2:$B$21,"&lt;&gt; -1"),0)</f>
        <v>4121.79</v>
      </c>
      <c r="Z24" s="4">
        <f>IFERROR(_xlfn.MAXIFS($E$2:$E$21,$D$2:$D$21,"&lt;&gt; -1"),0)</f>
        <v>4074.07</v>
      </c>
      <c r="AA24" s="4">
        <f>IFERROR(_xlfn.MAXIFS($G$2:$G$21,$F$2:$F$21,"&lt;&gt; -1"),0)</f>
        <v>4243.74</v>
      </c>
      <c r="AB24" s="4">
        <f>IFERROR(_xlfn.MAXIFS($I$2:$I$21,$H$2:$H$21,"&lt;&gt; -1"),0)</f>
        <v>4268.93</v>
      </c>
      <c r="AC24" s="4">
        <f>IFERROR(_xlfn.MAXIFS($K$2:$K$21,$J$2:$J$21,"&lt;&gt; -1"),0)</f>
        <v>0</v>
      </c>
      <c r="AD24" s="4">
        <f>IFERROR(_xlfn.MAXIFS($M$2:$M$21,$L$2:$L$21,"&lt;&gt; -1"),0)</f>
        <v>0</v>
      </c>
      <c r="AE24" s="4">
        <f>IFERROR(_xlfn.MINIFS($C$2:$C$21,$B$2:$B$21,"&lt;&gt; -1"),0)</f>
        <v>3578.04</v>
      </c>
      <c r="AF24" s="4">
        <f>IFERROR(_xlfn.MINIFS($E$2:$E$21,$D$2:$D$21,"&lt;&gt; -1"),0)</f>
        <v>3491.12</v>
      </c>
      <c r="AG24" s="4">
        <f>IFERROR(_xlfn.MINIFS($G$2:$G$21,$F$2:$F$21,"&lt;&gt; -1"),0)</f>
        <v>3763.14</v>
      </c>
      <c r="AH24" s="4">
        <f>IFERROR(_xlfn.MINIFS($I$2:$I$21,$H$2:$H$21,"&lt;&gt; -1"),0)</f>
        <v>3796.36</v>
      </c>
      <c r="AI24" s="4">
        <f>IFERROR(_xlfn.MINIFS($K$2:$K$21,$J$2:$J$21,"&lt;&gt; -1"),0)</f>
        <v>0</v>
      </c>
      <c r="AJ24" s="4">
        <f>IFERROR(_xlfn.MINIFS($M$2:$M$21,$L$2:$L$21,"&lt;&gt; -1"),0)</f>
        <v>0</v>
      </c>
      <c r="AK24" s="4">
        <f>(COUNTIFS($B$2:$B$21,"&gt;0.0",$B$2:$B$21,"&lt;100.0"))/20</f>
        <v>1</v>
      </c>
      <c r="AL24" s="4">
        <f>(COUNTIFS($D$2:$D$21,"&gt;0.0",$D$2:$D$21,"&lt;100.0"))/20</f>
        <v>1</v>
      </c>
      <c r="AM24" s="4">
        <f>(COUNTIFS($F$2:$F$21,"&gt;0.0",$F$2:$F$21,"&lt;100.0"))/20</f>
        <v>0.45</v>
      </c>
      <c r="AN24" s="4">
        <f>(COUNTIFS($H$2:$H$21,"&gt;0.0",$H$2:$H$21,"&lt;100.0"))/20</f>
        <v>0.4</v>
      </c>
      <c r="AO24" s="4">
        <f>(COUNTIFS($J$2:$J$21,"&gt;0.0",$J$2:$J$21,"&lt;100.0"))/20</f>
        <v>0</v>
      </c>
      <c r="AP24" s="4">
        <f>(COUNTIFS($L$2:$L$21,"&gt;0.0",$L$2:$L$21,"&lt;100.0"))/20</f>
        <v>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24"/>
  <sheetViews>
    <sheetView workbookViewId="0">
      <selection activeCell="A24" sqref="$A24:$XFD24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64.7</v>
      </c>
      <c r="C2">
        <v>3953.84</v>
      </c>
      <c r="D2">
        <v>64.73</v>
      </c>
      <c r="E2">
        <v>3742.59</v>
      </c>
      <c r="F2">
        <v>-1</v>
      </c>
      <c r="G2">
        <v>0</v>
      </c>
      <c r="H2">
        <v>-1</v>
      </c>
      <c r="I2">
        <v>0</v>
      </c>
      <c r="J2">
        <v>-1</v>
      </c>
      <c r="K2">
        <v>0</v>
      </c>
      <c r="L2">
        <v>-1</v>
      </c>
      <c r="M2">
        <v>0</v>
      </c>
    </row>
    <row r="3" spans="1:13">
      <c r="A3" t="s">
        <v>14</v>
      </c>
      <c r="B3">
        <v>55.64</v>
      </c>
      <c r="C3">
        <v>3845.97</v>
      </c>
      <c r="D3">
        <v>56.11</v>
      </c>
      <c r="E3">
        <v>3764.63</v>
      </c>
      <c r="F3">
        <v>-1</v>
      </c>
      <c r="G3">
        <v>3836.52</v>
      </c>
      <c r="H3">
        <v>-1</v>
      </c>
      <c r="I3">
        <v>1058.63</v>
      </c>
      <c r="J3">
        <v>-1</v>
      </c>
      <c r="K3">
        <v>0</v>
      </c>
      <c r="L3">
        <v>-1</v>
      </c>
      <c r="M3">
        <v>0</v>
      </c>
    </row>
    <row r="4" spans="1:13">
      <c r="A4" t="s">
        <v>15</v>
      </c>
      <c r="B4">
        <v>63.1</v>
      </c>
      <c r="C4">
        <v>4029.76</v>
      </c>
      <c r="D4">
        <v>63.56</v>
      </c>
      <c r="E4">
        <v>3857.78</v>
      </c>
      <c r="F4">
        <v>83.85</v>
      </c>
      <c r="G4">
        <v>4307.87</v>
      </c>
      <c r="H4">
        <v>71.03</v>
      </c>
      <c r="I4">
        <v>4107.97</v>
      </c>
      <c r="J4">
        <v>-1</v>
      </c>
      <c r="K4">
        <v>0</v>
      </c>
      <c r="L4">
        <v>-1</v>
      </c>
      <c r="M4">
        <v>0</v>
      </c>
    </row>
    <row r="5" spans="1:13">
      <c r="A5" t="s">
        <v>16</v>
      </c>
      <c r="B5">
        <v>60.02</v>
      </c>
      <c r="C5">
        <v>3815.06</v>
      </c>
      <c r="D5">
        <v>60.32</v>
      </c>
      <c r="E5">
        <v>3841.41</v>
      </c>
      <c r="F5">
        <v>66.37</v>
      </c>
      <c r="G5">
        <v>3995.07</v>
      </c>
      <c r="H5">
        <v>73.26</v>
      </c>
      <c r="I5">
        <v>4124.26</v>
      </c>
      <c r="J5">
        <v>-1</v>
      </c>
      <c r="K5">
        <v>0</v>
      </c>
      <c r="L5">
        <v>-1</v>
      </c>
      <c r="M5">
        <v>0</v>
      </c>
    </row>
    <row r="6" spans="1:13">
      <c r="A6" t="s">
        <v>17</v>
      </c>
      <c r="B6">
        <v>60.08</v>
      </c>
      <c r="C6">
        <v>3748.07</v>
      </c>
      <c r="D6">
        <v>60.95</v>
      </c>
      <c r="E6">
        <v>3827.69</v>
      </c>
      <c r="F6">
        <v>71.81</v>
      </c>
      <c r="G6">
        <v>4008.72</v>
      </c>
      <c r="H6">
        <v>77.61</v>
      </c>
      <c r="I6">
        <v>4028.55</v>
      </c>
      <c r="J6">
        <v>-1</v>
      </c>
      <c r="K6">
        <v>0</v>
      </c>
      <c r="L6">
        <v>-1</v>
      </c>
      <c r="M6">
        <v>0</v>
      </c>
    </row>
    <row r="7" spans="1:13">
      <c r="A7" t="s">
        <v>18</v>
      </c>
      <c r="B7">
        <v>64.85</v>
      </c>
      <c r="C7">
        <v>4032.94</v>
      </c>
      <c r="D7">
        <v>65.01</v>
      </c>
      <c r="E7">
        <v>3856.28</v>
      </c>
      <c r="F7">
        <v>-1</v>
      </c>
      <c r="G7">
        <v>994.6</v>
      </c>
      <c r="H7">
        <v>-1</v>
      </c>
      <c r="I7">
        <v>888.47</v>
      </c>
      <c r="J7">
        <v>-1</v>
      </c>
      <c r="K7">
        <v>0</v>
      </c>
      <c r="L7">
        <v>-1</v>
      </c>
      <c r="M7">
        <v>0</v>
      </c>
    </row>
    <row r="8" spans="1:13">
      <c r="A8" t="s">
        <v>19</v>
      </c>
      <c r="B8">
        <v>60.61</v>
      </c>
      <c r="C8">
        <v>3932.65</v>
      </c>
      <c r="D8">
        <v>60.93</v>
      </c>
      <c r="E8">
        <v>3855.84</v>
      </c>
      <c r="F8">
        <v>-1</v>
      </c>
      <c r="G8">
        <v>0</v>
      </c>
      <c r="H8">
        <v>-1</v>
      </c>
      <c r="I8">
        <v>0</v>
      </c>
      <c r="J8">
        <v>-1</v>
      </c>
      <c r="K8">
        <v>0</v>
      </c>
      <c r="L8">
        <v>-1</v>
      </c>
      <c r="M8">
        <v>0</v>
      </c>
    </row>
    <row r="9" spans="1:13">
      <c r="A9" t="s">
        <v>20</v>
      </c>
      <c r="B9">
        <v>56.94</v>
      </c>
      <c r="C9">
        <v>3813.91</v>
      </c>
      <c r="D9">
        <v>57.32</v>
      </c>
      <c r="E9">
        <v>3616.86</v>
      </c>
      <c r="F9">
        <v>62.91</v>
      </c>
      <c r="G9">
        <v>4077.48</v>
      </c>
      <c r="H9">
        <v>66.51</v>
      </c>
      <c r="I9">
        <v>3934.09</v>
      </c>
      <c r="J9">
        <v>-1</v>
      </c>
      <c r="K9">
        <v>0</v>
      </c>
      <c r="L9">
        <v>-1</v>
      </c>
      <c r="M9">
        <v>0</v>
      </c>
    </row>
    <row r="10" spans="1:13">
      <c r="A10" t="s">
        <v>21</v>
      </c>
      <c r="B10">
        <v>58.45</v>
      </c>
      <c r="C10">
        <v>3815.87</v>
      </c>
      <c r="D10">
        <v>58.76</v>
      </c>
      <c r="E10">
        <v>3883.59</v>
      </c>
      <c r="F10">
        <v>63.7</v>
      </c>
      <c r="G10">
        <v>4022.04</v>
      </c>
      <c r="H10">
        <v>67.84</v>
      </c>
      <c r="I10">
        <v>4091.78</v>
      </c>
      <c r="J10">
        <v>-1</v>
      </c>
      <c r="K10">
        <v>0</v>
      </c>
      <c r="L10">
        <v>-1</v>
      </c>
      <c r="M10">
        <v>0</v>
      </c>
    </row>
    <row r="11" spans="1:13">
      <c r="A11" t="s">
        <v>22</v>
      </c>
      <c r="B11">
        <v>60.28</v>
      </c>
      <c r="C11">
        <v>3925.78</v>
      </c>
      <c r="D11">
        <v>60.55</v>
      </c>
      <c r="E11">
        <v>3786.74</v>
      </c>
      <c r="F11">
        <v>-1</v>
      </c>
      <c r="G11">
        <v>0</v>
      </c>
      <c r="H11">
        <v>-1</v>
      </c>
      <c r="I11">
        <v>0</v>
      </c>
      <c r="J11">
        <v>-1</v>
      </c>
      <c r="K11">
        <v>0</v>
      </c>
      <c r="L11">
        <v>-1</v>
      </c>
      <c r="M11">
        <v>0</v>
      </c>
    </row>
    <row r="12" spans="1:13">
      <c r="A12" t="s">
        <v>23</v>
      </c>
      <c r="B12">
        <v>58.46</v>
      </c>
      <c r="C12">
        <v>3835.72</v>
      </c>
      <c r="D12">
        <v>59.03</v>
      </c>
      <c r="E12">
        <v>3810.47</v>
      </c>
      <c r="F12">
        <v>-1</v>
      </c>
      <c r="G12">
        <v>1027.97</v>
      </c>
      <c r="H12">
        <v>-1</v>
      </c>
      <c r="I12">
        <v>3961.05</v>
      </c>
      <c r="J12">
        <v>-1</v>
      </c>
      <c r="K12">
        <v>0</v>
      </c>
      <c r="L12">
        <v>-1</v>
      </c>
      <c r="M12">
        <v>0</v>
      </c>
    </row>
    <row r="13" spans="1:13">
      <c r="A13" t="s">
        <v>24</v>
      </c>
      <c r="B13">
        <v>64.68</v>
      </c>
      <c r="C13">
        <v>3918.64</v>
      </c>
      <c r="D13">
        <v>65.18</v>
      </c>
      <c r="E13">
        <v>3918.98</v>
      </c>
      <c r="F13">
        <v>72.65</v>
      </c>
      <c r="G13">
        <v>4105.72</v>
      </c>
      <c r="H13">
        <v>84.34</v>
      </c>
      <c r="I13">
        <v>4112.75</v>
      </c>
      <c r="J13">
        <v>-1</v>
      </c>
      <c r="K13">
        <v>0</v>
      </c>
      <c r="L13">
        <v>-1</v>
      </c>
      <c r="M13">
        <v>0</v>
      </c>
    </row>
    <row r="14" spans="1:13">
      <c r="A14" t="s">
        <v>25</v>
      </c>
      <c r="B14">
        <v>61.04</v>
      </c>
      <c r="C14">
        <v>3564.83</v>
      </c>
      <c r="D14">
        <v>61.55</v>
      </c>
      <c r="E14">
        <v>3710.08</v>
      </c>
      <c r="F14">
        <v>68.47</v>
      </c>
      <c r="G14">
        <v>3809.04</v>
      </c>
      <c r="H14">
        <v>-1</v>
      </c>
      <c r="I14">
        <v>0</v>
      </c>
      <c r="J14">
        <v>-1</v>
      </c>
      <c r="K14">
        <v>0</v>
      </c>
      <c r="L14">
        <v>-1</v>
      </c>
      <c r="M14">
        <v>0</v>
      </c>
    </row>
    <row r="15" spans="1:13">
      <c r="A15" t="s">
        <v>26</v>
      </c>
      <c r="B15">
        <v>63.46</v>
      </c>
      <c r="C15">
        <v>4019.74</v>
      </c>
      <c r="D15">
        <v>63.61</v>
      </c>
      <c r="E15">
        <v>3919.66</v>
      </c>
      <c r="F15">
        <v>-1</v>
      </c>
      <c r="G15">
        <v>0</v>
      </c>
      <c r="H15">
        <v>-1</v>
      </c>
      <c r="I15">
        <v>0</v>
      </c>
      <c r="J15">
        <v>-1</v>
      </c>
      <c r="K15">
        <v>0</v>
      </c>
      <c r="L15">
        <v>-1</v>
      </c>
      <c r="M15">
        <v>0</v>
      </c>
    </row>
    <row r="16" spans="1:13">
      <c r="A16" t="s">
        <v>27</v>
      </c>
      <c r="B16">
        <v>57.52</v>
      </c>
      <c r="C16">
        <v>3787.95</v>
      </c>
      <c r="D16">
        <v>57.86</v>
      </c>
      <c r="E16">
        <v>3805.63</v>
      </c>
      <c r="F16">
        <v>66.27</v>
      </c>
      <c r="G16">
        <v>4000.1</v>
      </c>
      <c r="H16">
        <v>71.93</v>
      </c>
      <c r="I16">
        <v>4011.87</v>
      </c>
      <c r="J16">
        <v>-1</v>
      </c>
      <c r="K16">
        <v>0</v>
      </c>
      <c r="L16">
        <v>-1</v>
      </c>
      <c r="M16">
        <v>0</v>
      </c>
    </row>
    <row r="17" spans="1:13">
      <c r="A17" t="s">
        <v>28</v>
      </c>
      <c r="B17">
        <v>58.59</v>
      </c>
      <c r="C17">
        <v>3729.34</v>
      </c>
      <c r="D17">
        <v>58.77</v>
      </c>
      <c r="E17">
        <v>3709.73</v>
      </c>
      <c r="F17">
        <v>-1</v>
      </c>
      <c r="G17">
        <v>0</v>
      </c>
      <c r="H17">
        <v>88.22</v>
      </c>
      <c r="I17">
        <v>3994.07</v>
      </c>
      <c r="J17">
        <v>-1</v>
      </c>
      <c r="K17">
        <v>0</v>
      </c>
      <c r="L17">
        <v>-1</v>
      </c>
      <c r="M17">
        <v>0</v>
      </c>
    </row>
    <row r="18" spans="1:13">
      <c r="A18" t="s">
        <v>29</v>
      </c>
      <c r="B18">
        <v>59.43</v>
      </c>
      <c r="C18">
        <v>3756.17</v>
      </c>
      <c r="D18">
        <v>60.08</v>
      </c>
      <c r="E18">
        <v>3759.53</v>
      </c>
      <c r="F18">
        <v>-1</v>
      </c>
      <c r="G18">
        <v>0</v>
      </c>
      <c r="H18">
        <v>69.53</v>
      </c>
      <c r="I18">
        <v>3998.31</v>
      </c>
      <c r="J18">
        <v>-1</v>
      </c>
      <c r="K18">
        <v>0</v>
      </c>
      <c r="L18">
        <v>-1</v>
      </c>
      <c r="M18">
        <v>0</v>
      </c>
    </row>
    <row r="19" spans="1:13">
      <c r="A19" t="s">
        <v>30</v>
      </c>
      <c r="B19">
        <v>61.02</v>
      </c>
      <c r="C19">
        <v>4056.06</v>
      </c>
      <c r="D19">
        <v>61.52</v>
      </c>
      <c r="E19">
        <v>3995.42</v>
      </c>
      <c r="F19">
        <v>-1</v>
      </c>
      <c r="G19">
        <v>0</v>
      </c>
      <c r="H19">
        <v>-1</v>
      </c>
      <c r="I19">
        <v>0</v>
      </c>
      <c r="J19">
        <v>-1</v>
      </c>
      <c r="K19">
        <v>0</v>
      </c>
      <c r="L19">
        <v>-1</v>
      </c>
      <c r="M19">
        <v>0</v>
      </c>
    </row>
    <row r="20" spans="1:13">
      <c r="A20" t="s">
        <v>31</v>
      </c>
      <c r="B20">
        <v>57.99</v>
      </c>
      <c r="C20">
        <v>3732.49</v>
      </c>
      <c r="D20">
        <v>58.49</v>
      </c>
      <c r="E20">
        <v>3688.22</v>
      </c>
      <c r="F20">
        <v>-1</v>
      </c>
      <c r="G20">
        <v>1111.87</v>
      </c>
      <c r="H20">
        <v>-1</v>
      </c>
      <c r="I20">
        <v>1123.07</v>
      </c>
      <c r="J20">
        <v>-1</v>
      </c>
      <c r="K20">
        <v>0</v>
      </c>
      <c r="L20">
        <v>-1</v>
      </c>
      <c r="M20">
        <v>0</v>
      </c>
    </row>
    <row r="21" spans="1:13">
      <c r="A21" t="s">
        <v>32</v>
      </c>
      <c r="B21">
        <v>53.36</v>
      </c>
      <c r="C21">
        <v>3732.75</v>
      </c>
      <c r="D21">
        <v>53.99</v>
      </c>
      <c r="E21">
        <v>3656.07</v>
      </c>
      <c r="F21">
        <v>70.77</v>
      </c>
      <c r="G21">
        <v>3919.16</v>
      </c>
      <c r="H21">
        <v>-1</v>
      </c>
      <c r="I21">
        <v>3439.11</v>
      </c>
      <c r="J21">
        <v>-1</v>
      </c>
      <c r="K21">
        <v>0</v>
      </c>
      <c r="L21">
        <v>-1</v>
      </c>
      <c r="M21">
        <v>0</v>
      </c>
    </row>
    <row r="23" spans="1:42">
      <c r="A23" s="2" t="s">
        <v>33</v>
      </c>
      <c r="B23" s="2" t="s">
        <v>34</v>
      </c>
      <c r="C23" s="2" t="s">
        <v>35</v>
      </c>
      <c r="D23" s="3" t="s">
        <v>36</v>
      </c>
      <c r="E23" s="2" t="s">
        <v>37</v>
      </c>
      <c r="F23" s="2" t="s">
        <v>38</v>
      </c>
      <c r="G23" s="2" t="s">
        <v>39</v>
      </c>
      <c r="H23" s="2" t="s">
        <v>40</v>
      </c>
      <c r="I23" s="2" t="s">
        <v>41</v>
      </c>
      <c r="J23" s="3" t="s">
        <v>42</v>
      </c>
      <c r="K23" s="2" t="s">
        <v>43</v>
      </c>
      <c r="L23" s="2" t="s">
        <v>44</v>
      </c>
      <c r="M23" s="2" t="s">
        <v>45</v>
      </c>
      <c r="N23" s="2" t="s">
        <v>46</v>
      </c>
      <c r="O23" s="2" t="s">
        <v>47</v>
      </c>
      <c r="P23" s="3" t="s">
        <v>48</v>
      </c>
      <c r="Q23" s="2" t="s">
        <v>49</v>
      </c>
      <c r="R23" s="2" t="s">
        <v>50</v>
      </c>
      <c r="S23" s="2" t="s">
        <v>51</v>
      </c>
      <c r="T23" s="2" t="s">
        <v>52</v>
      </c>
      <c r="U23" s="2" t="s">
        <v>53</v>
      </c>
      <c r="V23" s="3" t="s">
        <v>54</v>
      </c>
      <c r="W23" s="2" t="s">
        <v>55</v>
      </c>
      <c r="X23" s="2" t="s">
        <v>56</v>
      </c>
      <c r="Y23" s="2" t="s">
        <v>57</v>
      </c>
      <c r="Z23" s="2" t="s">
        <v>58</v>
      </c>
      <c r="AA23" s="2" t="s">
        <v>59</v>
      </c>
      <c r="AB23" s="3" t="s">
        <v>60</v>
      </c>
      <c r="AC23" s="2" t="s">
        <v>61</v>
      </c>
      <c r="AD23" s="2" t="s">
        <v>62</v>
      </c>
      <c r="AE23" s="2" t="s">
        <v>63</v>
      </c>
      <c r="AF23" s="2" t="s">
        <v>64</v>
      </c>
      <c r="AG23" s="2" t="s">
        <v>65</v>
      </c>
      <c r="AH23" s="3" t="s">
        <v>66</v>
      </c>
      <c r="AI23" s="2" t="s">
        <v>67</v>
      </c>
      <c r="AJ23" s="2" t="s">
        <v>68</v>
      </c>
      <c r="AK23" s="2" t="s">
        <v>69</v>
      </c>
      <c r="AL23" s="2" t="s">
        <v>70</v>
      </c>
      <c r="AM23" s="2" t="s">
        <v>71</v>
      </c>
      <c r="AN23" s="3" t="s">
        <v>72</v>
      </c>
      <c r="AO23" s="2" t="s">
        <v>73</v>
      </c>
      <c r="AP23" s="2" t="s">
        <v>74</v>
      </c>
    </row>
    <row r="24" spans="1:42">
      <c r="A24" s="4">
        <f>IFERROR(AVERAGEIF($B$2:$B$21,"&lt;&gt; -1"),0)</f>
        <v>60.011</v>
      </c>
      <c r="B24" s="4">
        <f>IFERROR(AVERAGEIF($D$2:$D$21,"&lt;&gt; -1"),0)</f>
        <v>60.416</v>
      </c>
      <c r="C24" s="4">
        <f>IFERROR(AVERAGEIF($F$2:$F$21,"&lt;&gt; -1"),0)</f>
        <v>69.6444444444444</v>
      </c>
      <c r="D24" s="4">
        <f>IFERROR(AVERAGEIF($H$2:$H$21,"&lt;&gt; -1"),0)</f>
        <v>74.4744444444444</v>
      </c>
      <c r="E24" s="4">
        <f>IFERROR(AVERAGEIF($J$2:$J$21,"&lt;&gt; -1"),0)</f>
        <v>0</v>
      </c>
      <c r="F24" s="4">
        <f>IFERROR(AVERAGEIF($L$2:$L$21,"&lt;&gt; -1"),0)</f>
        <v>0</v>
      </c>
      <c r="G24" s="4">
        <f>IFERROR(AVERAGEIFS($C$2:$C$21,$B$2:$B$21,"&lt;&gt; -1"),0)</f>
        <v>3852.377</v>
      </c>
      <c r="H24" s="4">
        <f>IFERROR(AVERAGEIFS($E$2:$E$21,$D$2:$D$21,"&lt;&gt; -1"),0)</f>
        <v>3800.36</v>
      </c>
      <c r="I24" s="4">
        <f>IFERROR(AVERAGEIFS($G$2:$G$21,$F$2:$F$21,"&lt;&gt; -1"),0)</f>
        <v>4027.24444444444</v>
      </c>
      <c r="J24" s="4">
        <f>IFERROR(AVERAGEIFS($I$2:$I$21,$H$2:$H$21,"&lt;&gt; -1"),0)</f>
        <v>4044.85</v>
      </c>
      <c r="K24" s="4">
        <f>IFERROR(AVERAGEIFS($K$2:$K$21,$J$2:$J$21,"&lt;&gt; -1"),0)</f>
        <v>0</v>
      </c>
      <c r="L24" s="4">
        <f>IFERROR(AVERAGEIFS($M$2:$M$21,$L$2:$L$21,"&lt;&gt; -1"),0)</f>
        <v>0</v>
      </c>
      <c r="M24" s="4">
        <f>IFERROR(_xlfn.MAXIFS($B$2:$B$21,$B$2:$B$21,"&lt;&gt; -1"),0)</f>
        <v>64.85</v>
      </c>
      <c r="N24" s="4">
        <f>IFERROR(_xlfn.MAXIFS($D$2:$D$21,$D$2:$D$21,"&lt;&gt;-1"),0)</f>
        <v>65.18</v>
      </c>
      <c r="O24" s="4">
        <f>IFERROR(_xlfn.MAXIFS($F$2:$F$21,$F$2:$F$21,"&lt;&gt; -1"),0)</f>
        <v>83.85</v>
      </c>
      <c r="P24" s="4">
        <f>IFERROR(_xlfn.MAXIFS($H$2:$H$21,$H$2:$H$21,"&lt;&gt; -1"),0)</f>
        <v>88.22</v>
      </c>
      <c r="Q24" s="4">
        <f>IFERROR(_xlfn.MAXIFS($J$2:$J$21,$J$2:$J$21,"&lt;&gt; -1"),0)</f>
        <v>0</v>
      </c>
      <c r="R24" s="4">
        <f>IFERROR(_xlfn.MAXIFS($L$2:$L$21,$L$2:$L$21,"&lt;&gt; -1"),0)</f>
        <v>0</v>
      </c>
      <c r="S24" s="4">
        <f>IFERROR(_xlfn.MINIFS($B$2:$B$21,$B$2:$B$21,"&lt;&gt; -1"),0)</f>
        <v>53.36</v>
      </c>
      <c r="T24" s="4">
        <f>IFERROR(_xlfn.MINIFS($D$2:$D$21,$D$2:$D$21,"&lt;&gt;-1"),0)</f>
        <v>53.99</v>
      </c>
      <c r="U24" s="4">
        <f>IFERROR(_xlfn.MINIFS($F$2:$F$21,$F$2:$F$21,"&lt;&gt; -1"),0)</f>
        <v>62.91</v>
      </c>
      <c r="V24" s="4">
        <f>IFERROR(_xlfn.MINIFS($H$2:$H$21,$H$2:$H$21,"&lt;&gt; -1"),0)</f>
        <v>66.51</v>
      </c>
      <c r="W24" s="4">
        <f>IFERROR(_xlfn.MINIFS($J$2:$J$21,$J$2:$J$21,"&lt;&gt; -1"),0)</f>
        <v>0</v>
      </c>
      <c r="X24" s="4">
        <f>IFERROR(_xlfn.MINIFS($L$2:$L$21,$L$2:$L$21,"&lt;&gt; -1"),0)</f>
        <v>0</v>
      </c>
      <c r="Y24" s="4">
        <f>IFERROR(_xlfn.MAXIFS($C$2:$C$21,$B$2:$B$21,"&lt;&gt; -1"),0)</f>
        <v>4056.06</v>
      </c>
      <c r="Z24" s="4">
        <f>IFERROR(_xlfn.MAXIFS($E$2:$E$21,$D$2:$D$21,"&lt;&gt; -1"),0)</f>
        <v>3995.42</v>
      </c>
      <c r="AA24" s="4">
        <f>IFERROR(_xlfn.MAXIFS($G$2:$G$21,$F$2:$F$21,"&lt;&gt; -1"),0)</f>
        <v>4307.87</v>
      </c>
      <c r="AB24" s="4">
        <f>IFERROR(_xlfn.MAXIFS($I$2:$I$21,$H$2:$H$21,"&lt;&gt; -1"),0)</f>
        <v>4124.26</v>
      </c>
      <c r="AC24" s="4">
        <f>IFERROR(_xlfn.MAXIFS($K$2:$K$21,$J$2:$J$21,"&lt;&gt; -1"),0)</f>
        <v>0</v>
      </c>
      <c r="AD24" s="4">
        <f>IFERROR(_xlfn.MAXIFS($M$2:$M$21,$L$2:$L$21,"&lt;&gt; -1"),0)</f>
        <v>0</v>
      </c>
      <c r="AE24" s="4">
        <f>IFERROR(_xlfn.MINIFS($C$2:$C$21,$B$2:$B$21,"&lt;&gt; -1"),0)</f>
        <v>3564.83</v>
      </c>
      <c r="AF24" s="4">
        <f>IFERROR(_xlfn.MINIFS($E$2:$E$21,$D$2:$D$21,"&lt;&gt; -1"),0)</f>
        <v>3616.86</v>
      </c>
      <c r="AG24" s="4">
        <f>IFERROR(_xlfn.MINIFS($G$2:$G$21,$F$2:$F$21,"&lt;&gt; -1"),0)</f>
        <v>3809.04</v>
      </c>
      <c r="AH24" s="4">
        <f>IFERROR(_xlfn.MINIFS($I$2:$I$21,$H$2:$H$21,"&lt;&gt; -1"),0)</f>
        <v>3934.09</v>
      </c>
      <c r="AI24" s="4">
        <f>IFERROR(_xlfn.MINIFS($K$2:$K$21,$J$2:$J$21,"&lt;&gt; -1"),0)</f>
        <v>0</v>
      </c>
      <c r="AJ24" s="4">
        <f>IFERROR(_xlfn.MINIFS($M$2:$M$21,$L$2:$L$21,"&lt;&gt; -1"),0)</f>
        <v>0</v>
      </c>
      <c r="AK24" s="4">
        <f>(COUNTIFS($B$2:$B$21,"&gt;0.0",$B$2:$B$21,"&lt;100.0"))/20</f>
        <v>1</v>
      </c>
      <c r="AL24" s="4">
        <f>(COUNTIFS($D$2:$D$21,"&gt;0.0",$D$2:$D$21,"&lt;100.0"))/20</f>
        <v>1</v>
      </c>
      <c r="AM24" s="4">
        <f>(COUNTIFS($F$2:$F$21,"&gt;0.0",$F$2:$F$21,"&lt;100.0"))/20</f>
        <v>0.45</v>
      </c>
      <c r="AN24" s="4">
        <f>(COUNTIFS($H$2:$H$21,"&gt;0.0",$H$2:$H$21,"&lt;100.0"))/20</f>
        <v>0.45</v>
      </c>
      <c r="AO24" s="4">
        <f>(COUNTIFS($J$2:$J$21,"&gt;0.0",$J$2:$J$21,"&lt;100.0"))/20</f>
        <v>0</v>
      </c>
      <c r="AP24" s="4">
        <f>(COUNTIFS($L$2:$L$21,"&gt;0.0",$L$2:$L$21,"&lt;100.0"))/20</f>
        <v>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24"/>
  <sheetViews>
    <sheetView workbookViewId="0">
      <selection activeCell="A24" sqref="$A24:$XFD24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65.15</v>
      </c>
      <c r="C2">
        <v>3915.42</v>
      </c>
      <c r="D2">
        <v>65.52</v>
      </c>
      <c r="E2">
        <v>3725.37</v>
      </c>
      <c r="F2">
        <v>-1</v>
      </c>
      <c r="G2">
        <v>1213.04</v>
      </c>
      <c r="H2">
        <v>87.28</v>
      </c>
      <c r="I2">
        <v>3983.07</v>
      </c>
      <c r="J2">
        <v>-1</v>
      </c>
      <c r="K2">
        <v>0</v>
      </c>
      <c r="L2">
        <v>-1</v>
      </c>
      <c r="M2">
        <v>0</v>
      </c>
    </row>
    <row r="3" spans="1:13">
      <c r="A3" t="s">
        <v>14</v>
      </c>
      <c r="B3">
        <v>62.68</v>
      </c>
      <c r="C3">
        <v>3665.53</v>
      </c>
      <c r="D3">
        <v>63.07</v>
      </c>
      <c r="E3">
        <v>3747.37</v>
      </c>
      <c r="F3">
        <v>69.54</v>
      </c>
      <c r="G3">
        <v>3896.4</v>
      </c>
      <c r="H3">
        <v>75.6</v>
      </c>
      <c r="I3">
        <v>4015.02</v>
      </c>
      <c r="J3">
        <v>-1</v>
      </c>
      <c r="K3">
        <v>554.29</v>
      </c>
      <c r="L3">
        <v>-1</v>
      </c>
      <c r="M3">
        <v>0</v>
      </c>
    </row>
    <row r="4" spans="1:13">
      <c r="A4" t="s">
        <v>15</v>
      </c>
      <c r="B4">
        <v>68.27</v>
      </c>
      <c r="C4">
        <v>4052.46</v>
      </c>
      <c r="D4">
        <v>68.75</v>
      </c>
      <c r="E4">
        <v>3884.02</v>
      </c>
      <c r="F4">
        <v>76</v>
      </c>
      <c r="G4">
        <v>4216.37</v>
      </c>
      <c r="H4">
        <v>-1</v>
      </c>
      <c r="I4">
        <v>0</v>
      </c>
      <c r="J4">
        <v>-1</v>
      </c>
      <c r="K4">
        <v>646.6</v>
      </c>
      <c r="L4">
        <v>-1</v>
      </c>
      <c r="M4">
        <v>0</v>
      </c>
    </row>
    <row r="5" spans="1:13">
      <c r="A5" t="s">
        <v>16</v>
      </c>
      <c r="B5">
        <v>71.49</v>
      </c>
      <c r="C5">
        <v>3873.73</v>
      </c>
      <c r="D5">
        <v>71.96</v>
      </c>
      <c r="E5">
        <v>3707.6</v>
      </c>
      <c r="F5">
        <v>-1</v>
      </c>
      <c r="G5">
        <v>0</v>
      </c>
      <c r="H5">
        <v>-1</v>
      </c>
      <c r="I5">
        <v>1123.7</v>
      </c>
      <c r="J5">
        <v>-1</v>
      </c>
      <c r="K5">
        <v>0</v>
      </c>
      <c r="L5">
        <v>-1</v>
      </c>
      <c r="M5">
        <v>0</v>
      </c>
    </row>
    <row r="6" spans="1:13">
      <c r="A6" t="s">
        <v>17</v>
      </c>
      <c r="B6">
        <v>65.55</v>
      </c>
      <c r="C6">
        <v>3685.31</v>
      </c>
      <c r="D6">
        <v>66.11</v>
      </c>
      <c r="E6">
        <v>3831.87</v>
      </c>
      <c r="F6">
        <v>71.09</v>
      </c>
      <c r="G6">
        <v>3888.94</v>
      </c>
      <c r="H6">
        <v>73.95</v>
      </c>
      <c r="I6">
        <v>3998.01</v>
      </c>
      <c r="J6">
        <v>-1</v>
      </c>
      <c r="K6">
        <v>0</v>
      </c>
      <c r="L6">
        <v>-1</v>
      </c>
      <c r="M6">
        <v>0</v>
      </c>
    </row>
    <row r="7" spans="1:13">
      <c r="A7" t="s">
        <v>18</v>
      </c>
      <c r="B7">
        <v>65.79</v>
      </c>
      <c r="C7">
        <v>3945.18</v>
      </c>
      <c r="D7">
        <v>66.44</v>
      </c>
      <c r="E7">
        <v>3820.84</v>
      </c>
      <c r="F7">
        <v>78.4</v>
      </c>
      <c r="G7">
        <v>4229.05</v>
      </c>
      <c r="H7">
        <v>75.5</v>
      </c>
      <c r="I7">
        <v>4094.31</v>
      </c>
      <c r="J7">
        <v>-1</v>
      </c>
      <c r="K7">
        <v>0</v>
      </c>
      <c r="L7">
        <v>-1</v>
      </c>
      <c r="M7">
        <v>0</v>
      </c>
    </row>
    <row r="8" spans="1:13">
      <c r="A8" t="s">
        <v>19</v>
      </c>
      <c r="B8">
        <v>64.08</v>
      </c>
      <c r="C8">
        <v>3985.38</v>
      </c>
      <c r="D8">
        <v>64.47</v>
      </c>
      <c r="E8">
        <v>3746.56</v>
      </c>
      <c r="F8">
        <v>-1</v>
      </c>
      <c r="G8">
        <v>1123.87</v>
      </c>
      <c r="H8">
        <v>-1</v>
      </c>
      <c r="I8">
        <v>1123.01</v>
      </c>
      <c r="J8">
        <v>-1</v>
      </c>
      <c r="K8">
        <v>0</v>
      </c>
      <c r="L8">
        <v>-1</v>
      </c>
      <c r="M8">
        <v>0</v>
      </c>
    </row>
    <row r="9" spans="1:13">
      <c r="A9" t="s">
        <v>20</v>
      </c>
      <c r="B9">
        <v>59.33</v>
      </c>
      <c r="C9">
        <v>3827.02</v>
      </c>
      <c r="D9">
        <v>60.02</v>
      </c>
      <c r="E9">
        <v>3763.73</v>
      </c>
      <c r="F9">
        <v>-1</v>
      </c>
      <c r="G9">
        <v>1173.59</v>
      </c>
      <c r="H9">
        <v>-1</v>
      </c>
      <c r="I9">
        <v>0</v>
      </c>
      <c r="J9">
        <v>-1</v>
      </c>
      <c r="K9">
        <v>0</v>
      </c>
      <c r="L9">
        <v>-1</v>
      </c>
      <c r="M9">
        <v>0</v>
      </c>
    </row>
    <row r="10" spans="1:13">
      <c r="A10" t="s">
        <v>21</v>
      </c>
      <c r="B10">
        <v>61.79</v>
      </c>
      <c r="C10">
        <v>3769.92</v>
      </c>
      <c r="D10">
        <v>62.26</v>
      </c>
      <c r="E10">
        <v>3760.41</v>
      </c>
      <c r="F10">
        <v>-1</v>
      </c>
      <c r="G10">
        <v>0</v>
      </c>
      <c r="H10">
        <v>-1</v>
      </c>
      <c r="I10">
        <v>951.24</v>
      </c>
      <c r="J10">
        <v>-1</v>
      </c>
      <c r="K10">
        <v>0</v>
      </c>
      <c r="L10">
        <v>-1</v>
      </c>
      <c r="M10">
        <v>0</v>
      </c>
    </row>
    <row r="11" spans="1:13">
      <c r="A11" t="s">
        <v>22</v>
      </c>
      <c r="B11">
        <v>63.43</v>
      </c>
      <c r="C11">
        <v>3822.39</v>
      </c>
      <c r="D11">
        <v>63.84</v>
      </c>
      <c r="E11">
        <v>3731.07</v>
      </c>
      <c r="F11">
        <v>67.54</v>
      </c>
      <c r="G11">
        <v>4020.16</v>
      </c>
      <c r="H11">
        <v>71.54</v>
      </c>
      <c r="I11">
        <v>3957.23</v>
      </c>
      <c r="J11">
        <v>-1</v>
      </c>
      <c r="K11">
        <v>570.97</v>
      </c>
      <c r="L11">
        <v>-1</v>
      </c>
      <c r="M11">
        <v>0</v>
      </c>
    </row>
    <row r="12" spans="1:13">
      <c r="A12" t="s">
        <v>23</v>
      </c>
      <c r="B12">
        <v>66.12</v>
      </c>
      <c r="C12">
        <v>3703.35</v>
      </c>
      <c r="D12">
        <v>66.51</v>
      </c>
      <c r="E12">
        <v>3607.31</v>
      </c>
      <c r="F12">
        <v>-1</v>
      </c>
      <c r="G12">
        <v>0</v>
      </c>
      <c r="H12">
        <v>-1</v>
      </c>
      <c r="I12">
        <v>934.68</v>
      </c>
      <c r="J12">
        <v>-1</v>
      </c>
      <c r="K12">
        <v>0</v>
      </c>
      <c r="L12">
        <v>-1</v>
      </c>
      <c r="M12">
        <v>0</v>
      </c>
    </row>
    <row r="13" spans="1:13">
      <c r="A13" t="s">
        <v>24</v>
      </c>
      <c r="B13">
        <v>62.39</v>
      </c>
      <c r="C13">
        <v>3735.5</v>
      </c>
      <c r="D13">
        <v>62.93</v>
      </c>
      <c r="E13">
        <v>3612.36</v>
      </c>
      <c r="F13">
        <v>-1</v>
      </c>
      <c r="G13">
        <v>0</v>
      </c>
      <c r="H13">
        <v>71.68</v>
      </c>
      <c r="I13">
        <v>3811.12</v>
      </c>
      <c r="J13">
        <v>-1</v>
      </c>
      <c r="K13">
        <v>0</v>
      </c>
      <c r="L13">
        <v>-1</v>
      </c>
      <c r="M13">
        <v>0</v>
      </c>
    </row>
    <row r="14" spans="1:13">
      <c r="A14" t="s">
        <v>25</v>
      </c>
      <c r="B14">
        <v>61.68</v>
      </c>
      <c r="C14">
        <v>3774.34</v>
      </c>
      <c r="D14">
        <v>62.03</v>
      </c>
      <c r="E14">
        <v>3816.78</v>
      </c>
      <c r="F14">
        <v>-1</v>
      </c>
      <c r="G14">
        <v>0</v>
      </c>
      <c r="H14">
        <v>-1</v>
      </c>
      <c r="I14">
        <v>0</v>
      </c>
      <c r="J14">
        <v>-1</v>
      </c>
      <c r="K14">
        <v>0</v>
      </c>
      <c r="L14">
        <v>-1</v>
      </c>
      <c r="M14">
        <v>0</v>
      </c>
    </row>
    <row r="15" spans="1:13">
      <c r="A15" t="s">
        <v>26</v>
      </c>
      <c r="B15">
        <v>64.98</v>
      </c>
      <c r="C15">
        <v>3984.17</v>
      </c>
      <c r="D15">
        <v>65.42</v>
      </c>
      <c r="E15">
        <v>3933.36</v>
      </c>
      <c r="F15">
        <v>74.83</v>
      </c>
      <c r="G15">
        <v>4197.63</v>
      </c>
      <c r="H15">
        <v>91.65</v>
      </c>
      <c r="I15">
        <v>4199.58</v>
      </c>
      <c r="J15">
        <v>-1</v>
      </c>
      <c r="K15">
        <v>0</v>
      </c>
      <c r="L15">
        <v>-1</v>
      </c>
      <c r="M15">
        <v>0</v>
      </c>
    </row>
    <row r="16" spans="1:13">
      <c r="A16" t="s">
        <v>27</v>
      </c>
      <c r="B16">
        <v>64.51</v>
      </c>
      <c r="C16">
        <v>3739.69</v>
      </c>
      <c r="D16">
        <v>64.96</v>
      </c>
      <c r="E16">
        <v>3806.63</v>
      </c>
      <c r="F16">
        <v>-1</v>
      </c>
      <c r="G16">
        <v>1164.95</v>
      </c>
      <c r="H16">
        <v>-1</v>
      </c>
      <c r="I16">
        <v>0</v>
      </c>
      <c r="J16">
        <v>-1</v>
      </c>
      <c r="K16">
        <v>0</v>
      </c>
      <c r="L16">
        <v>-1</v>
      </c>
      <c r="M16">
        <v>0</v>
      </c>
    </row>
    <row r="17" spans="1:13">
      <c r="A17" t="s">
        <v>28</v>
      </c>
      <c r="B17">
        <v>62.04</v>
      </c>
      <c r="C17">
        <v>3712.92</v>
      </c>
      <c r="D17">
        <v>62.67</v>
      </c>
      <c r="E17">
        <v>3622.4</v>
      </c>
      <c r="F17">
        <v>-1</v>
      </c>
      <c r="G17">
        <v>1005.63</v>
      </c>
      <c r="H17">
        <v>-1</v>
      </c>
      <c r="I17">
        <v>904.17</v>
      </c>
      <c r="J17">
        <v>-1</v>
      </c>
      <c r="K17">
        <v>0</v>
      </c>
      <c r="L17">
        <v>-1</v>
      </c>
      <c r="M17">
        <v>0</v>
      </c>
    </row>
    <row r="18" spans="1:13">
      <c r="A18" t="s">
        <v>29</v>
      </c>
      <c r="B18">
        <v>65.73</v>
      </c>
      <c r="C18">
        <v>3742.99</v>
      </c>
      <c r="D18">
        <v>66.02</v>
      </c>
      <c r="E18">
        <v>3713.24</v>
      </c>
      <c r="F18">
        <v>74.18</v>
      </c>
      <c r="G18">
        <v>3940.06</v>
      </c>
      <c r="H18">
        <v>79.12</v>
      </c>
      <c r="I18">
        <v>3955.62</v>
      </c>
      <c r="J18">
        <v>-1</v>
      </c>
      <c r="K18">
        <v>0</v>
      </c>
      <c r="L18">
        <v>-1</v>
      </c>
      <c r="M18">
        <v>0</v>
      </c>
    </row>
    <row r="19" spans="1:13">
      <c r="A19" t="s">
        <v>30</v>
      </c>
      <c r="B19">
        <v>62.59</v>
      </c>
      <c r="C19">
        <v>3936.19</v>
      </c>
      <c r="D19">
        <v>63.06</v>
      </c>
      <c r="E19">
        <v>3842.49</v>
      </c>
      <c r="F19">
        <v>72.51</v>
      </c>
      <c r="G19">
        <v>4272.91</v>
      </c>
      <c r="H19">
        <v>72.53</v>
      </c>
      <c r="I19">
        <v>4177.49</v>
      </c>
      <c r="J19">
        <v>-1</v>
      </c>
      <c r="K19">
        <v>0</v>
      </c>
      <c r="L19">
        <v>-1</v>
      </c>
      <c r="M19">
        <v>0</v>
      </c>
    </row>
    <row r="20" spans="1:13">
      <c r="A20" t="s">
        <v>31</v>
      </c>
      <c r="B20">
        <v>61.54</v>
      </c>
      <c r="C20">
        <v>3701.22</v>
      </c>
      <c r="D20">
        <v>62.23</v>
      </c>
      <c r="E20">
        <v>3692.6</v>
      </c>
      <c r="F20">
        <v>71.95</v>
      </c>
      <c r="G20">
        <v>3943.1</v>
      </c>
      <c r="H20">
        <v>72.12</v>
      </c>
      <c r="I20">
        <v>3982.2</v>
      </c>
      <c r="J20">
        <v>-1</v>
      </c>
      <c r="K20">
        <v>0</v>
      </c>
      <c r="L20">
        <v>-1</v>
      </c>
      <c r="M20">
        <v>0</v>
      </c>
    </row>
    <row r="21" spans="1:13">
      <c r="A21" t="s">
        <v>32</v>
      </c>
      <c r="B21">
        <v>63.93</v>
      </c>
      <c r="C21">
        <v>3866.47</v>
      </c>
      <c r="D21">
        <v>64.32</v>
      </c>
      <c r="E21">
        <v>3588.2</v>
      </c>
      <c r="F21">
        <v>-1</v>
      </c>
      <c r="G21">
        <v>1144.81</v>
      </c>
      <c r="H21">
        <v>-1</v>
      </c>
      <c r="I21">
        <v>989.22</v>
      </c>
      <c r="J21">
        <v>-1</v>
      </c>
      <c r="K21">
        <v>0</v>
      </c>
      <c r="L21">
        <v>-1</v>
      </c>
      <c r="M21">
        <v>0</v>
      </c>
    </row>
    <row r="23" spans="1:42">
      <c r="A23" s="2" t="s">
        <v>33</v>
      </c>
      <c r="B23" s="2" t="s">
        <v>34</v>
      </c>
      <c r="C23" s="2" t="s">
        <v>35</v>
      </c>
      <c r="D23" s="3" t="s">
        <v>36</v>
      </c>
      <c r="E23" s="2" t="s">
        <v>37</v>
      </c>
      <c r="F23" s="2" t="s">
        <v>38</v>
      </c>
      <c r="G23" s="2" t="s">
        <v>39</v>
      </c>
      <c r="H23" s="2" t="s">
        <v>40</v>
      </c>
      <c r="I23" s="2" t="s">
        <v>41</v>
      </c>
      <c r="J23" s="3" t="s">
        <v>42</v>
      </c>
      <c r="K23" s="2" t="s">
        <v>43</v>
      </c>
      <c r="L23" s="2" t="s">
        <v>44</v>
      </c>
      <c r="M23" s="2" t="s">
        <v>45</v>
      </c>
      <c r="N23" s="2" t="s">
        <v>46</v>
      </c>
      <c r="O23" s="2" t="s">
        <v>47</v>
      </c>
      <c r="P23" s="3" t="s">
        <v>48</v>
      </c>
      <c r="Q23" s="2" t="s">
        <v>49</v>
      </c>
      <c r="R23" s="2" t="s">
        <v>50</v>
      </c>
      <c r="S23" s="2" t="s">
        <v>51</v>
      </c>
      <c r="T23" s="2" t="s">
        <v>52</v>
      </c>
      <c r="U23" s="2" t="s">
        <v>53</v>
      </c>
      <c r="V23" s="3" t="s">
        <v>54</v>
      </c>
      <c r="W23" s="2" t="s">
        <v>55</v>
      </c>
      <c r="X23" s="2" t="s">
        <v>56</v>
      </c>
      <c r="Y23" s="2" t="s">
        <v>57</v>
      </c>
      <c r="Z23" s="2" t="s">
        <v>58</v>
      </c>
      <c r="AA23" s="2" t="s">
        <v>59</v>
      </c>
      <c r="AB23" s="3" t="s">
        <v>60</v>
      </c>
      <c r="AC23" s="2" t="s">
        <v>61</v>
      </c>
      <c r="AD23" s="2" t="s">
        <v>62</v>
      </c>
      <c r="AE23" s="2" t="s">
        <v>63</v>
      </c>
      <c r="AF23" s="2" t="s">
        <v>64</v>
      </c>
      <c r="AG23" s="2" t="s">
        <v>65</v>
      </c>
      <c r="AH23" s="3" t="s">
        <v>66</v>
      </c>
      <c r="AI23" s="2" t="s">
        <v>67</v>
      </c>
      <c r="AJ23" s="2" t="s">
        <v>68</v>
      </c>
      <c r="AK23" s="2" t="s">
        <v>69</v>
      </c>
      <c r="AL23" s="2" t="s">
        <v>70</v>
      </c>
      <c r="AM23" s="2" t="s">
        <v>71</v>
      </c>
      <c r="AN23" s="3" t="s">
        <v>72</v>
      </c>
      <c r="AO23" s="2" t="s">
        <v>73</v>
      </c>
      <c r="AP23" s="2" t="s">
        <v>74</v>
      </c>
    </row>
    <row r="24" spans="1:42">
      <c r="A24" s="4">
        <f>IFERROR(AVERAGEIF($B$2:$B$21,"&lt;&gt; -1"),0)</f>
        <v>64.1535</v>
      </c>
      <c r="B24" s="4">
        <f>IFERROR(AVERAGEIF($D$2:$D$21,"&lt;&gt; -1"),0)</f>
        <v>64.6295</v>
      </c>
      <c r="C24" s="4">
        <f>IFERROR(AVERAGEIF($F$2:$F$21,"&lt;&gt; -1"),0)</f>
        <v>72.8933333333333</v>
      </c>
      <c r="D24" s="4">
        <f>IFERROR(AVERAGEIF($H$2:$H$21,"&lt;&gt; -1"),0)</f>
        <v>77.097</v>
      </c>
      <c r="E24" s="4">
        <f>IFERROR(AVERAGEIF($J$2:$J$21,"&lt;&gt; -1"),0)</f>
        <v>0</v>
      </c>
      <c r="F24" s="4">
        <f>IFERROR(AVERAGEIF($L$2:$L$21,"&lt;&gt; -1"),0)</f>
        <v>0</v>
      </c>
      <c r="G24" s="4">
        <f>IFERROR(AVERAGEIFS($C$2:$C$21,$B$2:$B$21,"&lt;&gt; -1"),0)</f>
        <v>3821.959</v>
      </c>
      <c r="H24" s="4">
        <f>IFERROR(AVERAGEIFS($E$2:$E$21,$D$2:$D$21,"&lt;&gt; -1"),0)</f>
        <v>3747.7105</v>
      </c>
      <c r="I24" s="4">
        <f>IFERROR(AVERAGEIFS($G$2:$G$21,$F$2:$F$21,"&lt;&gt; -1"),0)</f>
        <v>4067.18</v>
      </c>
      <c r="J24" s="4">
        <f>IFERROR(AVERAGEIFS($I$2:$I$21,$H$2:$H$21,"&lt;&gt; -1"),0)</f>
        <v>4017.365</v>
      </c>
      <c r="K24" s="4">
        <f>IFERROR(AVERAGEIFS($K$2:$K$21,$J$2:$J$21,"&lt;&gt; -1"),0)</f>
        <v>0</v>
      </c>
      <c r="L24" s="4">
        <f>IFERROR(AVERAGEIFS($M$2:$M$21,$L$2:$L$21,"&lt;&gt; -1"),0)</f>
        <v>0</v>
      </c>
      <c r="M24" s="4">
        <f>IFERROR(_xlfn.MAXIFS($B$2:$B$21,$B$2:$B$21,"&lt;&gt; -1"),0)</f>
        <v>71.49</v>
      </c>
      <c r="N24" s="4">
        <f>IFERROR(_xlfn.MAXIFS($D$2:$D$21,$D$2:$D$21,"&lt;&gt;-1"),0)</f>
        <v>71.96</v>
      </c>
      <c r="O24" s="4">
        <f>IFERROR(_xlfn.MAXIFS($F$2:$F$21,$F$2:$F$21,"&lt;&gt; -1"),0)</f>
        <v>78.4</v>
      </c>
      <c r="P24" s="4">
        <f>IFERROR(_xlfn.MAXIFS($H$2:$H$21,$H$2:$H$21,"&lt;&gt; -1"),0)</f>
        <v>91.65</v>
      </c>
      <c r="Q24" s="4">
        <f>IFERROR(_xlfn.MAXIFS($J$2:$J$21,$J$2:$J$21,"&lt;&gt; -1"),0)</f>
        <v>0</v>
      </c>
      <c r="R24" s="4">
        <f>IFERROR(_xlfn.MAXIFS($L$2:$L$21,$L$2:$L$21,"&lt;&gt; -1"),0)</f>
        <v>0</v>
      </c>
      <c r="S24" s="4">
        <f>IFERROR(_xlfn.MINIFS($B$2:$B$21,$B$2:$B$21,"&lt;&gt; -1"),0)</f>
        <v>59.33</v>
      </c>
      <c r="T24" s="4">
        <f>IFERROR(_xlfn.MINIFS($D$2:$D$21,$D$2:$D$21,"&lt;&gt;-1"),0)</f>
        <v>60.02</v>
      </c>
      <c r="U24" s="4">
        <f>IFERROR(_xlfn.MINIFS($F$2:$F$21,$F$2:$F$21,"&lt;&gt; -1"),0)</f>
        <v>67.54</v>
      </c>
      <c r="V24" s="4">
        <f>IFERROR(_xlfn.MINIFS($H$2:$H$21,$H$2:$H$21,"&lt;&gt; -1"),0)</f>
        <v>71.54</v>
      </c>
      <c r="W24" s="4">
        <f>IFERROR(_xlfn.MINIFS($J$2:$J$21,$J$2:$J$21,"&lt;&gt; -1"),0)</f>
        <v>0</v>
      </c>
      <c r="X24" s="4">
        <f>IFERROR(_xlfn.MINIFS($L$2:$L$21,$L$2:$L$21,"&lt;&gt; -1"),0)</f>
        <v>0</v>
      </c>
      <c r="Y24" s="4">
        <f>IFERROR(_xlfn.MAXIFS($C$2:$C$21,$B$2:$B$21,"&lt;&gt; -1"),0)</f>
        <v>4052.46</v>
      </c>
      <c r="Z24" s="4">
        <f>IFERROR(_xlfn.MAXIFS($E$2:$E$21,$D$2:$D$21,"&lt;&gt; -1"),0)</f>
        <v>3933.36</v>
      </c>
      <c r="AA24" s="4">
        <f>IFERROR(_xlfn.MAXIFS($G$2:$G$21,$F$2:$F$21,"&lt;&gt; -1"),0)</f>
        <v>4272.91</v>
      </c>
      <c r="AB24" s="4">
        <f>IFERROR(_xlfn.MAXIFS($I$2:$I$21,$H$2:$H$21,"&lt;&gt; -1"),0)</f>
        <v>4199.58</v>
      </c>
      <c r="AC24" s="4">
        <f>IFERROR(_xlfn.MAXIFS($K$2:$K$21,$J$2:$J$21,"&lt;&gt; -1"),0)</f>
        <v>0</v>
      </c>
      <c r="AD24" s="4">
        <f>IFERROR(_xlfn.MAXIFS($M$2:$M$21,$L$2:$L$21,"&lt;&gt; -1"),0)</f>
        <v>0</v>
      </c>
      <c r="AE24" s="4">
        <f>IFERROR(_xlfn.MINIFS($C$2:$C$21,$B$2:$B$21,"&lt;&gt; -1"),0)</f>
        <v>3665.53</v>
      </c>
      <c r="AF24" s="4">
        <f>IFERROR(_xlfn.MINIFS($E$2:$E$21,$D$2:$D$21,"&lt;&gt; -1"),0)</f>
        <v>3588.2</v>
      </c>
      <c r="AG24" s="4">
        <f>IFERROR(_xlfn.MINIFS($G$2:$G$21,$F$2:$F$21,"&lt;&gt; -1"),0)</f>
        <v>3888.94</v>
      </c>
      <c r="AH24" s="4">
        <f>IFERROR(_xlfn.MINIFS($I$2:$I$21,$H$2:$H$21,"&lt;&gt; -1"),0)</f>
        <v>3811.12</v>
      </c>
      <c r="AI24" s="4">
        <f>IFERROR(_xlfn.MINIFS($K$2:$K$21,$J$2:$J$21,"&lt;&gt; -1"),0)</f>
        <v>0</v>
      </c>
      <c r="AJ24" s="4">
        <f>IFERROR(_xlfn.MINIFS($M$2:$M$21,$L$2:$L$21,"&lt;&gt; -1"),0)</f>
        <v>0</v>
      </c>
      <c r="AK24" s="4">
        <f>(COUNTIFS($B$2:$B$21,"&gt;0.0",$B$2:$B$21,"&lt;100.0"))/20</f>
        <v>1</v>
      </c>
      <c r="AL24" s="4">
        <f>(COUNTIFS($D$2:$D$21,"&gt;0.0",$D$2:$D$21,"&lt;100.0"))/20</f>
        <v>1</v>
      </c>
      <c r="AM24" s="4">
        <f>(COUNTIFS($F$2:$F$21,"&gt;0.0",$F$2:$F$21,"&lt;100.0"))/20</f>
        <v>0.45</v>
      </c>
      <c r="AN24" s="4">
        <f>(COUNTIFS($H$2:$H$21,"&gt;0.0",$H$2:$H$21,"&lt;100.0"))/20</f>
        <v>0.5</v>
      </c>
      <c r="AO24" s="4">
        <f>(COUNTIFS($J$2:$J$21,"&gt;0.0",$J$2:$J$21,"&lt;100.0"))/20</f>
        <v>0</v>
      </c>
      <c r="AP24" s="4">
        <f>(COUNTIFS($L$2:$L$21,"&gt;0.0",$L$2:$L$21,"&lt;100.0"))/20</f>
        <v>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24"/>
  <sheetViews>
    <sheetView workbookViewId="0">
      <selection activeCell="S24" sqref="$A24:$XFD24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71.22</v>
      </c>
      <c r="C2">
        <v>3939.82</v>
      </c>
      <c r="D2">
        <v>71.5</v>
      </c>
      <c r="E2">
        <v>3761.71</v>
      </c>
      <c r="F2">
        <v>-1</v>
      </c>
      <c r="G2">
        <v>0</v>
      </c>
      <c r="H2">
        <v>-1</v>
      </c>
      <c r="I2">
        <v>0</v>
      </c>
      <c r="J2">
        <v>-1</v>
      </c>
      <c r="K2">
        <v>0</v>
      </c>
      <c r="L2">
        <v>-1</v>
      </c>
      <c r="M2">
        <v>0</v>
      </c>
    </row>
    <row r="3" spans="1:13">
      <c r="A3" t="s">
        <v>14</v>
      </c>
      <c r="B3">
        <v>67.92</v>
      </c>
      <c r="C3">
        <v>3861.94</v>
      </c>
      <c r="D3">
        <v>68.56</v>
      </c>
      <c r="E3">
        <v>3906.43</v>
      </c>
      <c r="F3">
        <v>-1</v>
      </c>
      <c r="G3">
        <v>0</v>
      </c>
      <c r="H3">
        <v>-1</v>
      </c>
      <c r="I3">
        <v>0</v>
      </c>
      <c r="J3">
        <v>-1</v>
      </c>
      <c r="K3">
        <v>0</v>
      </c>
      <c r="L3">
        <v>-1</v>
      </c>
      <c r="M3">
        <v>0</v>
      </c>
    </row>
    <row r="4" spans="1:13">
      <c r="A4" t="s">
        <v>15</v>
      </c>
      <c r="B4">
        <v>73.49</v>
      </c>
      <c r="C4">
        <v>3856.97</v>
      </c>
      <c r="D4">
        <v>74.31</v>
      </c>
      <c r="E4">
        <v>3906.6</v>
      </c>
      <c r="F4">
        <v>-1</v>
      </c>
      <c r="G4">
        <v>0</v>
      </c>
      <c r="H4">
        <v>-1</v>
      </c>
      <c r="I4">
        <v>0</v>
      </c>
      <c r="J4">
        <v>-1</v>
      </c>
      <c r="K4">
        <v>0</v>
      </c>
      <c r="L4">
        <v>-1</v>
      </c>
      <c r="M4">
        <v>0</v>
      </c>
    </row>
    <row r="5" spans="1:13">
      <c r="A5" t="s">
        <v>16</v>
      </c>
      <c r="B5">
        <v>71.34</v>
      </c>
      <c r="C5">
        <v>3933.56</v>
      </c>
      <c r="D5">
        <v>72.12</v>
      </c>
      <c r="E5">
        <v>3873.64</v>
      </c>
      <c r="F5">
        <v>90.29</v>
      </c>
      <c r="G5">
        <v>4199.6</v>
      </c>
      <c r="H5">
        <v>-1</v>
      </c>
      <c r="I5">
        <v>0</v>
      </c>
      <c r="J5">
        <v>-1</v>
      </c>
      <c r="K5">
        <v>0</v>
      </c>
      <c r="L5">
        <v>-1</v>
      </c>
      <c r="M5">
        <v>0</v>
      </c>
    </row>
    <row r="6" spans="1:13">
      <c r="A6" t="s">
        <v>17</v>
      </c>
      <c r="B6">
        <v>70.79</v>
      </c>
      <c r="C6">
        <v>3834.34</v>
      </c>
      <c r="D6">
        <v>71.2</v>
      </c>
      <c r="E6">
        <v>3789.72</v>
      </c>
      <c r="F6">
        <v>-1</v>
      </c>
      <c r="G6">
        <v>0</v>
      </c>
      <c r="H6">
        <v>-1</v>
      </c>
      <c r="I6">
        <v>0</v>
      </c>
      <c r="J6">
        <v>-1</v>
      </c>
      <c r="K6">
        <v>0</v>
      </c>
      <c r="L6">
        <v>-1</v>
      </c>
      <c r="M6">
        <v>0</v>
      </c>
    </row>
    <row r="7" spans="1:13">
      <c r="A7" t="s">
        <v>18</v>
      </c>
      <c r="B7">
        <v>72.7</v>
      </c>
      <c r="C7">
        <v>4093.96</v>
      </c>
      <c r="D7">
        <v>73.3</v>
      </c>
      <c r="E7">
        <v>3913.62</v>
      </c>
      <c r="F7">
        <v>-1</v>
      </c>
      <c r="G7">
        <v>0</v>
      </c>
      <c r="H7">
        <v>-1</v>
      </c>
      <c r="I7">
        <v>0</v>
      </c>
      <c r="J7">
        <v>-1</v>
      </c>
      <c r="K7">
        <v>0</v>
      </c>
      <c r="L7">
        <v>-1</v>
      </c>
      <c r="M7">
        <v>0</v>
      </c>
    </row>
    <row r="8" spans="1:13">
      <c r="A8" t="s">
        <v>19</v>
      </c>
      <c r="B8">
        <v>74.52</v>
      </c>
      <c r="C8">
        <v>4001.99</v>
      </c>
      <c r="D8">
        <v>74.92</v>
      </c>
      <c r="E8">
        <v>3827.33</v>
      </c>
      <c r="F8">
        <v>-1</v>
      </c>
      <c r="G8">
        <v>0</v>
      </c>
      <c r="H8">
        <v>-1</v>
      </c>
      <c r="I8">
        <v>0</v>
      </c>
      <c r="J8">
        <v>-1</v>
      </c>
      <c r="K8">
        <v>0</v>
      </c>
      <c r="L8">
        <v>-1</v>
      </c>
      <c r="M8">
        <v>0</v>
      </c>
    </row>
    <row r="9" spans="1:13">
      <c r="A9" t="s">
        <v>20</v>
      </c>
      <c r="B9">
        <v>65.13</v>
      </c>
      <c r="C9">
        <v>3793.59</v>
      </c>
      <c r="D9">
        <v>65.44</v>
      </c>
      <c r="E9">
        <v>3707.6</v>
      </c>
      <c r="F9">
        <v>-1</v>
      </c>
      <c r="G9">
        <v>1234.94</v>
      </c>
      <c r="H9">
        <v>-1</v>
      </c>
      <c r="I9">
        <v>1207.48</v>
      </c>
      <c r="J9">
        <v>-1</v>
      </c>
      <c r="K9">
        <v>0</v>
      </c>
      <c r="L9">
        <v>-1</v>
      </c>
      <c r="M9">
        <v>0</v>
      </c>
    </row>
    <row r="10" spans="1:13">
      <c r="A10" t="s">
        <v>21</v>
      </c>
      <c r="B10">
        <v>69.25</v>
      </c>
      <c r="C10">
        <v>3771.79</v>
      </c>
      <c r="D10">
        <v>69.98</v>
      </c>
      <c r="E10">
        <v>3860.12</v>
      </c>
      <c r="F10">
        <v>-1</v>
      </c>
      <c r="G10">
        <v>1139.96</v>
      </c>
      <c r="H10">
        <v>-1</v>
      </c>
      <c r="I10">
        <v>1188.29</v>
      </c>
      <c r="J10">
        <v>-1</v>
      </c>
      <c r="K10">
        <v>0</v>
      </c>
      <c r="L10">
        <v>-1</v>
      </c>
      <c r="M10">
        <v>0</v>
      </c>
    </row>
    <row r="11" spans="1:13">
      <c r="A11" t="s">
        <v>22</v>
      </c>
      <c r="B11">
        <v>72.34</v>
      </c>
      <c r="C11">
        <v>3856.18</v>
      </c>
      <c r="D11">
        <v>73.1</v>
      </c>
      <c r="E11">
        <v>3833.23</v>
      </c>
      <c r="F11">
        <v>-1</v>
      </c>
      <c r="G11">
        <v>0</v>
      </c>
      <c r="H11">
        <v>-1</v>
      </c>
      <c r="I11">
        <v>0</v>
      </c>
      <c r="J11">
        <v>-1</v>
      </c>
      <c r="K11">
        <v>0</v>
      </c>
      <c r="L11">
        <v>-1</v>
      </c>
      <c r="M11">
        <v>0</v>
      </c>
    </row>
    <row r="12" spans="1:13">
      <c r="A12" t="s">
        <v>23</v>
      </c>
      <c r="B12">
        <v>71.02</v>
      </c>
      <c r="C12">
        <v>3818.11</v>
      </c>
      <c r="D12">
        <v>71.49</v>
      </c>
      <c r="E12">
        <v>3675.22</v>
      </c>
      <c r="F12">
        <v>-1</v>
      </c>
      <c r="G12">
        <v>0</v>
      </c>
      <c r="H12">
        <v>-1</v>
      </c>
      <c r="I12">
        <v>0</v>
      </c>
      <c r="J12">
        <v>-1</v>
      </c>
      <c r="K12">
        <v>0</v>
      </c>
      <c r="L12">
        <v>-1</v>
      </c>
      <c r="M12">
        <v>0</v>
      </c>
    </row>
    <row r="13" spans="1:13">
      <c r="A13" t="s">
        <v>24</v>
      </c>
      <c r="B13">
        <v>75.93</v>
      </c>
      <c r="C13">
        <v>3748.7</v>
      </c>
      <c r="D13">
        <v>76.5</v>
      </c>
      <c r="E13">
        <v>3891.08</v>
      </c>
      <c r="F13">
        <v>-1</v>
      </c>
      <c r="G13">
        <v>0</v>
      </c>
      <c r="H13">
        <v>-1</v>
      </c>
      <c r="I13">
        <v>0</v>
      </c>
      <c r="J13">
        <v>-1</v>
      </c>
      <c r="K13">
        <v>0</v>
      </c>
      <c r="L13">
        <v>-1</v>
      </c>
      <c r="M13">
        <v>0</v>
      </c>
    </row>
    <row r="14" spans="1:13">
      <c r="A14" t="s">
        <v>25</v>
      </c>
      <c r="B14">
        <v>65.95</v>
      </c>
      <c r="C14">
        <v>3786.99</v>
      </c>
      <c r="D14">
        <v>66.37</v>
      </c>
      <c r="E14">
        <v>3832.92</v>
      </c>
      <c r="F14">
        <v>-1</v>
      </c>
      <c r="G14">
        <v>0</v>
      </c>
      <c r="H14">
        <v>-1</v>
      </c>
      <c r="I14">
        <v>0</v>
      </c>
      <c r="J14">
        <v>-1</v>
      </c>
      <c r="K14">
        <v>0</v>
      </c>
      <c r="L14">
        <v>-1</v>
      </c>
      <c r="M14">
        <v>0</v>
      </c>
    </row>
    <row r="15" spans="1:13">
      <c r="A15" t="s">
        <v>26</v>
      </c>
      <c r="B15">
        <v>72.25</v>
      </c>
      <c r="C15">
        <v>3965.07</v>
      </c>
      <c r="D15">
        <v>73.17</v>
      </c>
      <c r="E15">
        <v>3953.12</v>
      </c>
      <c r="F15">
        <v>-1</v>
      </c>
      <c r="G15">
        <v>1356.12</v>
      </c>
      <c r="H15">
        <v>-1</v>
      </c>
      <c r="I15">
        <v>0</v>
      </c>
      <c r="J15">
        <v>-1</v>
      </c>
      <c r="K15">
        <v>0</v>
      </c>
      <c r="L15">
        <v>-1</v>
      </c>
      <c r="M15">
        <v>0</v>
      </c>
    </row>
    <row r="16" spans="1:13">
      <c r="A16" t="s">
        <v>27</v>
      </c>
      <c r="B16">
        <v>70.74</v>
      </c>
      <c r="C16">
        <v>3940.93</v>
      </c>
      <c r="D16">
        <v>71.25</v>
      </c>
      <c r="E16">
        <v>3797.04</v>
      </c>
      <c r="F16">
        <v>-1</v>
      </c>
      <c r="G16">
        <v>0</v>
      </c>
      <c r="H16">
        <v>-1</v>
      </c>
      <c r="I16">
        <v>0</v>
      </c>
      <c r="J16">
        <v>-1</v>
      </c>
      <c r="K16">
        <v>0</v>
      </c>
      <c r="L16">
        <v>-1</v>
      </c>
      <c r="M16">
        <v>0</v>
      </c>
    </row>
    <row r="17" spans="1:13">
      <c r="A17" t="s">
        <v>28</v>
      </c>
      <c r="B17">
        <v>69.57</v>
      </c>
      <c r="C17">
        <v>3944.45</v>
      </c>
      <c r="D17">
        <v>70.21</v>
      </c>
      <c r="E17">
        <v>3756.95</v>
      </c>
      <c r="F17">
        <v>-1</v>
      </c>
      <c r="G17">
        <v>0</v>
      </c>
      <c r="H17">
        <v>-1</v>
      </c>
      <c r="I17">
        <v>1310.92</v>
      </c>
      <c r="J17">
        <v>-1</v>
      </c>
      <c r="K17">
        <v>0</v>
      </c>
      <c r="L17">
        <v>-1</v>
      </c>
      <c r="M17">
        <v>0</v>
      </c>
    </row>
    <row r="18" spans="1:13">
      <c r="A18" t="s">
        <v>29</v>
      </c>
      <c r="B18">
        <v>69.18</v>
      </c>
      <c r="C18">
        <v>3670.11</v>
      </c>
      <c r="D18">
        <v>69.99</v>
      </c>
      <c r="E18">
        <v>3776.77</v>
      </c>
      <c r="F18">
        <v>-1</v>
      </c>
      <c r="G18">
        <v>0</v>
      </c>
      <c r="H18">
        <v>-1</v>
      </c>
      <c r="I18">
        <v>0</v>
      </c>
      <c r="J18">
        <v>-1</v>
      </c>
      <c r="K18">
        <v>0</v>
      </c>
      <c r="L18">
        <v>-1</v>
      </c>
      <c r="M18">
        <v>0</v>
      </c>
    </row>
    <row r="19" spans="1:13">
      <c r="A19" t="s">
        <v>30</v>
      </c>
      <c r="B19">
        <v>73.11</v>
      </c>
      <c r="C19">
        <v>3802.53</v>
      </c>
      <c r="D19">
        <v>73.68</v>
      </c>
      <c r="E19">
        <v>3985.97</v>
      </c>
      <c r="F19">
        <v>89.89</v>
      </c>
      <c r="G19">
        <v>4036.47</v>
      </c>
      <c r="H19">
        <v>95.91</v>
      </c>
      <c r="I19">
        <v>4232.73</v>
      </c>
      <c r="J19">
        <v>-1</v>
      </c>
      <c r="K19">
        <v>0</v>
      </c>
      <c r="L19">
        <v>-1</v>
      </c>
      <c r="M19">
        <v>0</v>
      </c>
    </row>
    <row r="20" spans="1:13">
      <c r="A20" t="s">
        <v>31</v>
      </c>
      <c r="B20">
        <v>71.37</v>
      </c>
      <c r="C20">
        <v>3833.55</v>
      </c>
      <c r="D20">
        <v>72</v>
      </c>
      <c r="E20">
        <v>3873.91</v>
      </c>
      <c r="F20">
        <v>-1</v>
      </c>
      <c r="G20">
        <v>0</v>
      </c>
      <c r="H20">
        <v>-1</v>
      </c>
      <c r="I20">
        <v>0</v>
      </c>
      <c r="J20">
        <v>-1</v>
      </c>
      <c r="K20">
        <v>0</v>
      </c>
      <c r="L20">
        <v>-1</v>
      </c>
      <c r="M20">
        <v>0</v>
      </c>
    </row>
    <row r="21" spans="1:13">
      <c r="A21" t="s">
        <v>32</v>
      </c>
      <c r="B21">
        <v>67.66</v>
      </c>
      <c r="C21">
        <v>3649.11</v>
      </c>
      <c r="D21">
        <v>68.28</v>
      </c>
      <c r="E21">
        <v>3703.35</v>
      </c>
      <c r="F21">
        <v>89.57</v>
      </c>
      <c r="G21">
        <v>3819.72</v>
      </c>
      <c r="H21">
        <v>78.41</v>
      </c>
      <c r="I21">
        <v>3953.29</v>
      </c>
      <c r="J21">
        <v>-1</v>
      </c>
      <c r="K21">
        <v>0</v>
      </c>
      <c r="L21">
        <v>-1</v>
      </c>
      <c r="M21">
        <v>0</v>
      </c>
    </row>
    <row r="23" spans="1:42">
      <c r="A23" s="2" t="s">
        <v>33</v>
      </c>
      <c r="B23" s="2" t="s">
        <v>34</v>
      </c>
      <c r="C23" s="2" t="s">
        <v>35</v>
      </c>
      <c r="D23" s="3" t="s">
        <v>36</v>
      </c>
      <c r="E23" s="2" t="s">
        <v>37</v>
      </c>
      <c r="F23" s="2" t="s">
        <v>38</v>
      </c>
      <c r="G23" s="2" t="s">
        <v>39</v>
      </c>
      <c r="H23" s="2" t="s">
        <v>40</v>
      </c>
      <c r="I23" s="2" t="s">
        <v>41</v>
      </c>
      <c r="J23" s="3" t="s">
        <v>42</v>
      </c>
      <c r="K23" s="2" t="s">
        <v>43</v>
      </c>
      <c r="L23" s="2" t="s">
        <v>44</v>
      </c>
      <c r="M23" s="2" t="s">
        <v>45</v>
      </c>
      <c r="N23" s="2" t="s">
        <v>46</v>
      </c>
      <c r="O23" s="2" t="s">
        <v>47</v>
      </c>
      <c r="P23" s="3" t="s">
        <v>48</v>
      </c>
      <c r="Q23" s="2" t="s">
        <v>49</v>
      </c>
      <c r="R23" s="2" t="s">
        <v>50</v>
      </c>
      <c r="S23" s="2" t="s">
        <v>51</v>
      </c>
      <c r="T23" s="2" t="s">
        <v>52</v>
      </c>
      <c r="U23" s="2" t="s">
        <v>53</v>
      </c>
      <c r="V23" s="3" t="s">
        <v>54</v>
      </c>
      <c r="W23" s="2" t="s">
        <v>55</v>
      </c>
      <c r="X23" s="2" t="s">
        <v>56</v>
      </c>
      <c r="Y23" s="2" t="s">
        <v>57</v>
      </c>
      <c r="Z23" s="2" t="s">
        <v>58</v>
      </c>
      <c r="AA23" s="2" t="s">
        <v>59</v>
      </c>
      <c r="AB23" s="3" t="s">
        <v>60</v>
      </c>
      <c r="AC23" s="2" t="s">
        <v>61</v>
      </c>
      <c r="AD23" s="2" t="s">
        <v>62</v>
      </c>
      <c r="AE23" s="2" t="s">
        <v>63</v>
      </c>
      <c r="AF23" s="2" t="s">
        <v>64</v>
      </c>
      <c r="AG23" s="2" t="s">
        <v>65</v>
      </c>
      <c r="AH23" s="3" t="s">
        <v>66</v>
      </c>
      <c r="AI23" s="2" t="s">
        <v>67</v>
      </c>
      <c r="AJ23" s="2" t="s">
        <v>68</v>
      </c>
      <c r="AK23" s="2" t="s">
        <v>69</v>
      </c>
      <c r="AL23" s="2" t="s">
        <v>70</v>
      </c>
      <c r="AM23" s="2" t="s">
        <v>71</v>
      </c>
      <c r="AN23" s="3" t="s">
        <v>72</v>
      </c>
      <c r="AO23" s="2" t="s">
        <v>73</v>
      </c>
      <c r="AP23" s="2" t="s">
        <v>74</v>
      </c>
    </row>
    <row r="24" spans="1:42">
      <c r="A24" s="4">
        <f>IFERROR(AVERAGEIF($B$2:$B$21,"&lt;&gt; -1"),0)</f>
        <v>70.774</v>
      </c>
      <c r="B24" s="4">
        <f>IFERROR(AVERAGEIF($D$2:$D$21,"&lt;&gt; -1"),0)</f>
        <v>71.3685</v>
      </c>
      <c r="C24" s="4">
        <f>IFERROR(AVERAGEIF($F$2:$F$21,"&lt;&gt; -1"),0)</f>
        <v>89.9166666666667</v>
      </c>
      <c r="D24" s="4">
        <f>IFERROR(AVERAGEIF($H$2:$H$21,"&lt;&gt; -1"),0)</f>
        <v>87.16</v>
      </c>
      <c r="E24" s="4">
        <f>IFERROR(AVERAGEIF($J$2:$J$21,"&lt;&gt; -1"),0)</f>
        <v>0</v>
      </c>
      <c r="F24" s="4">
        <f>IFERROR(AVERAGEIF($L$2:$L$21,"&lt;&gt; -1"),0)</f>
        <v>0</v>
      </c>
      <c r="G24" s="4">
        <f>IFERROR(AVERAGEIFS($C$2:$C$21,$B$2:$B$21,"&lt;&gt; -1"),0)</f>
        <v>3855.1845</v>
      </c>
      <c r="H24" s="4">
        <f>IFERROR(AVERAGEIFS($E$2:$E$21,$D$2:$D$21,"&lt;&gt; -1"),0)</f>
        <v>3831.3165</v>
      </c>
      <c r="I24" s="4">
        <f>IFERROR(AVERAGEIFS($G$2:$G$21,$F$2:$F$21,"&lt;&gt; -1"),0)</f>
        <v>4018.59666666667</v>
      </c>
      <c r="J24" s="4">
        <f>IFERROR(AVERAGEIFS($I$2:$I$21,$H$2:$H$21,"&lt;&gt; -1"),0)</f>
        <v>4093.01</v>
      </c>
      <c r="K24" s="4">
        <f>IFERROR(AVERAGEIFS($K$2:$K$21,$J$2:$J$21,"&lt;&gt; -1"),0)</f>
        <v>0</v>
      </c>
      <c r="L24" s="4">
        <f>IFERROR(AVERAGEIFS($M$2:$M$21,$L$2:$L$21,"&lt;&gt; -1"),0)</f>
        <v>0</v>
      </c>
      <c r="M24" s="4">
        <f>IFERROR(_xlfn.MAXIFS($B$2:$B$21,$B$2:$B$21,"&lt;&gt; -1"),0)</f>
        <v>75.93</v>
      </c>
      <c r="N24" s="4">
        <f>IFERROR(_xlfn.MAXIFS($D$2:$D$21,$D$2:$D$21,"&lt;&gt;-1"),0)</f>
        <v>76.5</v>
      </c>
      <c r="O24" s="4">
        <f>IFERROR(_xlfn.MAXIFS($F$2:$F$21,$F$2:$F$21,"&lt;&gt; -1"),0)</f>
        <v>90.29</v>
      </c>
      <c r="P24" s="4">
        <f>IFERROR(_xlfn.MAXIFS($H$2:$H$21,$H$2:$H$21,"&lt;&gt; -1"),0)</f>
        <v>95.91</v>
      </c>
      <c r="Q24" s="4">
        <f>IFERROR(_xlfn.MAXIFS($J$2:$J$21,$J$2:$J$21,"&lt;&gt; -1"),0)</f>
        <v>0</v>
      </c>
      <c r="R24" s="4">
        <f>IFERROR(_xlfn.MAXIFS($L$2:$L$21,$L$2:$L$21,"&lt;&gt; -1"),0)</f>
        <v>0</v>
      </c>
      <c r="S24" s="4">
        <f>IFERROR(_xlfn.MINIFS($B$2:$B$21,$B$2:$B$21,"&lt;&gt; -1"),0)</f>
        <v>65.13</v>
      </c>
      <c r="T24" s="4">
        <f>IFERROR(_xlfn.MINIFS($D$2:$D$21,$D$2:$D$21,"&lt;&gt;-1"),0)</f>
        <v>65.44</v>
      </c>
      <c r="U24" s="4">
        <f>IFERROR(_xlfn.MINIFS($F$2:$F$21,$F$2:$F$21,"&lt;&gt; -1"),0)</f>
        <v>89.57</v>
      </c>
      <c r="V24" s="4">
        <f>IFERROR(_xlfn.MINIFS($H$2:$H$21,$H$2:$H$21,"&lt;&gt; -1"),0)</f>
        <v>78.41</v>
      </c>
      <c r="W24" s="4">
        <f>IFERROR(_xlfn.MINIFS($J$2:$J$21,$J$2:$J$21,"&lt;&gt; -1"),0)</f>
        <v>0</v>
      </c>
      <c r="X24" s="4">
        <f>IFERROR(_xlfn.MINIFS($L$2:$L$21,$L$2:$L$21,"&lt;&gt; -1"),0)</f>
        <v>0</v>
      </c>
      <c r="Y24" s="4">
        <f>IFERROR(_xlfn.MAXIFS($C$2:$C$21,$B$2:$B$21,"&lt;&gt; -1"),0)</f>
        <v>4093.96</v>
      </c>
      <c r="Z24" s="4">
        <f>IFERROR(_xlfn.MAXIFS($E$2:$E$21,$D$2:$D$21,"&lt;&gt; -1"),0)</f>
        <v>3985.97</v>
      </c>
      <c r="AA24" s="4">
        <f>IFERROR(_xlfn.MAXIFS($G$2:$G$21,$F$2:$F$21,"&lt;&gt; -1"),0)</f>
        <v>4199.6</v>
      </c>
      <c r="AB24" s="4">
        <f>IFERROR(_xlfn.MAXIFS($I$2:$I$21,$H$2:$H$21,"&lt;&gt; -1"),0)</f>
        <v>4232.73</v>
      </c>
      <c r="AC24" s="4">
        <f>IFERROR(_xlfn.MAXIFS($K$2:$K$21,$J$2:$J$21,"&lt;&gt; -1"),0)</f>
        <v>0</v>
      </c>
      <c r="AD24" s="4">
        <f>IFERROR(_xlfn.MAXIFS($M$2:$M$21,$L$2:$L$21,"&lt;&gt; -1"),0)</f>
        <v>0</v>
      </c>
      <c r="AE24" s="4">
        <f>IFERROR(_xlfn.MINIFS($C$2:$C$21,$B$2:$B$21,"&lt;&gt; -1"),0)</f>
        <v>3649.11</v>
      </c>
      <c r="AF24" s="4">
        <f>IFERROR(_xlfn.MINIFS($E$2:$E$21,$D$2:$D$21,"&lt;&gt; -1"),0)</f>
        <v>3675.22</v>
      </c>
      <c r="AG24" s="4">
        <f>IFERROR(_xlfn.MINIFS($G$2:$G$21,$F$2:$F$21,"&lt;&gt; -1"),0)</f>
        <v>3819.72</v>
      </c>
      <c r="AH24" s="4">
        <f>IFERROR(_xlfn.MINIFS($I$2:$I$21,$H$2:$H$21,"&lt;&gt; -1"),0)</f>
        <v>3953.29</v>
      </c>
      <c r="AI24" s="4">
        <f>IFERROR(_xlfn.MINIFS($K$2:$K$21,$J$2:$J$21,"&lt;&gt; -1"),0)</f>
        <v>0</v>
      </c>
      <c r="AJ24" s="4">
        <f>IFERROR(_xlfn.MINIFS($M$2:$M$21,$L$2:$L$21,"&lt;&gt; -1"),0)</f>
        <v>0</v>
      </c>
      <c r="AK24" s="4">
        <f>(COUNTIFS($B$2:$B$21,"&gt;0.0",$B$2:$B$21,"&lt;100.0"))/20</f>
        <v>1</v>
      </c>
      <c r="AL24" s="4">
        <f>(COUNTIFS($D$2:$D$21,"&gt;0.0",$D$2:$D$21,"&lt;100.0"))/20</f>
        <v>1</v>
      </c>
      <c r="AM24" s="4">
        <f>(COUNTIFS($F$2:$F$21,"&gt;0.0",$F$2:$F$21,"&lt;100.0"))/20</f>
        <v>0.15</v>
      </c>
      <c r="AN24" s="4">
        <f>(COUNTIFS($H$2:$H$21,"&gt;0.0",$H$2:$H$21,"&lt;100.0"))/20</f>
        <v>0.1</v>
      </c>
      <c r="AO24" s="4">
        <f>(COUNTIFS($J$2:$J$21,"&gt;0.0",$J$2:$J$21,"&lt;100.0"))/20</f>
        <v>0</v>
      </c>
      <c r="AP24" s="4">
        <f>(COUNTIFS($L$2:$L$21,"&gt;0.0",$L$2:$L$21,"&lt;100.0"))/20</f>
        <v>0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7"/>
  <sheetViews>
    <sheetView tabSelected="1" workbookViewId="0">
      <selection activeCell="E8" sqref="E8"/>
    </sheetView>
  </sheetViews>
  <sheetFormatPr defaultColWidth="8.72727272727273" defaultRowHeight="14" outlineLevelRow="6"/>
  <sheetData>
    <row r="1" spans="1:42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45</v>
      </c>
      <c r="N1" t="s">
        <v>46</v>
      </c>
      <c r="O1" t="s">
        <v>47</v>
      </c>
      <c r="P1" t="s">
        <v>48</v>
      </c>
      <c r="Q1" t="s">
        <v>49</v>
      </c>
      <c r="R1" t="s">
        <v>50</v>
      </c>
      <c r="S1" t="s">
        <v>51</v>
      </c>
      <c r="T1" t="s">
        <v>52</v>
      </c>
      <c r="U1" t="s">
        <v>53</v>
      </c>
      <c r="V1" t="s">
        <v>54</v>
      </c>
      <c r="W1" t="s">
        <v>55</v>
      </c>
      <c r="X1" t="s">
        <v>56</v>
      </c>
      <c r="Y1" t="s">
        <v>57</v>
      </c>
      <c r="Z1" t="s">
        <v>58</v>
      </c>
      <c r="AA1" t="s">
        <v>59</v>
      </c>
      <c r="AB1" t="s">
        <v>60</v>
      </c>
      <c r="AC1" t="s">
        <v>61</v>
      </c>
      <c r="AD1" t="s">
        <v>62</v>
      </c>
      <c r="AE1" t="s">
        <v>63</v>
      </c>
      <c r="AF1" t="s">
        <v>64</v>
      </c>
      <c r="AG1" t="s">
        <v>65</v>
      </c>
      <c r="AH1" t="s">
        <v>66</v>
      </c>
      <c r="AI1" t="s">
        <v>67</v>
      </c>
      <c r="AJ1" t="s">
        <v>68</v>
      </c>
      <c r="AK1" t="s">
        <v>69</v>
      </c>
      <c r="AL1" t="s">
        <v>70</v>
      </c>
      <c r="AM1" t="s">
        <v>71</v>
      </c>
      <c r="AN1" t="s">
        <v>72</v>
      </c>
      <c r="AO1" t="s">
        <v>73</v>
      </c>
      <c r="AP1" t="s">
        <v>74</v>
      </c>
    </row>
    <row r="2" spans="1:42">
      <c r="A2">
        <v>40.1495</v>
      </c>
      <c r="B2">
        <v>40.246</v>
      </c>
      <c r="C2">
        <v>45.4563157894737</v>
      </c>
      <c r="D2">
        <v>45.5565</v>
      </c>
      <c r="E2">
        <v>43.7655555555556</v>
      </c>
      <c r="F2">
        <v>43.9944444444444</v>
      </c>
      <c r="G2">
        <v>3706.1965</v>
      </c>
      <c r="H2">
        <v>3711.198</v>
      </c>
      <c r="I2">
        <v>3994.90526315789</v>
      </c>
      <c r="J2">
        <v>4002.4435</v>
      </c>
      <c r="K2">
        <v>3665.31277777778</v>
      </c>
      <c r="L2">
        <v>3666.24388888889</v>
      </c>
      <c r="M2">
        <v>44.68</v>
      </c>
      <c r="N2">
        <v>44.82</v>
      </c>
      <c r="O2">
        <v>50.95</v>
      </c>
      <c r="P2">
        <v>49.7</v>
      </c>
      <c r="Q2">
        <v>55.08</v>
      </c>
      <c r="R2">
        <v>53.35</v>
      </c>
      <c r="S2">
        <v>37.27</v>
      </c>
      <c r="T2">
        <v>37.34</v>
      </c>
      <c r="U2">
        <v>41.01</v>
      </c>
      <c r="V2">
        <v>40.75</v>
      </c>
      <c r="W2">
        <v>38.79</v>
      </c>
      <c r="X2">
        <v>38.75</v>
      </c>
      <c r="Y2">
        <v>4041.47</v>
      </c>
      <c r="Z2">
        <v>4002.23</v>
      </c>
      <c r="AA2">
        <v>4290.72</v>
      </c>
      <c r="AB2">
        <v>4267.75</v>
      </c>
      <c r="AC2">
        <v>3985.86</v>
      </c>
      <c r="AD2">
        <v>3930.12</v>
      </c>
      <c r="AE2">
        <v>3450.11</v>
      </c>
      <c r="AF2">
        <v>3552.06</v>
      </c>
      <c r="AG2">
        <v>3744.92</v>
      </c>
      <c r="AH2">
        <v>3792.47</v>
      </c>
      <c r="AI2">
        <v>3435.43</v>
      </c>
      <c r="AJ2">
        <v>3510.27</v>
      </c>
      <c r="AK2">
        <v>1</v>
      </c>
      <c r="AL2">
        <v>1</v>
      </c>
      <c r="AM2">
        <v>0.95</v>
      </c>
      <c r="AN2">
        <v>1</v>
      </c>
      <c r="AO2">
        <v>0.9</v>
      </c>
      <c r="AP2">
        <v>0.9</v>
      </c>
    </row>
    <row r="3" spans="1:42">
      <c r="A3">
        <v>46.8215</v>
      </c>
      <c r="B3">
        <v>47.12</v>
      </c>
      <c r="C3">
        <v>55.1915789473684</v>
      </c>
      <c r="D3">
        <v>57.0747368421053</v>
      </c>
      <c r="E3">
        <v>0</v>
      </c>
      <c r="F3">
        <v>70.37</v>
      </c>
      <c r="G3">
        <v>3798.089</v>
      </c>
      <c r="H3">
        <v>3823.5985</v>
      </c>
      <c r="I3">
        <v>4035.32789473684</v>
      </c>
      <c r="J3">
        <v>4068.98315789474</v>
      </c>
      <c r="K3">
        <v>0</v>
      </c>
      <c r="L3">
        <v>3782.22</v>
      </c>
      <c r="M3">
        <v>53.59</v>
      </c>
      <c r="N3">
        <v>53.97</v>
      </c>
      <c r="O3">
        <v>60.35</v>
      </c>
      <c r="P3">
        <v>66.59</v>
      </c>
      <c r="Q3">
        <v>0</v>
      </c>
      <c r="R3">
        <v>70.37</v>
      </c>
      <c r="S3">
        <v>42.22</v>
      </c>
      <c r="T3">
        <v>42.41</v>
      </c>
      <c r="U3">
        <v>50.84</v>
      </c>
      <c r="V3">
        <v>52.94</v>
      </c>
      <c r="W3">
        <v>0</v>
      </c>
      <c r="X3">
        <v>70.37</v>
      </c>
      <c r="Y3">
        <v>3954.39</v>
      </c>
      <c r="Z3">
        <v>4054.7</v>
      </c>
      <c r="AA3">
        <v>4234.19</v>
      </c>
      <c r="AB3">
        <v>4273.34</v>
      </c>
      <c r="AC3">
        <v>0</v>
      </c>
      <c r="AD3">
        <v>3782.22</v>
      </c>
      <c r="AE3">
        <v>3510.85</v>
      </c>
      <c r="AF3">
        <v>3648.48</v>
      </c>
      <c r="AG3">
        <v>3760.61</v>
      </c>
      <c r="AH3">
        <v>3846.61</v>
      </c>
      <c r="AI3">
        <v>0</v>
      </c>
      <c r="AJ3">
        <v>3782.22</v>
      </c>
      <c r="AK3">
        <v>1</v>
      </c>
      <c r="AL3">
        <v>1</v>
      </c>
      <c r="AM3">
        <v>0.95</v>
      </c>
      <c r="AN3">
        <v>0.95</v>
      </c>
      <c r="AO3">
        <v>0</v>
      </c>
      <c r="AP3">
        <v>0.05</v>
      </c>
    </row>
    <row r="4" spans="1:42">
      <c r="A4">
        <v>51.1985</v>
      </c>
      <c r="B4">
        <v>51.567</v>
      </c>
      <c r="C4">
        <v>65.1666666666667</v>
      </c>
      <c r="D4">
        <v>67.21625</v>
      </c>
      <c r="E4">
        <v>0</v>
      </c>
      <c r="F4">
        <v>0</v>
      </c>
      <c r="G4">
        <v>3889.336</v>
      </c>
      <c r="H4">
        <v>3844.2115</v>
      </c>
      <c r="I4">
        <v>4073.94666666667</v>
      </c>
      <c r="J4">
        <v>4111.59375</v>
      </c>
      <c r="K4">
        <v>0</v>
      </c>
      <c r="L4">
        <v>0</v>
      </c>
      <c r="M4">
        <v>56.19</v>
      </c>
      <c r="N4">
        <v>56.54</v>
      </c>
      <c r="O4">
        <v>76.21</v>
      </c>
      <c r="P4">
        <v>80.46</v>
      </c>
      <c r="Q4">
        <v>0</v>
      </c>
      <c r="R4">
        <v>0</v>
      </c>
      <c r="S4">
        <v>46.96</v>
      </c>
      <c r="T4">
        <v>47.29</v>
      </c>
      <c r="U4">
        <v>58.05</v>
      </c>
      <c r="V4">
        <v>56.7</v>
      </c>
      <c r="W4">
        <v>0</v>
      </c>
      <c r="X4">
        <v>0</v>
      </c>
      <c r="Y4">
        <v>4121.79</v>
      </c>
      <c r="Z4">
        <v>4074.07</v>
      </c>
      <c r="AA4">
        <v>4243.74</v>
      </c>
      <c r="AB4">
        <v>4268.93</v>
      </c>
      <c r="AC4">
        <v>0</v>
      </c>
      <c r="AD4">
        <v>0</v>
      </c>
      <c r="AE4">
        <v>3578.04</v>
      </c>
      <c r="AF4">
        <v>3491.12</v>
      </c>
      <c r="AG4">
        <v>3763.14</v>
      </c>
      <c r="AH4">
        <v>3796.36</v>
      </c>
      <c r="AI4">
        <v>0</v>
      </c>
      <c r="AJ4">
        <v>0</v>
      </c>
      <c r="AK4">
        <v>1</v>
      </c>
      <c r="AL4">
        <v>1</v>
      </c>
      <c r="AM4">
        <v>0.45</v>
      </c>
      <c r="AN4">
        <v>0.4</v>
      </c>
      <c r="AO4">
        <v>0</v>
      </c>
      <c r="AP4">
        <v>0</v>
      </c>
    </row>
    <row r="5" spans="1:42">
      <c r="A5">
        <v>60.011</v>
      </c>
      <c r="B5">
        <v>60.416</v>
      </c>
      <c r="C5">
        <v>69.6444444444444</v>
      </c>
      <c r="D5">
        <v>74.4744444444444</v>
      </c>
      <c r="E5">
        <v>0</v>
      </c>
      <c r="F5">
        <v>0</v>
      </c>
      <c r="G5">
        <v>3852.377</v>
      </c>
      <c r="H5">
        <v>3800.36</v>
      </c>
      <c r="I5">
        <v>4027.24444444444</v>
      </c>
      <c r="J5">
        <v>4044.85</v>
      </c>
      <c r="K5">
        <v>0</v>
      </c>
      <c r="L5">
        <v>0</v>
      </c>
      <c r="M5">
        <v>64.85</v>
      </c>
      <c r="N5">
        <v>65.18</v>
      </c>
      <c r="O5">
        <v>83.85</v>
      </c>
      <c r="P5">
        <v>88.22</v>
      </c>
      <c r="Q5">
        <v>0</v>
      </c>
      <c r="R5">
        <v>0</v>
      </c>
      <c r="S5">
        <v>53.36</v>
      </c>
      <c r="T5">
        <v>53.99</v>
      </c>
      <c r="U5">
        <v>62.91</v>
      </c>
      <c r="V5">
        <v>66.51</v>
      </c>
      <c r="W5">
        <v>0</v>
      </c>
      <c r="X5">
        <v>0</v>
      </c>
      <c r="Y5">
        <v>4056.06</v>
      </c>
      <c r="Z5">
        <v>3995.42</v>
      </c>
      <c r="AA5">
        <v>4307.87</v>
      </c>
      <c r="AB5">
        <v>4124.26</v>
      </c>
      <c r="AC5">
        <v>0</v>
      </c>
      <c r="AD5">
        <v>0</v>
      </c>
      <c r="AE5">
        <v>3564.83</v>
      </c>
      <c r="AF5">
        <v>3616.86</v>
      </c>
      <c r="AG5">
        <v>3809.04</v>
      </c>
      <c r="AH5">
        <v>3934.09</v>
      </c>
      <c r="AI5">
        <v>0</v>
      </c>
      <c r="AJ5">
        <v>0</v>
      </c>
      <c r="AK5">
        <v>1</v>
      </c>
      <c r="AL5">
        <v>1</v>
      </c>
      <c r="AM5">
        <v>0.45</v>
      </c>
      <c r="AN5">
        <v>0.45</v>
      </c>
      <c r="AO5">
        <v>0</v>
      </c>
      <c r="AP5">
        <v>0</v>
      </c>
    </row>
    <row r="6" spans="1:42">
      <c r="A6">
        <v>64.1535</v>
      </c>
      <c r="B6">
        <v>64.6295</v>
      </c>
      <c r="C6">
        <v>72.8933333333333</v>
      </c>
      <c r="D6">
        <v>77.097</v>
      </c>
      <c r="E6">
        <v>0</v>
      </c>
      <c r="F6">
        <v>0</v>
      </c>
      <c r="G6">
        <v>3821.959</v>
      </c>
      <c r="H6">
        <v>3747.7105</v>
      </c>
      <c r="I6">
        <v>4067.18</v>
      </c>
      <c r="J6">
        <v>4017.365</v>
      </c>
      <c r="K6">
        <v>0</v>
      </c>
      <c r="L6">
        <v>0</v>
      </c>
      <c r="M6">
        <v>71.49</v>
      </c>
      <c r="N6">
        <v>71.96</v>
      </c>
      <c r="O6">
        <v>78.4</v>
      </c>
      <c r="P6">
        <v>91.65</v>
      </c>
      <c r="Q6">
        <v>0</v>
      </c>
      <c r="R6">
        <v>0</v>
      </c>
      <c r="S6">
        <v>59.33</v>
      </c>
      <c r="T6">
        <v>60.02</v>
      </c>
      <c r="U6">
        <v>67.54</v>
      </c>
      <c r="V6">
        <v>71.54</v>
      </c>
      <c r="W6">
        <v>0</v>
      </c>
      <c r="X6">
        <v>0</v>
      </c>
      <c r="Y6">
        <v>4052.46</v>
      </c>
      <c r="Z6">
        <v>3933.36</v>
      </c>
      <c r="AA6">
        <v>4272.91</v>
      </c>
      <c r="AB6">
        <v>4199.58</v>
      </c>
      <c r="AC6">
        <v>0</v>
      </c>
      <c r="AD6">
        <v>0</v>
      </c>
      <c r="AE6">
        <v>3665.53</v>
      </c>
      <c r="AF6">
        <v>3588.2</v>
      </c>
      <c r="AG6">
        <v>3888.94</v>
      </c>
      <c r="AH6">
        <v>3811.12</v>
      </c>
      <c r="AI6">
        <v>0</v>
      </c>
      <c r="AJ6">
        <v>0</v>
      </c>
      <c r="AK6">
        <v>1</v>
      </c>
      <c r="AL6">
        <v>1</v>
      </c>
      <c r="AM6">
        <v>0.45</v>
      </c>
      <c r="AN6">
        <v>0.5</v>
      </c>
      <c r="AO6">
        <v>0</v>
      </c>
      <c r="AP6">
        <v>0</v>
      </c>
    </row>
    <row r="7" spans="1:42">
      <c r="A7">
        <v>70.774</v>
      </c>
      <c r="B7">
        <v>71.3685</v>
      </c>
      <c r="C7">
        <v>89.9166666666667</v>
      </c>
      <c r="D7">
        <v>87.16</v>
      </c>
      <c r="E7">
        <v>0</v>
      </c>
      <c r="F7">
        <v>0</v>
      </c>
      <c r="G7">
        <v>3855.1845</v>
      </c>
      <c r="H7">
        <v>3831.3165</v>
      </c>
      <c r="I7">
        <v>4018.59666666667</v>
      </c>
      <c r="J7">
        <v>4093.01</v>
      </c>
      <c r="K7">
        <v>0</v>
      </c>
      <c r="L7">
        <v>0</v>
      </c>
      <c r="M7">
        <v>75.93</v>
      </c>
      <c r="N7">
        <v>76.5</v>
      </c>
      <c r="O7">
        <v>90.29</v>
      </c>
      <c r="P7">
        <v>95.91</v>
      </c>
      <c r="Q7">
        <v>0</v>
      </c>
      <c r="R7">
        <v>0</v>
      </c>
      <c r="S7">
        <v>65.13</v>
      </c>
      <c r="T7">
        <v>65.44</v>
      </c>
      <c r="U7">
        <v>89.57</v>
      </c>
      <c r="V7">
        <v>78.41</v>
      </c>
      <c r="W7">
        <v>0</v>
      </c>
      <c r="X7">
        <v>0</v>
      </c>
      <c r="Y7">
        <v>4093.96</v>
      </c>
      <c r="Z7">
        <v>3985.97</v>
      </c>
      <c r="AA7">
        <v>4199.6</v>
      </c>
      <c r="AB7">
        <v>4232.73</v>
      </c>
      <c r="AC7">
        <v>0</v>
      </c>
      <c r="AD7">
        <v>0</v>
      </c>
      <c r="AE7">
        <v>3649.11</v>
      </c>
      <c r="AF7">
        <v>3675.22</v>
      </c>
      <c r="AG7">
        <v>3819.72</v>
      </c>
      <c r="AH7">
        <v>3953.29</v>
      </c>
      <c r="AI7">
        <v>0</v>
      </c>
      <c r="AJ7">
        <v>0</v>
      </c>
      <c r="AK7">
        <v>1</v>
      </c>
      <c r="AL7">
        <v>1</v>
      </c>
      <c r="AM7">
        <v>0.15</v>
      </c>
      <c r="AN7">
        <v>0.1</v>
      </c>
      <c r="AO7">
        <v>0</v>
      </c>
      <c r="AP7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20_100</vt:lpstr>
      <vt:lpstr>40_100</vt:lpstr>
      <vt:lpstr>60_100</vt:lpstr>
      <vt:lpstr>80_100</vt:lpstr>
      <vt:lpstr>100_100</vt:lpstr>
      <vt:lpstr>120_100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傲雪剑豪</cp:lastModifiedBy>
  <dcterms:created xsi:type="dcterms:W3CDTF">2024-08-24T22:50:00Z</dcterms:created>
  <dcterms:modified xsi:type="dcterms:W3CDTF">2024-08-25T14:31:57Z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4BF72E43A4D34E3181EFAF19FEC99849_12</vt:lpwstr>
  </property>
  <property fmtid="{D5CDD505-2E9C-101B-9397-08002B2CF9AE}" pid="3" name="KSOProductBuildVer">
    <vt:lpwstr>2052-12.1.0.17827</vt:lpwstr>
  </property>
</Properties>
</file>