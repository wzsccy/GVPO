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<sst xmlns="http://schemas.openxmlformats.org/spreadsheetml/2006/main" count="492" uniqueCount="75">
  <si>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</si>
  <si>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LC_1_T</t>
  </si>
  <si>
    <t>LC_1_C</t>
  </si>
  <si>
    <t>LC_2_T</t>
  </si>
  <si>
    <t>LC_2_C</t>
  </si>
  <si>
    <t>ML_1_T</t>
  </si>
  <si>
    <t>ML_1_C</t>
  </si>
  <si>
    <t>ML_2_T</t>
  </si>
  <si>
    <t>ML_2_C</t>
  </si>
  <si>
    <t>MA_1_T</t>
  </si>
  <si>
    <t>MA_1_C</t>
  </si>
  <si>
    <t>MA_2_T</t>
  </si>
  <si>
    <t>MA_2_C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</si>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</sst>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G25" sqref="G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24.92</v>
      </c>
      <c r="C2">
        <v>4196.76</v>
      </c>
      <c r="D2">
        <v>25.02</v>
      </c>
      <c r="E2">
        <v>4120.11</v>
      </c>
      <c r="F2">
        <v>27.68</v>
      </c>
      <c r="G2">
        <v>4745.27</v>
      </c>
      <c r="H2">
        <v>33.55</v>
      </c>
      <c r="I2">
        <v>4852.01</v>
      </c>
      <c r="J2">
        <v>27.01</v>
      </c>
      <c r="K2">
        <v>4198.1</v>
      </c>
      <c r="L2">
        <v>-1</v>
      </c>
      <c r="M2">
        <v>0</v>
      </c>
    </row>
    <row r="3" spans="1:13">
      <c r="A3" t="s">
        <v>14</v>
      </c>
      <c r="B3">
        <v>26.26</v>
      </c>
      <c r="C3">
        <v>4432.17</v>
      </c>
      <c r="D3">
        <v>26.34</v>
      </c>
      <c r="E3">
        <v>4482.71</v>
      </c>
      <c r="F3">
        <v>-1</v>
      </c>
      <c r="G3">
        <v>3067.73</v>
      </c>
      <c r="H3">
        <v>31.31</v>
      </c>
      <c r="I3">
        <v>5007.3</v>
      </c>
      <c r="J3">
        <v>-1</v>
      </c>
      <c r="K3">
        <v>0</v>
      </c>
      <c r="L3">
        <v>28.07</v>
      </c>
      <c r="M3">
        <v>4417.37</v>
      </c>
    </row>
    <row r="4" spans="1:13">
      <c r="A4" t="s">
        <v>15</v>
      </c>
      <c r="B4">
        <v>24.7</v>
      </c>
      <c r="C4">
        <v>4247.81</v>
      </c>
      <c r="D4">
        <v>24.86</v>
      </c>
      <c r="E4">
        <v>4366.4</v>
      </c>
      <c r="F4">
        <v>28.59</v>
      </c>
      <c r="G4">
        <v>4745.97</v>
      </c>
      <c r="H4">
        <v>28.53</v>
      </c>
      <c r="I4">
        <v>4890.55</v>
      </c>
      <c r="J4">
        <v>-1</v>
      </c>
      <c r="K4">
        <v>3190.21</v>
      </c>
      <c r="L4">
        <v>-1</v>
      </c>
      <c r="M4">
        <v>0</v>
      </c>
    </row>
    <row r="5" spans="1:13">
      <c r="A5" t="s">
        <v>16</v>
      </c>
      <c r="B5">
        <v>25.64</v>
      </c>
      <c r="C5">
        <v>4491.49</v>
      </c>
      <c r="D5">
        <v>25.75</v>
      </c>
      <c r="E5">
        <v>4368.08</v>
      </c>
      <c r="F5">
        <v>29.19</v>
      </c>
      <c r="G5">
        <v>4933.9</v>
      </c>
      <c r="H5">
        <v>29.77</v>
      </c>
      <c r="I5">
        <v>4824.05</v>
      </c>
      <c r="J5">
        <v>-1</v>
      </c>
      <c r="K5">
        <v>0</v>
      </c>
      <c r="L5">
        <v>-1</v>
      </c>
      <c r="M5">
        <v>1024.06</v>
      </c>
    </row>
    <row r="6" spans="1:13">
      <c r="A6" t="s">
        <v>17</v>
      </c>
      <c r="B6">
        <v>26.33</v>
      </c>
      <c r="C6">
        <v>4594.2</v>
      </c>
      <c r="D6">
        <v>26.45</v>
      </c>
      <c r="E6">
        <v>4313.5</v>
      </c>
      <c r="F6">
        <v>32.99</v>
      </c>
      <c r="G6">
        <v>5132.97</v>
      </c>
      <c r="H6">
        <v>29.24</v>
      </c>
      <c r="I6">
        <v>4854.43</v>
      </c>
      <c r="J6">
        <v>-1</v>
      </c>
      <c r="K6">
        <v>0</v>
      </c>
      <c r="L6">
        <v>44.09</v>
      </c>
      <c r="M6">
        <v>4285.37</v>
      </c>
    </row>
    <row r="7" spans="1:13">
      <c r="A7" t="s">
        <v>18</v>
      </c>
      <c r="B7">
        <v>26.56</v>
      </c>
      <c r="C7">
        <v>4450.41</v>
      </c>
      <c r="D7">
        <v>26.56</v>
      </c>
      <c r="E7">
        <v>4274.57</v>
      </c>
      <c r="F7">
        <v>29.9</v>
      </c>
      <c r="G7">
        <v>5046.88</v>
      </c>
      <c r="H7">
        <v>28.63</v>
      </c>
      <c r="I7">
        <v>4826.03</v>
      </c>
      <c r="J7">
        <v>36.26</v>
      </c>
      <c r="K7">
        <v>4376.76</v>
      </c>
      <c r="L7">
        <v>-1</v>
      </c>
      <c r="M7">
        <v>3971.25</v>
      </c>
    </row>
    <row r="8" spans="1:13">
      <c r="A8" t="s">
        <v>19</v>
      </c>
      <c r="B8">
        <v>26.18</v>
      </c>
      <c r="C8">
        <v>4683.56</v>
      </c>
      <c r="D8">
        <v>26.26</v>
      </c>
      <c r="E8">
        <v>4521.33</v>
      </c>
      <c r="F8">
        <v>32.47</v>
      </c>
      <c r="G8">
        <v>5314.03</v>
      </c>
      <c r="H8">
        <v>29.72</v>
      </c>
      <c r="I8">
        <v>4996.55</v>
      </c>
      <c r="J8">
        <v>-1</v>
      </c>
      <c r="K8">
        <v>0</v>
      </c>
      <c r="L8">
        <v>31.92</v>
      </c>
      <c r="M8">
        <v>4507</v>
      </c>
    </row>
    <row r="9" spans="1:13">
      <c r="A9" t="s">
        <v>20</v>
      </c>
      <c r="B9">
        <v>27.25</v>
      </c>
      <c r="C9">
        <v>4619.79</v>
      </c>
      <c r="D9">
        <v>27.36</v>
      </c>
      <c r="E9">
        <v>4619.2</v>
      </c>
      <c r="F9">
        <v>30.42</v>
      </c>
      <c r="G9">
        <v>5180.22</v>
      </c>
      <c r="H9">
        <v>32.04</v>
      </c>
      <c r="I9">
        <v>5378.22</v>
      </c>
      <c r="J9">
        <v>30.21</v>
      </c>
      <c r="K9">
        <v>4611.17</v>
      </c>
      <c r="L9">
        <v>30.41</v>
      </c>
      <c r="M9">
        <v>4654.06</v>
      </c>
    </row>
    <row r="10" spans="1:13">
      <c r="A10" t="s">
        <v>21</v>
      </c>
      <c r="B10">
        <v>24.53</v>
      </c>
      <c r="C10">
        <v>4104.56</v>
      </c>
      <c r="D10">
        <v>24.65</v>
      </c>
      <c r="E10">
        <v>4275.17</v>
      </c>
      <c r="F10">
        <v>27.49</v>
      </c>
      <c r="G10">
        <v>4560.58</v>
      </c>
      <c r="H10">
        <v>30.13</v>
      </c>
      <c r="I10">
        <v>5057.03</v>
      </c>
      <c r="J10">
        <v>26.33</v>
      </c>
      <c r="K10">
        <v>4108.61</v>
      </c>
      <c r="L10">
        <v>-1</v>
      </c>
      <c r="M10">
        <v>269.97</v>
      </c>
    </row>
    <row r="11" spans="1:13">
      <c r="A11" t="s">
        <v>22</v>
      </c>
      <c r="B11">
        <v>25.79</v>
      </c>
      <c r="C11">
        <v>4376.15</v>
      </c>
      <c r="D11">
        <v>25.96</v>
      </c>
      <c r="E11">
        <v>4380.81</v>
      </c>
      <c r="F11">
        <v>28.4</v>
      </c>
      <c r="G11">
        <v>4868.17</v>
      </c>
      <c r="H11">
        <v>29.53</v>
      </c>
      <c r="I11">
        <v>4918.79</v>
      </c>
      <c r="J11">
        <v>-1</v>
      </c>
      <c r="K11">
        <v>0</v>
      </c>
      <c r="L11">
        <v>-1</v>
      </c>
      <c r="M11">
        <v>1531.48</v>
      </c>
    </row>
    <row r="12" spans="1:13">
      <c r="A12" t="s">
        <v>23</v>
      </c>
      <c r="B12">
        <v>26.57</v>
      </c>
      <c r="C12">
        <v>4541.26</v>
      </c>
      <c r="D12">
        <v>26.64</v>
      </c>
      <c r="E12">
        <v>4678.12</v>
      </c>
      <c r="F12">
        <v>30.8</v>
      </c>
      <c r="G12">
        <v>5146.3</v>
      </c>
      <c r="H12">
        <v>30.32</v>
      </c>
      <c r="I12">
        <v>5268.21</v>
      </c>
      <c r="J12">
        <v>41.16</v>
      </c>
      <c r="K12">
        <v>4516.86</v>
      </c>
      <c r="L12">
        <v>-1</v>
      </c>
      <c r="M12">
        <v>1215</v>
      </c>
    </row>
    <row r="13" spans="1:13">
      <c r="A13" t="s">
        <v>24</v>
      </c>
      <c r="B13">
        <v>24.85</v>
      </c>
      <c r="C13">
        <v>4297.83</v>
      </c>
      <c r="D13">
        <v>24.79</v>
      </c>
      <c r="E13">
        <v>4300.46</v>
      </c>
      <c r="F13">
        <v>27.61</v>
      </c>
      <c r="G13">
        <v>4847.89</v>
      </c>
      <c r="H13">
        <v>26.83</v>
      </c>
      <c r="I13">
        <v>4748.92</v>
      </c>
      <c r="J13">
        <v>30.86</v>
      </c>
      <c r="K13">
        <v>4313.17</v>
      </c>
      <c r="L13">
        <v>34.77</v>
      </c>
      <c r="M13">
        <v>4295.9</v>
      </c>
    </row>
    <row r="14" spans="1:13">
      <c r="A14" t="s">
        <v>25</v>
      </c>
      <c r="B14">
        <v>24.44</v>
      </c>
      <c r="C14">
        <v>4286.51</v>
      </c>
      <c r="D14">
        <v>24.44</v>
      </c>
      <c r="E14">
        <v>4230.39</v>
      </c>
      <c r="F14">
        <v>27.73</v>
      </c>
      <c r="G14">
        <v>4789.46</v>
      </c>
      <c r="H14">
        <v>-1</v>
      </c>
      <c r="I14">
        <v>4617.69</v>
      </c>
      <c r="J14">
        <v>-1</v>
      </c>
      <c r="K14">
        <v>0</v>
      </c>
      <c r="L14">
        <v>33.7</v>
      </c>
      <c r="M14">
        <v>4199.3</v>
      </c>
    </row>
    <row r="15" spans="1:13">
      <c r="A15" t="s">
        <v>26</v>
      </c>
      <c r="B15">
        <v>24.69</v>
      </c>
      <c r="C15">
        <v>4279.63</v>
      </c>
      <c r="D15">
        <v>24.83</v>
      </c>
      <c r="E15">
        <v>4063.63</v>
      </c>
      <c r="F15">
        <v>28.16</v>
      </c>
      <c r="G15">
        <v>4754.11</v>
      </c>
      <c r="H15">
        <v>28.88</v>
      </c>
      <c r="I15">
        <v>4618.88</v>
      </c>
      <c r="J15">
        <v>41.97</v>
      </c>
      <c r="K15">
        <v>4219.25</v>
      </c>
      <c r="L15">
        <v>-1</v>
      </c>
      <c r="M15">
        <v>1829.64</v>
      </c>
    </row>
    <row r="16" spans="1:13">
      <c r="A16" t="s">
        <v>27</v>
      </c>
      <c r="B16">
        <v>24.29</v>
      </c>
      <c r="C16">
        <v>4106.43</v>
      </c>
      <c r="D16">
        <v>24.3</v>
      </c>
      <c r="E16">
        <v>4158.93</v>
      </c>
      <c r="F16">
        <v>29.98</v>
      </c>
      <c r="G16">
        <v>4601.64</v>
      </c>
      <c r="H16">
        <v>28.47</v>
      </c>
      <c r="I16">
        <v>4701.27</v>
      </c>
      <c r="J16">
        <v>33.77</v>
      </c>
      <c r="K16">
        <v>4091.82</v>
      </c>
      <c r="L16">
        <v>-1</v>
      </c>
      <c r="M16">
        <v>3753.26</v>
      </c>
    </row>
    <row r="17" spans="1:13">
      <c r="A17" t="s">
        <v>28</v>
      </c>
      <c r="B17">
        <v>25.79</v>
      </c>
      <c r="C17">
        <v>4344.21</v>
      </c>
      <c r="D17">
        <v>25.84</v>
      </c>
      <c r="E17">
        <v>4591.67</v>
      </c>
      <c r="F17">
        <v>29.65</v>
      </c>
      <c r="G17">
        <v>4914.28</v>
      </c>
      <c r="H17">
        <v>29.73</v>
      </c>
      <c r="I17">
        <v>5147.13</v>
      </c>
      <c r="J17">
        <v>-1</v>
      </c>
      <c r="K17">
        <v>220.82</v>
      </c>
      <c r="L17">
        <v>29.62</v>
      </c>
      <c r="M17">
        <v>4545.88</v>
      </c>
    </row>
    <row r="18" spans="1:13">
      <c r="A18" t="s">
        <v>29</v>
      </c>
      <c r="B18">
        <v>25.03</v>
      </c>
      <c r="C18">
        <v>4363.19</v>
      </c>
      <c r="D18">
        <v>25.16</v>
      </c>
      <c r="E18">
        <v>4270.62</v>
      </c>
      <c r="F18">
        <v>30.04</v>
      </c>
      <c r="G18">
        <v>4948.34</v>
      </c>
      <c r="H18">
        <v>28.84</v>
      </c>
      <c r="I18">
        <v>4757.14</v>
      </c>
      <c r="J18">
        <v>-1</v>
      </c>
      <c r="K18">
        <v>271.02</v>
      </c>
      <c r="L18">
        <v>-1</v>
      </c>
      <c r="M18">
        <v>0</v>
      </c>
    </row>
    <row r="19" spans="1:13">
      <c r="A19" t="s">
        <v>30</v>
      </c>
      <c r="B19">
        <v>26.29</v>
      </c>
      <c r="C19">
        <v>4488.72</v>
      </c>
      <c r="D19">
        <v>26.42</v>
      </c>
      <c r="E19">
        <v>4432.03</v>
      </c>
      <c r="F19">
        <v>29.46</v>
      </c>
      <c r="G19">
        <v>5049.62</v>
      </c>
      <c r="H19">
        <v>30.76</v>
      </c>
      <c r="I19">
        <v>5124.51</v>
      </c>
      <c r="J19">
        <v>30.94</v>
      </c>
      <c r="K19">
        <v>4475.34</v>
      </c>
      <c r="L19">
        <v>-1</v>
      </c>
      <c r="M19">
        <v>2888.46</v>
      </c>
    </row>
    <row r="20" spans="1:13">
      <c r="A20" t="s">
        <v>31</v>
      </c>
      <c r="B20">
        <v>25.24</v>
      </c>
      <c r="C20">
        <v>4284.03</v>
      </c>
      <c r="D20">
        <v>25.36</v>
      </c>
      <c r="E20">
        <v>4425.74</v>
      </c>
      <c r="F20">
        <v>28.43</v>
      </c>
      <c r="G20">
        <v>4797.91</v>
      </c>
      <c r="H20">
        <v>29.34</v>
      </c>
      <c r="I20">
        <v>4885.86</v>
      </c>
      <c r="J20">
        <v>37.56</v>
      </c>
      <c r="K20">
        <v>4276.2</v>
      </c>
      <c r="L20">
        <v>-1</v>
      </c>
      <c r="M20">
        <v>0</v>
      </c>
    </row>
    <row r="21" spans="1:13">
      <c r="A21" t="s">
        <v>32</v>
      </c>
      <c r="B21">
        <v>26</v>
      </c>
      <c r="C21">
        <v>4380.53</v>
      </c>
      <c r="D21">
        <v>26.13</v>
      </c>
      <c r="E21">
        <v>4426.64</v>
      </c>
      <c r="F21">
        <v>29.08</v>
      </c>
      <c r="G21">
        <v>4861.48</v>
      </c>
      <c r="H21">
        <v>30.55</v>
      </c>
      <c r="I21">
        <v>5002.46</v>
      </c>
      <c r="J21">
        <v>34.52</v>
      </c>
      <c r="K21">
        <v>4360.4</v>
      </c>
      <c r="L21">
        <v>35.58</v>
      </c>
      <c r="M21">
        <v>4447.62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25.5675</v>
      </c>
      <c r="B24" s="4">
        <f>IFERROR(AVERAGEIF($D$2:$D$21,"&lt;&gt; -1"),0)</f>
        <v>25.656</v>
      </c>
      <c r="C24" s="4">
        <f>IFERROR(AVERAGEIF($F$2:$F$21,"&lt;&gt; -1"),0)</f>
        <v>29.3721052631579</v>
      </c>
      <c r="D24" s="4">
        <f>IFERROR(AVERAGEIF($H$2:$H$21,"&lt;&gt; -1"),0)</f>
        <v>29.7984210526316</v>
      </c>
      <c r="E24" s="4">
        <f>IFERROR(AVERAGEIF($J$2:$J$21,"&lt;&gt; -1"),0)</f>
        <v>33.69</v>
      </c>
      <c r="F24" s="4">
        <f>IFERROR(AVERAGEIF($L$2:$L$21,"&lt;&gt; -1"),0)</f>
        <v>33.52</v>
      </c>
      <c r="G24" s="4">
        <f>IFERROR(AVERAGEIFS($C$2:$C$21,$B$2:$B$21,"&lt;&gt; -1"),0)</f>
        <v>4378.462</v>
      </c>
      <c r="H24" s="4">
        <f>IFERROR(AVERAGEIFS($E$2:$E$21,$D$2:$D$21,"&lt;&gt; -1"),0)</f>
        <v>4365.0055</v>
      </c>
      <c r="I24" s="4">
        <f>IFERROR(AVERAGEIFS($G$2:$G$21,$F$2:$F$21,"&lt;&gt; -1"),0)</f>
        <v>4907.31684210526</v>
      </c>
      <c r="J24" s="4">
        <f>IFERROR(AVERAGEIFS($I$2:$I$21,$H$2:$H$21,"&lt;&gt; -1"),0)</f>
        <v>4939.96526315789</v>
      </c>
      <c r="K24" s="4">
        <f>IFERROR(AVERAGEIFS($K$2:$K$21,$J$2:$J$21,"&lt;&gt; -1"),0)</f>
        <v>4322.51636363636</v>
      </c>
      <c r="L24" s="4">
        <f>IFERROR(AVERAGEIFS($M$2:$M$21,$L$2:$L$21,"&lt;&gt; -1"),0)</f>
        <v>4419.0625</v>
      </c>
      <c r="M24" s="4">
        <f>IFERROR(_xlfn.MAXIFS($B$2:$B$21,$B$2:$B$21,"&lt;&gt; -1"),0)</f>
        <v>27.25</v>
      </c>
      <c r="N24" s="4">
        <f>IFERROR(_xlfn.MAXIFS($D$2:$D$21,$D$2:$D$21,"&lt;&gt;-1"),0)</f>
        <v>27.36</v>
      </c>
      <c r="O24" s="4">
        <f>IFERROR(_xlfn.MAXIFS($F$2:$F$21,$F$2:$F$21,"&lt;&gt; -1"),0)</f>
        <v>32.99</v>
      </c>
      <c r="P24" s="4">
        <f>IFERROR(_xlfn.MAXIFS($H$2:$H$21,$H$2:$H$21,"&lt;&gt; -1"),0)</f>
        <v>33.55</v>
      </c>
      <c r="Q24" s="4">
        <f>IFERROR(_xlfn.MAXIFS($J$2:$J$21,$J$2:$J$21,"&lt;&gt; -1"),0)</f>
        <v>41.97</v>
      </c>
      <c r="R24" s="4">
        <f>IFERROR(_xlfn.MAXIFS($L$2:$L$21,$L$2:$L$21,"&lt;&gt; -1"),0)</f>
        <v>44.09</v>
      </c>
      <c r="S24" s="4">
        <f>IFERROR(_xlfn.MINIFS($B$2:$B$21,$B$2:$B$21,"&lt;&gt; -1"),0)</f>
        <v>24.29</v>
      </c>
      <c r="T24" s="4">
        <f>IFERROR(_xlfn.MINIFS($D$2:$D$21,$D$2:$D$21,"&lt;&gt;-1"),0)</f>
        <v>24.3</v>
      </c>
      <c r="U24" s="4">
        <f>IFERROR(_xlfn.MINIFS($F$2:$F$21,$F$2:$F$21,"&lt;&gt; -1"),0)</f>
        <v>27.49</v>
      </c>
      <c r="V24" s="4">
        <f>IFERROR(_xlfn.MINIFS($H$2:$H$21,$H$2:$H$21,"&lt;&gt; -1"),0)</f>
        <v>26.83</v>
      </c>
      <c r="W24" s="4">
        <f>IFERROR(_xlfn.MINIFS($J$2:$J$21,$J$2:$J$21,"&lt;&gt; -1"),0)</f>
        <v>26.33</v>
      </c>
      <c r="X24" s="4">
        <f>IFERROR(_xlfn.MINIFS($L$2:$L$21,$L$2:$L$21,"&lt;&gt; -1"),0)</f>
        <v>28.07</v>
      </c>
      <c r="Y24" s="4">
        <f>IFERROR(_xlfn.MAXIFS($C$2:$C$21,$B$2:$B$21,"&lt;&gt; -1"),0)</f>
        <v>4683.56</v>
      </c>
      <c r="Z24" s="4">
        <f>IFERROR(_xlfn.MAXIFS($E$2:$E$21,$D$2:$D$21,"&lt;&gt; -1"),0)</f>
        <v>4678.12</v>
      </c>
      <c r="AA24" s="4">
        <f>IFERROR(_xlfn.MAXIFS($G$2:$G$21,$F$2:$F$21,"&lt;&gt; -1"),0)</f>
        <v>5314.03</v>
      </c>
      <c r="AB24" s="4">
        <f>IFERROR(_xlfn.MAXIFS($I$2:$I$21,$H$2:$H$21,"&lt;&gt; -1"),0)</f>
        <v>5378.22</v>
      </c>
      <c r="AC24" s="4">
        <f>IFERROR(_xlfn.MAXIFS($K$2:$K$21,$J$2:$J$21,"&lt;&gt; -1"),0)</f>
        <v>4611.17</v>
      </c>
      <c r="AD24" s="4">
        <f>IFERROR(_xlfn.MAXIFS($M$2:$M$21,$L$2:$L$21,"&lt;&gt; -1"),0)</f>
        <v>4654.06</v>
      </c>
      <c r="AE24" s="4">
        <f>IFERROR(_xlfn.MINIFS($C$2:$C$21,$B$2:$B$21,"&lt;&gt; -1"),0)</f>
        <v>4104.56</v>
      </c>
      <c r="AF24" s="4">
        <f>IFERROR(_xlfn.MINIFS($E$2:$E$21,$D$2:$D$21,"&lt;&gt; -1"),0)</f>
        <v>4063.63</v>
      </c>
      <c r="AG24" s="4">
        <f>IFERROR(_xlfn.MINIFS($G$2:$G$21,$F$2:$F$21,"&lt;&gt; -1"),0)</f>
        <v>4560.58</v>
      </c>
      <c r="AH24" s="4">
        <f>IFERROR(_xlfn.MINIFS($I$2:$I$21,$H$2:$H$21,"&lt;&gt; -1"),0)</f>
        <v>4618.88</v>
      </c>
      <c r="AI24" s="4">
        <f>IFERROR(_xlfn.MINIFS($K$2:$K$21,$J$2:$J$21,"&lt;&gt; -1"),0)</f>
        <v>4091.82</v>
      </c>
      <c r="AJ24" s="4">
        <f>IFERROR(_xlfn.MINIFS($M$2:$M$21,$L$2:$L$21,"&lt;&gt; -1"),0)</f>
        <v>4199.3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0.95</v>
      </c>
      <c r="AN24" s="4">
        <f>(COUNTIFS($H$2:$H$21,"&gt;0.0",$H$2:$H$21,"&lt;200.0"))/20</f>
        <v>0.95</v>
      </c>
      <c r="AO24" s="4">
        <f>(COUNTIFS($J$2:$J$21,"&gt;0.0",$J$2:$J$21,"&lt;200.0"))/20</f>
        <v>0.55</v>
      </c>
      <c r="AP24" s="4">
        <f>(COUNTIFS($L$2:$L$21,"&gt;0.0",$L$2:$L$21,"&lt;200.0"))/20</f>
        <v>0.4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27.98</v>
      </c>
      <c r="C2">
        <v>4261.72</v>
      </c>
      <c r="D2">
        <v>28.36</v>
      </c>
      <c r="E2">
        <v>4229.69</v>
      </c>
      <c r="F2">
        <v>-1</v>
      </c>
      <c r="G2">
        <v>762.02</v>
      </c>
      <c r="H2">
        <v>-1</v>
      </c>
      <c r="I2">
        <v>3500.51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29.77</v>
      </c>
      <c r="C3">
        <v>4793.92</v>
      </c>
      <c r="D3">
        <v>29.92</v>
      </c>
      <c r="E3">
        <v>4537.83</v>
      </c>
      <c r="F3">
        <v>-1</v>
      </c>
      <c r="G3">
        <v>860.11</v>
      </c>
      <c r="H3">
        <v>-1</v>
      </c>
      <c r="I3">
        <v>722.32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28.92</v>
      </c>
      <c r="C4">
        <v>4363.84</v>
      </c>
      <c r="D4">
        <v>29.25</v>
      </c>
      <c r="E4">
        <v>4566.94</v>
      </c>
      <c r="F4">
        <v>-1</v>
      </c>
      <c r="G4">
        <v>687.25</v>
      </c>
      <c r="H4">
        <v>-1</v>
      </c>
      <c r="I4">
        <v>642.82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29.06</v>
      </c>
      <c r="C5">
        <v>4528.11</v>
      </c>
      <c r="D5">
        <v>29.46</v>
      </c>
      <c r="E5">
        <v>4618.47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30.51</v>
      </c>
      <c r="C6">
        <v>4660.2</v>
      </c>
      <c r="D6">
        <v>30.69</v>
      </c>
      <c r="E6">
        <v>4689.75</v>
      </c>
      <c r="F6">
        <v>-1</v>
      </c>
      <c r="G6">
        <v>0</v>
      </c>
      <c r="H6">
        <v>-1</v>
      </c>
      <c r="I6">
        <v>695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31.48</v>
      </c>
      <c r="C7">
        <v>4692.77</v>
      </c>
      <c r="D7">
        <v>31.68</v>
      </c>
      <c r="E7">
        <v>4510.84</v>
      </c>
      <c r="F7">
        <v>-1</v>
      </c>
      <c r="G7">
        <v>5092.6</v>
      </c>
      <c r="H7">
        <v>-1</v>
      </c>
      <c r="I7">
        <v>587.05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30.84</v>
      </c>
      <c r="C8">
        <v>4728.06</v>
      </c>
      <c r="D8">
        <v>30.92</v>
      </c>
      <c r="E8">
        <v>4523.59</v>
      </c>
      <c r="F8">
        <v>-1</v>
      </c>
      <c r="G8">
        <v>822.86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31.58</v>
      </c>
      <c r="C9">
        <v>4734.06</v>
      </c>
      <c r="D9">
        <v>32.04</v>
      </c>
      <c r="E9">
        <v>4791.54</v>
      </c>
      <c r="F9">
        <v>49.2</v>
      </c>
      <c r="G9">
        <v>5226.01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29.78</v>
      </c>
      <c r="C10">
        <v>4511.54</v>
      </c>
      <c r="D10">
        <v>29.92</v>
      </c>
      <c r="E10">
        <v>4523.55</v>
      </c>
      <c r="F10">
        <v>-1</v>
      </c>
      <c r="G10">
        <v>741.84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29.92</v>
      </c>
      <c r="C11">
        <v>4480.49</v>
      </c>
      <c r="D11">
        <v>30.13</v>
      </c>
      <c r="E11">
        <v>4581.45</v>
      </c>
      <c r="F11">
        <v>42.78</v>
      </c>
      <c r="G11">
        <v>4842.39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30.72</v>
      </c>
      <c r="C12">
        <v>4619.44</v>
      </c>
      <c r="D12">
        <v>31.15</v>
      </c>
      <c r="E12">
        <v>4574.87</v>
      </c>
      <c r="F12">
        <v>-1</v>
      </c>
      <c r="G12">
        <v>844.11</v>
      </c>
      <c r="H12">
        <v>41.71</v>
      </c>
      <c r="I12">
        <v>5163.59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28.51</v>
      </c>
      <c r="C13">
        <v>4368.98</v>
      </c>
      <c r="D13">
        <v>28.75</v>
      </c>
      <c r="E13">
        <v>4087.11</v>
      </c>
      <c r="F13">
        <v>-1</v>
      </c>
      <c r="G13">
        <v>0</v>
      </c>
      <c r="H13">
        <v>42.55</v>
      </c>
      <c r="I13">
        <v>4611.65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27.86</v>
      </c>
      <c r="C14">
        <v>4101.86</v>
      </c>
      <c r="D14">
        <v>28.03</v>
      </c>
      <c r="E14">
        <v>4201.37</v>
      </c>
      <c r="F14">
        <v>42.14</v>
      </c>
      <c r="G14">
        <v>4596.02</v>
      </c>
      <c r="H14">
        <v>-1</v>
      </c>
      <c r="I14">
        <v>803.56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29.32</v>
      </c>
      <c r="C15">
        <v>4605.38</v>
      </c>
      <c r="D15">
        <v>29.44</v>
      </c>
      <c r="E15">
        <v>4250.6</v>
      </c>
      <c r="F15">
        <v>-1</v>
      </c>
      <c r="G15">
        <v>820.51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28.93</v>
      </c>
      <c r="C16">
        <v>4326.45</v>
      </c>
      <c r="D16">
        <v>29.14</v>
      </c>
      <c r="E16">
        <v>4397.81</v>
      </c>
      <c r="F16">
        <v>46.41</v>
      </c>
      <c r="G16">
        <v>4776.38</v>
      </c>
      <c r="H16">
        <v>-1</v>
      </c>
      <c r="I16">
        <v>741.23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30.52</v>
      </c>
      <c r="C17">
        <v>4702.92</v>
      </c>
      <c r="D17">
        <v>30.7</v>
      </c>
      <c r="E17">
        <v>4603.81</v>
      </c>
      <c r="F17">
        <v>-1</v>
      </c>
      <c r="G17">
        <v>817.76</v>
      </c>
      <c r="H17">
        <v>-1</v>
      </c>
      <c r="I17">
        <v>1944.52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29.35</v>
      </c>
      <c r="C18">
        <v>4550.12</v>
      </c>
      <c r="D18">
        <v>29.71</v>
      </c>
      <c r="E18">
        <v>4554.32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31.82</v>
      </c>
      <c r="C19">
        <v>4769.52</v>
      </c>
      <c r="D19">
        <v>32.18</v>
      </c>
      <c r="E19">
        <v>4738.33</v>
      </c>
      <c r="F19">
        <v>60.76</v>
      </c>
      <c r="G19">
        <v>5272.21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30.36</v>
      </c>
      <c r="C20">
        <v>4379.8</v>
      </c>
      <c r="D20">
        <v>30.44</v>
      </c>
      <c r="E20">
        <v>4617.97</v>
      </c>
      <c r="F20">
        <v>-1</v>
      </c>
      <c r="G20">
        <v>679.1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30.37</v>
      </c>
      <c r="C21">
        <v>4599.25</v>
      </c>
      <c r="D21">
        <v>30.77</v>
      </c>
      <c r="E21">
        <v>4639.57</v>
      </c>
      <c r="F21">
        <v>-1</v>
      </c>
      <c r="G21">
        <v>784.23</v>
      </c>
      <c r="H21">
        <v>-1</v>
      </c>
      <c r="I21">
        <v>670.79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29.88</v>
      </c>
      <c r="B24" s="4">
        <f>IFERROR(AVERAGEIF($D$2:$D$21,"&lt;&gt; -1"),0)</f>
        <v>30.134</v>
      </c>
      <c r="C24" s="4">
        <f>IFERROR(AVERAGEIF($F$2:$F$21,"&lt;&gt; -1"),0)</f>
        <v>48.258</v>
      </c>
      <c r="D24" s="4">
        <f>IFERROR(AVERAGEIF($H$2:$H$21,"&lt;&gt; -1"),0)</f>
        <v>42.13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4538.9215</v>
      </c>
      <c r="H24" s="4">
        <f>IFERROR(AVERAGEIFS($E$2:$E$21,$D$2:$D$21,"&lt;&gt; -1"),0)</f>
        <v>4511.9705</v>
      </c>
      <c r="I24" s="4">
        <f>IFERROR(AVERAGEIFS($G$2:$G$21,$F$2:$F$21,"&lt;&gt; -1"),0)</f>
        <v>4942.602</v>
      </c>
      <c r="J24" s="4">
        <f>IFERROR(AVERAGEIFS($I$2:$I$21,$H$2:$H$21,"&lt;&gt; -1"),0)</f>
        <v>4887.62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31.82</v>
      </c>
      <c r="N24" s="4">
        <f>IFERROR(_xlfn.MAXIFS($D$2:$D$21,$D$2:$D$21,"&lt;&gt;-1"),0)</f>
        <v>32.18</v>
      </c>
      <c r="O24" s="4">
        <f>IFERROR(_xlfn.MAXIFS($F$2:$F$21,$F$2:$F$21,"&lt;&gt; -1"),0)</f>
        <v>60.76</v>
      </c>
      <c r="P24" s="4">
        <f>IFERROR(_xlfn.MAXIFS($H$2:$H$21,$H$2:$H$21,"&lt;&gt; -1"),0)</f>
        <v>42.55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27.86</v>
      </c>
      <c r="T24" s="4">
        <f>IFERROR(_xlfn.MINIFS($D$2:$D$21,$D$2:$D$21,"&lt;&gt;-1"),0)</f>
        <v>28.03</v>
      </c>
      <c r="U24" s="4">
        <f>IFERROR(_xlfn.MINIFS($F$2:$F$21,$F$2:$F$21,"&lt;&gt; -1"),0)</f>
        <v>42.14</v>
      </c>
      <c r="V24" s="4">
        <f>IFERROR(_xlfn.MINIFS($H$2:$H$21,$H$2:$H$21,"&lt;&gt; -1"),0)</f>
        <v>41.71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4793.92</v>
      </c>
      <c r="Z24" s="4">
        <f>IFERROR(_xlfn.MAXIFS($E$2:$E$21,$D$2:$D$21,"&lt;&gt; -1"),0)</f>
        <v>4791.54</v>
      </c>
      <c r="AA24" s="4">
        <f>IFERROR(_xlfn.MAXIFS($G$2:$G$21,$F$2:$F$21,"&lt;&gt; -1"),0)</f>
        <v>5272.21</v>
      </c>
      <c r="AB24" s="4">
        <f>IFERROR(_xlfn.MAXIFS($I$2:$I$21,$H$2:$H$21,"&lt;&gt; -1"),0)</f>
        <v>5163.59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4101.86</v>
      </c>
      <c r="AF24" s="4">
        <f>IFERROR(_xlfn.MINIFS($E$2:$E$21,$D$2:$D$21,"&lt;&gt; -1"),0)</f>
        <v>4087.11</v>
      </c>
      <c r="AG24" s="4">
        <f>IFERROR(_xlfn.MINIFS($G$2:$G$21,$F$2:$F$21,"&lt;&gt; -1"),0)</f>
        <v>4596.02</v>
      </c>
      <c r="AH24" s="4">
        <f>IFERROR(_xlfn.MINIFS($I$2:$I$21,$H$2:$H$21,"&lt;&gt; -1"),0)</f>
        <v>4611.65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0.25</v>
      </c>
      <c r="AN24" s="4">
        <f>(COUNTIFS($H$2:$H$21,"&gt;0.0",$H$2:$H$21,"&lt;200.0"))/20</f>
        <v>0.1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32.41</v>
      </c>
      <c r="C2">
        <v>4272.09</v>
      </c>
      <c r="D2">
        <v>32.65</v>
      </c>
      <c r="E2">
        <v>4187.01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33.91</v>
      </c>
      <c r="C3">
        <v>4586.58</v>
      </c>
      <c r="D3">
        <v>34.21</v>
      </c>
      <c r="E3">
        <v>4495.37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33.43</v>
      </c>
      <c r="C4">
        <v>4500.07</v>
      </c>
      <c r="D4">
        <v>33.75</v>
      </c>
      <c r="E4">
        <v>4418.01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32.61</v>
      </c>
      <c r="C5">
        <v>4543.74</v>
      </c>
      <c r="D5">
        <v>32.83</v>
      </c>
      <c r="E5">
        <v>4465.6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34.87</v>
      </c>
      <c r="C6">
        <v>4712.33</v>
      </c>
      <c r="D6">
        <v>35.1</v>
      </c>
      <c r="E6">
        <v>4575.61</v>
      </c>
      <c r="F6">
        <v>-1</v>
      </c>
      <c r="G6">
        <v>1040.83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35.2</v>
      </c>
      <c r="C7">
        <v>4756.06</v>
      </c>
      <c r="D7">
        <v>35.6</v>
      </c>
      <c r="E7">
        <v>4532.45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35.11</v>
      </c>
      <c r="C8">
        <v>4621.08</v>
      </c>
      <c r="D8">
        <v>35.37</v>
      </c>
      <c r="E8">
        <v>4516.8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35.65</v>
      </c>
      <c r="C9">
        <v>4724.49</v>
      </c>
      <c r="D9">
        <v>36.12</v>
      </c>
      <c r="E9">
        <v>4507.72</v>
      </c>
      <c r="F9">
        <v>44.27</v>
      </c>
      <c r="G9">
        <v>5278.25</v>
      </c>
      <c r="H9">
        <v>50.49</v>
      </c>
      <c r="I9">
        <v>5171.75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34.22</v>
      </c>
      <c r="C10">
        <v>4702.85</v>
      </c>
      <c r="D10">
        <v>34.59</v>
      </c>
      <c r="E10">
        <v>4577</v>
      </c>
      <c r="F10">
        <v>-1</v>
      </c>
      <c r="G10">
        <v>0</v>
      </c>
      <c r="H10">
        <v>-1</v>
      </c>
      <c r="I10">
        <v>4211.38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33.9</v>
      </c>
      <c r="C11">
        <v>4567.52</v>
      </c>
      <c r="D11">
        <v>34.26</v>
      </c>
      <c r="E11">
        <v>4474.61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34.85</v>
      </c>
      <c r="C12">
        <v>4721.33</v>
      </c>
      <c r="D12">
        <v>35.21</v>
      </c>
      <c r="E12">
        <v>4735.23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32.52</v>
      </c>
      <c r="C13">
        <v>4415.4</v>
      </c>
      <c r="D13">
        <v>32.81</v>
      </c>
      <c r="E13">
        <v>4032.92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32.34</v>
      </c>
      <c r="C14">
        <v>4442.97</v>
      </c>
      <c r="D14">
        <v>32.66</v>
      </c>
      <c r="E14">
        <v>4346.91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33.29</v>
      </c>
      <c r="C15">
        <v>4418.11</v>
      </c>
      <c r="D15">
        <v>33.61</v>
      </c>
      <c r="E15">
        <v>4579.15</v>
      </c>
      <c r="F15">
        <v>-1</v>
      </c>
      <c r="G15">
        <v>0</v>
      </c>
      <c r="H15">
        <v>-1</v>
      </c>
      <c r="I15">
        <v>1024.12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32.89</v>
      </c>
      <c r="C16">
        <v>4404.76</v>
      </c>
      <c r="D16">
        <v>33.13</v>
      </c>
      <c r="E16">
        <v>4428.5</v>
      </c>
      <c r="F16">
        <v>-1</v>
      </c>
      <c r="G16">
        <v>0</v>
      </c>
      <c r="H16">
        <v>-1</v>
      </c>
      <c r="I16">
        <v>1021.69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34.84</v>
      </c>
      <c r="C17">
        <v>4528.04</v>
      </c>
      <c r="D17">
        <v>35.18</v>
      </c>
      <c r="E17">
        <v>4501.65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33.24</v>
      </c>
      <c r="C18">
        <v>4614.18</v>
      </c>
      <c r="D18">
        <v>33.52</v>
      </c>
      <c r="E18">
        <v>4353.37</v>
      </c>
      <c r="F18">
        <v>-1</v>
      </c>
      <c r="G18">
        <v>850.94</v>
      </c>
      <c r="H18">
        <v>-1</v>
      </c>
      <c r="I18">
        <v>833.99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36.17</v>
      </c>
      <c r="C19">
        <v>4825.23</v>
      </c>
      <c r="D19">
        <v>36.65</v>
      </c>
      <c r="E19">
        <v>4888.36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34.75</v>
      </c>
      <c r="C20">
        <v>4713.03</v>
      </c>
      <c r="D20">
        <v>35.06</v>
      </c>
      <c r="E20">
        <v>4628.68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35.39</v>
      </c>
      <c r="C21">
        <v>4672.81</v>
      </c>
      <c r="D21">
        <v>35.66</v>
      </c>
      <c r="E21">
        <v>4802.8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34.0795</v>
      </c>
      <c r="B24" s="4">
        <f>IFERROR(AVERAGEIF($D$2:$D$21,"&lt;&gt; -1"),0)</f>
        <v>34.3985</v>
      </c>
      <c r="C24" s="4">
        <f>IFERROR(AVERAGEIF($F$2:$F$21,"&lt;&gt; -1"),0)</f>
        <v>44.27</v>
      </c>
      <c r="D24" s="4">
        <f>IFERROR(AVERAGEIF($H$2:$H$21,"&lt;&gt; -1"),0)</f>
        <v>50.49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4587.1335</v>
      </c>
      <c r="H24" s="4">
        <f>IFERROR(AVERAGEIFS($E$2:$E$21,$D$2:$D$21,"&lt;&gt; -1"),0)</f>
        <v>4502.3875</v>
      </c>
      <c r="I24" s="4">
        <f>IFERROR(AVERAGEIFS($G$2:$G$21,$F$2:$F$21,"&lt;&gt; -1"),0)</f>
        <v>5278.25</v>
      </c>
      <c r="J24" s="4">
        <f>IFERROR(AVERAGEIFS($I$2:$I$21,$H$2:$H$21,"&lt;&gt; -1"),0)</f>
        <v>5171.75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36.17</v>
      </c>
      <c r="N24" s="4">
        <f>IFERROR(_xlfn.MAXIFS($D$2:$D$21,$D$2:$D$21,"&lt;&gt;-1"),0)</f>
        <v>36.65</v>
      </c>
      <c r="O24" s="4">
        <f>IFERROR(_xlfn.MAXIFS($F$2:$F$21,$F$2:$F$21,"&lt;&gt; -1"),0)</f>
        <v>44.27</v>
      </c>
      <c r="P24" s="4">
        <f>IFERROR(_xlfn.MAXIFS($H$2:$H$21,$H$2:$H$21,"&lt;&gt; -1"),0)</f>
        <v>50.49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32.34</v>
      </c>
      <c r="T24" s="4">
        <f>IFERROR(_xlfn.MINIFS($D$2:$D$21,$D$2:$D$21,"&lt;&gt;-1"),0)</f>
        <v>32.65</v>
      </c>
      <c r="U24" s="4">
        <f>IFERROR(_xlfn.MINIFS($F$2:$F$21,$F$2:$F$21,"&lt;&gt; -1"),0)</f>
        <v>44.27</v>
      </c>
      <c r="V24" s="4">
        <f>IFERROR(_xlfn.MINIFS($H$2:$H$21,$H$2:$H$21,"&lt;&gt; -1"),0)</f>
        <v>50.49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4825.23</v>
      </c>
      <c r="Z24" s="4">
        <f>IFERROR(_xlfn.MAXIFS($E$2:$E$21,$D$2:$D$21,"&lt;&gt; -1"),0)</f>
        <v>4888.36</v>
      </c>
      <c r="AA24" s="4">
        <f>IFERROR(_xlfn.MAXIFS($G$2:$G$21,$F$2:$F$21,"&lt;&gt; -1"),0)</f>
        <v>5278.25</v>
      </c>
      <c r="AB24" s="4">
        <f>IFERROR(_xlfn.MAXIFS($I$2:$I$21,$H$2:$H$21,"&lt;&gt; -1"),0)</f>
        <v>5171.75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4272.09</v>
      </c>
      <c r="AF24" s="4">
        <f>IFERROR(_xlfn.MINIFS($E$2:$E$21,$D$2:$D$21,"&lt;&gt; -1"),0)</f>
        <v>4032.92</v>
      </c>
      <c r="AG24" s="4">
        <f>IFERROR(_xlfn.MINIFS($G$2:$G$21,$F$2:$F$21,"&lt;&gt; -1"),0)</f>
        <v>5278.25</v>
      </c>
      <c r="AH24" s="4">
        <f>IFERROR(_xlfn.MINIFS($I$2:$I$21,$H$2:$H$21,"&lt;&gt; -1"),0)</f>
        <v>5171.75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0.05</v>
      </c>
      <c r="AN24" s="4">
        <f>(COUNTIFS($H$2:$H$21,"&gt;0.0",$H$2:$H$21,"&lt;200.0"))/20</f>
        <v>0.05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36.2</v>
      </c>
      <c r="C2">
        <v>4347.79</v>
      </c>
      <c r="D2">
        <v>36.57</v>
      </c>
      <c r="E2">
        <v>4306.06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38.35</v>
      </c>
      <c r="C3">
        <v>4658.46</v>
      </c>
      <c r="D3">
        <v>38.84</v>
      </c>
      <c r="E3">
        <v>4552.82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37.26</v>
      </c>
      <c r="C4">
        <v>4260.12</v>
      </c>
      <c r="D4">
        <v>37.64</v>
      </c>
      <c r="E4">
        <v>4431.67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36.26</v>
      </c>
      <c r="C5">
        <v>4357.52</v>
      </c>
      <c r="D5">
        <v>36.59</v>
      </c>
      <c r="E5">
        <v>4469.84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38.98</v>
      </c>
      <c r="C6">
        <v>4561.42</v>
      </c>
      <c r="D6">
        <v>39.49</v>
      </c>
      <c r="E6">
        <v>4490.91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40.2</v>
      </c>
      <c r="C7">
        <v>4758.36</v>
      </c>
      <c r="D7">
        <v>40.47</v>
      </c>
      <c r="E7">
        <v>4526.87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39.51</v>
      </c>
      <c r="C8">
        <v>4865.8</v>
      </c>
      <c r="D8">
        <v>39.81</v>
      </c>
      <c r="E8">
        <v>4609.49</v>
      </c>
      <c r="F8">
        <v>-1</v>
      </c>
      <c r="G8">
        <v>0</v>
      </c>
      <c r="H8">
        <v>-1</v>
      </c>
      <c r="I8">
        <v>1090.37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39.22</v>
      </c>
      <c r="C9">
        <v>4670.7</v>
      </c>
      <c r="D9">
        <v>39.62</v>
      </c>
      <c r="E9">
        <v>4512.9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38.51</v>
      </c>
      <c r="C10">
        <v>4862.06</v>
      </c>
      <c r="D10">
        <v>39</v>
      </c>
      <c r="E10">
        <v>4537.86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37.62</v>
      </c>
      <c r="C11">
        <v>4261.2</v>
      </c>
      <c r="D11">
        <v>38.22</v>
      </c>
      <c r="E11">
        <v>4462.16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38.64</v>
      </c>
      <c r="C12">
        <v>4684.74</v>
      </c>
      <c r="D12">
        <v>39.07</v>
      </c>
      <c r="E12">
        <v>4739.57</v>
      </c>
      <c r="F12">
        <v>-1</v>
      </c>
      <c r="G12">
        <v>1216.18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36.7</v>
      </c>
      <c r="C13">
        <v>4452.94</v>
      </c>
      <c r="D13">
        <v>37.21</v>
      </c>
      <c r="E13">
        <v>4471.2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37.03</v>
      </c>
      <c r="C14">
        <v>4576.94</v>
      </c>
      <c r="D14">
        <v>37.23</v>
      </c>
      <c r="E14">
        <v>4635.28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38.31</v>
      </c>
      <c r="C15">
        <v>4642.38</v>
      </c>
      <c r="D15">
        <v>38.7</v>
      </c>
      <c r="E15">
        <v>4543.88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37.56</v>
      </c>
      <c r="C16">
        <v>4673.65</v>
      </c>
      <c r="D16">
        <v>37.84</v>
      </c>
      <c r="E16">
        <v>4467.01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39.63</v>
      </c>
      <c r="C17">
        <v>4681.36</v>
      </c>
      <c r="D17">
        <v>39.88</v>
      </c>
      <c r="E17">
        <v>4569.61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36.56</v>
      </c>
      <c r="C18">
        <v>4190.11</v>
      </c>
      <c r="D18">
        <v>36.94</v>
      </c>
      <c r="E18">
        <v>4331.7</v>
      </c>
      <c r="F18">
        <v>-1</v>
      </c>
      <c r="G18">
        <v>862.17</v>
      </c>
      <c r="H18">
        <v>-1</v>
      </c>
      <c r="I18">
        <v>1038.63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40.75</v>
      </c>
      <c r="C19">
        <v>4890.02</v>
      </c>
      <c r="D19">
        <v>41.27</v>
      </c>
      <c r="E19">
        <v>4829.03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39.42</v>
      </c>
      <c r="C20">
        <v>4701.61</v>
      </c>
      <c r="D20">
        <v>39.73</v>
      </c>
      <c r="E20">
        <v>4586.78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40.2</v>
      </c>
      <c r="C21">
        <v>4726.58</v>
      </c>
      <c r="D21">
        <v>40.5</v>
      </c>
      <c r="E21">
        <v>4616.77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38.3455</v>
      </c>
      <c r="B24" s="4">
        <f>IFERROR(AVERAGEIF($D$2:$D$21,"&lt;&gt; -1"),0)</f>
        <v>38.731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4591.188</v>
      </c>
      <c r="H24" s="4">
        <f>IFERROR(AVERAGEIFS($E$2:$E$21,$D$2:$D$21,"&lt;&gt; -1"),0)</f>
        <v>4534.5705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40.75</v>
      </c>
      <c r="N24" s="4">
        <f>IFERROR(_xlfn.MAXIFS($D$2:$D$21,$D$2:$D$21,"&lt;&gt;-1"),0)</f>
        <v>41.27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36.2</v>
      </c>
      <c r="T24" s="4">
        <f>IFERROR(_xlfn.MINIFS($D$2:$D$21,$D$2:$D$21,"&lt;&gt;-1"),0)</f>
        <v>36.57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4890.02</v>
      </c>
      <c r="Z24" s="4">
        <f>IFERROR(_xlfn.MAXIFS($E$2:$E$21,$D$2:$D$21,"&lt;&gt; -1"),0)</f>
        <v>4829.03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4190.11</v>
      </c>
      <c r="AF24" s="4">
        <f>IFERROR(_xlfn.MINIFS($E$2:$E$21,$D$2:$D$21,"&lt;&gt; -1"),0)</f>
        <v>4306.06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40.78</v>
      </c>
      <c r="C2">
        <v>4282.97</v>
      </c>
      <c r="D2">
        <v>41.06</v>
      </c>
      <c r="E2">
        <v>4272.46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43.29</v>
      </c>
      <c r="C3">
        <v>4677.92</v>
      </c>
      <c r="D3">
        <v>43.76</v>
      </c>
      <c r="E3">
        <v>4510.14</v>
      </c>
      <c r="F3">
        <v>-1</v>
      </c>
      <c r="G3">
        <v>901.12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42.22</v>
      </c>
      <c r="C4">
        <v>4461.58</v>
      </c>
      <c r="D4">
        <v>42.57</v>
      </c>
      <c r="E4">
        <v>4688.01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39.59</v>
      </c>
      <c r="C5">
        <v>4280.68</v>
      </c>
      <c r="D5">
        <v>40.06</v>
      </c>
      <c r="E5">
        <v>4223.59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42.75</v>
      </c>
      <c r="C6">
        <v>4573.82</v>
      </c>
      <c r="D6">
        <v>43.21</v>
      </c>
      <c r="E6">
        <v>4778.77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44.58</v>
      </c>
      <c r="C7">
        <v>4739.28</v>
      </c>
      <c r="D7">
        <v>45.05</v>
      </c>
      <c r="E7">
        <v>4916.53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43.37</v>
      </c>
      <c r="C8">
        <v>4824.05</v>
      </c>
      <c r="D8">
        <v>43.79</v>
      </c>
      <c r="E8">
        <v>4524.42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44.17</v>
      </c>
      <c r="C9">
        <v>4801.18</v>
      </c>
      <c r="D9">
        <v>44.57</v>
      </c>
      <c r="E9">
        <v>4587.16</v>
      </c>
      <c r="F9">
        <v>-1</v>
      </c>
      <c r="G9">
        <v>933.12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43.08</v>
      </c>
      <c r="C10">
        <v>4486.57</v>
      </c>
      <c r="D10">
        <v>43.73</v>
      </c>
      <c r="E10">
        <v>4727.26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42.61</v>
      </c>
      <c r="C11">
        <v>4432.54</v>
      </c>
      <c r="D11">
        <v>43.18</v>
      </c>
      <c r="E11">
        <v>4512.72</v>
      </c>
      <c r="F11">
        <v>-1</v>
      </c>
      <c r="G11">
        <v>0</v>
      </c>
      <c r="H11">
        <v>68.92</v>
      </c>
      <c r="I11">
        <v>5023.03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43.74</v>
      </c>
      <c r="C12">
        <v>4446.77</v>
      </c>
      <c r="D12">
        <v>44.18</v>
      </c>
      <c r="E12">
        <v>4583.97</v>
      </c>
      <c r="F12">
        <v>-1</v>
      </c>
      <c r="G12">
        <v>922.51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41.26</v>
      </c>
      <c r="C13">
        <v>4338.69</v>
      </c>
      <c r="D13">
        <v>41.62</v>
      </c>
      <c r="E13">
        <v>4249.93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41.37</v>
      </c>
      <c r="C14">
        <v>4561.35</v>
      </c>
      <c r="D14">
        <v>41.85</v>
      </c>
      <c r="E14">
        <v>4568.97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42.87</v>
      </c>
      <c r="C15">
        <v>4618.72</v>
      </c>
      <c r="D15">
        <v>43.25</v>
      </c>
      <c r="E15">
        <v>4724.91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42.2</v>
      </c>
      <c r="C16">
        <v>4685.97</v>
      </c>
      <c r="D16">
        <v>42.57</v>
      </c>
      <c r="E16">
        <v>4607.47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44.15</v>
      </c>
      <c r="C17">
        <v>4676.12</v>
      </c>
      <c r="D17">
        <v>44.6</v>
      </c>
      <c r="E17">
        <v>4889.68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41.02</v>
      </c>
      <c r="C18">
        <v>4384.59</v>
      </c>
      <c r="D18">
        <v>41.35</v>
      </c>
      <c r="E18">
        <v>4226.48</v>
      </c>
      <c r="F18">
        <v>-1</v>
      </c>
      <c r="G18">
        <v>0</v>
      </c>
      <c r="H18">
        <v>-1</v>
      </c>
      <c r="I18">
        <v>1022.21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45.36</v>
      </c>
      <c r="C19">
        <v>4720.85</v>
      </c>
      <c r="D19">
        <v>45.69</v>
      </c>
      <c r="E19">
        <v>4702.02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43.98</v>
      </c>
      <c r="C20">
        <v>4664.81</v>
      </c>
      <c r="D20">
        <v>44.24</v>
      </c>
      <c r="E20">
        <v>4560.37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46.36</v>
      </c>
      <c r="C21">
        <v>4818.8</v>
      </c>
      <c r="D21">
        <v>46.87</v>
      </c>
      <c r="E21">
        <v>4891.19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42.9375</v>
      </c>
      <c r="B25" s="4">
        <f>IFERROR(AVERAGEIF($D$2:$D$21,"&lt;&gt; -1"),0)</f>
        <v>43.36</v>
      </c>
      <c r="C25" s="4">
        <f>IFERROR(AVERAGEIF($F$2:$F$21,"&lt;&gt; -1"),0)</f>
        <v>0</v>
      </c>
      <c r="D25" s="4">
        <f>IFERROR(AVERAGEIF($H$2:$H$21,"&lt;&gt; -1"),0)</f>
        <v>68.92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4573.863</v>
      </c>
      <c r="H25" s="4">
        <f>IFERROR(AVERAGEIFS($E$2:$E$21,$D$2:$D$21,"&lt;&gt; -1"),0)</f>
        <v>4587.3025</v>
      </c>
      <c r="I25" s="4">
        <f>IFERROR(AVERAGEIFS($G$2:$G$21,$F$2:$F$21,"&lt;&gt; -1"),0)</f>
        <v>0</v>
      </c>
      <c r="J25" s="4">
        <f>IFERROR(AVERAGEIFS($I$2:$I$21,$H$2:$H$21,"&lt;&gt; -1"),0)</f>
        <v>5023.03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46.36</v>
      </c>
      <c r="N25" s="4">
        <f>IFERROR(_xlfn.MAXIFS($D$2:$D$21,$D$2:$D$21,"&lt;&gt;-1"),0)</f>
        <v>46.87</v>
      </c>
      <c r="O25" s="4">
        <f>IFERROR(_xlfn.MAXIFS($F$2:$F$21,$F$2:$F$21,"&lt;&gt; -1"),0)</f>
        <v>0</v>
      </c>
      <c r="P25" s="4">
        <f>IFERROR(_xlfn.MAXIFS($H$2:$H$21,$H$2:$H$21,"&lt;&gt; -1"),0)</f>
        <v>68.92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39.59</v>
      </c>
      <c r="T25" s="4">
        <f>IFERROR(_xlfn.MINIFS($D$2:$D$21,$D$2:$D$21,"&lt;&gt;-1"),0)</f>
        <v>40.06</v>
      </c>
      <c r="U25" s="4">
        <f>IFERROR(_xlfn.MINIFS($F$2:$F$21,$F$2:$F$21,"&lt;&gt; -1"),0)</f>
        <v>0</v>
      </c>
      <c r="V25" s="4">
        <f>IFERROR(_xlfn.MINIFS($H$2:$H$21,$H$2:$H$21,"&lt;&gt; -1"),0)</f>
        <v>68.92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4824.05</v>
      </c>
      <c r="Z25" s="4">
        <f>IFERROR(_xlfn.MAXIFS($E$2:$E$21,$D$2:$D$21,"&lt;&gt; -1"),0)</f>
        <v>4916.53</v>
      </c>
      <c r="AA25" s="4">
        <f>IFERROR(_xlfn.MAXIFS($G$2:$G$21,$F$2:$F$21,"&lt;&gt; -1"),0)</f>
        <v>0</v>
      </c>
      <c r="AB25" s="4">
        <f>IFERROR(_xlfn.MAXIFS($I$2:$I$21,$H$2:$H$21,"&lt;&gt; -1"),0)</f>
        <v>5023.03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4280.68</v>
      </c>
      <c r="AF25" s="4">
        <f>IFERROR(_xlfn.MINIFS($E$2:$E$21,$D$2:$D$21,"&lt;&gt; -1"),0)</f>
        <v>4223.59</v>
      </c>
      <c r="AG25" s="4">
        <f>IFERROR(_xlfn.MINIFS($G$2:$G$21,$F$2:$F$21,"&lt;&gt; -1"),0)</f>
        <v>0</v>
      </c>
      <c r="AH25" s="4">
        <f>IFERROR(_xlfn.MINIFS($I$2:$I$21,$H$2:$H$21,"&lt;&gt; -1"),0)</f>
        <v>5023.03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1</v>
      </c>
      <c r="AL25" s="4">
        <f>(COUNTIFS($D$2:$D$21,"&gt;0.0",$D$2:$D$21,"&lt;200.0"))/20</f>
        <v>1</v>
      </c>
      <c r="AM25" s="4">
        <f>(COUNTIFS($F$2:$F$21,"&gt;0.0",$F$2:$F$21,"&lt;200.0"))/20</f>
        <v>0</v>
      </c>
      <c r="AN25" s="4">
        <f>(COUNTIFS($H$2:$H$21,"&gt;0.0",$H$2:$H$21,"&lt;200.0"))/20</f>
        <v>0.05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44.21</v>
      </c>
      <c r="C2">
        <v>4316.8</v>
      </c>
      <c r="D2">
        <v>44.88</v>
      </c>
      <c r="E2">
        <v>4427.29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46.16</v>
      </c>
      <c r="C3">
        <v>4587.88</v>
      </c>
      <c r="D3">
        <v>46.59</v>
      </c>
      <c r="E3">
        <v>4631.25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45.08</v>
      </c>
      <c r="C4">
        <v>4549.13</v>
      </c>
      <c r="D4">
        <v>45.65</v>
      </c>
      <c r="E4">
        <v>4621.41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44.14</v>
      </c>
      <c r="C5">
        <v>4489.84</v>
      </c>
      <c r="D5">
        <v>44.84</v>
      </c>
      <c r="E5">
        <v>4463.27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46.07</v>
      </c>
      <c r="C6">
        <v>4618.42</v>
      </c>
      <c r="D6">
        <v>46.63</v>
      </c>
      <c r="E6">
        <v>4546.75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48.42</v>
      </c>
      <c r="C7">
        <v>4642.77</v>
      </c>
      <c r="D7">
        <v>48.9</v>
      </c>
      <c r="E7">
        <v>4834.05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47.13</v>
      </c>
      <c r="C8">
        <v>4850.83</v>
      </c>
      <c r="D8">
        <v>47.62</v>
      </c>
      <c r="E8">
        <v>4774.13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47.38</v>
      </c>
      <c r="C9">
        <v>4876.07</v>
      </c>
      <c r="D9">
        <v>48.07</v>
      </c>
      <c r="E9">
        <v>4821.68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46.07</v>
      </c>
      <c r="C10">
        <v>5014.89</v>
      </c>
      <c r="D10">
        <v>46.53</v>
      </c>
      <c r="E10">
        <v>4872.63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45.79</v>
      </c>
      <c r="C11">
        <v>4703.99</v>
      </c>
      <c r="D11">
        <v>46.14</v>
      </c>
      <c r="E11">
        <v>4622.11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46.98</v>
      </c>
      <c r="C12">
        <v>4633.82</v>
      </c>
      <c r="D12">
        <v>47.74</v>
      </c>
      <c r="E12">
        <v>4536.97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44.08</v>
      </c>
      <c r="C13">
        <v>4317.46</v>
      </c>
      <c r="D13">
        <v>44.53</v>
      </c>
      <c r="E13">
        <v>4481.58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45.83</v>
      </c>
      <c r="C14">
        <v>4594.15</v>
      </c>
      <c r="D14">
        <v>46.23</v>
      </c>
      <c r="E14">
        <v>4773.25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46.26</v>
      </c>
      <c r="C15">
        <v>4776.39</v>
      </c>
      <c r="D15">
        <v>46.76</v>
      </c>
      <c r="E15">
        <v>4621.68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44.65</v>
      </c>
      <c r="C16">
        <v>4603.95</v>
      </c>
      <c r="D16">
        <v>45.11</v>
      </c>
      <c r="E16">
        <v>4566.06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48.25</v>
      </c>
      <c r="C17">
        <v>4768.07</v>
      </c>
      <c r="D17">
        <v>48.61</v>
      </c>
      <c r="E17">
        <v>4724.89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44.39</v>
      </c>
      <c r="C18">
        <v>4524.44</v>
      </c>
      <c r="D18">
        <v>44.64</v>
      </c>
      <c r="E18">
        <v>4516.77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47.86</v>
      </c>
      <c r="C19">
        <v>4663.14</v>
      </c>
      <c r="D19">
        <v>48.5</v>
      </c>
      <c r="E19">
        <v>4786.16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47.5</v>
      </c>
      <c r="C20">
        <v>4736.23</v>
      </c>
      <c r="D20">
        <v>48.13</v>
      </c>
      <c r="E20">
        <v>4821.68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46.99</v>
      </c>
      <c r="C21">
        <v>4860.12</v>
      </c>
      <c r="D21">
        <v>47.48</v>
      </c>
      <c r="E21">
        <v>4780.95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46.162</v>
      </c>
      <c r="B24" s="4">
        <f>IFERROR(AVERAGEIF($D$2:$D$21,"&lt;&gt; -1"),0)</f>
        <v>46.679</v>
      </c>
      <c r="C24" s="4">
        <f>IFERROR(AVERAGEIF($F$2:$F$21,"&lt;&gt; -1"),0)</f>
        <v>0</v>
      </c>
      <c r="D24" s="4">
        <f>IFERROR(AVERAGEIF($H$2:$H$21,"&lt;&gt; -1"),0)</f>
        <v>0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4656.4195</v>
      </c>
      <c r="H24" s="4">
        <f>IFERROR(AVERAGEIFS($E$2:$E$21,$D$2:$D$21,"&lt;&gt; -1"),0)</f>
        <v>4661.228</v>
      </c>
      <c r="I24" s="4">
        <f>IFERROR(AVERAGEIFS($G$2:$G$21,$F$2:$F$21,"&lt;&gt; -1"),0)</f>
        <v>0</v>
      </c>
      <c r="J24" s="4">
        <f>IFERROR(AVERAGEIFS($I$2:$I$21,$H$2:$H$21,"&lt;&gt; -1"),0)</f>
        <v>0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48.42</v>
      </c>
      <c r="N24" s="4">
        <f>IFERROR(_xlfn.MAXIFS($D$2:$D$21,$D$2:$D$21,"&lt;&gt;-1"),0)</f>
        <v>48.9</v>
      </c>
      <c r="O24" s="4">
        <f>IFERROR(_xlfn.MAXIFS($F$2:$F$21,$F$2:$F$21,"&lt;&gt; -1"),0)</f>
        <v>0</v>
      </c>
      <c r="P24" s="4">
        <f>IFERROR(_xlfn.MAXIFS($H$2:$H$21,$H$2:$H$21,"&lt;&gt; -1"),0)</f>
        <v>0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44.08</v>
      </c>
      <c r="T24" s="4">
        <f>IFERROR(_xlfn.MINIFS($D$2:$D$21,$D$2:$D$21,"&lt;&gt;-1"),0)</f>
        <v>44.53</v>
      </c>
      <c r="U24" s="4">
        <f>IFERROR(_xlfn.MINIFS($F$2:$F$21,$F$2:$F$21,"&lt;&gt; -1"),0)</f>
        <v>0</v>
      </c>
      <c r="V24" s="4">
        <f>IFERROR(_xlfn.MINIFS($H$2:$H$21,$H$2:$H$21,"&lt;&gt; -1"),0)</f>
        <v>0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5014.89</v>
      </c>
      <c r="Z24" s="4">
        <f>IFERROR(_xlfn.MAXIFS($E$2:$E$21,$D$2:$D$21,"&lt;&gt; -1"),0)</f>
        <v>4872.63</v>
      </c>
      <c r="AA24" s="4">
        <f>IFERROR(_xlfn.MAXIFS($G$2:$G$21,$F$2:$F$21,"&lt;&gt; -1"),0)</f>
        <v>0</v>
      </c>
      <c r="AB24" s="4">
        <f>IFERROR(_xlfn.MAXIFS($I$2:$I$21,$H$2:$H$21,"&lt;&gt; -1"),0)</f>
        <v>0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4316.8</v>
      </c>
      <c r="AF24" s="4">
        <f>IFERROR(_xlfn.MINIFS($E$2:$E$21,$D$2:$D$21,"&lt;&gt; -1"),0)</f>
        <v>4427.29</v>
      </c>
      <c r="AG24" s="4">
        <f>IFERROR(_xlfn.MINIFS($G$2:$G$21,$F$2:$F$21,"&lt;&gt; -1"),0)</f>
        <v>0</v>
      </c>
      <c r="AH24" s="4">
        <f>IFERROR(_xlfn.MINIFS($I$2:$I$21,$H$2:$H$21,"&lt;&gt; -1"),0)</f>
        <v>0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G19" sqref="G19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25.5675</v>
      </c>
      <c r="B2">
        <v>25.656</v>
      </c>
      <c r="C2">
        <v>29.3721052631579</v>
      </c>
      <c r="D2">
        <v>29.7984210526316</v>
      </c>
      <c r="E2">
        <v>33.69</v>
      </c>
      <c r="F2">
        <v>33.52</v>
      </c>
      <c r="G2">
        <v>4378.462</v>
      </c>
      <c r="H2">
        <v>4365.0055</v>
      </c>
      <c r="I2">
        <v>4907.31684210526</v>
      </c>
      <c r="J2">
        <v>4939.96526315789</v>
      </c>
      <c r="K2">
        <v>4322.51636363636</v>
      </c>
      <c r="L2">
        <v>4419.0625</v>
      </c>
      <c r="M2">
        <v>27.25</v>
      </c>
      <c r="N2">
        <v>27.36</v>
      </c>
      <c r="O2">
        <v>32.99</v>
      </c>
      <c r="P2">
        <v>33.55</v>
      </c>
      <c r="Q2">
        <v>41.97</v>
      </c>
      <c r="R2">
        <v>44.09</v>
      </c>
      <c r="S2">
        <v>24.29</v>
      </c>
      <c r="T2">
        <v>24.3</v>
      </c>
      <c r="U2">
        <v>27.49</v>
      </c>
      <c r="V2">
        <v>26.83</v>
      </c>
      <c r="W2">
        <v>26.33</v>
      </c>
      <c r="X2">
        <v>28.07</v>
      </c>
      <c r="Y2">
        <v>4683.56</v>
      </c>
      <c r="Z2">
        <v>4678.12</v>
      </c>
      <c r="AA2">
        <v>5314.03</v>
      </c>
      <c r="AB2">
        <v>5378.22</v>
      </c>
      <c r="AC2">
        <v>4611.17</v>
      </c>
      <c r="AD2">
        <v>4654.06</v>
      </c>
      <c r="AE2">
        <v>4104.56</v>
      </c>
      <c r="AF2">
        <v>4063.63</v>
      </c>
      <c r="AG2">
        <v>4560.58</v>
      </c>
      <c r="AH2">
        <v>4618.88</v>
      </c>
      <c r="AI2">
        <v>4091.82</v>
      </c>
      <c r="AJ2">
        <v>4199.3</v>
      </c>
      <c r="AK2">
        <v>1</v>
      </c>
      <c r="AL2">
        <v>1</v>
      </c>
      <c r="AM2">
        <v>0.95</v>
      </c>
      <c r="AN2">
        <v>0.95</v>
      </c>
      <c r="AO2">
        <v>0.55</v>
      </c>
      <c r="AP2">
        <v>0.4</v>
      </c>
    </row>
    <row r="3" spans="1:42">
      <c r="A3">
        <v>29.88</v>
      </c>
      <c r="B3">
        <v>30.134</v>
      </c>
      <c r="C3">
        <v>48.258</v>
      </c>
      <c r="D3">
        <v>42.13</v>
      </c>
      <c r="E3">
        <v>0</v>
      </c>
      <c r="F3">
        <v>0</v>
      </c>
      <c r="G3">
        <v>4538.9215</v>
      </c>
      <c r="H3">
        <v>4511.9705</v>
      </c>
      <c r="I3">
        <v>4942.602</v>
      </c>
      <c r="J3">
        <v>4887.62</v>
      </c>
      <c r="K3">
        <v>0</v>
      </c>
      <c r="L3">
        <v>0</v>
      </c>
      <c r="M3">
        <v>31.82</v>
      </c>
      <c r="N3">
        <v>32.18</v>
      </c>
      <c r="O3">
        <v>60.76</v>
      </c>
      <c r="P3">
        <v>42.55</v>
      </c>
      <c r="Q3">
        <v>0</v>
      </c>
      <c r="R3">
        <v>0</v>
      </c>
      <c r="S3">
        <v>27.86</v>
      </c>
      <c r="T3">
        <v>28.03</v>
      </c>
      <c r="U3">
        <v>42.14</v>
      </c>
      <c r="V3">
        <v>41.71</v>
      </c>
      <c r="W3">
        <v>0</v>
      </c>
      <c r="X3">
        <v>0</v>
      </c>
      <c r="Y3">
        <v>4793.92</v>
      </c>
      <c r="Z3">
        <v>4791.54</v>
      </c>
      <c r="AA3">
        <v>5272.21</v>
      </c>
      <c r="AB3">
        <v>5163.59</v>
      </c>
      <c r="AC3">
        <v>0</v>
      </c>
      <c r="AD3">
        <v>0</v>
      </c>
      <c r="AE3">
        <v>4101.86</v>
      </c>
      <c r="AF3">
        <v>4087.11</v>
      </c>
      <c r="AG3">
        <v>4596.02</v>
      </c>
      <c r="AH3">
        <v>4611.65</v>
      </c>
      <c r="AI3">
        <v>0</v>
      </c>
      <c r="AJ3">
        <v>0</v>
      </c>
      <c r="AK3">
        <v>1</v>
      </c>
      <c r="AL3">
        <v>1</v>
      </c>
      <c r="AM3">
        <v>0.25</v>
      </c>
      <c r="AN3">
        <v>0.1</v>
      </c>
      <c r="AO3">
        <v>0</v>
      </c>
      <c r="AP3">
        <v>0</v>
      </c>
    </row>
    <row r="4" spans="1:42">
      <c r="A4">
        <v>34.0795</v>
      </c>
      <c r="B4">
        <v>34.3985</v>
      </c>
      <c r="C4">
        <v>44.27</v>
      </c>
      <c r="D4">
        <v>50.49</v>
      </c>
      <c r="E4">
        <v>0</v>
      </c>
      <c r="F4">
        <v>0</v>
      </c>
      <c r="G4">
        <v>4587.1335</v>
      </c>
      <c r="H4">
        <v>4502.3875</v>
      </c>
      <c r="I4">
        <v>5278.25</v>
      </c>
      <c r="J4">
        <v>5171.75</v>
      </c>
      <c r="K4">
        <v>0</v>
      </c>
      <c r="L4">
        <v>0</v>
      </c>
      <c r="M4">
        <v>36.17</v>
      </c>
      <c r="N4">
        <v>36.65</v>
      </c>
      <c r="O4">
        <v>44.27</v>
      </c>
      <c r="P4">
        <v>50.49</v>
      </c>
      <c r="Q4">
        <v>0</v>
      </c>
      <c r="R4">
        <v>0</v>
      </c>
      <c r="S4">
        <v>32.34</v>
      </c>
      <c r="T4">
        <v>32.65</v>
      </c>
      <c r="U4">
        <v>44.27</v>
      </c>
      <c r="V4">
        <v>50.49</v>
      </c>
      <c r="W4">
        <v>0</v>
      </c>
      <c r="X4">
        <v>0</v>
      </c>
      <c r="Y4">
        <v>4825.23</v>
      </c>
      <c r="Z4">
        <v>4888.36</v>
      </c>
      <c r="AA4">
        <v>5278.25</v>
      </c>
      <c r="AB4">
        <v>5171.75</v>
      </c>
      <c r="AC4">
        <v>0</v>
      </c>
      <c r="AD4">
        <v>0</v>
      </c>
      <c r="AE4">
        <v>4272.09</v>
      </c>
      <c r="AF4">
        <v>4032.92</v>
      </c>
      <c r="AG4">
        <v>5278.25</v>
      </c>
      <c r="AH4">
        <v>5171.75</v>
      </c>
      <c r="AI4">
        <v>0</v>
      </c>
      <c r="AJ4">
        <v>0</v>
      </c>
      <c r="AK4">
        <v>1</v>
      </c>
      <c r="AL4">
        <v>1</v>
      </c>
      <c r="AM4">
        <v>0.05</v>
      </c>
      <c r="AN4">
        <v>0.05</v>
      </c>
      <c r="AO4">
        <v>0</v>
      </c>
      <c r="AP4">
        <v>0</v>
      </c>
    </row>
    <row r="5" spans="1:42">
      <c r="A5">
        <v>38.3455</v>
      </c>
      <c r="B5">
        <v>38.731</v>
      </c>
      <c r="C5">
        <v>0</v>
      </c>
      <c r="D5">
        <v>0</v>
      </c>
      <c r="E5">
        <v>0</v>
      </c>
      <c r="F5">
        <v>0</v>
      </c>
      <c r="G5">
        <v>4591.188</v>
      </c>
      <c r="H5">
        <v>4534.5705</v>
      </c>
      <c r="I5">
        <v>0</v>
      </c>
      <c r="J5">
        <v>0</v>
      </c>
      <c r="K5">
        <v>0</v>
      </c>
      <c r="L5">
        <v>0</v>
      </c>
      <c r="M5">
        <v>40.75</v>
      </c>
      <c r="N5">
        <v>41.27</v>
      </c>
      <c r="O5">
        <v>0</v>
      </c>
      <c r="P5">
        <v>0</v>
      </c>
      <c r="Q5">
        <v>0</v>
      </c>
      <c r="R5">
        <v>0</v>
      </c>
      <c r="S5">
        <v>36.2</v>
      </c>
      <c r="T5">
        <v>36.57</v>
      </c>
      <c r="U5">
        <v>0</v>
      </c>
      <c r="V5">
        <v>0</v>
      </c>
      <c r="W5">
        <v>0</v>
      </c>
      <c r="X5">
        <v>0</v>
      </c>
      <c r="Y5">
        <v>4890.02</v>
      </c>
      <c r="Z5">
        <v>4829.03</v>
      </c>
      <c r="AA5">
        <v>0</v>
      </c>
      <c r="AB5">
        <v>0</v>
      </c>
      <c r="AC5">
        <v>0</v>
      </c>
      <c r="AD5">
        <v>0</v>
      </c>
      <c r="AE5">
        <v>4190.11</v>
      </c>
      <c r="AF5">
        <v>4306.06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42.9375</v>
      </c>
      <c r="B6">
        <v>43.36</v>
      </c>
      <c r="C6">
        <v>0</v>
      </c>
      <c r="D6">
        <v>68.92</v>
      </c>
      <c r="E6">
        <v>0</v>
      </c>
      <c r="F6">
        <v>0</v>
      </c>
      <c r="G6">
        <v>4573.863</v>
      </c>
      <c r="H6">
        <v>4587.3025</v>
      </c>
      <c r="I6">
        <v>0</v>
      </c>
      <c r="J6">
        <v>5023.03</v>
      </c>
      <c r="K6">
        <v>0</v>
      </c>
      <c r="L6">
        <v>0</v>
      </c>
      <c r="M6">
        <v>46.36</v>
      </c>
      <c r="N6">
        <v>46.87</v>
      </c>
      <c r="O6">
        <v>0</v>
      </c>
      <c r="P6">
        <v>68.92</v>
      </c>
      <c r="Q6">
        <v>0</v>
      </c>
      <c r="R6">
        <v>0</v>
      </c>
      <c r="S6">
        <v>39.59</v>
      </c>
      <c r="T6">
        <v>40.06</v>
      </c>
      <c r="U6">
        <v>0</v>
      </c>
      <c r="V6">
        <v>68.92</v>
      </c>
      <c r="W6">
        <v>0</v>
      </c>
      <c r="X6">
        <v>0</v>
      </c>
      <c r="Y6">
        <v>4824.05</v>
      </c>
      <c r="Z6">
        <v>4916.53</v>
      </c>
      <c r="AA6">
        <v>0</v>
      </c>
      <c r="AB6">
        <v>5023.03</v>
      </c>
      <c r="AC6">
        <v>0</v>
      </c>
      <c r="AD6">
        <v>0</v>
      </c>
      <c r="AE6">
        <v>4280.68</v>
      </c>
      <c r="AF6">
        <v>4223.59</v>
      </c>
      <c r="AG6">
        <v>0</v>
      </c>
      <c r="AH6">
        <v>5023.03</v>
      </c>
      <c r="AI6">
        <v>0</v>
      </c>
      <c r="AJ6">
        <v>0</v>
      </c>
      <c r="AK6">
        <v>1</v>
      </c>
      <c r="AL6">
        <v>1</v>
      </c>
      <c r="AM6">
        <v>0</v>
      </c>
      <c r="AN6">
        <v>0.05</v>
      </c>
      <c r="AO6">
        <v>0</v>
      </c>
      <c r="AP6">
        <v>0</v>
      </c>
    </row>
    <row r="7" spans="1:42">
      <c r="A7">
        <v>46.162</v>
      </c>
      <c r="B7">
        <v>46.679</v>
      </c>
      <c r="C7">
        <v>0</v>
      </c>
      <c r="D7">
        <v>0</v>
      </c>
      <c r="E7">
        <v>0</v>
      </c>
      <c r="F7">
        <v>0</v>
      </c>
      <c r="G7">
        <v>4656.4195</v>
      </c>
      <c r="H7">
        <v>4661.228</v>
      </c>
      <c r="I7">
        <v>0</v>
      </c>
      <c r="J7">
        <v>0</v>
      </c>
      <c r="K7">
        <v>0</v>
      </c>
      <c r="L7">
        <v>0</v>
      </c>
      <c r="M7">
        <v>48.42</v>
      </c>
      <c r="N7">
        <v>48.9</v>
      </c>
      <c r="O7">
        <v>0</v>
      </c>
      <c r="P7">
        <v>0</v>
      </c>
      <c r="Q7">
        <v>0</v>
      </c>
      <c r="R7">
        <v>0</v>
      </c>
      <c r="S7">
        <v>44.08</v>
      </c>
      <c r="T7">
        <v>44.53</v>
      </c>
      <c r="U7">
        <v>0</v>
      </c>
      <c r="V7">
        <v>0</v>
      </c>
      <c r="W7">
        <v>0</v>
      </c>
      <c r="X7">
        <v>0</v>
      </c>
      <c r="Y7">
        <v>5014.89</v>
      </c>
      <c r="Z7">
        <v>4872.63</v>
      </c>
      <c r="AA7">
        <v>0</v>
      </c>
      <c r="AB7">
        <v>0</v>
      </c>
      <c r="AC7">
        <v>0</v>
      </c>
      <c r="AD7">
        <v>0</v>
      </c>
      <c r="AE7">
        <v>4316.8</v>
      </c>
      <c r="AF7">
        <v>4427.29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2024-08-26T21:31:00Z</dcterms:created>
  <dcterms:modified xsi:type="dcterms:W3CDTF">2024-08-27T02:38:18Z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638C4FC9E8284F3E9D6A1517BF17466C_12</vt:lpwstr>
  </property>
  <property fmtid="{D5CDD505-2E9C-101B-9397-08002B2CF9AE}" pid="3" name="KSOProductBuildVer">
    <vt:lpwstr>2052-12.1.0.17827</vt:lpwstr>
  </property>
</Properties>
</file>