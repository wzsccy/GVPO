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<sst xmlns="http://schemas.openxmlformats.org/spreadsheetml/2006/main" count="492" uniqueCount="75">
  <si>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</si>
  <si>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LC_1_T</t>
  </si>
  <si>
    <t>LC_1_C</t>
  </si>
  <si>
    <t>LC_2_T</t>
  </si>
  <si>
    <t>LC_2_C</t>
  </si>
  <si>
    <t>ML_1_T</t>
  </si>
  <si>
    <t>ML_1_C</t>
  </si>
  <si>
    <t>ML_2_T</t>
  </si>
  <si>
    <t>ML_2_C</t>
  </si>
  <si>
    <t>MA_1_T</t>
  </si>
  <si>
    <t>MA_1_C</t>
  </si>
  <si>
    <t>MA_2_T</t>
  </si>
  <si>
    <t>MA_2_C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</si>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</sst>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133.65</v>
      </c>
      <c r="C2">
        <v>11218.88</v>
      </c>
      <c r="D2">
        <v>133.89</v>
      </c>
      <c r="E2">
        <v>10759.64</v>
      </c>
      <c r="F2">
        <v>-1</v>
      </c>
      <c r="G2">
        <v>3321.25</v>
      </c>
      <c r="H2">
        <v>-1</v>
      </c>
      <c r="I2">
        <v>2273.09</v>
      </c>
      <c r="J2">
        <v>-1</v>
      </c>
      <c r="K2">
        <v>3005.48</v>
      </c>
      <c r="L2">
        <v>-1</v>
      </c>
      <c r="M2">
        <v>1743.43</v>
      </c>
    </row>
    <row r="3" spans="1:13">
      <c r="A3" t="s">
        <v>14</v>
      </c>
      <c r="B3">
        <v>194.07</v>
      </c>
      <c r="C3">
        <v>11429.48</v>
      </c>
      <c r="D3">
        <v>194.41</v>
      </c>
      <c r="E3">
        <v>11178.64</v>
      </c>
      <c r="F3">
        <v>-1</v>
      </c>
      <c r="G3">
        <v>11533.35</v>
      </c>
      <c r="H3">
        <v>-1</v>
      </c>
      <c r="I3">
        <v>9766.78</v>
      </c>
      <c r="J3">
        <v>-1</v>
      </c>
      <c r="K3">
        <v>2007.07</v>
      </c>
      <c r="L3">
        <v>-1</v>
      </c>
      <c r="M3">
        <v>510.37</v>
      </c>
    </row>
    <row r="4" spans="1:13">
      <c r="A4" t="s">
        <v>15</v>
      </c>
      <c r="B4">
        <v>190.16</v>
      </c>
      <c r="C4">
        <v>11454.86</v>
      </c>
      <c r="D4">
        <v>190.26</v>
      </c>
      <c r="E4">
        <v>11250.57</v>
      </c>
      <c r="F4">
        <v>-1</v>
      </c>
      <c r="G4">
        <v>9142.95</v>
      </c>
      <c r="H4">
        <v>-1</v>
      </c>
      <c r="I4">
        <v>8507.88</v>
      </c>
      <c r="J4">
        <v>-1</v>
      </c>
      <c r="K4">
        <v>8278.68</v>
      </c>
      <c r="L4">
        <v>-1</v>
      </c>
      <c r="M4">
        <v>0</v>
      </c>
    </row>
    <row r="5" spans="1:13">
      <c r="A5" t="s">
        <v>16</v>
      </c>
      <c r="B5">
        <v>196.84</v>
      </c>
      <c r="C5">
        <v>11538.51</v>
      </c>
      <c r="D5">
        <v>197.04</v>
      </c>
      <c r="E5">
        <v>11558.3</v>
      </c>
      <c r="F5">
        <v>223.9</v>
      </c>
      <c r="G5">
        <v>12867.28</v>
      </c>
      <c r="H5">
        <v>-1</v>
      </c>
      <c r="I5">
        <v>4965.84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188.66</v>
      </c>
      <c r="C6">
        <v>11538.94</v>
      </c>
      <c r="D6">
        <v>188.66</v>
      </c>
      <c r="E6">
        <v>11238.92</v>
      </c>
      <c r="F6">
        <v>-1</v>
      </c>
      <c r="G6">
        <v>4836.26</v>
      </c>
      <c r="H6">
        <v>206.59</v>
      </c>
      <c r="I6">
        <v>12416.98</v>
      </c>
      <c r="J6">
        <v>-1</v>
      </c>
      <c r="K6">
        <v>4298.78</v>
      </c>
      <c r="L6">
        <v>-1</v>
      </c>
      <c r="M6">
        <v>0</v>
      </c>
    </row>
    <row r="7" spans="1:13">
      <c r="A7" t="s">
        <v>18</v>
      </c>
      <c r="B7">
        <v>180.76</v>
      </c>
      <c r="C7">
        <v>11655.83</v>
      </c>
      <c r="D7">
        <v>181.11</v>
      </c>
      <c r="E7">
        <v>10707.74</v>
      </c>
      <c r="F7">
        <v>-1</v>
      </c>
      <c r="G7">
        <v>6571.06</v>
      </c>
      <c r="H7">
        <v>-1</v>
      </c>
      <c r="I7">
        <v>11587.7</v>
      </c>
      <c r="J7">
        <v>-1</v>
      </c>
      <c r="K7">
        <v>5178.53</v>
      </c>
      <c r="L7">
        <v>-1</v>
      </c>
      <c r="M7">
        <v>7929.09</v>
      </c>
    </row>
    <row r="8" spans="1:13">
      <c r="A8" t="s">
        <v>19</v>
      </c>
      <c r="B8">
        <v>176.2</v>
      </c>
      <c r="C8">
        <v>11392.8</v>
      </c>
      <c r="D8">
        <v>176.48</v>
      </c>
      <c r="E8">
        <v>11123.51</v>
      </c>
      <c r="F8">
        <v>-1</v>
      </c>
      <c r="G8">
        <v>2363.73</v>
      </c>
      <c r="H8">
        <v>-1</v>
      </c>
      <c r="I8">
        <v>12319.55</v>
      </c>
      <c r="J8">
        <v>184.97</v>
      </c>
      <c r="K8">
        <v>11402.75</v>
      </c>
      <c r="L8">
        <v>190.69</v>
      </c>
      <c r="M8">
        <v>11124.53</v>
      </c>
    </row>
    <row r="9" spans="1:13">
      <c r="A9" t="s">
        <v>20</v>
      </c>
      <c r="B9">
        <v>186.99</v>
      </c>
      <c r="C9">
        <v>11890.62</v>
      </c>
      <c r="D9">
        <v>186.86</v>
      </c>
      <c r="E9">
        <v>11381.68</v>
      </c>
      <c r="F9">
        <v>-1</v>
      </c>
      <c r="G9">
        <v>7563.42</v>
      </c>
      <c r="H9">
        <v>-1</v>
      </c>
      <c r="I9">
        <v>0</v>
      </c>
      <c r="J9">
        <v>-1</v>
      </c>
      <c r="K9">
        <v>6762.05</v>
      </c>
      <c r="L9">
        <v>-1</v>
      </c>
      <c r="M9">
        <v>0</v>
      </c>
    </row>
    <row r="10" spans="1:13">
      <c r="A10" t="s">
        <v>21</v>
      </c>
      <c r="B10">
        <v>169.18</v>
      </c>
      <c r="C10">
        <v>11068.76</v>
      </c>
      <c r="D10">
        <v>168.79</v>
      </c>
      <c r="E10">
        <v>11608.49</v>
      </c>
      <c r="F10">
        <v>-1</v>
      </c>
      <c r="G10">
        <v>763.7</v>
      </c>
      <c r="H10">
        <v>-1</v>
      </c>
      <c r="I10">
        <v>0</v>
      </c>
      <c r="J10">
        <v>-1</v>
      </c>
      <c r="K10">
        <v>682.65</v>
      </c>
      <c r="L10">
        <v>-1</v>
      </c>
      <c r="M10">
        <v>0</v>
      </c>
    </row>
    <row r="11" spans="1:13">
      <c r="A11" t="s">
        <v>22</v>
      </c>
      <c r="B11">
        <v>161.47</v>
      </c>
      <c r="C11">
        <v>11703.68</v>
      </c>
      <c r="D11">
        <v>161.44</v>
      </c>
      <c r="E11">
        <v>11363.56</v>
      </c>
      <c r="F11">
        <v>-1</v>
      </c>
      <c r="G11">
        <v>9820.08</v>
      </c>
      <c r="H11">
        <v>185.97</v>
      </c>
      <c r="I11">
        <v>12704.08</v>
      </c>
      <c r="J11">
        <v>176.47</v>
      </c>
      <c r="K11">
        <v>11777.09</v>
      </c>
      <c r="L11">
        <v>-1</v>
      </c>
      <c r="M11">
        <v>7811.72</v>
      </c>
    </row>
    <row r="12" spans="1:13">
      <c r="A12" t="s">
        <v>23</v>
      </c>
      <c r="B12">
        <v>164.44</v>
      </c>
      <c r="C12">
        <v>11877.15</v>
      </c>
      <c r="D12">
        <v>164.54</v>
      </c>
      <c r="E12">
        <v>11286.96</v>
      </c>
      <c r="F12">
        <v>-1</v>
      </c>
      <c r="G12">
        <v>2081.29</v>
      </c>
      <c r="H12">
        <v>-1</v>
      </c>
      <c r="I12">
        <v>11511.85</v>
      </c>
      <c r="J12">
        <v>-1</v>
      </c>
      <c r="K12">
        <v>769.46</v>
      </c>
      <c r="L12">
        <v>-1</v>
      </c>
      <c r="M12">
        <v>4641.23</v>
      </c>
    </row>
    <row r="13" spans="1:13">
      <c r="A13" t="s">
        <v>24</v>
      </c>
      <c r="B13">
        <v>170.72</v>
      </c>
      <c r="C13">
        <v>11400.81</v>
      </c>
      <c r="D13">
        <v>171.08</v>
      </c>
      <c r="E13">
        <v>11247.33</v>
      </c>
      <c r="F13">
        <v>193.95</v>
      </c>
      <c r="G13">
        <v>12743.75</v>
      </c>
      <c r="H13">
        <v>193.9</v>
      </c>
      <c r="I13">
        <v>12670.57</v>
      </c>
      <c r="J13">
        <v>179.51</v>
      </c>
      <c r="K13">
        <v>11424.87</v>
      </c>
      <c r="L13">
        <v>-1</v>
      </c>
      <c r="M13">
        <v>6806.29</v>
      </c>
    </row>
    <row r="14" spans="1:13">
      <c r="A14" t="s">
        <v>25</v>
      </c>
      <c r="B14">
        <v>146.43</v>
      </c>
      <c r="C14">
        <v>11531.79</v>
      </c>
      <c r="D14">
        <v>146.45</v>
      </c>
      <c r="E14">
        <v>11004.21</v>
      </c>
      <c r="F14">
        <v>169.67</v>
      </c>
      <c r="G14">
        <v>12840.32</v>
      </c>
      <c r="H14">
        <v>-1</v>
      </c>
      <c r="I14">
        <v>809.58</v>
      </c>
      <c r="J14">
        <v>-1</v>
      </c>
      <c r="K14">
        <v>3136.63</v>
      </c>
      <c r="L14">
        <v>165.13</v>
      </c>
      <c r="M14">
        <v>10970.67</v>
      </c>
    </row>
    <row r="15" spans="1:13">
      <c r="A15" t="s">
        <v>26</v>
      </c>
      <c r="B15">
        <v>150.44</v>
      </c>
      <c r="C15">
        <v>10857.09</v>
      </c>
      <c r="D15">
        <v>150.68</v>
      </c>
      <c r="E15">
        <v>11423.32</v>
      </c>
      <c r="F15">
        <v>-1</v>
      </c>
      <c r="G15">
        <v>6433.31</v>
      </c>
      <c r="H15">
        <v>-1</v>
      </c>
      <c r="I15">
        <v>1614.88</v>
      </c>
      <c r="J15">
        <v>158.69</v>
      </c>
      <c r="K15">
        <v>10881.43</v>
      </c>
      <c r="L15">
        <v>-1</v>
      </c>
      <c r="M15">
        <v>582.35</v>
      </c>
    </row>
    <row r="16" spans="1:13">
      <c r="A16" t="s">
        <v>27</v>
      </c>
      <c r="B16">
        <v>178.26</v>
      </c>
      <c r="C16">
        <v>12007.27</v>
      </c>
      <c r="D16">
        <v>178.6</v>
      </c>
      <c r="E16">
        <v>11949.45</v>
      </c>
      <c r="F16">
        <v>-1</v>
      </c>
      <c r="G16">
        <v>3837.49</v>
      </c>
      <c r="H16">
        <v>200.13</v>
      </c>
      <c r="I16">
        <v>13393.97</v>
      </c>
      <c r="J16">
        <v>-1</v>
      </c>
      <c r="K16">
        <v>774.68</v>
      </c>
      <c r="L16">
        <v>185.6</v>
      </c>
      <c r="M16">
        <v>11962.19</v>
      </c>
    </row>
    <row r="17" spans="1:13">
      <c r="A17" t="s">
        <v>28</v>
      </c>
      <c r="B17">
        <v>169.26</v>
      </c>
      <c r="C17">
        <v>11274.39</v>
      </c>
      <c r="D17">
        <v>169.16</v>
      </c>
      <c r="E17">
        <v>10162.43</v>
      </c>
      <c r="F17">
        <v>-1</v>
      </c>
      <c r="G17">
        <v>10277.57</v>
      </c>
      <c r="H17">
        <v>-1</v>
      </c>
      <c r="I17">
        <v>5426.95</v>
      </c>
      <c r="J17">
        <v>-1</v>
      </c>
      <c r="K17">
        <v>9120.25</v>
      </c>
      <c r="L17">
        <v>184.29</v>
      </c>
      <c r="M17">
        <v>10182.38</v>
      </c>
    </row>
    <row r="18" spans="1:13">
      <c r="A18" t="s">
        <v>29</v>
      </c>
      <c r="B18">
        <v>164.18</v>
      </c>
      <c r="C18">
        <v>11754.81</v>
      </c>
      <c r="D18">
        <v>164.08</v>
      </c>
      <c r="E18">
        <v>11209.11</v>
      </c>
      <c r="F18">
        <v>-1</v>
      </c>
      <c r="G18">
        <v>7084.11</v>
      </c>
      <c r="H18">
        <v>189.04</v>
      </c>
      <c r="I18">
        <v>12354.07</v>
      </c>
      <c r="J18">
        <v>-1</v>
      </c>
      <c r="K18">
        <v>6068.34</v>
      </c>
      <c r="L18">
        <v>-1</v>
      </c>
      <c r="M18">
        <v>631.73</v>
      </c>
    </row>
    <row r="19" spans="1:13">
      <c r="A19" t="s">
        <v>30</v>
      </c>
      <c r="B19">
        <v>157.28</v>
      </c>
      <c r="C19">
        <v>11643.43</v>
      </c>
      <c r="D19">
        <v>157.45</v>
      </c>
      <c r="E19">
        <v>10830.09</v>
      </c>
      <c r="F19">
        <v>-1</v>
      </c>
      <c r="G19">
        <v>870.18</v>
      </c>
      <c r="H19">
        <v>-1</v>
      </c>
      <c r="I19">
        <v>6507.9</v>
      </c>
      <c r="J19">
        <v>-1</v>
      </c>
      <c r="K19">
        <v>820.96</v>
      </c>
      <c r="L19">
        <v>-1</v>
      </c>
      <c r="M19">
        <v>2322.93</v>
      </c>
    </row>
    <row r="20" spans="1:13">
      <c r="A20" t="s">
        <v>31</v>
      </c>
      <c r="B20">
        <v>157.19</v>
      </c>
      <c r="C20">
        <v>11532.78</v>
      </c>
      <c r="D20">
        <v>157.1</v>
      </c>
      <c r="E20">
        <v>11246.57</v>
      </c>
      <c r="F20">
        <v>182.85</v>
      </c>
      <c r="G20">
        <v>12858.57</v>
      </c>
      <c r="H20">
        <v>169.89</v>
      </c>
      <c r="I20">
        <v>12437.92</v>
      </c>
      <c r="J20">
        <v>-1</v>
      </c>
      <c r="K20">
        <v>908.92</v>
      </c>
      <c r="L20">
        <v>-1</v>
      </c>
      <c r="M20">
        <v>0</v>
      </c>
    </row>
    <row r="21" spans="1:13">
      <c r="A21" t="s">
        <v>32</v>
      </c>
      <c r="B21">
        <v>162.26</v>
      </c>
      <c r="C21">
        <v>11784.78</v>
      </c>
      <c r="D21">
        <v>161.59</v>
      </c>
      <c r="E21">
        <v>10933.29</v>
      </c>
      <c r="F21">
        <v>182.03</v>
      </c>
      <c r="G21">
        <v>13238.62</v>
      </c>
      <c r="H21">
        <v>-1</v>
      </c>
      <c r="I21">
        <v>10068.6</v>
      </c>
      <c r="J21">
        <v>180.29</v>
      </c>
      <c r="K21">
        <v>11842.97</v>
      </c>
      <c r="L21">
        <v>-1</v>
      </c>
      <c r="M21">
        <v>775.85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169.922</v>
      </c>
      <c r="B24" s="4">
        <f>IFERROR(AVERAGEIF($D$2:$D$21,"&lt;&gt; -1"),0)</f>
        <v>169.9835</v>
      </c>
      <c r="C24" s="4">
        <f>IFERROR(AVERAGEIF($F$2:$F$21,"&lt;&gt; -1"),0)</f>
        <v>190.48</v>
      </c>
      <c r="D24" s="4">
        <f>IFERROR(AVERAGEIF($H$2:$H$21,"&lt;&gt; -1"),0)</f>
        <v>190.92</v>
      </c>
      <c r="E24" s="4">
        <f>IFERROR(AVERAGEIF($J$2:$J$21,"&lt;&gt; -1"),0)</f>
        <v>175.986</v>
      </c>
      <c r="F24" s="4">
        <f>IFERROR(AVERAGEIF($L$2:$L$21,"&lt;&gt; -1"),0)</f>
        <v>181.4275</v>
      </c>
      <c r="G24" s="4">
        <f>IFERROR(AVERAGEIFS($C$2:$C$21,$B$2:$B$21,"&lt;&gt; -1"),0)</f>
        <v>11527.833</v>
      </c>
      <c r="H24" s="4">
        <f>IFERROR(AVERAGEIFS($E$2:$E$21,$D$2:$D$21,"&lt;&gt; -1"),0)</f>
        <v>11173.1905</v>
      </c>
      <c r="I24" s="4">
        <f>IFERROR(AVERAGEIFS($G$2:$G$21,$F$2:$F$21,"&lt;&gt; -1"),0)</f>
        <v>12909.708</v>
      </c>
      <c r="J24" s="4">
        <f>IFERROR(AVERAGEIFS($I$2:$I$21,$H$2:$H$21,"&lt;&gt; -1"),0)</f>
        <v>12662.9316666667</v>
      </c>
      <c r="K24" s="4">
        <f>IFERROR(AVERAGEIFS($K$2:$K$21,$J$2:$J$21,"&lt;&gt; -1"),0)</f>
        <v>11465.822</v>
      </c>
      <c r="L24" s="4">
        <f>IFERROR(AVERAGEIFS($M$2:$M$21,$L$2:$L$21,"&lt;&gt; -1"),0)</f>
        <v>11059.9425</v>
      </c>
      <c r="M24" s="4">
        <f>IFERROR(_xlfn.MAXIFS($B$2:$B$21,$B$2:$B$21,"&lt;&gt; -1"),0)</f>
        <v>196.84</v>
      </c>
      <c r="N24" s="4">
        <f>IFERROR(_xlfn.MAXIFS($D$2:$D$21,$D$2:$D$21,"&lt;&gt;-1"),0)</f>
        <v>197.04</v>
      </c>
      <c r="O24" s="4">
        <f>IFERROR(_xlfn.MAXIFS($F$2:$F$21,$F$2:$F$21,"&lt;&gt; -1"),0)</f>
        <v>223.9</v>
      </c>
      <c r="P24" s="4">
        <f>IFERROR(_xlfn.MAXIFS($H$2:$H$21,$H$2:$H$21,"&lt;&gt; -1"),0)</f>
        <v>206.59</v>
      </c>
      <c r="Q24" s="4">
        <f>IFERROR(_xlfn.MAXIFS($J$2:$J$21,$J$2:$J$21,"&lt;&gt; -1"),0)</f>
        <v>184.97</v>
      </c>
      <c r="R24" s="4">
        <f>IFERROR(_xlfn.MAXIFS($L$2:$L$21,$L$2:$L$21,"&lt;&gt; -1"),0)</f>
        <v>190.69</v>
      </c>
      <c r="S24" s="4">
        <f>IFERROR(_xlfn.MINIFS($B$2:$B$21,$B$2:$B$21,"&lt;&gt; -1"),0)</f>
        <v>133.65</v>
      </c>
      <c r="T24" s="4">
        <f>IFERROR(_xlfn.MINIFS($D$2:$D$21,$D$2:$D$21,"&lt;&gt;-1"),0)</f>
        <v>133.89</v>
      </c>
      <c r="U24" s="4">
        <f>IFERROR(_xlfn.MINIFS($F$2:$F$21,$F$2:$F$21,"&lt;&gt; -1"),0)</f>
        <v>169.67</v>
      </c>
      <c r="V24" s="4">
        <f>IFERROR(_xlfn.MINIFS($H$2:$H$21,$H$2:$H$21,"&lt;&gt; -1"),0)</f>
        <v>169.89</v>
      </c>
      <c r="W24" s="4">
        <f>IFERROR(_xlfn.MINIFS($J$2:$J$21,$J$2:$J$21,"&lt;&gt; -1"),0)</f>
        <v>158.69</v>
      </c>
      <c r="X24" s="4">
        <f>IFERROR(_xlfn.MINIFS($L$2:$L$21,$L$2:$L$21,"&lt;&gt; -1"),0)</f>
        <v>165.13</v>
      </c>
      <c r="Y24" s="4">
        <f>IFERROR(_xlfn.MAXIFS($C$2:$C$21,$B$2:$B$21,"&lt;&gt; -1"),0)</f>
        <v>12007.27</v>
      </c>
      <c r="Z24" s="4">
        <f>IFERROR(_xlfn.MAXIFS($E$2:$E$21,$D$2:$D$21,"&lt;&gt; -1"),0)</f>
        <v>11949.45</v>
      </c>
      <c r="AA24" s="4">
        <f>IFERROR(_xlfn.MAXIFS($G$2:$G$21,$F$2:$F$21,"&lt;&gt; -1"),0)</f>
        <v>13238.62</v>
      </c>
      <c r="AB24" s="4">
        <f>IFERROR(_xlfn.MAXIFS($I$2:$I$21,$H$2:$H$21,"&lt;&gt; -1"),0)</f>
        <v>13393.97</v>
      </c>
      <c r="AC24" s="4">
        <f>IFERROR(_xlfn.MAXIFS($K$2:$K$21,$J$2:$J$21,"&lt;&gt; -1"),0)</f>
        <v>11842.97</v>
      </c>
      <c r="AD24" s="4">
        <f>IFERROR(_xlfn.MAXIFS($M$2:$M$21,$L$2:$L$21,"&lt;&gt; -1"),0)</f>
        <v>11962.19</v>
      </c>
      <c r="AE24" s="4">
        <f>IFERROR(_xlfn.MINIFS($C$2:$C$21,$B$2:$B$21,"&lt;&gt; -1"),0)</f>
        <v>10857.09</v>
      </c>
      <c r="AF24" s="4">
        <f>IFERROR(_xlfn.MINIFS($E$2:$E$21,$D$2:$D$21,"&lt;&gt; -1"),0)</f>
        <v>10162.43</v>
      </c>
      <c r="AG24" s="4">
        <f>IFERROR(_xlfn.MINIFS($G$2:$G$21,$F$2:$F$21,"&lt;&gt; -1"),0)</f>
        <v>12743.75</v>
      </c>
      <c r="AH24" s="4">
        <f>IFERROR(_xlfn.MINIFS($I$2:$I$21,$H$2:$H$21,"&lt;&gt; -1"),0)</f>
        <v>12354.07</v>
      </c>
      <c r="AI24" s="4">
        <f>IFERROR(_xlfn.MINIFS($K$2:$K$21,$J$2:$J$21,"&lt;&gt; -1"),0)</f>
        <v>10881.43</v>
      </c>
      <c r="AJ24" s="4">
        <f>IFERROR(_xlfn.MINIFS($M$2:$M$21,$L$2:$L$21,"&lt;&gt; -1"),0)</f>
        <v>10182.38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0.2</v>
      </c>
      <c r="AN24" s="4">
        <f>(COUNTIFS($H$2:$H$21,"&gt;0.0",$H$2:$H$21,"&lt;200.0"))/20</f>
        <v>0.2</v>
      </c>
      <c r="AO24" s="4">
        <f>(COUNTIFS($J$2:$J$21,"&gt;0.0",$J$2:$J$21,"&lt;200.0"))/20</f>
        <v>0.25</v>
      </c>
      <c r="AP24" s="4">
        <f>(COUNTIFS($L$2:$L$21,"&gt;0.0",$L$2:$L$21,"&lt;200.0"))/20</f>
        <v>0.2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174.11</v>
      </c>
      <c r="C2">
        <v>11296.13</v>
      </c>
      <c r="D2">
        <v>173.93</v>
      </c>
      <c r="E2">
        <v>10170.48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187.24</v>
      </c>
      <c r="C3">
        <v>11890.13</v>
      </c>
      <c r="D3">
        <v>187.45</v>
      </c>
      <c r="E3">
        <v>11972.99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187.83</v>
      </c>
      <c r="C4">
        <v>11671.04</v>
      </c>
      <c r="D4">
        <v>187.86</v>
      </c>
      <c r="E4">
        <v>11602.68</v>
      </c>
      <c r="F4">
        <v>-1</v>
      </c>
      <c r="G4">
        <v>0</v>
      </c>
      <c r="H4">
        <v>-1</v>
      </c>
      <c r="I4">
        <v>1740.37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182.64</v>
      </c>
      <c r="C5">
        <v>11688.78</v>
      </c>
      <c r="D5">
        <v>182.67</v>
      </c>
      <c r="E5">
        <v>10777.02</v>
      </c>
      <c r="F5">
        <v>-1</v>
      </c>
      <c r="G5">
        <v>1870.1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171.94</v>
      </c>
      <c r="C6">
        <v>11383.79</v>
      </c>
      <c r="D6">
        <v>172.04</v>
      </c>
      <c r="E6">
        <v>11111.3</v>
      </c>
      <c r="F6">
        <v>-1</v>
      </c>
      <c r="G6">
        <v>5819.87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180.76</v>
      </c>
      <c r="C7">
        <v>11698.43</v>
      </c>
      <c r="D7">
        <v>181.1</v>
      </c>
      <c r="E7">
        <v>11035.7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173.66</v>
      </c>
      <c r="C8">
        <v>11474.4</v>
      </c>
      <c r="D8">
        <v>174.03</v>
      </c>
      <c r="E8">
        <v>10799.69</v>
      </c>
      <c r="F8">
        <v>-1</v>
      </c>
      <c r="G8">
        <v>2097.57</v>
      </c>
      <c r="H8">
        <v>-1</v>
      </c>
      <c r="I8">
        <v>1879.61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181.33</v>
      </c>
      <c r="C9">
        <v>12180.93</v>
      </c>
      <c r="D9">
        <v>182.2</v>
      </c>
      <c r="E9">
        <v>11605.55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175.77</v>
      </c>
      <c r="C10">
        <v>11738.72</v>
      </c>
      <c r="D10">
        <v>175.3</v>
      </c>
      <c r="E10">
        <v>10860.17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174.88</v>
      </c>
      <c r="C11">
        <v>11609.65</v>
      </c>
      <c r="D11">
        <v>176.24</v>
      </c>
      <c r="E11">
        <v>11038.6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182.56</v>
      </c>
      <c r="C12">
        <v>11856.61</v>
      </c>
      <c r="D12">
        <v>183.15</v>
      </c>
      <c r="E12">
        <v>11638.56</v>
      </c>
      <c r="F12">
        <v>-1</v>
      </c>
      <c r="G12">
        <v>0</v>
      </c>
      <c r="H12">
        <v>-1</v>
      </c>
      <c r="I12">
        <v>2113.22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184.57</v>
      </c>
      <c r="C13">
        <v>11570.26</v>
      </c>
      <c r="D13">
        <v>184.51</v>
      </c>
      <c r="E13">
        <v>11159.22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178.14</v>
      </c>
      <c r="C14">
        <v>11167.71</v>
      </c>
      <c r="D14">
        <v>178.57</v>
      </c>
      <c r="E14">
        <v>10989.76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169.52</v>
      </c>
      <c r="C15">
        <v>11260.53</v>
      </c>
      <c r="D15">
        <v>170.2</v>
      </c>
      <c r="E15">
        <v>10872.96</v>
      </c>
      <c r="F15">
        <v>-1</v>
      </c>
      <c r="G15">
        <v>0</v>
      </c>
      <c r="H15">
        <v>-1</v>
      </c>
      <c r="I15">
        <v>4713.23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179.36</v>
      </c>
      <c r="C16">
        <v>11591.15</v>
      </c>
      <c r="D16">
        <v>179.38</v>
      </c>
      <c r="E16">
        <v>11307.33</v>
      </c>
      <c r="F16">
        <v>-1</v>
      </c>
      <c r="G16">
        <v>0</v>
      </c>
      <c r="H16">
        <v>-1</v>
      </c>
      <c r="I16">
        <v>2075.3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168.01</v>
      </c>
      <c r="C17">
        <v>11131.94</v>
      </c>
      <c r="D17">
        <v>168.38</v>
      </c>
      <c r="E17">
        <v>10884.5</v>
      </c>
      <c r="F17">
        <v>-1</v>
      </c>
      <c r="G17">
        <v>0</v>
      </c>
      <c r="H17">
        <v>-1</v>
      </c>
      <c r="I17">
        <v>4617.49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182.3</v>
      </c>
      <c r="C18">
        <v>11973.55</v>
      </c>
      <c r="D18">
        <v>182.23</v>
      </c>
      <c r="E18">
        <v>10913.84</v>
      </c>
      <c r="F18">
        <v>-1</v>
      </c>
      <c r="G18">
        <v>2212.13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174.17</v>
      </c>
      <c r="C19">
        <v>12041.62</v>
      </c>
      <c r="D19">
        <v>173.98</v>
      </c>
      <c r="E19">
        <v>10866.85</v>
      </c>
      <c r="F19">
        <v>-1</v>
      </c>
      <c r="G19">
        <v>6934.73</v>
      </c>
      <c r="H19">
        <v>-1</v>
      </c>
      <c r="I19">
        <v>1753.85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178.16</v>
      </c>
      <c r="C20">
        <v>11507.87</v>
      </c>
      <c r="D20">
        <v>178.84</v>
      </c>
      <c r="E20">
        <v>11168.6</v>
      </c>
      <c r="F20">
        <v>-1</v>
      </c>
      <c r="G20">
        <v>2275.2</v>
      </c>
      <c r="H20">
        <v>-1</v>
      </c>
      <c r="I20">
        <v>4799.85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172.9</v>
      </c>
      <c r="C21">
        <v>11810.75</v>
      </c>
      <c r="D21">
        <v>173.36</v>
      </c>
      <c r="E21">
        <v>11035.15</v>
      </c>
      <c r="F21">
        <v>-1</v>
      </c>
      <c r="G21">
        <v>2227.07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177.9925</v>
      </c>
      <c r="B24" s="4">
        <f>IFERROR(AVERAGEIF($D$2:$D$21,"&lt;&gt; -1"),0)</f>
        <v>178.271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11627.1995</v>
      </c>
      <c r="H24" s="4">
        <f>IFERROR(AVERAGEIFS($E$2:$E$21,$D$2:$D$21,"&lt;&gt; -1"),0)</f>
        <v>11090.5475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187.83</v>
      </c>
      <c r="N24" s="4">
        <f>IFERROR(_xlfn.MAXIFS($D$2:$D$21,$D$2:$D$21,"&lt;&gt;-1"),0)</f>
        <v>187.86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168.01</v>
      </c>
      <c r="T24" s="4">
        <f>IFERROR(_xlfn.MINIFS($D$2:$D$21,$D$2:$D$21,"&lt;&gt;-1"),0)</f>
        <v>168.38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12180.93</v>
      </c>
      <c r="Z24" s="4">
        <f>IFERROR(_xlfn.MAXIFS($E$2:$E$21,$D$2:$D$21,"&lt;&gt; -1"),0)</f>
        <v>11972.99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11131.94</v>
      </c>
      <c r="AF24" s="4">
        <f>IFERROR(_xlfn.MINIFS($E$2:$E$21,$D$2:$D$21,"&lt;&gt; -1"),0)</f>
        <v>10170.48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</v>
      </c>
      <c r="AN24" s="4">
        <f>(COUNTIFS($H$2:$H$21,"&gt;0.0",$H$2:$H$21,"&lt;200.0"))/20</f>
        <v>0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181.69</v>
      </c>
      <c r="C2">
        <v>10746.06</v>
      </c>
      <c r="D2">
        <v>182.24</v>
      </c>
      <c r="E2">
        <v>9862.25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201.41</v>
      </c>
      <c r="C3">
        <v>11580.7</v>
      </c>
      <c r="D3">
        <v>201.85</v>
      </c>
      <c r="E3">
        <v>11515.07</v>
      </c>
      <c r="F3">
        <v>-1</v>
      </c>
      <c r="G3">
        <v>2889.16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202.63</v>
      </c>
      <c r="C4">
        <v>11720.45</v>
      </c>
      <c r="D4">
        <v>202.98</v>
      </c>
      <c r="E4">
        <v>11532.91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210.51</v>
      </c>
      <c r="C5">
        <v>11716.23</v>
      </c>
      <c r="D5">
        <v>211.01</v>
      </c>
      <c r="E5">
        <v>11329.12</v>
      </c>
      <c r="F5">
        <v>-1</v>
      </c>
      <c r="G5">
        <v>2779.95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203.45</v>
      </c>
      <c r="C6">
        <v>11311.46</v>
      </c>
      <c r="D6">
        <v>203.62</v>
      </c>
      <c r="E6">
        <v>11481.07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207.82</v>
      </c>
      <c r="C7">
        <v>11094.65</v>
      </c>
      <c r="D7">
        <v>208.34</v>
      </c>
      <c r="E7">
        <v>10967.77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204.69</v>
      </c>
      <c r="C8">
        <v>11003.67</v>
      </c>
      <c r="D8">
        <v>205.28</v>
      </c>
      <c r="E8">
        <v>10586.89</v>
      </c>
      <c r="F8">
        <v>-1</v>
      </c>
      <c r="G8">
        <v>2936.39</v>
      </c>
      <c r="H8">
        <v>-1</v>
      </c>
      <c r="I8">
        <v>2916.19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206.55</v>
      </c>
      <c r="C9">
        <v>11544.16</v>
      </c>
      <c r="D9">
        <v>206.72</v>
      </c>
      <c r="E9">
        <v>11236.4</v>
      </c>
      <c r="F9">
        <v>-1</v>
      </c>
      <c r="G9">
        <v>0</v>
      </c>
      <c r="H9">
        <v>-1</v>
      </c>
      <c r="I9">
        <v>3281.89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220.49</v>
      </c>
      <c r="C10">
        <v>11436.74</v>
      </c>
      <c r="D10">
        <v>221.19</v>
      </c>
      <c r="E10">
        <v>11653.53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206.29</v>
      </c>
      <c r="C11">
        <v>11868.2</v>
      </c>
      <c r="D11">
        <v>206.64</v>
      </c>
      <c r="E11">
        <v>10983.7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223.22</v>
      </c>
      <c r="C12">
        <v>12060.49</v>
      </c>
      <c r="D12">
        <v>223.9</v>
      </c>
      <c r="E12">
        <v>11723.9</v>
      </c>
      <c r="F12">
        <v>-1</v>
      </c>
      <c r="G12">
        <v>0</v>
      </c>
      <c r="H12">
        <v>-1</v>
      </c>
      <c r="I12">
        <v>2529.99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214.18</v>
      </c>
      <c r="C13">
        <v>10996.39</v>
      </c>
      <c r="D13">
        <v>214.99</v>
      </c>
      <c r="E13">
        <v>11287.21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210.84</v>
      </c>
      <c r="C14">
        <v>11110.89</v>
      </c>
      <c r="D14">
        <v>211.77</v>
      </c>
      <c r="E14">
        <v>10897.26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199.48</v>
      </c>
      <c r="C15">
        <v>11082.79</v>
      </c>
      <c r="D15">
        <v>200.2</v>
      </c>
      <c r="E15">
        <v>11570.01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208.68</v>
      </c>
      <c r="C16">
        <v>11543.52</v>
      </c>
      <c r="D16">
        <v>209.34</v>
      </c>
      <c r="E16">
        <v>11415.63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208.39</v>
      </c>
      <c r="C17">
        <v>10930.99</v>
      </c>
      <c r="D17">
        <v>208.73</v>
      </c>
      <c r="E17">
        <v>10952.45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220.12</v>
      </c>
      <c r="C18">
        <v>11084.63</v>
      </c>
      <c r="D18">
        <v>220.48</v>
      </c>
      <c r="E18">
        <v>11341.65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164.42</v>
      </c>
      <c r="C19">
        <v>11765.89</v>
      </c>
      <c r="D19">
        <v>165.03</v>
      </c>
      <c r="E19">
        <v>11574.06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161.47</v>
      </c>
      <c r="C20">
        <v>11189.93</v>
      </c>
      <c r="D20">
        <v>161.57</v>
      </c>
      <c r="E20">
        <v>11321.21</v>
      </c>
      <c r="F20">
        <v>-1</v>
      </c>
      <c r="G20">
        <v>9212.88</v>
      </c>
      <c r="H20">
        <v>-1</v>
      </c>
      <c r="I20">
        <v>6857.56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165.05</v>
      </c>
      <c r="C21">
        <v>11663.48</v>
      </c>
      <c r="D21">
        <v>164.76</v>
      </c>
      <c r="E21">
        <v>10810.06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201.069</v>
      </c>
      <c r="B24" s="4">
        <f>IFERROR(AVERAGEIF($D$2:$D$21,"&lt;&gt; -1"),0)</f>
        <v>201.532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11372.566</v>
      </c>
      <c r="H24" s="4">
        <f>IFERROR(AVERAGEIFS($E$2:$E$21,$D$2:$D$21,"&lt;&gt; -1"),0)</f>
        <v>11202.1075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223.22</v>
      </c>
      <c r="N24" s="4">
        <f>IFERROR(_xlfn.MAXIFS($D$2:$D$21,$D$2:$D$21,"&lt;&gt;-1"),0)</f>
        <v>223.9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161.47</v>
      </c>
      <c r="T24" s="4">
        <f>IFERROR(_xlfn.MINIFS($D$2:$D$21,$D$2:$D$21,"&lt;&gt;-1"),0)</f>
        <v>161.57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12060.49</v>
      </c>
      <c r="Z24" s="4">
        <f>IFERROR(_xlfn.MAXIFS($E$2:$E$21,$D$2:$D$21,"&lt;&gt; -1"),0)</f>
        <v>11723.9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10746.06</v>
      </c>
      <c r="AF24" s="4">
        <f>IFERROR(_xlfn.MINIFS($E$2:$E$21,$D$2:$D$21,"&lt;&gt; -1"),0)</f>
        <v>9862.25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0.25</v>
      </c>
      <c r="AL24" s="4">
        <f>(COUNTIFS($D$2:$D$21,"&gt;0.0",$D$2:$D$21,"&lt;200.0"))/20</f>
        <v>0.2</v>
      </c>
      <c r="AM24" s="4">
        <f>(COUNTIFS($F$2:$F$21,"&gt;0.0",$F$2:$F$21,"&lt;200.0"))/20</f>
        <v>0</v>
      </c>
      <c r="AN24" s="4">
        <f>(COUNTIFS($H$2:$H$21,"&gt;0.0",$H$2:$H$21,"&lt;200.0"))/20</f>
        <v>0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176</v>
      </c>
      <c r="C2">
        <v>11319.07</v>
      </c>
      <c r="D2">
        <v>176.33</v>
      </c>
      <c r="E2">
        <v>11136.02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186.89</v>
      </c>
      <c r="C3">
        <v>12349.74</v>
      </c>
      <c r="D3">
        <v>187.47</v>
      </c>
      <c r="E3">
        <v>11938.65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181.72</v>
      </c>
      <c r="C4">
        <v>11722.47</v>
      </c>
      <c r="D4">
        <v>181.87</v>
      </c>
      <c r="E4">
        <v>11315.73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185.96</v>
      </c>
      <c r="C5">
        <v>12135.62</v>
      </c>
      <c r="D5">
        <v>185.92</v>
      </c>
      <c r="E5">
        <v>11601.5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185.32</v>
      </c>
      <c r="C6">
        <v>11806.39</v>
      </c>
      <c r="D6">
        <v>185.44</v>
      </c>
      <c r="E6">
        <v>11908.14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190.96</v>
      </c>
      <c r="C7">
        <v>11949.31</v>
      </c>
      <c r="D7">
        <v>191.07</v>
      </c>
      <c r="E7">
        <v>11151.92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184.83</v>
      </c>
      <c r="C8">
        <v>12043.15</v>
      </c>
      <c r="D8">
        <v>185.11</v>
      </c>
      <c r="E8">
        <v>11759.77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226.54</v>
      </c>
      <c r="C9">
        <v>11841.04</v>
      </c>
      <c r="D9">
        <v>226.68</v>
      </c>
      <c r="E9">
        <v>11139.37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223.57</v>
      </c>
      <c r="C10">
        <v>11672.25</v>
      </c>
      <c r="D10">
        <v>223.85</v>
      </c>
      <c r="E10">
        <v>10986.42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221.32</v>
      </c>
      <c r="C11">
        <v>12162.03</v>
      </c>
      <c r="D11">
        <v>221.97</v>
      </c>
      <c r="E11">
        <v>10883.27</v>
      </c>
      <c r="F11">
        <v>-1</v>
      </c>
      <c r="G11">
        <v>0</v>
      </c>
      <c r="H11">
        <v>-1</v>
      </c>
      <c r="I11">
        <v>1973.91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222.9</v>
      </c>
      <c r="C12">
        <v>12194.85</v>
      </c>
      <c r="D12">
        <v>223.25</v>
      </c>
      <c r="E12">
        <v>11920.54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230.74</v>
      </c>
      <c r="C13">
        <v>12375.55</v>
      </c>
      <c r="D13">
        <v>230.99</v>
      </c>
      <c r="E13">
        <v>11257.34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222.96</v>
      </c>
      <c r="C14">
        <v>11667.97</v>
      </c>
      <c r="D14">
        <v>223.25</v>
      </c>
      <c r="E14">
        <v>11395.09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220.46</v>
      </c>
      <c r="C15">
        <v>11387.82</v>
      </c>
      <c r="D15">
        <v>220.49</v>
      </c>
      <c r="E15">
        <v>11522.69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227.13</v>
      </c>
      <c r="C16">
        <v>11996.44</v>
      </c>
      <c r="D16">
        <v>227.59</v>
      </c>
      <c r="E16">
        <v>12357.54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226.12</v>
      </c>
      <c r="C17">
        <v>11185.68</v>
      </c>
      <c r="D17">
        <v>226.41</v>
      </c>
      <c r="E17">
        <v>11107.16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239.93</v>
      </c>
      <c r="C18">
        <v>11473.77</v>
      </c>
      <c r="D18">
        <v>240.01</v>
      </c>
      <c r="E18">
        <v>12356.95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199.98</v>
      </c>
      <c r="C19">
        <v>11621.4</v>
      </c>
      <c r="D19">
        <v>200.1</v>
      </c>
      <c r="E19">
        <v>11399.33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184.26</v>
      </c>
      <c r="C20">
        <v>11703.83</v>
      </c>
      <c r="D20">
        <v>184.61</v>
      </c>
      <c r="E20">
        <v>11321.81</v>
      </c>
      <c r="F20">
        <v>-1</v>
      </c>
      <c r="G20">
        <v>3244.18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188.37</v>
      </c>
      <c r="C21">
        <v>11689.58</v>
      </c>
      <c r="D21">
        <v>189.08</v>
      </c>
      <c r="E21">
        <v>11825.4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206.298</v>
      </c>
      <c r="B25" s="4">
        <f>IFERROR(AVERAGEIF($D$2:$D$21,"&lt;&gt; -1"),0)</f>
        <v>206.5745</v>
      </c>
      <c r="C25" s="4">
        <f>IFERROR(AVERAGEIF($F$2:$F$21,"&lt;&gt; -1"),0)</f>
        <v>0</v>
      </c>
      <c r="D25" s="4">
        <f>IFERROR(AVERAGEIF($H$2:$H$21,"&lt;&gt; -1"),0)</f>
        <v>0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11814.898</v>
      </c>
      <c r="H25" s="4">
        <f>IFERROR(AVERAGEIFS($E$2:$E$21,$D$2:$D$21,"&lt;&gt; -1"),0)</f>
        <v>11514.232</v>
      </c>
      <c r="I25" s="4">
        <f>IFERROR(AVERAGEIFS($G$2:$G$21,$F$2:$F$21,"&lt;&gt; -1"),0)</f>
        <v>0</v>
      </c>
      <c r="J25" s="4">
        <f>IFERROR(AVERAGEIFS($I$2:$I$21,$H$2:$H$21,"&lt;&gt; -1"),0)</f>
        <v>0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239.93</v>
      </c>
      <c r="N25" s="4">
        <f>IFERROR(_xlfn.MAXIFS($D$2:$D$21,$D$2:$D$21,"&lt;&gt;-1"),0)</f>
        <v>240.01</v>
      </c>
      <c r="O25" s="4">
        <f>IFERROR(_xlfn.MAXIFS($F$2:$F$21,$F$2:$F$21,"&lt;&gt; -1"),0)</f>
        <v>0</v>
      </c>
      <c r="P25" s="4">
        <f>IFERROR(_xlfn.MAXIFS($H$2:$H$21,$H$2:$H$21,"&lt;&gt; -1"),0)</f>
        <v>0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176</v>
      </c>
      <c r="T25" s="4">
        <f>IFERROR(_xlfn.MINIFS($D$2:$D$21,$D$2:$D$21,"&lt;&gt;-1"),0)</f>
        <v>176.33</v>
      </c>
      <c r="U25" s="4">
        <f>IFERROR(_xlfn.MINIFS($F$2:$F$21,$F$2:$F$21,"&lt;&gt; -1"),0)</f>
        <v>0</v>
      </c>
      <c r="V25" s="4">
        <f>IFERROR(_xlfn.MINIFS($H$2:$H$21,$H$2:$H$21,"&lt;&gt; -1"),0)</f>
        <v>0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12375.55</v>
      </c>
      <c r="Z25" s="4">
        <f>IFERROR(_xlfn.MAXIFS($E$2:$E$21,$D$2:$D$21,"&lt;&gt; -1"),0)</f>
        <v>12357.54</v>
      </c>
      <c r="AA25" s="4">
        <f>IFERROR(_xlfn.MAXIFS($G$2:$G$21,$F$2:$F$21,"&lt;&gt; -1"),0)</f>
        <v>0</v>
      </c>
      <c r="AB25" s="4">
        <f>IFERROR(_xlfn.MAXIFS($I$2:$I$21,$H$2:$H$21,"&lt;&gt; -1"),0)</f>
        <v>0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11185.68</v>
      </c>
      <c r="AF25" s="4">
        <f>IFERROR(_xlfn.MINIFS($E$2:$E$21,$D$2:$D$21,"&lt;&gt; -1"),0)</f>
        <v>10883.27</v>
      </c>
      <c r="AG25" s="4">
        <f>IFERROR(_xlfn.MINIFS($G$2:$G$21,$F$2:$F$21,"&lt;&gt; -1"),0)</f>
        <v>0</v>
      </c>
      <c r="AH25" s="4">
        <f>IFERROR(_xlfn.MINIFS($I$2:$I$21,$H$2:$H$21,"&lt;&gt; -1"),0)</f>
        <v>0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(COUNTIFS($B$2:$B$21,"&gt;0.0",$B$2:$B$21,"&lt;200.0"))/20</f>
        <v>0.5</v>
      </c>
      <c r="AL25" s="4">
        <f>(COUNTIFS($D$2:$D$21,"&gt;0.0",$D$2:$D$21,"&lt;200.0"))/20</f>
        <v>0.45</v>
      </c>
      <c r="AM25" s="4">
        <f>(COUNTIFS($F$2:$F$21,"&gt;0.0",$F$2:$F$21,"&lt;200.0"))/20</f>
        <v>0</v>
      </c>
      <c r="AN25" s="4">
        <f>(COUNTIFS($H$2:$H$21,"&gt;0.0",$H$2:$H$21,"&lt;200.0"))/20</f>
        <v>0</v>
      </c>
      <c r="AO25" s="4">
        <f>(COUNTIFS($J$2:$J$21,"&gt;0.0",$J$2:$J$21,"&lt;200.0"))/20</f>
        <v>0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199.74</v>
      </c>
      <c r="C2">
        <v>11223.99</v>
      </c>
      <c r="D2">
        <v>199.9</v>
      </c>
      <c r="E2">
        <v>11431.92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213.79</v>
      </c>
      <c r="C3">
        <v>11853.91</v>
      </c>
      <c r="D3">
        <v>214.04</v>
      </c>
      <c r="E3">
        <v>11487.13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213.81</v>
      </c>
      <c r="C4">
        <v>11465.78</v>
      </c>
      <c r="D4">
        <v>214.41</v>
      </c>
      <c r="E4">
        <v>11745.26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206.55</v>
      </c>
      <c r="C5">
        <v>11630.53</v>
      </c>
      <c r="D5">
        <v>207.04</v>
      </c>
      <c r="E5">
        <v>11942.54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209.05</v>
      </c>
      <c r="C6">
        <v>11333.26</v>
      </c>
      <c r="D6">
        <v>209.36</v>
      </c>
      <c r="E6">
        <v>11823.32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211.75</v>
      </c>
      <c r="C7">
        <v>11360.57</v>
      </c>
      <c r="D7">
        <v>212.02</v>
      </c>
      <c r="E7">
        <v>11601.33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209.19</v>
      </c>
      <c r="C8">
        <v>11654.74</v>
      </c>
      <c r="D8">
        <v>209.12</v>
      </c>
      <c r="E8">
        <v>11668.35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214.91</v>
      </c>
      <c r="C9">
        <v>12012.25</v>
      </c>
      <c r="D9">
        <v>214.62</v>
      </c>
      <c r="E9">
        <v>11186.18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285.73</v>
      </c>
      <c r="C10">
        <v>11437.29</v>
      </c>
      <c r="D10">
        <v>286.15</v>
      </c>
      <c r="E10">
        <v>11839.68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286.84</v>
      </c>
      <c r="C11">
        <v>12029.12</v>
      </c>
      <c r="D11">
        <v>287.4</v>
      </c>
      <c r="E11">
        <v>12107.28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303.89</v>
      </c>
      <c r="C12">
        <v>12053</v>
      </c>
      <c r="D12">
        <v>304.23</v>
      </c>
      <c r="E12">
        <v>11910.7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293.94</v>
      </c>
      <c r="C13">
        <v>11278.46</v>
      </c>
      <c r="D13">
        <v>295.2</v>
      </c>
      <c r="E13">
        <v>11924.09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284.59</v>
      </c>
      <c r="C14">
        <v>11724.16</v>
      </c>
      <c r="D14">
        <v>284.17</v>
      </c>
      <c r="E14">
        <v>11136.61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209.9</v>
      </c>
      <c r="C15">
        <v>11324.86</v>
      </c>
      <c r="D15">
        <v>210.39</v>
      </c>
      <c r="E15">
        <v>11934.38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215.68</v>
      </c>
      <c r="C16">
        <v>12236.25</v>
      </c>
      <c r="D16">
        <v>215.4</v>
      </c>
      <c r="E16">
        <v>11856.52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208.97</v>
      </c>
      <c r="C17">
        <v>11663.98</v>
      </c>
      <c r="D17">
        <v>209.53</v>
      </c>
      <c r="E17">
        <v>11291.55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293.22</v>
      </c>
      <c r="C18">
        <v>11694.16</v>
      </c>
      <c r="D18">
        <v>293.74</v>
      </c>
      <c r="E18">
        <v>11829.06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305.46</v>
      </c>
      <c r="C19">
        <v>11551.43</v>
      </c>
      <c r="D19">
        <v>307.03</v>
      </c>
      <c r="E19">
        <v>11271.71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208.77</v>
      </c>
      <c r="C20">
        <v>11398.97</v>
      </c>
      <c r="D20">
        <v>209.7</v>
      </c>
      <c r="E20">
        <v>12380.69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214.31</v>
      </c>
      <c r="C21">
        <v>12364.51</v>
      </c>
      <c r="D21">
        <v>213.96</v>
      </c>
      <c r="E21">
        <v>12360.59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239.5045</v>
      </c>
      <c r="B24" s="4">
        <f>IFERROR(AVERAGEIF($D$2:$D$21,"&lt;&gt; -1"),0)</f>
        <v>239.8705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11664.561</v>
      </c>
      <c r="H24" s="4">
        <f>IFERROR(AVERAGEIFS($E$2:$E$21,$D$2:$D$21,"&lt;&gt; -1"),0)</f>
        <v>11736.4445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305.46</v>
      </c>
      <c r="N24" s="4">
        <f>IFERROR(_xlfn.MAXIFS($D$2:$D$21,$D$2:$D$21,"&lt;&gt;-1"),0)</f>
        <v>307.03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199.74</v>
      </c>
      <c r="T24" s="4">
        <f>IFERROR(_xlfn.MINIFS($D$2:$D$21,$D$2:$D$21,"&lt;&gt;-1"),0)</f>
        <v>199.9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12364.51</v>
      </c>
      <c r="Z24" s="4">
        <f>IFERROR(_xlfn.MAXIFS($E$2:$E$21,$D$2:$D$21,"&lt;&gt; -1"),0)</f>
        <v>12380.69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11223.99</v>
      </c>
      <c r="AF24" s="4">
        <f>IFERROR(_xlfn.MINIFS($E$2:$E$21,$D$2:$D$21,"&lt;&gt; -1"),0)</f>
        <v>11136.61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0.05</v>
      </c>
      <c r="AL24" s="4">
        <f>(COUNTIFS($D$2:$D$21,"&gt;0.0",$D$2:$D$21,"&lt;200.0"))/20</f>
        <v>0.05</v>
      </c>
      <c r="AM24" s="4">
        <f>(COUNTIFS($F$2:$F$21,"&gt;0.0",$F$2:$F$21,"&lt;200.0"))/20</f>
        <v>0</v>
      </c>
      <c r="AN24" s="4">
        <f>(COUNTIFS($H$2:$H$21,"&gt;0.0",$H$2:$H$21,"&lt;200.0"))/20</f>
        <v>0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cols>
    <col min="7" max="7" width="14.4545454545455" customWidth="1"/>
    <col min="8" max="8" width="13.1818181818182" customWidth="1"/>
    <col min="9" max="9" width="13.272727272727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229.88</v>
      </c>
      <c r="C2">
        <v>11476.78</v>
      </c>
      <c r="D2">
        <v>230.31</v>
      </c>
      <c r="E2">
        <v>11991.85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240.1</v>
      </c>
      <c r="C3">
        <v>12622.71</v>
      </c>
      <c r="D3">
        <v>240.4</v>
      </c>
      <c r="E3">
        <v>12113.04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249.58</v>
      </c>
      <c r="C4">
        <v>12790.69</v>
      </c>
      <c r="D4">
        <v>250.89</v>
      </c>
      <c r="E4">
        <v>12134.41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238.89</v>
      </c>
      <c r="C5">
        <v>11893.88</v>
      </c>
      <c r="D5">
        <v>239.43</v>
      </c>
      <c r="E5">
        <v>12328.87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242.93</v>
      </c>
      <c r="C6">
        <v>12234.7</v>
      </c>
      <c r="D6">
        <v>243.58</v>
      </c>
      <c r="E6">
        <v>12154.15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239.07</v>
      </c>
      <c r="C7">
        <v>12250.59</v>
      </c>
      <c r="D7">
        <v>239.7</v>
      </c>
      <c r="E7">
        <v>11573.7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234.1</v>
      </c>
      <c r="C8">
        <v>12105.06</v>
      </c>
      <c r="D8">
        <v>234.37</v>
      </c>
      <c r="E8">
        <v>11316.26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243.91</v>
      </c>
      <c r="C9">
        <v>12409.04</v>
      </c>
      <c r="D9">
        <v>244.48</v>
      </c>
      <c r="E9">
        <v>12642.88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242.61</v>
      </c>
      <c r="C10">
        <v>12667.41</v>
      </c>
      <c r="D10">
        <v>243.29</v>
      </c>
      <c r="E10">
        <v>12136.96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235.26</v>
      </c>
      <c r="C11">
        <v>12105.52</v>
      </c>
      <c r="D11">
        <v>236.08</v>
      </c>
      <c r="E11">
        <v>11634.07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245.72</v>
      </c>
      <c r="C12">
        <v>12273.67</v>
      </c>
      <c r="D12">
        <v>246.64</v>
      </c>
      <c r="E12">
        <v>12381.31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245.75</v>
      </c>
      <c r="C13">
        <v>12403.77</v>
      </c>
      <c r="D13">
        <v>246.39</v>
      </c>
      <c r="E13">
        <v>11950.59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234.54</v>
      </c>
      <c r="C14">
        <v>11777.56</v>
      </c>
      <c r="D14">
        <v>235.57</v>
      </c>
      <c r="E14">
        <v>11053.22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241.47</v>
      </c>
      <c r="C15">
        <v>12383.82</v>
      </c>
      <c r="D15">
        <v>242.32</v>
      </c>
      <c r="E15">
        <v>11895.65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244.04</v>
      </c>
      <c r="C16">
        <v>12383.51</v>
      </c>
      <c r="D16">
        <v>244.73</v>
      </c>
      <c r="E16">
        <v>12353.31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239.89</v>
      </c>
      <c r="C17">
        <v>11614.68</v>
      </c>
      <c r="D17">
        <v>240.81</v>
      </c>
      <c r="E17">
        <v>12065.58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240.64</v>
      </c>
      <c r="C18">
        <v>12184.11</v>
      </c>
      <c r="D18">
        <v>241.42</v>
      </c>
      <c r="E18">
        <v>12166.86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243.84</v>
      </c>
      <c r="C19">
        <v>12791.46</v>
      </c>
      <c r="D19">
        <v>244.81</v>
      </c>
      <c r="E19">
        <v>12800.73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238.24</v>
      </c>
      <c r="C20">
        <v>12112.01</v>
      </c>
      <c r="D20">
        <v>238.7</v>
      </c>
      <c r="E20">
        <v>11618.67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239.08</v>
      </c>
      <c r="C21">
        <v>12049.43</v>
      </c>
      <c r="D21">
        <v>239.93</v>
      </c>
      <c r="E21">
        <v>12236.55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240.477</v>
      </c>
      <c r="B25" s="4">
        <f>IFERROR(AVERAGEIF($D$2:$D$21,"&lt;&gt; -1"),0)</f>
        <v>241.1925</v>
      </c>
      <c r="C25" s="4">
        <f>IFERROR(AVERAGEIF($F$2:$F$21,"&lt;&gt; -1"),0)</f>
        <v>0</v>
      </c>
      <c r="D25" s="4">
        <f>IFERROR(AVERAGEIF($H$2:$H$21,"&lt;&gt; -1"),0)</f>
        <v>0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12226.52</v>
      </c>
      <c r="H25" s="4">
        <f>IFERROR(AVERAGEIFS($E$2:$E$21,$D$2:$D$21,"&lt;&gt; -1"),0)</f>
        <v>12027.433</v>
      </c>
      <c r="I25" s="4">
        <f>IFERROR(AVERAGEIFS($G$2:$G$21,$F$2:$F$21,"&lt;&gt; -1"),0)</f>
        <v>0</v>
      </c>
      <c r="J25" s="4">
        <f>IFERROR(AVERAGEIFS($I$2:$I$21,$H$2:$H$21,"&lt;&gt; -1"),0)</f>
        <v>0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249.58</v>
      </c>
      <c r="N25" s="4">
        <f>IFERROR(_xlfn.MAXIFS($D$2:$D$21,$D$2:$D$21,"&lt;&gt;-1"),0)</f>
        <v>250.89</v>
      </c>
      <c r="O25" s="4">
        <f>IFERROR(_xlfn.MAXIFS($F$2:$F$21,$F$2:$F$21,"&lt;&gt; -1"),0)</f>
        <v>0</v>
      </c>
      <c r="P25" s="4">
        <f>IFERROR(_xlfn.MAXIFS($H$2:$H$21,$H$2:$H$21,"&lt;&gt; -1"),0)</f>
        <v>0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229.88</v>
      </c>
      <c r="T25" s="4">
        <f>IFERROR(_xlfn.MINIFS($D$2:$D$21,$D$2:$D$21,"&lt;&gt;-1"),0)</f>
        <v>230.31</v>
      </c>
      <c r="U25" s="4">
        <f>IFERROR(_xlfn.MINIFS($F$2:$F$21,$F$2:$F$21,"&lt;&gt; -1"),0)</f>
        <v>0</v>
      </c>
      <c r="V25" s="4">
        <f>IFERROR(_xlfn.MINIFS($H$2:$H$21,$H$2:$H$21,"&lt;&gt; -1"),0)</f>
        <v>0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12791.46</v>
      </c>
      <c r="Z25" s="4">
        <f>IFERROR(_xlfn.MAXIFS($E$2:$E$21,$D$2:$D$21,"&lt;&gt; -1"),0)</f>
        <v>12800.73</v>
      </c>
      <c r="AA25" s="4">
        <f>IFERROR(_xlfn.MAXIFS($G$2:$G$21,$F$2:$F$21,"&lt;&gt; -1"),0)</f>
        <v>0</v>
      </c>
      <c r="AB25" s="4">
        <f>IFERROR(_xlfn.MAXIFS($I$2:$I$21,$H$2:$H$21,"&lt;&gt; -1"),0)</f>
        <v>0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11476.78</v>
      </c>
      <c r="AF25" s="4">
        <f>IFERROR(_xlfn.MINIFS($E$2:$E$21,$D$2:$D$21,"&lt;&gt; -1"),0)</f>
        <v>11053.22</v>
      </c>
      <c r="AG25" s="4">
        <f>IFERROR(_xlfn.MINIFS($G$2:$G$21,$F$2:$F$21,"&lt;&gt; -1"),0)</f>
        <v>0</v>
      </c>
      <c r="AH25" s="4">
        <f>IFERROR(_xlfn.MINIFS($I$2:$I$21,$H$2:$H$21,"&lt;&gt; -1"),0)</f>
        <v>0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(COUNTIFS($B$2:$B$21,"&gt;0.0",$B$2:$B$21,"&lt;200.0"))/20</f>
        <v>0</v>
      </c>
      <c r="AL25" s="4">
        <f>(COUNTIFS($D$2:$D$21,"&gt;0.0",$D$2:$D$21,"&lt;200.0"))/20</f>
        <v>0</v>
      </c>
      <c r="AM25" s="4">
        <f>(COUNTIFS($F$2:$F$21,"&gt;0.0",$F$2:$F$21,"&lt;200.0"))/20</f>
        <v>0</v>
      </c>
      <c r="AN25" s="4">
        <f>(COUNTIFS($H$2:$H$21,"&gt;0.0",$H$2:$H$21,"&lt;200.0"))/20</f>
        <v>0</v>
      </c>
      <c r="AO25" s="4">
        <f>(COUNTIFS($J$2:$J$21,"&gt;0.0",$J$2:$J$21,"&lt;200.0"))/20</f>
        <v>0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C11" sqref="C11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169.922</v>
      </c>
      <c r="B2">
        <v>169.9835</v>
      </c>
      <c r="C2">
        <v>190.48</v>
      </c>
      <c r="D2">
        <v>190.92</v>
      </c>
      <c r="E2">
        <v>175.986</v>
      </c>
      <c r="F2">
        <v>181.4275</v>
      </c>
      <c r="G2">
        <v>11527.833</v>
      </c>
      <c r="H2">
        <v>11173.1905</v>
      </c>
      <c r="I2">
        <v>12909.708</v>
      </c>
      <c r="J2">
        <v>12662.9316666667</v>
      </c>
      <c r="K2">
        <v>11465.822</v>
      </c>
      <c r="L2">
        <v>11059.9425</v>
      </c>
      <c r="M2">
        <v>196.84</v>
      </c>
      <c r="N2">
        <v>197.04</v>
      </c>
      <c r="O2">
        <v>223.9</v>
      </c>
      <c r="P2">
        <v>206.59</v>
      </c>
      <c r="Q2">
        <v>184.97</v>
      </c>
      <c r="R2">
        <v>190.69</v>
      </c>
      <c r="S2">
        <v>133.65</v>
      </c>
      <c r="T2">
        <v>133.89</v>
      </c>
      <c r="U2">
        <v>169.67</v>
      </c>
      <c r="V2">
        <v>169.89</v>
      </c>
      <c r="W2">
        <v>158.69</v>
      </c>
      <c r="X2">
        <v>165.13</v>
      </c>
      <c r="Y2">
        <v>12007.27</v>
      </c>
      <c r="Z2">
        <v>11949.45</v>
      </c>
      <c r="AA2">
        <v>13238.62</v>
      </c>
      <c r="AB2">
        <v>13393.97</v>
      </c>
      <c r="AC2">
        <v>11842.97</v>
      </c>
      <c r="AD2">
        <v>11962.19</v>
      </c>
      <c r="AE2">
        <v>10857.09</v>
      </c>
      <c r="AF2">
        <v>10162.43</v>
      </c>
      <c r="AG2">
        <v>12743.75</v>
      </c>
      <c r="AH2">
        <v>12354.07</v>
      </c>
      <c r="AI2">
        <v>10881.43</v>
      </c>
      <c r="AJ2">
        <v>10182.38</v>
      </c>
      <c r="AK2">
        <v>1</v>
      </c>
      <c r="AL2">
        <v>1</v>
      </c>
      <c r="AM2">
        <v>0.2</v>
      </c>
      <c r="AN2">
        <v>0.2</v>
      </c>
      <c r="AO2">
        <v>0.25</v>
      </c>
      <c r="AP2">
        <v>0.2</v>
      </c>
    </row>
    <row r="3" spans="1:42">
      <c r="A3">
        <v>177.9925</v>
      </c>
      <c r="B3">
        <v>178.271</v>
      </c>
      <c r="C3">
        <v>0</v>
      </c>
      <c r="D3">
        <v>0</v>
      </c>
      <c r="E3">
        <v>0</v>
      </c>
      <c r="F3">
        <v>0</v>
      </c>
      <c r="G3">
        <v>11627.1995</v>
      </c>
      <c r="H3">
        <v>11090.5475</v>
      </c>
      <c r="I3">
        <v>0</v>
      </c>
      <c r="J3">
        <v>0</v>
      </c>
      <c r="K3">
        <v>0</v>
      </c>
      <c r="L3">
        <v>0</v>
      </c>
      <c r="M3">
        <v>187.83</v>
      </c>
      <c r="N3">
        <v>187.86</v>
      </c>
      <c r="O3">
        <v>0</v>
      </c>
      <c r="P3">
        <v>0</v>
      </c>
      <c r="Q3">
        <v>0</v>
      </c>
      <c r="R3">
        <v>0</v>
      </c>
      <c r="S3">
        <v>168.01</v>
      </c>
      <c r="T3">
        <v>168.38</v>
      </c>
      <c r="U3">
        <v>0</v>
      </c>
      <c r="V3">
        <v>0</v>
      </c>
      <c r="W3">
        <v>0</v>
      </c>
      <c r="X3">
        <v>0</v>
      </c>
      <c r="Y3">
        <v>12180.93</v>
      </c>
      <c r="Z3">
        <v>11972.99</v>
      </c>
      <c r="AA3">
        <v>0</v>
      </c>
      <c r="AB3">
        <v>0</v>
      </c>
      <c r="AC3">
        <v>0</v>
      </c>
      <c r="AD3">
        <v>0</v>
      </c>
      <c r="AE3">
        <v>11131.94</v>
      </c>
      <c r="AF3">
        <v>10170.48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</row>
    <row r="4" spans="1:42">
      <c r="A4">
        <v>201.069</v>
      </c>
      <c r="B4">
        <v>201.532</v>
      </c>
      <c r="C4">
        <v>0</v>
      </c>
      <c r="D4">
        <v>0</v>
      </c>
      <c r="E4">
        <v>0</v>
      </c>
      <c r="F4">
        <v>0</v>
      </c>
      <c r="G4">
        <v>11372.566</v>
      </c>
      <c r="H4">
        <v>11202.1075</v>
      </c>
      <c r="I4">
        <v>0</v>
      </c>
      <c r="J4">
        <v>0</v>
      </c>
      <c r="K4">
        <v>0</v>
      </c>
      <c r="L4">
        <v>0</v>
      </c>
      <c r="M4">
        <v>223.22</v>
      </c>
      <c r="N4">
        <v>223.9</v>
      </c>
      <c r="O4">
        <v>0</v>
      </c>
      <c r="P4">
        <v>0</v>
      </c>
      <c r="Q4">
        <v>0</v>
      </c>
      <c r="R4">
        <v>0</v>
      </c>
      <c r="S4">
        <v>161.47</v>
      </c>
      <c r="T4">
        <v>161.57</v>
      </c>
      <c r="U4">
        <v>0</v>
      </c>
      <c r="V4">
        <v>0</v>
      </c>
      <c r="W4">
        <v>0</v>
      </c>
      <c r="X4">
        <v>0</v>
      </c>
      <c r="Y4">
        <v>12060.49</v>
      </c>
      <c r="Z4">
        <v>11723.9</v>
      </c>
      <c r="AA4">
        <v>0</v>
      </c>
      <c r="AB4">
        <v>0</v>
      </c>
      <c r="AC4">
        <v>0</v>
      </c>
      <c r="AD4">
        <v>0</v>
      </c>
      <c r="AE4">
        <v>10746.06</v>
      </c>
      <c r="AF4">
        <v>9862.25</v>
      </c>
      <c r="AG4">
        <v>0</v>
      </c>
      <c r="AH4">
        <v>0</v>
      </c>
      <c r="AI4">
        <v>0</v>
      </c>
      <c r="AJ4">
        <v>0</v>
      </c>
      <c r="AK4">
        <v>0.25</v>
      </c>
      <c r="AL4">
        <v>0.2</v>
      </c>
      <c r="AM4">
        <v>0</v>
      </c>
      <c r="AN4">
        <v>0</v>
      </c>
      <c r="AO4">
        <v>0</v>
      </c>
      <c r="AP4">
        <v>0</v>
      </c>
    </row>
    <row r="5" spans="1:42">
      <c r="A5">
        <v>206.298</v>
      </c>
      <c r="B5">
        <v>206.5745</v>
      </c>
      <c r="C5">
        <v>0</v>
      </c>
      <c r="D5">
        <v>0</v>
      </c>
      <c r="E5">
        <v>0</v>
      </c>
      <c r="F5">
        <v>0</v>
      </c>
      <c r="G5">
        <v>11814.898</v>
      </c>
      <c r="H5">
        <v>11514.232</v>
      </c>
      <c r="I5">
        <v>0</v>
      </c>
      <c r="J5">
        <v>0</v>
      </c>
      <c r="K5">
        <v>0</v>
      </c>
      <c r="L5">
        <v>0</v>
      </c>
      <c r="M5">
        <v>239.93</v>
      </c>
      <c r="N5">
        <v>240.01</v>
      </c>
      <c r="O5">
        <v>0</v>
      </c>
      <c r="P5">
        <v>0</v>
      </c>
      <c r="Q5">
        <v>0</v>
      </c>
      <c r="R5">
        <v>0</v>
      </c>
      <c r="S5">
        <v>176</v>
      </c>
      <c r="T5">
        <v>176.33</v>
      </c>
      <c r="U5">
        <v>0</v>
      </c>
      <c r="V5">
        <v>0</v>
      </c>
      <c r="W5">
        <v>0</v>
      </c>
      <c r="X5">
        <v>0</v>
      </c>
      <c r="Y5">
        <v>12375.55</v>
      </c>
      <c r="Z5">
        <v>12357.54</v>
      </c>
      <c r="AA5">
        <v>0</v>
      </c>
      <c r="AB5">
        <v>0</v>
      </c>
      <c r="AC5">
        <v>0</v>
      </c>
      <c r="AD5">
        <v>0</v>
      </c>
      <c r="AE5">
        <v>11185.68</v>
      </c>
      <c r="AF5">
        <v>10883.27</v>
      </c>
      <c r="AG5">
        <v>0</v>
      </c>
      <c r="AH5">
        <v>0</v>
      </c>
      <c r="AI5">
        <v>0</v>
      </c>
      <c r="AJ5">
        <v>0</v>
      </c>
      <c r="AK5">
        <v>0.5</v>
      </c>
      <c r="AL5">
        <v>0.45</v>
      </c>
      <c r="AM5">
        <v>0</v>
      </c>
      <c r="AN5">
        <v>0</v>
      </c>
      <c r="AO5">
        <v>0</v>
      </c>
      <c r="AP5">
        <v>0</v>
      </c>
    </row>
    <row r="6" spans="1:42">
      <c r="A6">
        <v>239.5045</v>
      </c>
      <c r="B6">
        <v>239.8705</v>
      </c>
      <c r="C6">
        <v>0</v>
      </c>
      <c r="D6">
        <v>0</v>
      </c>
      <c r="E6">
        <v>0</v>
      </c>
      <c r="F6">
        <v>0</v>
      </c>
      <c r="G6">
        <v>11664.561</v>
      </c>
      <c r="H6">
        <v>11736.4445</v>
      </c>
      <c r="I6">
        <v>0</v>
      </c>
      <c r="J6">
        <v>0</v>
      </c>
      <c r="K6">
        <v>0</v>
      </c>
      <c r="L6">
        <v>0</v>
      </c>
      <c r="M6">
        <v>305.46</v>
      </c>
      <c r="N6">
        <v>307.03</v>
      </c>
      <c r="O6">
        <v>0</v>
      </c>
      <c r="P6">
        <v>0</v>
      </c>
      <c r="Q6">
        <v>0</v>
      </c>
      <c r="R6">
        <v>0</v>
      </c>
      <c r="S6">
        <v>199.74</v>
      </c>
      <c r="T6">
        <v>199.9</v>
      </c>
      <c r="U6">
        <v>0</v>
      </c>
      <c r="V6">
        <v>0</v>
      </c>
      <c r="W6">
        <v>0</v>
      </c>
      <c r="X6">
        <v>0</v>
      </c>
      <c r="Y6">
        <v>12364.51</v>
      </c>
      <c r="Z6">
        <v>12380.69</v>
      </c>
      <c r="AA6">
        <v>0</v>
      </c>
      <c r="AB6">
        <v>0</v>
      </c>
      <c r="AC6">
        <v>0</v>
      </c>
      <c r="AD6">
        <v>0</v>
      </c>
      <c r="AE6">
        <v>11223.99</v>
      </c>
      <c r="AF6">
        <v>11136.61</v>
      </c>
      <c r="AG6">
        <v>0</v>
      </c>
      <c r="AH6">
        <v>0</v>
      </c>
      <c r="AI6">
        <v>0</v>
      </c>
      <c r="AJ6">
        <v>0</v>
      </c>
      <c r="AK6">
        <v>0.05</v>
      </c>
      <c r="AL6">
        <v>0.05</v>
      </c>
      <c r="AM6">
        <v>0</v>
      </c>
      <c r="AN6">
        <v>0</v>
      </c>
      <c r="AO6">
        <v>0</v>
      </c>
      <c r="AP6">
        <v>0</v>
      </c>
    </row>
    <row r="7" spans="1:42">
      <c r="A7">
        <v>240.477</v>
      </c>
      <c r="B7">
        <v>241.1925</v>
      </c>
      <c r="C7">
        <v>0</v>
      </c>
      <c r="D7">
        <v>0</v>
      </c>
      <c r="E7">
        <v>0</v>
      </c>
      <c r="F7">
        <v>0</v>
      </c>
      <c r="G7">
        <v>12226.52</v>
      </c>
      <c r="H7">
        <v>12027.433</v>
      </c>
      <c r="I7">
        <v>0</v>
      </c>
      <c r="J7">
        <v>0</v>
      </c>
      <c r="K7">
        <v>0</v>
      </c>
      <c r="L7">
        <v>0</v>
      </c>
      <c r="M7">
        <v>249.58</v>
      </c>
      <c r="N7">
        <v>250.89</v>
      </c>
      <c r="O7">
        <v>0</v>
      </c>
      <c r="P7">
        <v>0</v>
      </c>
      <c r="Q7">
        <v>0</v>
      </c>
      <c r="R7">
        <v>0</v>
      </c>
      <c r="S7">
        <v>229.88</v>
      </c>
      <c r="T7">
        <v>230.31</v>
      </c>
      <c r="U7">
        <v>0</v>
      </c>
      <c r="V7">
        <v>0</v>
      </c>
      <c r="W7">
        <v>0</v>
      </c>
      <c r="X7">
        <v>0</v>
      </c>
      <c r="Y7">
        <v>12791.46</v>
      </c>
      <c r="Z7">
        <v>12800.73</v>
      </c>
      <c r="AA7">
        <v>0</v>
      </c>
      <c r="AB7">
        <v>0</v>
      </c>
      <c r="AC7">
        <v>0</v>
      </c>
      <c r="AD7">
        <v>0</v>
      </c>
      <c r="AE7">
        <v>11476.78</v>
      </c>
      <c r="AF7">
        <v>11053.22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2024-08-26T20:50:00Z</dcterms:created>
  <dcterms:modified xsi:type="dcterms:W3CDTF">2024-08-27T02:38:10Z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6473535520F340A1A1BEC0110CD99FD0_12</vt:lpwstr>
  </property>
  <property fmtid="{D5CDD505-2E9C-101B-9397-08002B2CF9AE}" pid="3" name="KSOProductBuildVer">
    <vt:lpwstr>2052-12.1.0.17827</vt:lpwstr>
  </property>
</Properties>
</file>