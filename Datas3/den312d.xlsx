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<sst xmlns="http://schemas.openxmlformats.org/spreadsheetml/2006/main" count="402" uniqueCount="60">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</sst>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B10" sqref="A9:AP10"/>
    </sheetView>
  </sheetViews>
  <sheetFormatPr defaultColWidth="9" defaultRowHeight="14"/>
  <cols>
    <col min="7" max="7" width="10.6363636363636"/>
    <col min="8" max="8" width="9.54545454545454"/>
    <col min="9" max="11" width="10.6363636363636"/>
    <col min="12" max="12" width="9.54545454545454"/>
    <col min="25" max="25" width="10.6363636363636"/>
    <col min="26" max="26" width="9.54545454545454"/>
    <col min="27" max="29" width="10.6363636363636"/>
    <col min="30" max="30" width="9.54545454545454"/>
    <col min="31" max="31" width="10.6363636363636"/>
    <col min="32" max="32" width="9.54545454545454"/>
    <col min="33" max="35" width="10.6363636363636"/>
    <col min="36" max="36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97.58</v>
      </c>
      <c r="C2">
        <v>10550</v>
      </c>
      <c r="D2">
        <v>97.78</v>
      </c>
      <c r="E2">
        <v>9193.23</v>
      </c>
      <c r="F2">
        <v>216.86</v>
      </c>
      <c r="G2">
        <v>10370</v>
      </c>
      <c r="H2">
        <v>144.69</v>
      </c>
      <c r="I2">
        <v>10628.36</v>
      </c>
      <c r="J2">
        <v>-1</v>
      </c>
      <c r="K2">
        <v>9915</v>
      </c>
      <c r="L2">
        <v>441.02</v>
      </c>
      <c r="M2">
        <v>9198.85</v>
      </c>
    </row>
    <row r="3" spans="1:13">
      <c r="A3" t="s">
        <v>14</v>
      </c>
      <c r="B3">
        <v>91.74</v>
      </c>
      <c r="C3">
        <v>11432</v>
      </c>
      <c r="D3">
        <v>91.88</v>
      </c>
      <c r="E3">
        <v>9645.06</v>
      </c>
      <c r="F3">
        <v>119.97</v>
      </c>
      <c r="G3">
        <v>10966</v>
      </c>
      <c r="H3">
        <v>111.44</v>
      </c>
      <c r="I3">
        <v>11220.89</v>
      </c>
      <c r="J3">
        <v>-1</v>
      </c>
      <c r="K3">
        <v>8501</v>
      </c>
      <c r="L3">
        <v>393.62</v>
      </c>
      <c r="M3">
        <v>9625.32</v>
      </c>
    </row>
    <row r="4" spans="1:13">
      <c r="A4" t="s">
        <v>15</v>
      </c>
      <c r="B4">
        <v>90.72</v>
      </c>
      <c r="C4">
        <v>10844</v>
      </c>
      <c r="D4">
        <v>90.84</v>
      </c>
      <c r="E4">
        <v>9088.11</v>
      </c>
      <c r="F4">
        <v>106.15</v>
      </c>
      <c r="G4">
        <v>10372</v>
      </c>
      <c r="H4">
        <v>114.18</v>
      </c>
      <c r="I4">
        <v>10592.75</v>
      </c>
      <c r="J4">
        <v>190.55</v>
      </c>
      <c r="K4">
        <v>10372</v>
      </c>
      <c r="L4">
        <v>115.69</v>
      </c>
      <c r="M4">
        <v>9050.61</v>
      </c>
    </row>
    <row r="5" spans="1:13">
      <c r="A5" t="s">
        <v>16</v>
      </c>
      <c r="B5">
        <v>92.82</v>
      </c>
      <c r="C5">
        <v>11223</v>
      </c>
      <c r="D5">
        <v>92.97</v>
      </c>
      <c r="E5">
        <v>9529.93</v>
      </c>
      <c r="F5">
        <v>199.42</v>
      </c>
      <c r="G5">
        <v>10749</v>
      </c>
      <c r="H5">
        <v>119.82</v>
      </c>
      <c r="I5">
        <v>11115.34</v>
      </c>
      <c r="J5">
        <v>-1</v>
      </c>
      <c r="K5">
        <v>5083</v>
      </c>
      <c r="L5">
        <v>261.09</v>
      </c>
      <c r="M5">
        <v>9515.46</v>
      </c>
    </row>
    <row r="6" spans="1:13">
      <c r="A6" t="s">
        <v>17</v>
      </c>
      <c r="B6">
        <v>88.93</v>
      </c>
      <c r="C6">
        <v>10422</v>
      </c>
      <c r="D6">
        <v>88.99</v>
      </c>
      <c r="E6">
        <v>9107.04</v>
      </c>
      <c r="F6">
        <v>94.34</v>
      </c>
      <c r="G6">
        <v>10264</v>
      </c>
      <c r="H6">
        <v>117.29</v>
      </c>
      <c r="I6">
        <v>10683.18</v>
      </c>
      <c r="J6">
        <v>-1</v>
      </c>
      <c r="K6">
        <v>0</v>
      </c>
      <c r="L6">
        <v>148.63</v>
      </c>
      <c r="M6">
        <v>9111.21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92.358</v>
      </c>
      <c r="B10" s="4">
        <f>IFERROR(AVERAGEIF($D$2:$D$6,"&lt;&gt; -1"),0)</f>
        <v>92.492</v>
      </c>
      <c r="C10" s="4">
        <f>IFERROR(AVERAGEIF($F$2:$F$6,"&lt;&gt; -1"),0)</f>
        <v>147.348</v>
      </c>
      <c r="D10" s="4">
        <f>IFERROR(AVERAGEIF($H$2:$H$6,"&lt;&gt; -1"),0)</f>
        <v>121.484</v>
      </c>
      <c r="E10" s="4">
        <f>IFERROR(AVERAGEIF($J$2:$J$6,"&lt;&gt; -1"),0)</f>
        <v>190.55</v>
      </c>
      <c r="F10" s="4">
        <f>IFERROR(AVERAGEIF($L$2:$L$6,"&lt;&gt; -1"),0)</f>
        <v>272.01</v>
      </c>
      <c r="G10" s="4">
        <f>IFERROR(AVERAGEIFS($C$2:$C$6,$B$2:$B$6,"&lt;&gt; -1"),0)</f>
        <v>10894.2</v>
      </c>
      <c r="H10" s="4">
        <f>IFERROR(AVERAGEIFS($E$2:$E$6,$D$2:$D$6,"&lt;&gt; -1"),0)</f>
        <v>9312.674</v>
      </c>
      <c r="I10" s="4">
        <f>IFERROR(AVERAGEIFS($G$2:$G$6,$F$2:$F$6,"&lt;&gt; -1"),0)</f>
        <v>10544.2</v>
      </c>
      <c r="J10" s="4">
        <f>IFERROR(AVERAGEIFS($I$2:$I$6,$H$2:$H$6,"&lt;&gt; -1"),0)</f>
        <v>10848.104</v>
      </c>
      <c r="K10" s="4">
        <f>IFERROR(AVERAGEIFS($K$2:$K$6,$J$2:$J$6,"&lt;&gt; -1"),0)</f>
        <v>10372</v>
      </c>
      <c r="L10" s="4">
        <f>IFERROR(AVERAGEIFS($M$2:$M$6,$L$2:$L$6,"&lt;&gt; -1"),0)</f>
        <v>9300.29</v>
      </c>
      <c r="M10" s="4">
        <f>IFERROR(_xlfn.MAXIFS($B$2:$B$6,$B$2:$B$6,"&lt;&gt; -1"),0)</f>
        <v>97.58</v>
      </c>
      <c r="N10" s="4">
        <f>IFERROR(_xlfn.MAXIFS($D$2:$D$6,$D$2:$D$6,"&lt;&gt;-1"),0)</f>
        <v>97.78</v>
      </c>
      <c r="O10" s="4">
        <f>IFERROR(_xlfn.MAXIFS($F$2:$F$6,$F$2:$F$6,"&lt;&gt; -1"),0)</f>
        <v>216.86</v>
      </c>
      <c r="P10" s="4">
        <f>IFERROR(_xlfn.MAXIFS($H$2:$H$6,$H$2:$H$6,"&lt;&gt; -1"),0)</f>
        <v>144.69</v>
      </c>
      <c r="Q10" s="4">
        <f>IFERROR(_xlfn.MAXIFS($J$2:$J$6,$J$2:$J$6,"&lt;&gt; -1"),0)</f>
        <v>190.55</v>
      </c>
      <c r="R10" s="4">
        <f>IFERROR(_xlfn.MAXIFS($L$2:$L$6,$L$2:$L$6,"&lt;&gt; -1"),0)</f>
        <v>441.02</v>
      </c>
      <c r="S10" s="4">
        <f>IFERROR(_xlfn.MINIFS($B$2:$B$6,$B$2:$B$6,"&lt;&gt; -1"),0)</f>
        <v>88.93</v>
      </c>
      <c r="T10" s="4">
        <f>IFERROR(_xlfn.MINIFS($D$2:$D$6,$D$2:$D$6,"&lt;&gt;-1"),0)</f>
        <v>88.99</v>
      </c>
      <c r="U10" s="4">
        <f>IFERROR(_xlfn.MINIFS($F$2:$F$6,$F$2:$F$6,"&lt;&gt; -1"),0)</f>
        <v>94.34</v>
      </c>
      <c r="V10" s="4">
        <f>IFERROR(_xlfn.MINIFS($H$2:$H$6,$H$2:$H$6,"&lt;&gt; -1"),0)</f>
        <v>111.44</v>
      </c>
      <c r="W10" s="4">
        <f>IFERROR(_xlfn.MINIFS($J$2:$J$6,$J$2:$J$6,"&lt;&gt; -1"),0)</f>
        <v>190.55</v>
      </c>
      <c r="X10" s="4">
        <f>IFERROR(_xlfn.MINIFS($L$2:$L$6,$L$2:$L$6,"&lt;&gt; -1"),0)</f>
        <v>115.69</v>
      </c>
      <c r="Y10" s="4">
        <f>IFERROR(_xlfn.MAXIFS($C$2:$C$6,$B$2:$B$6,"&lt;&gt; -1"),0)</f>
        <v>11432</v>
      </c>
      <c r="Z10" s="4">
        <f>IFERROR(_xlfn.MAXIFS($E$2:$E$6,$D$2:$D$6,"&lt;&gt; -1"),0)</f>
        <v>9645.06</v>
      </c>
      <c r="AA10" s="4">
        <f>IFERROR(_xlfn.MAXIFS($G$2:$G$6,$F$2:$F$6,"&lt;&gt; -1"),0)</f>
        <v>10966</v>
      </c>
      <c r="AB10" s="4">
        <f>IFERROR(_xlfn.MAXIFS($I$2:$I$6,$H$2:$H$6,"&lt;&gt; -1"),0)</f>
        <v>11220.89</v>
      </c>
      <c r="AC10" s="4">
        <f>IFERROR(_xlfn.MAXIFS($K$2:$K$6,$J$2:$J$6,"&lt;&gt; -1"),0)</f>
        <v>10372</v>
      </c>
      <c r="AD10" s="4">
        <f>IFERROR(_xlfn.MAXIFS($M$2:$M$6,$L$2:$L$6,"&lt;&gt; -1"),0)</f>
        <v>9625.32</v>
      </c>
      <c r="AE10" s="4">
        <f>IFERROR(_xlfn.MINIFS($C$2:$C$6,$B$2:$B$6,"&lt;&gt; -1"),0)</f>
        <v>10422</v>
      </c>
      <c r="AF10" s="4">
        <f>IFERROR(_xlfn.MINIFS($E$2:$E$6,$D$2:$D$6,"&lt;&gt; -1"),0)</f>
        <v>9088.11</v>
      </c>
      <c r="AG10" s="4">
        <f>IFERROR(_xlfn.MINIFS($G$2:$G$6,$F$2:$F$6,"&lt;&gt; -1"),0)</f>
        <v>10264</v>
      </c>
      <c r="AH10" s="4">
        <f>IFERROR(_xlfn.MINIFS($I$2:$I$6,$H$2:$H$6,"&lt;&gt; -1"),0)</f>
        <v>10592.75</v>
      </c>
      <c r="AI10" s="4">
        <f>IFERROR(_xlfn.MINIFS($K$2:$K$6,$J$2:$J$6,"&lt;&gt; -1"),0)</f>
        <v>10372</v>
      </c>
      <c r="AJ10" s="4">
        <f>IFERROR(_xlfn.MINIFS($M$2:$M$6,$L$2:$L$6,"&lt;&gt; -1"),0)</f>
        <v>9050.61</v>
      </c>
      <c r="AK10" s="4">
        <f>(COUNTIFS($B$2:$B$6,"&gt;0.0",$B$2:$B$6,"&lt;600.0"))/5</f>
        <v>1</v>
      </c>
      <c r="AL10" s="4">
        <f>(COUNTIFS($D$2:$D$6,"&gt;0.0",$D$2:$D$6,"&lt;600.0"))/5</f>
        <v>1</v>
      </c>
      <c r="AM10" s="4">
        <f>(COUNTIFS($F$2:$F$6,"&gt;0.0",$F$2:$F$6,"&lt;600.0"))/5</f>
        <v>1</v>
      </c>
      <c r="AN10" s="4">
        <f>(COUNTIFS($H$2:$H$6,"&gt;0.0",$H$2:$H$6,"&lt;600.0"))/5</f>
        <v>1</v>
      </c>
      <c r="AO10" s="4">
        <f>(COUNTIFS($J$2:$J$6,"&gt;0.0",$J$2:$J$6,"&lt;600.0"))/5</f>
        <v>0.2</v>
      </c>
      <c r="AP10" s="4">
        <f>(COUNTIFS($L$2:$L$6,"&gt;0.0",$L$2:$L$6,"&lt;600.0"))/5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104.59</v>
      </c>
      <c r="C2">
        <v>11453</v>
      </c>
      <c r="D2">
        <v>104.65</v>
      </c>
      <c r="E2">
        <v>9577.16</v>
      </c>
      <c r="F2">
        <v>185.54</v>
      </c>
      <c r="G2">
        <v>10735</v>
      </c>
      <c r="H2">
        <v>188.49</v>
      </c>
      <c r="I2">
        <v>11078.63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105.45</v>
      </c>
      <c r="C3">
        <v>11884</v>
      </c>
      <c r="D3">
        <v>105.57</v>
      </c>
      <c r="E3">
        <v>9990.97</v>
      </c>
      <c r="F3">
        <v>233.58</v>
      </c>
      <c r="G3">
        <v>11244</v>
      </c>
      <c r="H3">
        <v>207.47</v>
      </c>
      <c r="I3">
        <v>11443.98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105.41</v>
      </c>
      <c r="C4">
        <v>11383</v>
      </c>
      <c r="D4">
        <v>105.4</v>
      </c>
      <c r="E4">
        <v>9222.84</v>
      </c>
      <c r="F4">
        <v>185.85</v>
      </c>
      <c r="G4">
        <v>10369</v>
      </c>
      <c r="H4">
        <v>131.95</v>
      </c>
      <c r="I4">
        <v>10711.85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107.87</v>
      </c>
      <c r="C5">
        <v>11837</v>
      </c>
      <c r="D5">
        <v>107.88</v>
      </c>
      <c r="E5">
        <v>9457.32</v>
      </c>
      <c r="F5">
        <v>208.93</v>
      </c>
      <c r="G5">
        <v>10577</v>
      </c>
      <c r="H5">
        <v>147.64</v>
      </c>
      <c r="I5">
        <v>10913.55</v>
      </c>
      <c r="J5">
        <v>-1</v>
      </c>
      <c r="K5">
        <v>0</v>
      </c>
      <c r="L5">
        <v>-1</v>
      </c>
      <c r="M5">
        <v>1369.41</v>
      </c>
    </row>
    <row r="6" spans="1:13">
      <c r="A6" t="s">
        <v>17</v>
      </c>
      <c r="B6">
        <v>107.47</v>
      </c>
      <c r="C6">
        <v>11562</v>
      </c>
      <c r="D6">
        <v>107.46</v>
      </c>
      <c r="E6">
        <v>9710.38</v>
      </c>
      <c r="F6">
        <v>209.13</v>
      </c>
      <c r="G6">
        <v>10828</v>
      </c>
      <c r="H6">
        <v>202.62</v>
      </c>
      <c r="I6">
        <v>11220.64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106.158</v>
      </c>
      <c r="B9" s="4">
        <f>IFERROR(AVERAGEIF($D$2:$D$6,"&lt;&gt; -1"),0)</f>
        <v>106.192</v>
      </c>
      <c r="C9" s="4">
        <f>IFERROR(AVERAGEIF($F$2:$F$6,"&lt;&gt; -1"),0)</f>
        <v>204.606</v>
      </c>
      <c r="D9" s="4">
        <f>IFERROR(AVERAGEIF($H$2:$H$6,"&lt;&gt; -1"),0)</f>
        <v>175.634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11623.8</v>
      </c>
      <c r="H9" s="4">
        <f>IFERROR(AVERAGEIFS($E$2:$E$6,$D$2:$D$6,"&lt;&gt; -1"),0)</f>
        <v>9591.734</v>
      </c>
      <c r="I9" s="4">
        <f>IFERROR(AVERAGEIFS($G$2:$G$6,$F$2:$F$6,"&lt;&gt; -1"),0)</f>
        <v>10750.6</v>
      </c>
      <c r="J9" s="4">
        <f>IFERROR(AVERAGEIFS($I$2:$I$6,$H$2:$H$6,"&lt;&gt; -1"),0)</f>
        <v>11073.73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107.87</v>
      </c>
      <c r="N9" s="4">
        <f>IFERROR(_xlfn.MAXIFS($D$2:$D$6,$D$2:$D$6,"&lt;&gt;-1"),0)</f>
        <v>107.88</v>
      </c>
      <c r="O9" s="4">
        <f>IFERROR(_xlfn.MAXIFS($F$2:$F$6,$F$2:$F$6,"&lt;&gt; -1"),0)</f>
        <v>233.58</v>
      </c>
      <c r="P9" s="4">
        <f>IFERROR(_xlfn.MAXIFS($H$2:$H$6,$H$2:$H$6,"&lt;&gt; -1"),0)</f>
        <v>207.47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104.59</v>
      </c>
      <c r="T9" s="4">
        <f>IFERROR(_xlfn.MINIFS($D$2:$D$6,$D$2:$D$6,"&lt;&gt;-1"),0)</f>
        <v>104.65</v>
      </c>
      <c r="U9" s="4">
        <f>IFERROR(_xlfn.MINIFS($F$2:$F$6,$F$2:$F$6,"&lt;&gt; -1"),0)</f>
        <v>185.54</v>
      </c>
      <c r="V9" s="4">
        <f>IFERROR(_xlfn.MINIFS($H$2:$H$6,$H$2:$H$6,"&lt;&gt; -1"),0)</f>
        <v>131.95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11884</v>
      </c>
      <c r="Z9" s="4">
        <f>IFERROR(_xlfn.MAXIFS($E$2:$E$6,$D$2:$D$6,"&lt;&gt; -1"),0)</f>
        <v>9990.97</v>
      </c>
      <c r="AA9" s="4">
        <f>IFERROR(_xlfn.MAXIFS($G$2:$G$6,$F$2:$F$6,"&lt;&gt; -1"),0)</f>
        <v>11244</v>
      </c>
      <c r="AB9" s="4">
        <f>IFERROR(_xlfn.MAXIFS($I$2:$I$6,$H$2:$H$6,"&lt;&gt; -1"),0)</f>
        <v>11443.98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11383</v>
      </c>
      <c r="AF9" s="4">
        <f>IFERROR(_xlfn.MINIFS($E$2:$E$6,$D$2:$D$6,"&lt;&gt; -1"),0)</f>
        <v>9222.84</v>
      </c>
      <c r="AG9" s="4">
        <f>IFERROR(_xlfn.MINIFS($G$2:$G$6,$F$2:$F$6,"&lt;&gt; -1"),0)</f>
        <v>10369</v>
      </c>
      <c r="AH9" s="4">
        <f>IFERROR(_xlfn.MINIFS($I$2:$I$6,$H$2:$H$6,"&lt;&gt; -1"),0)</f>
        <v>10711.85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(COUNTIFS($B$2:$B$6,"&gt;0.0",$B$2:$B$6,"&lt;600.0"))/5</f>
        <v>1</v>
      </c>
      <c r="AL9" s="4">
        <f>(COUNTIFS($D$2:$D$6,"&gt;0.0",$D$2:$D$6,"&lt;600.0"))/5</f>
        <v>1</v>
      </c>
      <c r="AM9" s="4">
        <f>(COUNTIFS($F$2:$F$6,"&gt;0.0",$F$2:$F$6,"&lt;600.0"))/5</f>
        <v>1</v>
      </c>
      <c r="AN9" s="4">
        <f>(COUNTIFS($H$2:$H$6,"&gt;0.0",$H$2:$H$6,"&lt;600.0"))/5</f>
        <v>1</v>
      </c>
      <c r="AO9" s="4">
        <f>(COUNTIFS($J$2:$J$6,"&gt;0.0",$J$2:$J$6,"&lt;600.0"))/5</f>
        <v>0</v>
      </c>
      <c r="AP9" s="4">
        <f>(COUNTIFS($L$2:$L$6,"&gt;0.0",$L$2:$L$6,"&lt;600.0"))/5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114.27</v>
      </c>
      <c r="C2">
        <v>11687</v>
      </c>
      <c r="D2">
        <v>114.38</v>
      </c>
      <c r="E2">
        <v>9258.15</v>
      </c>
      <c r="F2">
        <v>274.63</v>
      </c>
      <c r="G2">
        <v>10407</v>
      </c>
      <c r="H2">
        <v>-1</v>
      </c>
      <c r="I2">
        <v>2446.83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116.17</v>
      </c>
      <c r="C3">
        <v>11514</v>
      </c>
      <c r="D3">
        <v>116.26</v>
      </c>
      <c r="E3">
        <v>9336.77</v>
      </c>
      <c r="F3">
        <v>212.89</v>
      </c>
      <c r="G3">
        <v>10552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119.23</v>
      </c>
      <c r="C4">
        <v>11976</v>
      </c>
      <c r="D4">
        <v>119.17</v>
      </c>
      <c r="E4">
        <v>9729.06</v>
      </c>
      <c r="F4">
        <v>255.2</v>
      </c>
      <c r="G4">
        <v>10918</v>
      </c>
      <c r="H4">
        <v>714.44</v>
      </c>
      <c r="I4">
        <v>11225.8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114.79</v>
      </c>
      <c r="C5">
        <v>10836</v>
      </c>
      <c r="D5">
        <v>114.9</v>
      </c>
      <c r="E5">
        <v>9154.67</v>
      </c>
      <c r="F5">
        <v>170.07</v>
      </c>
      <c r="G5">
        <v>10352</v>
      </c>
      <c r="H5">
        <v>215.17</v>
      </c>
      <c r="I5">
        <v>10645.23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119.74</v>
      </c>
      <c r="C6">
        <v>11645</v>
      </c>
      <c r="D6">
        <v>119.87</v>
      </c>
      <c r="E6">
        <v>9723.14</v>
      </c>
      <c r="F6">
        <v>189.41</v>
      </c>
      <c r="G6">
        <v>10829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116.84</v>
      </c>
      <c r="B9" s="4">
        <f>IFERROR(AVERAGEIF($D$2:$D$6,"&lt;&gt; -1"),0)</f>
        <v>116.916</v>
      </c>
      <c r="C9" s="4">
        <f>IFERROR(AVERAGEIF($F$2:$F$6,"&lt;&gt; -1"),0)</f>
        <v>220.44</v>
      </c>
      <c r="D9" s="4">
        <f>IFERROR(AVERAGEIF($H$2:$H$6,"&lt;&gt; -1"),0)</f>
        <v>464.805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11531.6</v>
      </c>
      <c r="H9" s="4">
        <f>IFERROR(AVERAGEIFS($E$2:$E$6,$D$2:$D$6,"&lt;&gt; -1"),0)</f>
        <v>9440.358</v>
      </c>
      <c r="I9" s="4">
        <f>IFERROR(AVERAGEIFS($G$2:$G$6,$F$2:$F$6,"&lt;&gt; -1"),0)</f>
        <v>10611.6</v>
      </c>
      <c r="J9" s="4">
        <f>IFERROR(AVERAGEIFS($I$2:$I$6,$H$2:$H$6,"&lt;&gt; -1"),0)</f>
        <v>10935.515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119.74</v>
      </c>
      <c r="N9" s="4">
        <f>IFERROR(_xlfn.MAXIFS($D$2:$D$6,$D$2:$D$6,"&lt;&gt;-1"),0)</f>
        <v>119.87</v>
      </c>
      <c r="O9" s="4">
        <f>IFERROR(_xlfn.MAXIFS($F$2:$F$6,$F$2:$F$6,"&lt;&gt; -1"),0)</f>
        <v>274.63</v>
      </c>
      <c r="P9" s="4">
        <f>IFERROR(_xlfn.MAXIFS($H$2:$H$6,$H$2:$H$6,"&lt;&gt; -1"),0)</f>
        <v>714.44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114.27</v>
      </c>
      <c r="T9" s="4">
        <f>IFERROR(_xlfn.MINIFS($D$2:$D$6,$D$2:$D$6,"&lt;&gt;-1"),0)</f>
        <v>114.38</v>
      </c>
      <c r="U9" s="4">
        <f>IFERROR(_xlfn.MINIFS($F$2:$F$6,$F$2:$F$6,"&lt;&gt; -1"),0)</f>
        <v>170.07</v>
      </c>
      <c r="V9" s="4">
        <f>IFERROR(_xlfn.MINIFS($H$2:$H$6,$H$2:$H$6,"&lt;&gt; -1"),0)</f>
        <v>215.17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11976</v>
      </c>
      <c r="Z9" s="4">
        <f>IFERROR(_xlfn.MAXIFS($E$2:$E$6,$D$2:$D$6,"&lt;&gt; -1"),0)</f>
        <v>9729.06</v>
      </c>
      <c r="AA9" s="4">
        <f>IFERROR(_xlfn.MAXIFS($G$2:$G$6,$F$2:$F$6,"&lt;&gt; -1"),0)</f>
        <v>10918</v>
      </c>
      <c r="AB9" s="4">
        <f>IFERROR(_xlfn.MAXIFS($I$2:$I$6,$H$2:$H$6,"&lt;&gt; -1"),0)</f>
        <v>11225.8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10836</v>
      </c>
      <c r="AF9" s="4">
        <f>IFERROR(_xlfn.MINIFS($E$2:$E$6,$D$2:$D$6,"&lt;&gt; -1"),0)</f>
        <v>9154.67</v>
      </c>
      <c r="AG9" s="4">
        <f>IFERROR(_xlfn.MINIFS($G$2:$G$6,$F$2:$F$6,"&lt;&gt; -1"),0)</f>
        <v>10352</v>
      </c>
      <c r="AH9" s="4">
        <f>IFERROR(_xlfn.MINIFS($I$2:$I$6,$H$2:$H$6,"&lt;&gt; -1"),0)</f>
        <v>10645.23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(COUNTIFS($B$2:$B$6,"&gt;0.0",$B$2:$B$6,"&lt;600.0"))/5</f>
        <v>1</v>
      </c>
      <c r="AL9" s="4">
        <f>(COUNTIFS($D$2:$D$6,"&gt;0.0",$D$2:$D$6,"&lt;600.0"))/5</f>
        <v>1</v>
      </c>
      <c r="AM9" s="4">
        <f>(COUNTIFS($F$2:$F$6,"&gt;0.0",$F$2:$F$6,"&lt;600.0"))/5</f>
        <v>1</v>
      </c>
      <c r="AN9" s="4">
        <f>(COUNTIFS($H$2:$H$6,"&gt;0.0",$H$2:$H$6,"&lt;600.0"))/5</f>
        <v>0.2</v>
      </c>
      <c r="AO9" s="4">
        <f>(COUNTIFS($J$2:$J$6,"&gt;0.0",$J$2:$J$6,"&lt;600.0"))/5</f>
        <v>0</v>
      </c>
      <c r="AP9" s="4">
        <f>(COUNTIFS($L$2:$L$6,"&gt;0.0",$L$2:$L$6,"&lt;600.0"))/5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A10" sqref="$A10:$XFD1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3874</v>
      </c>
      <c r="D2">
        <v>125.99</v>
      </c>
      <c r="E2">
        <v>9322.28</v>
      </c>
      <c r="F2">
        <v>330</v>
      </c>
      <c r="G2">
        <v>10529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124.96</v>
      </c>
      <c r="C3">
        <v>11174</v>
      </c>
      <c r="D3">
        <v>125.07</v>
      </c>
      <c r="E3">
        <v>9214.89</v>
      </c>
      <c r="F3">
        <v>188.5</v>
      </c>
      <c r="G3">
        <v>10354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127.57</v>
      </c>
      <c r="C4">
        <v>12097</v>
      </c>
      <c r="D4">
        <v>127.52</v>
      </c>
      <c r="E4">
        <v>9598.05</v>
      </c>
      <c r="F4">
        <v>268.22</v>
      </c>
      <c r="G4">
        <v>10887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129.21</v>
      </c>
      <c r="C5">
        <v>11447</v>
      </c>
      <c r="D5">
        <v>129.37</v>
      </c>
      <c r="E5">
        <v>9495.59</v>
      </c>
      <c r="F5">
        <v>176.35</v>
      </c>
      <c r="G5">
        <v>10717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134.03</v>
      </c>
      <c r="C6">
        <v>11889</v>
      </c>
      <c r="D6">
        <v>134.03</v>
      </c>
      <c r="E6">
        <v>9656.82</v>
      </c>
      <c r="F6">
        <v>263.36</v>
      </c>
      <c r="G6">
        <v>10843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128.9425</v>
      </c>
      <c r="B10" s="4">
        <f>IFERROR(AVERAGEIF($D$2:$D$6,"&lt;&gt; -1"),0)</f>
        <v>128.396</v>
      </c>
      <c r="C10" s="4">
        <f>IFERROR(AVERAGEIF($F$2:$F$6,"&lt;&gt; -1"),0)</f>
        <v>245.286</v>
      </c>
      <c r="D10" s="4">
        <f>IFERROR(AVERAGEIF($H$2:$H$6,"&lt;&gt; -1"),0)</f>
        <v>0</v>
      </c>
      <c r="E10" s="4">
        <f>IFERROR(AVERAGEIF($J$2:$J$6,"&lt;&gt; -1"),0)</f>
        <v>0</v>
      </c>
      <c r="F10" s="4">
        <f>IFERROR(AVERAGEIF($L$2:$L$6,"&lt;&gt; -1"),0)</f>
        <v>0</v>
      </c>
      <c r="G10" s="4">
        <f>IFERROR(AVERAGEIFS($C$2:$C$6,$B$2:$B$6,"&lt;&gt; -1"),0)</f>
        <v>11651.75</v>
      </c>
      <c r="H10" s="4">
        <f>IFERROR(AVERAGEIFS($E$2:$E$6,$D$2:$D$6,"&lt;&gt; -1"),0)</f>
        <v>9457.526</v>
      </c>
      <c r="I10" s="4">
        <f>IFERROR(AVERAGEIFS($G$2:$G$6,$F$2:$F$6,"&lt;&gt; -1"),0)</f>
        <v>10666</v>
      </c>
      <c r="J10" s="4">
        <f>IFERROR(AVERAGEIFS($I$2:$I$6,$H$2:$H$6,"&lt;&gt; -1"),0)</f>
        <v>0</v>
      </c>
      <c r="K10" s="4">
        <f>IFERROR(AVERAGEIFS($K$2:$K$6,$J$2:$J$6,"&lt;&gt; -1"),0)</f>
        <v>0</v>
      </c>
      <c r="L10" s="4">
        <f>IFERROR(AVERAGEIFS($M$2:$M$6,$L$2:$L$6,"&lt;&gt; -1"),0)</f>
        <v>0</v>
      </c>
      <c r="M10" s="4">
        <f>IFERROR(_xlfn.MAXIFS($B$2:$B$6,$B$2:$B$6,"&lt;&gt; -1"),0)</f>
        <v>134.03</v>
      </c>
      <c r="N10" s="4">
        <f>IFERROR(_xlfn.MAXIFS($D$2:$D$6,$D$2:$D$6,"&lt;&gt;-1"),0)</f>
        <v>134.03</v>
      </c>
      <c r="O10" s="4">
        <f>IFERROR(_xlfn.MAXIFS($F$2:$F$6,$F$2:$F$6,"&lt;&gt; -1"),0)</f>
        <v>330</v>
      </c>
      <c r="P10" s="4">
        <f>IFERROR(_xlfn.MAXIFS($H$2:$H$6,$H$2:$H$6,"&lt;&gt; -1"),0)</f>
        <v>0</v>
      </c>
      <c r="Q10" s="4">
        <f>IFERROR(_xlfn.MAXIFS($J$2:$J$6,$J$2:$J$6,"&lt;&gt; -1"),0)</f>
        <v>0</v>
      </c>
      <c r="R10" s="4">
        <f>IFERROR(_xlfn.MAXIFS($L$2:$L$6,$L$2:$L$6,"&lt;&gt; -1"),0)</f>
        <v>0</v>
      </c>
      <c r="S10" s="4">
        <f>IFERROR(_xlfn.MINIFS($B$2:$B$6,$B$2:$B$6,"&lt;&gt; -1"),0)</f>
        <v>124.96</v>
      </c>
      <c r="T10" s="4">
        <f>IFERROR(_xlfn.MINIFS($D$2:$D$6,$D$2:$D$6,"&lt;&gt;-1"),0)</f>
        <v>125.07</v>
      </c>
      <c r="U10" s="4">
        <f>IFERROR(_xlfn.MINIFS($F$2:$F$6,$F$2:$F$6,"&lt;&gt; -1"),0)</f>
        <v>176.35</v>
      </c>
      <c r="V10" s="4">
        <f>IFERROR(_xlfn.MINIFS($H$2:$H$6,$H$2:$H$6,"&lt;&gt; -1"),0)</f>
        <v>0</v>
      </c>
      <c r="W10" s="4">
        <f>IFERROR(_xlfn.MINIFS($J$2:$J$6,$J$2:$J$6,"&lt;&gt; -1"),0)</f>
        <v>0</v>
      </c>
      <c r="X10" s="4">
        <f>IFERROR(_xlfn.MINIFS($L$2:$L$6,$L$2:$L$6,"&lt;&gt; -1"),0)</f>
        <v>0</v>
      </c>
      <c r="Y10" s="4">
        <f>IFERROR(_xlfn.MAXIFS($C$2:$C$6,$B$2:$B$6,"&lt;&gt; -1"),0)</f>
        <v>12097</v>
      </c>
      <c r="Z10" s="4">
        <f>IFERROR(_xlfn.MAXIFS($E$2:$E$6,$D$2:$D$6,"&lt;&gt; -1"),0)</f>
        <v>9656.82</v>
      </c>
      <c r="AA10" s="4">
        <f>IFERROR(_xlfn.MAXIFS($G$2:$G$6,$F$2:$F$6,"&lt;&gt; -1"),0)</f>
        <v>10887</v>
      </c>
      <c r="AB10" s="4">
        <f>IFERROR(_xlfn.MAXIFS($I$2:$I$6,$H$2:$H$6,"&lt;&gt; -1"),0)</f>
        <v>0</v>
      </c>
      <c r="AC10" s="4">
        <f>IFERROR(_xlfn.MAXIFS($K$2:$K$6,$J$2:$J$6,"&lt;&gt; -1"),0)</f>
        <v>0</v>
      </c>
      <c r="AD10" s="4">
        <f>IFERROR(_xlfn.MAXIFS($M$2:$M$6,$L$2:$L$6,"&lt;&gt; -1"),0)</f>
        <v>0</v>
      </c>
      <c r="AE10" s="4">
        <f>IFERROR(_xlfn.MINIFS($C$2:$C$6,$B$2:$B$6,"&lt;&gt; -1"),0)</f>
        <v>11174</v>
      </c>
      <c r="AF10" s="4">
        <f>IFERROR(_xlfn.MINIFS($E$2:$E$6,$D$2:$D$6,"&lt;&gt; -1"),0)</f>
        <v>9214.89</v>
      </c>
      <c r="AG10" s="4">
        <f>IFERROR(_xlfn.MINIFS($G$2:$G$6,$F$2:$F$6,"&lt;&gt; -1"),0)</f>
        <v>10354</v>
      </c>
      <c r="AH10" s="4">
        <f>IFERROR(_xlfn.MINIFS($I$2:$I$6,$H$2:$H$6,"&lt;&gt; -1"),0)</f>
        <v>0</v>
      </c>
      <c r="AI10" s="4">
        <f>IFERROR(_xlfn.MINIFS($K$2:$K$6,$J$2:$J$6,"&lt;&gt; -1"),0)</f>
        <v>0</v>
      </c>
      <c r="AJ10" s="4">
        <f>IFERROR(_xlfn.MINIFS($M$2:$M$6,$L$2:$L$6,"&lt;&gt; -1"),0)</f>
        <v>0</v>
      </c>
      <c r="AK10" s="4">
        <f>(COUNTIFS($B$2:$B$6,"&gt;0.0",$B$2:$B$6,"&lt;600.0"))/5</f>
        <v>0.8</v>
      </c>
      <c r="AL10" s="4">
        <f>(COUNTIFS($D$2:$D$6,"&gt;0.0",$D$2:$D$6,"&lt;600.0"))/5</f>
        <v>1</v>
      </c>
      <c r="AM10" s="4">
        <f>(COUNTIFS($F$2:$F$6,"&gt;0.0",$F$2:$F$6,"&lt;600.0"))/5</f>
        <v>1</v>
      </c>
      <c r="AN10" s="4">
        <f>(COUNTIFS($H$2:$H$6,"&gt;0.0",$H$2:$H$6,"&lt;600.0"))/5</f>
        <v>0</v>
      </c>
      <c r="AO10" s="4">
        <f>(COUNTIFS($J$2:$J$6,"&gt;0.0",$J$2:$J$6,"&lt;600.0"))/5</f>
        <v>0</v>
      </c>
      <c r="AP10" s="4">
        <f>(COUNTIFS($L$2:$L$6,"&gt;0.0",$L$2:$L$6,"&lt;600.0"))/5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A10" sqref="$A10:$XFD1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144.95</v>
      </c>
      <c r="C2">
        <v>11988</v>
      </c>
      <c r="D2">
        <v>144.99</v>
      </c>
      <c r="E2">
        <v>9220.78</v>
      </c>
      <c r="F2">
        <v>206.43</v>
      </c>
      <c r="G2">
        <v>10316</v>
      </c>
      <c r="H2">
        <v>475.93</v>
      </c>
      <c r="I2">
        <v>10624.05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2770</v>
      </c>
      <c r="D3">
        <v>140.35</v>
      </c>
      <c r="E3">
        <v>9152.63</v>
      </c>
      <c r="F3">
        <v>197.96</v>
      </c>
      <c r="G3">
        <v>10284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143.01</v>
      </c>
      <c r="C4">
        <v>12237</v>
      </c>
      <c r="D4">
        <v>143.04</v>
      </c>
      <c r="E4">
        <v>9784.01</v>
      </c>
      <c r="F4">
        <v>307.71</v>
      </c>
      <c r="G4">
        <v>11087</v>
      </c>
      <c r="H4">
        <v>197.69</v>
      </c>
      <c r="I4">
        <v>11293.65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145.96</v>
      </c>
      <c r="C5">
        <v>12831</v>
      </c>
      <c r="D5">
        <v>145.96</v>
      </c>
      <c r="E5">
        <v>10177.78</v>
      </c>
      <c r="F5">
        <v>298.16</v>
      </c>
      <c r="G5">
        <v>11343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188.58</v>
      </c>
      <c r="C6">
        <v>12646</v>
      </c>
      <c r="D6">
        <v>188.37</v>
      </c>
      <c r="E6">
        <v>10168.63</v>
      </c>
      <c r="F6">
        <v>466.85</v>
      </c>
      <c r="G6">
        <v>11364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155.625</v>
      </c>
      <c r="B10" s="4">
        <f>IFERROR(AVERAGEIF($D$2:$D$6,"&lt;&gt; -1"),0)</f>
        <v>152.542</v>
      </c>
      <c r="C10" s="4">
        <f>IFERROR(AVERAGEIF($F$2:$F$6,"&lt;&gt; -1"),0)</f>
        <v>295.422</v>
      </c>
      <c r="D10" s="4">
        <f>IFERROR(AVERAGEIF($H$2:$H$6,"&lt;&gt; -1"),0)</f>
        <v>336.81</v>
      </c>
      <c r="E10" s="4">
        <f>IFERROR(AVERAGEIF($J$2:$J$6,"&lt;&gt; -1"),0)</f>
        <v>0</v>
      </c>
      <c r="F10" s="4">
        <f>IFERROR(AVERAGEIF($L$2:$L$6,"&lt;&gt; -1"),0)</f>
        <v>0</v>
      </c>
      <c r="G10" s="4">
        <f>IFERROR(AVERAGEIFS($C$2:$C$6,$B$2:$B$6,"&lt;&gt; -1"),0)</f>
        <v>12425.5</v>
      </c>
      <c r="H10" s="4">
        <f>IFERROR(AVERAGEIFS($E$2:$E$6,$D$2:$D$6,"&lt;&gt; -1"),0)</f>
        <v>9700.766</v>
      </c>
      <c r="I10" s="4">
        <f>IFERROR(AVERAGEIFS($G$2:$G$6,$F$2:$F$6,"&lt;&gt; -1"),0)</f>
        <v>10878.8</v>
      </c>
      <c r="J10" s="4">
        <f>IFERROR(AVERAGEIFS($I$2:$I$6,$H$2:$H$6,"&lt;&gt; -1"),0)</f>
        <v>10958.85</v>
      </c>
      <c r="K10" s="4">
        <f>IFERROR(AVERAGEIFS($K$2:$K$6,$J$2:$J$6,"&lt;&gt; -1"),0)</f>
        <v>0</v>
      </c>
      <c r="L10" s="4">
        <f>IFERROR(AVERAGEIFS($M$2:$M$6,$L$2:$L$6,"&lt;&gt; -1"),0)</f>
        <v>0</v>
      </c>
      <c r="M10" s="4">
        <f>IFERROR(_xlfn.MAXIFS($B$2:$B$6,$B$2:$B$6,"&lt;&gt; -1"),0)</f>
        <v>188.58</v>
      </c>
      <c r="N10" s="4">
        <f>IFERROR(_xlfn.MAXIFS($D$2:$D$6,$D$2:$D$6,"&lt;&gt;-1"),0)</f>
        <v>188.37</v>
      </c>
      <c r="O10" s="4">
        <f>IFERROR(_xlfn.MAXIFS($F$2:$F$6,$F$2:$F$6,"&lt;&gt; -1"),0)</f>
        <v>466.85</v>
      </c>
      <c r="P10" s="4">
        <f>IFERROR(_xlfn.MAXIFS($H$2:$H$6,$H$2:$H$6,"&lt;&gt; -1"),0)</f>
        <v>475.93</v>
      </c>
      <c r="Q10" s="4">
        <f>IFERROR(_xlfn.MAXIFS($J$2:$J$6,$J$2:$J$6,"&lt;&gt; -1"),0)</f>
        <v>0</v>
      </c>
      <c r="R10" s="4">
        <f>IFERROR(_xlfn.MAXIFS($L$2:$L$6,$L$2:$L$6,"&lt;&gt; -1"),0)</f>
        <v>0</v>
      </c>
      <c r="S10" s="4">
        <f>IFERROR(_xlfn.MINIFS($B$2:$B$6,$B$2:$B$6,"&lt;&gt; -1"),0)</f>
        <v>143.01</v>
      </c>
      <c r="T10" s="4">
        <f>IFERROR(_xlfn.MINIFS($D$2:$D$6,$D$2:$D$6,"&lt;&gt;-1"),0)</f>
        <v>140.35</v>
      </c>
      <c r="U10" s="4">
        <f>IFERROR(_xlfn.MINIFS($F$2:$F$6,$F$2:$F$6,"&lt;&gt; -1"),0)</f>
        <v>197.96</v>
      </c>
      <c r="V10" s="4">
        <f>IFERROR(_xlfn.MINIFS($H$2:$H$6,$H$2:$H$6,"&lt;&gt; -1"),0)</f>
        <v>197.69</v>
      </c>
      <c r="W10" s="4">
        <f>IFERROR(_xlfn.MINIFS($J$2:$J$6,$J$2:$J$6,"&lt;&gt; -1"),0)</f>
        <v>0</v>
      </c>
      <c r="X10" s="4">
        <f>IFERROR(_xlfn.MINIFS($L$2:$L$6,$L$2:$L$6,"&lt;&gt; -1"),0)</f>
        <v>0</v>
      </c>
      <c r="Y10" s="4">
        <f>IFERROR(_xlfn.MAXIFS($C$2:$C$6,$B$2:$B$6,"&lt;&gt; -1"),0)</f>
        <v>12831</v>
      </c>
      <c r="Z10" s="4">
        <f>IFERROR(_xlfn.MAXIFS($E$2:$E$6,$D$2:$D$6,"&lt;&gt; -1"),0)</f>
        <v>10177.78</v>
      </c>
      <c r="AA10" s="4">
        <f>IFERROR(_xlfn.MAXIFS($G$2:$G$6,$F$2:$F$6,"&lt;&gt; -1"),0)</f>
        <v>11364</v>
      </c>
      <c r="AB10" s="4">
        <f>IFERROR(_xlfn.MAXIFS($I$2:$I$6,$H$2:$H$6,"&lt;&gt; -1"),0)</f>
        <v>11293.65</v>
      </c>
      <c r="AC10" s="4">
        <f>IFERROR(_xlfn.MAXIFS($K$2:$K$6,$J$2:$J$6,"&lt;&gt; -1"),0)</f>
        <v>0</v>
      </c>
      <c r="AD10" s="4">
        <f>IFERROR(_xlfn.MAXIFS($M$2:$M$6,$L$2:$L$6,"&lt;&gt; -1"),0)</f>
        <v>0</v>
      </c>
      <c r="AE10" s="4">
        <f>IFERROR(_xlfn.MINIFS($C$2:$C$6,$B$2:$B$6,"&lt;&gt; -1"),0)</f>
        <v>11988</v>
      </c>
      <c r="AF10" s="4">
        <f>IFERROR(_xlfn.MINIFS($E$2:$E$6,$D$2:$D$6,"&lt;&gt; -1"),0)</f>
        <v>9152.63</v>
      </c>
      <c r="AG10" s="4">
        <f>IFERROR(_xlfn.MINIFS($G$2:$G$6,$F$2:$F$6,"&lt;&gt; -1"),0)</f>
        <v>10284</v>
      </c>
      <c r="AH10" s="4">
        <f>IFERROR(_xlfn.MINIFS($I$2:$I$6,$H$2:$H$6,"&lt;&gt; -1"),0)</f>
        <v>10624.05</v>
      </c>
      <c r="AI10" s="4">
        <f>IFERROR(_xlfn.MINIFS($K$2:$K$6,$J$2:$J$6,"&lt;&gt; -1"),0)</f>
        <v>0</v>
      </c>
      <c r="AJ10" s="4">
        <f>IFERROR(_xlfn.MINIFS($M$2:$M$6,$L$2:$L$6,"&lt;&gt; -1"),0)</f>
        <v>0</v>
      </c>
      <c r="AK10" s="4">
        <f>(COUNTIFS($B$2:$B$6,"&gt;0.0",$B$2:$B$6,"&lt;600.0"))/5</f>
        <v>0.8</v>
      </c>
      <c r="AL10" s="4">
        <f>(COUNTIFS($D$2:$D$6,"&gt;0.0",$D$2:$D$6,"&lt;600.0"))/5</f>
        <v>1</v>
      </c>
      <c r="AM10" s="4">
        <f>(COUNTIFS($F$2:$F$6,"&gt;0.0",$F$2:$F$6,"&lt;600.0"))/5</f>
        <v>1</v>
      </c>
      <c r="AN10" s="4">
        <f>(COUNTIFS($H$2:$H$6,"&gt;0.0",$H$2:$H$6,"&lt;600.0"))/5</f>
        <v>0.4</v>
      </c>
      <c r="AO10" s="4">
        <f>(COUNTIFS($J$2:$J$6,"&gt;0.0",$J$2:$J$6,"&lt;600.0"))/5</f>
        <v>0</v>
      </c>
      <c r="AP10" s="4">
        <f>(COUNTIFS($L$2:$L$6,"&gt;0.0",$L$2:$L$6,"&lt;600.0"))/5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workbookViewId="0">
      <selection activeCell="A11" sqref="$A11:$XFD1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4854</v>
      </c>
      <c r="D2">
        <v>196.95</v>
      </c>
      <c r="E2">
        <v>9046.31</v>
      </c>
      <c r="F2">
        <v>503.78</v>
      </c>
      <c r="G2">
        <v>10191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214.37</v>
      </c>
      <c r="C3">
        <v>12080</v>
      </c>
      <c r="D3">
        <v>213.96</v>
      </c>
      <c r="E3">
        <v>9624.25</v>
      </c>
      <c r="F3">
        <v>332.35</v>
      </c>
      <c r="G3">
        <v>10758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214.03</v>
      </c>
      <c r="C4">
        <v>12279</v>
      </c>
      <c r="D4">
        <v>213.84</v>
      </c>
      <c r="E4">
        <v>9626.85</v>
      </c>
      <c r="F4">
        <v>-1</v>
      </c>
      <c r="G4">
        <v>8165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159.5</v>
      </c>
      <c r="C5">
        <v>11873</v>
      </c>
      <c r="D5">
        <v>159.61</v>
      </c>
      <c r="E5">
        <v>9375.81</v>
      </c>
      <c r="F5">
        <v>319.23</v>
      </c>
      <c r="G5">
        <v>10475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205.62</v>
      </c>
      <c r="C6">
        <v>12703</v>
      </c>
      <c r="D6">
        <v>205.7</v>
      </c>
      <c r="E6">
        <v>9797.81</v>
      </c>
      <c r="F6">
        <v>519.02</v>
      </c>
      <c r="G6">
        <v>10857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10" spans="1:42">
      <c r="A10" s="2" t="s">
        <v>18</v>
      </c>
      <c r="B10" s="2" t="s">
        <v>19</v>
      </c>
      <c r="C10" s="2" t="s">
        <v>20</v>
      </c>
      <c r="D10" s="3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3" t="s">
        <v>27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3" t="s">
        <v>33</v>
      </c>
      <c r="Q10" s="2" t="s">
        <v>34</v>
      </c>
      <c r="R10" s="2" t="s">
        <v>35</v>
      </c>
      <c r="S10" s="2" t="s">
        <v>36</v>
      </c>
      <c r="T10" s="2" t="s">
        <v>37</v>
      </c>
      <c r="U10" s="2" t="s">
        <v>38</v>
      </c>
      <c r="V10" s="3" t="s">
        <v>39</v>
      </c>
      <c r="W10" s="2" t="s">
        <v>40</v>
      </c>
      <c r="X10" s="2" t="s">
        <v>41</v>
      </c>
      <c r="Y10" s="2" t="s">
        <v>42</v>
      </c>
      <c r="Z10" s="2" t="s">
        <v>43</v>
      </c>
      <c r="AA10" s="2" t="s">
        <v>44</v>
      </c>
      <c r="AB10" s="3" t="s">
        <v>45</v>
      </c>
      <c r="AC10" s="2" t="s">
        <v>46</v>
      </c>
      <c r="AD10" s="2" t="s">
        <v>47</v>
      </c>
      <c r="AE10" s="2" t="s">
        <v>48</v>
      </c>
      <c r="AF10" s="2" t="s">
        <v>49</v>
      </c>
      <c r="AG10" s="2" t="s">
        <v>50</v>
      </c>
      <c r="AH10" s="3" t="s">
        <v>51</v>
      </c>
      <c r="AI10" s="2" t="s">
        <v>52</v>
      </c>
      <c r="AJ10" s="2" t="s">
        <v>53</v>
      </c>
      <c r="AK10" s="2" t="s">
        <v>54</v>
      </c>
      <c r="AL10" s="2" t="s">
        <v>55</v>
      </c>
      <c r="AM10" s="2" t="s">
        <v>56</v>
      </c>
      <c r="AN10" s="3" t="s">
        <v>57</v>
      </c>
      <c r="AO10" s="2" t="s">
        <v>58</v>
      </c>
      <c r="AP10" s="2" t="s">
        <v>59</v>
      </c>
    </row>
    <row r="11" spans="1:42">
      <c r="A11" s="4">
        <f>IFERROR(AVERAGEIF($B$2:$B$6,"&lt;&gt; -1"),0)</f>
        <v>198.38</v>
      </c>
      <c r="B11" s="4">
        <f>IFERROR(AVERAGEIF($D$2:$D$6,"&lt;&gt; -1"),0)</f>
        <v>198.012</v>
      </c>
      <c r="C11" s="4">
        <f>IFERROR(AVERAGEIF($F$2:$F$6,"&lt;&gt; -1"),0)</f>
        <v>418.595</v>
      </c>
      <c r="D11" s="4">
        <f>IFERROR(AVERAGEIF($H$2:$H$6,"&lt;&gt; -1"),0)</f>
        <v>0</v>
      </c>
      <c r="E11" s="4">
        <f>IFERROR(AVERAGEIF($J$2:$J$6,"&lt;&gt; -1"),0)</f>
        <v>0</v>
      </c>
      <c r="F11" s="4">
        <f>IFERROR(AVERAGEIF($L$2:$L$6,"&lt;&gt; -1"),0)</f>
        <v>0</v>
      </c>
      <c r="G11" s="4">
        <f>IFERROR(AVERAGEIFS($C$2:$C$6,$B$2:$B$6,"&lt;&gt; -1"),0)</f>
        <v>12233.75</v>
      </c>
      <c r="H11" s="4">
        <f>IFERROR(AVERAGEIFS($E$2:$E$6,$D$2:$D$6,"&lt;&gt; -1"),0)</f>
        <v>9494.206</v>
      </c>
      <c r="I11" s="4">
        <f>IFERROR(AVERAGEIFS($G$2:$G$6,$F$2:$F$6,"&lt;&gt; -1"),0)</f>
        <v>10570.25</v>
      </c>
      <c r="J11" s="4">
        <f>IFERROR(AVERAGEIFS($I$2:$I$6,$H$2:$H$6,"&lt;&gt; -1"),0)</f>
        <v>0</v>
      </c>
      <c r="K11" s="4">
        <f>IFERROR(AVERAGEIFS($K$2:$K$6,$J$2:$J$6,"&lt;&gt; -1"),0)</f>
        <v>0</v>
      </c>
      <c r="L11" s="4">
        <f>IFERROR(AVERAGEIFS($M$2:$M$6,$L$2:$L$6,"&lt;&gt; -1"),0)</f>
        <v>0</v>
      </c>
      <c r="M11" s="4">
        <f>IFERROR(_xlfn.MAXIFS($B$2:$B$6,$B$2:$B$6,"&lt;&gt; -1"),0)</f>
        <v>214.37</v>
      </c>
      <c r="N11" s="4">
        <f>IFERROR(_xlfn.MAXIFS($D$2:$D$6,$D$2:$D$6,"&lt;&gt;-1"),0)</f>
        <v>213.96</v>
      </c>
      <c r="O11" s="4">
        <f>IFERROR(_xlfn.MAXIFS($F$2:$F$6,$F$2:$F$6,"&lt;&gt; -1"),0)</f>
        <v>519.02</v>
      </c>
      <c r="P11" s="4">
        <f>IFERROR(_xlfn.MAXIFS($H$2:$H$6,$H$2:$H$6,"&lt;&gt; -1"),0)</f>
        <v>0</v>
      </c>
      <c r="Q11" s="4">
        <f>IFERROR(_xlfn.MAXIFS($J$2:$J$6,$J$2:$J$6,"&lt;&gt; -1"),0)</f>
        <v>0</v>
      </c>
      <c r="R11" s="4">
        <f>IFERROR(_xlfn.MAXIFS($L$2:$L$6,$L$2:$L$6,"&lt;&gt; -1"),0)</f>
        <v>0</v>
      </c>
      <c r="S11" s="4">
        <f>IFERROR(_xlfn.MINIFS($B$2:$B$6,$B$2:$B$6,"&lt;&gt; -1"),0)</f>
        <v>159.5</v>
      </c>
      <c r="T11" s="4">
        <f>IFERROR(_xlfn.MINIFS($D$2:$D$6,$D$2:$D$6,"&lt;&gt;-1"),0)</f>
        <v>159.61</v>
      </c>
      <c r="U11" s="4">
        <f>IFERROR(_xlfn.MINIFS($F$2:$F$6,$F$2:$F$6,"&lt;&gt; -1"),0)</f>
        <v>319.23</v>
      </c>
      <c r="V11" s="4">
        <f>IFERROR(_xlfn.MINIFS($H$2:$H$6,$H$2:$H$6,"&lt;&gt; -1"),0)</f>
        <v>0</v>
      </c>
      <c r="W11" s="4">
        <f>IFERROR(_xlfn.MINIFS($J$2:$J$6,$J$2:$J$6,"&lt;&gt; -1"),0)</f>
        <v>0</v>
      </c>
      <c r="X11" s="4">
        <f>IFERROR(_xlfn.MINIFS($L$2:$L$6,$L$2:$L$6,"&lt;&gt; -1"),0)</f>
        <v>0</v>
      </c>
      <c r="Y11" s="4">
        <f>IFERROR(_xlfn.MAXIFS($C$2:$C$6,$B$2:$B$6,"&lt;&gt; -1"),0)</f>
        <v>12703</v>
      </c>
      <c r="Z11" s="4">
        <f>IFERROR(_xlfn.MAXIFS($E$2:$E$6,$D$2:$D$6,"&lt;&gt; -1"),0)</f>
        <v>9797.81</v>
      </c>
      <c r="AA11" s="4">
        <f>IFERROR(_xlfn.MAXIFS($G$2:$G$6,$F$2:$F$6,"&lt;&gt; -1"),0)</f>
        <v>10857</v>
      </c>
      <c r="AB11" s="4">
        <f>IFERROR(_xlfn.MAXIFS($I$2:$I$6,$H$2:$H$6,"&lt;&gt; -1"),0)</f>
        <v>0</v>
      </c>
      <c r="AC11" s="4">
        <f>IFERROR(_xlfn.MAXIFS($K$2:$K$6,$J$2:$J$6,"&lt;&gt; -1"),0)</f>
        <v>0</v>
      </c>
      <c r="AD11" s="4">
        <f>IFERROR(_xlfn.MAXIFS($M$2:$M$6,$L$2:$L$6,"&lt;&gt; -1"),0)</f>
        <v>0</v>
      </c>
      <c r="AE11" s="4">
        <f>IFERROR(_xlfn.MINIFS($C$2:$C$6,$B$2:$B$6,"&lt;&gt; -1"),0)</f>
        <v>11873</v>
      </c>
      <c r="AF11" s="4">
        <f>IFERROR(_xlfn.MINIFS($E$2:$E$6,$D$2:$D$6,"&lt;&gt; -1"),0)</f>
        <v>9046.31</v>
      </c>
      <c r="AG11" s="4">
        <f>IFERROR(_xlfn.MINIFS($G$2:$G$6,$F$2:$F$6,"&lt;&gt; -1"),0)</f>
        <v>10191</v>
      </c>
      <c r="AH11" s="4">
        <f>IFERROR(_xlfn.MINIFS($I$2:$I$6,$H$2:$H$6,"&lt;&gt; -1"),0)</f>
        <v>0</v>
      </c>
      <c r="AI11" s="4">
        <f>IFERROR(_xlfn.MINIFS($K$2:$K$6,$J$2:$J$6,"&lt;&gt; -1"),0)</f>
        <v>0</v>
      </c>
      <c r="AJ11" s="4">
        <f>IFERROR(_xlfn.MINIFS($M$2:$M$6,$L$2:$L$6,"&lt;&gt; -1"),0)</f>
        <v>0</v>
      </c>
      <c r="AK11" s="4">
        <f>(COUNTIFS($B$2:$B$6,"&gt;0.0",$B$2:$B$6,"&lt;600.0"))/5</f>
        <v>0.8</v>
      </c>
      <c r="AL11" s="4">
        <f>(COUNTIFS($D$2:$D$6,"&gt;0.0",$D$2:$D$6,"&lt;600.0"))/5</f>
        <v>1</v>
      </c>
      <c r="AM11" s="4">
        <f>(COUNTIFS($F$2:$F$6,"&gt;0.0",$F$2:$F$6,"&lt;600.0"))/5</f>
        <v>0.8</v>
      </c>
      <c r="AN11" s="4">
        <f>(COUNTIFS($H$2:$H$6,"&gt;0.0",$H$2:$H$6,"&lt;600.0"))/5</f>
        <v>0</v>
      </c>
      <c r="AO11" s="4">
        <f>(COUNTIFS($J$2:$J$6,"&gt;0.0",$J$2:$J$6,"&lt;600.0"))/5</f>
        <v>0</v>
      </c>
      <c r="AP11" s="4">
        <f>(COUNTIFS($L$2:$L$6,"&gt;0.0",$L$2:$L$6,"&lt;600.0"))/5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10" sqref="C10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92.358</v>
      </c>
      <c r="B2">
        <v>92.492</v>
      </c>
      <c r="C2">
        <v>147.348</v>
      </c>
      <c r="D2">
        <v>121.484</v>
      </c>
      <c r="E2">
        <v>190.55</v>
      </c>
      <c r="F2">
        <v>272.01</v>
      </c>
      <c r="G2">
        <v>10894.2</v>
      </c>
      <c r="H2">
        <v>9312.674</v>
      </c>
      <c r="I2">
        <v>10544.2</v>
      </c>
      <c r="J2">
        <v>10848.104</v>
      </c>
      <c r="K2">
        <v>10372</v>
      </c>
      <c r="L2">
        <v>9300.29</v>
      </c>
      <c r="M2">
        <v>97.58</v>
      </c>
      <c r="N2">
        <v>97.78</v>
      </c>
      <c r="O2">
        <v>216.86</v>
      </c>
      <c r="P2">
        <v>144.69</v>
      </c>
      <c r="Q2">
        <v>190.55</v>
      </c>
      <c r="R2">
        <v>441.02</v>
      </c>
      <c r="S2">
        <v>88.93</v>
      </c>
      <c r="T2">
        <v>88.99</v>
      </c>
      <c r="U2">
        <v>94.34</v>
      </c>
      <c r="V2">
        <v>111.44</v>
      </c>
      <c r="W2">
        <v>190.55</v>
      </c>
      <c r="X2">
        <v>115.69</v>
      </c>
      <c r="Y2">
        <v>11432</v>
      </c>
      <c r="Z2">
        <v>9645.06</v>
      </c>
      <c r="AA2">
        <v>10966</v>
      </c>
      <c r="AB2">
        <v>11220.89</v>
      </c>
      <c r="AC2">
        <v>10372</v>
      </c>
      <c r="AD2">
        <v>9625.32</v>
      </c>
      <c r="AE2">
        <v>10422</v>
      </c>
      <c r="AF2">
        <v>9088.11</v>
      </c>
      <c r="AG2">
        <v>10264</v>
      </c>
      <c r="AH2">
        <v>10592.75</v>
      </c>
      <c r="AI2">
        <v>10372</v>
      </c>
      <c r="AJ2">
        <v>9050.61</v>
      </c>
      <c r="AK2">
        <v>1</v>
      </c>
      <c r="AL2">
        <v>1</v>
      </c>
      <c r="AM2">
        <v>1</v>
      </c>
      <c r="AN2">
        <v>1</v>
      </c>
      <c r="AO2">
        <v>0.2</v>
      </c>
      <c r="AP2">
        <v>1</v>
      </c>
    </row>
    <row r="3" spans="1:42">
      <c r="A3">
        <v>106.158</v>
      </c>
      <c r="B3">
        <v>106.192</v>
      </c>
      <c r="C3">
        <v>204.606</v>
      </c>
      <c r="D3">
        <v>175.634</v>
      </c>
      <c r="E3">
        <v>0</v>
      </c>
      <c r="F3">
        <v>0</v>
      </c>
      <c r="G3">
        <v>11623.8</v>
      </c>
      <c r="H3">
        <v>9591.734</v>
      </c>
      <c r="I3">
        <v>10750.6</v>
      </c>
      <c r="J3">
        <v>11073.73</v>
      </c>
      <c r="K3">
        <v>0</v>
      </c>
      <c r="L3">
        <v>0</v>
      </c>
      <c r="M3">
        <v>107.87</v>
      </c>
      <c r="N3">
        <v>107.88</v>
      </c>
      <c r="O3">
        <v>233.58</v>
      </c>
      <c r="P3">
        <v>207.47</v>
      </c>
      <c r="Q3">
        <v>0</v>
      </c>
      <c r="R3">
        <v>0</v>
      </c>
      <c r="S3">
        <v>104.59</v>
      </c>
      <c r="T3">
        <v>104.65</v>
      </c>
      <c r="U3">
        <v>185.54</v>
      </c>
      <c r="V3">
        <v>131.95</v>
      </c>
      <c r="W3">
        <v>0</v>
      </c>
      <c r="X3">
        <v>0</v>
      </c>
      <c r="Y3">
        <v>11884</v>
      </c>
      <c r="Z3">
        <v>9990.97</v>
      </c>
      <c r="AA3">
        <v>11244</v>
      </c>
      <c r="AB3">
        <v>11443.98</v>
      </c>
      <c r="AC3">
        <v>0</v>
      </c>
      <c r="AD3">
        <v>0</v>
      </c>
      <c r="AE3">
        <v>11383</v>
      </c>
      <c r="AF3">
        <v>9222.84</v>
      </c>
      <c r="AG3">
        <v>10369</v>
      </c>
      <c r="AH3">
        <v>10711.85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</row>
    <row r="4" spans="1:42">
      <c r="A4">
        <v>116.84</v>
      </c>
      <c r="B4">
        <v>116.916</v>
      </c>
      <c r="C4">
        <v>220.44</v>
      </c>
      <c r="D4">
        <v>464.805</v>
      </c>
      <c r="E4">
        <v>0</v>
      </c>
      <c r="F4">
        <v>0</v>
      </c>
      <c r="G4">
        <v>11531.6</v>
      </c>
      <c r="H4">
        <v>9440.358</v>
      </c>
      <c r="I4">
        <v>10611.6</v>
      </c>
      <c r="J4">
        <v>10935.515</v>
      </c>
      <c r="K4">
        <v>0</v>
      </c>
      <c r="L4">
        <v>0</v>
      </c>
      <c r="M4">
        <v>119.74</v>
      </c>
      <c r="N4">
        <v>119.87</v>
      </c>
      <c r="O4">
        <v>274.63</v>
      </c>
      <c r="P4">
        <v>714.44</v>
      </c>
      <c r="Q4">
        <v>0</v>
      </c>
      <c r="R4">
        <v>0</v>
      </c>
      <c r="S4">
        <v>114.27</v>
      </c>
      <c r="T4">
        <v>114.38</v>
      </c>
      <c r="U4">
        <v>170.07</v>
      </c>
      <c r="V4">
        <v>215.17</v>
      </c>
      <c r="W4">
        <v>0</v>
      </c>
      <c r="X4">
        <v>0</v>
      </c>
      <c r="Y4">
        <v>11976</v>
      </c>
      <c r="Z4">
        <v>9729.06</v>
      </c>
      <c r="AA4">
        <v>10918</v>
      </c>
      <c r="AB4">
        <v>11225.8</v>
      </c>
      <c r="AC4">
        <v>0</v>
      </c>
      <c r="AD4">
        <v>0</v>
      </c>
      <c r="AE4">
        <v>10836</v>
      </c>
      <c r="AF4">
        <v>9154.67</v>
      </c>
      <c r="AG4">
        <v>10352</v>
      </c>
      <c r="AH4">
        <v>10645.23</v>
      </c>
      <c r="AI4">
        <v>0</v>
      </c>
      <c r="AJ4">
        <v>0</v>
      </c>
      <c r="AK4">
        <v>1</v>
      </c>
      <c r="AL4">
        <v>1</v>
      </c>
      <c r="AM4">
        <v>1</v>
      </c>
      <c r="AN4">
        <v>0.2</v>
      </c>
      <c r="AO4">
        <v>0</v>
      </c>
      <c r="AP4">
        <v>0</v>
      </c>
    </row>
    <row r="5" spans="1:42">
      <c r="A5">
        <v>128.9425</v>
      </c>
      <c r="B5">
        <v>128.396</v>
      </c>
      <c r="C5">
        <v>245.286</v>
      </c>
      <c r="D5">
        <v>0</v>
      </c>
      <c r="E5">
        <v>0</v>
      </c>
      <c r="F5">
        <v>0</v>
      </c>
      <c r="G5">
        <v>11651.75</v>
      </c>
      <c r="H5">
        <v>9457.526</v>
      </c>
      <c r="I5">
        <v>10666</v>
      </c>
      <c r="J5">
        <v>0</v>
      </c>
      <c r="K5">
        <v>0</v>
      </c>
      <c r="L5">
        <v>0</v>
      </c>
      <c r="M5">
        <v>134.03</v>
      </c>
      <c r="N5">
        <v>134.03</v>
      </c>
      <c r="O5">
        <v>330</v>
      </c>
      <c r="P5">
        <v>0</v>
      </c>
      <c r="Q5">
        <v>0</v>
      </c>
      <c r="R5">
        <v>0</v>
      </c>
      <c r="S5">
        <v>124.96</v>
      </c>
      <c r="T5">
        <v>125.07</v>
      </c>
      <c r="U5">
        <v>176.35</v>
      </c>
      <c r="V5">
        <v>0</v>
      </c>
      <c r="W5">
        <v>0</v>
      </c>
      <c r="X5">
        <v>0</v>
      </c>
      <c r="Y5">
        <v>12097</v>
      </c>
      <c r="Z5">
        <v>9656.82</v>
      </c>
      <c r="AA5">
        <v>10887</v>
      </c>
      <c r="AB5">
        <v>0</v>
      </c>
      <c r="AC5">
        <v>0</v>
      </c>
      <c r="AD5">
        <v>0</v>
      </c>
      <c r="AE5">
        <v>11174</v>
      </c>
      <c r="AF5">
        <v>9214.89</v>
      </c>
      <c r="AG5">
        <v>10354</v>
      </c>
      <c r="AH5">
        <v>0</v>
      </c>
      <c r="AI5">
        <v>0</v>
      </c>
      <c r="AJ5">
        <v>0</v>
      </c>
      <c r="AK5">
        <v>0.8</v>
      </c>
      <c r="AL5">
        <v>1</v>
      </c>
      <c r="AM5">
        <v>1</v>
      </c>
      <c r="AN5">
        <v>0</v>
      </c>
      <c r="AO5">
        <v>0</v>
      </c>
      <c r="AP5">
        <v>0</v>
      </c>
    </row>
    <row r="6" spans="1:42">
      <c r="A6">
        <v>155.625</v>
      </c>
      <c r="B6">
        <v>152.542</v>
      </c>
      <c r="C6">
        <v>295.422</v>
      </c>
      <c r="D6">
        <v>336.81</v>
      </c>
      <c r="E6">
        <v>0</v>
      </c>
      <c r="F6">
        <v>0</v>
      </c>
      <c r="G6">
        <v>12425.5</v>
      </c>
      <c r="H6">
        <v>9700.766</v>
      </c>
      <c r="I6">
        <v>10878.8</v>
      </c>
      <c r="J6">
        <v>10958.85</v>
      </c>
      <c r="K6">
        <v>0</v>
      </c>
      <c r="L6">
        <v>0</v>
      </c>
      <c r="M6">
        <v>188.58</v>
      </c>
      <c r="N6">
        <v>188.37</v>
      </c>
      <c r="O6">
        <v>466.85</v>
      </c>
      <c r="P6">
        <v>475.93</v>
      </c>
      <c r="Q6">
        <v>0</v>
      </c>
      <c r="R6">
        <v>0</v>
      </c>
      <c r="S6">
        <v>143.01</v>
      </c>
      <c r="T6">
        <v>140.35</v>
      </c>
      <c r="U6">
        <v>197.96</v>
      </c>
      <c r="V6">
        <v>197.69</v>
      </c>
      <c r="W6">
        <v>0</v>
      </c>
      <c r="X6">
        <v>0</v>
      </c>
      <c r="Y6">
        <v>12831</v>
      </c>
      <c r="Z6">
        <v>10177.78</v>
      </c>
      <c r="AA6">
        <v>11364</v>
      </c>
      <c r="AB6">
        <v>11293.65</v>
      </c>
      <c r="AC6">
        <v>0</v>
      </c>
      <c r="AD6">
        <v>0</v>
      </c>
      <c r="AE6">
        <v>11988</v>
      </c>
      <c r="AF6">
        <v>9152.63</v>
      </c>
      <c r="AG6">
        <v>10284</v>
      </c>
      <c r="AH6">
        <v>10624.05</v>
      </c>
      <c r="AI6">
        <v>0</v>
      </c>
      <c r="AJ6">
        <v>0</v>
      </c>
      <c r="AK6">
        <v>0.8</v>
      </c>
      <c r="AL6">
        <v>1</v>
      </c>
      <c r="AM6">
        <v>1</v>
      </c>
      <c r="AN6">
        <v>0.4</v>
      </c>
      <c r="AO6">
        <v>0</v>
      </c>
      <c r="AP6">
        <v>0</v>
      </c>
    </row>
    <row r="7" spans="1:42">
      <c r="A7">
        <v>198.38</v>
      </c>
      <c r="B7">
        <v>198.012</v>
      </c>
      <c r="C7">
        <v>418.595</v>
      </c>
      <c r="D7">
        <v>0</v>
      </c>
      <c r="E7">
        <v>0</v>
      </c>
      <c r="F7">
        <v>0</v>
      </c>
      <c r="G7">
        <v>12233.75</v>
      </c>
      <c r="H7">
        <v>9494.206</v>
      </c>
      <c r="I7">
        <v>10570.25</v>
      </c>
      <c r="J7">
        <v>0</v>
      </c>
      <c r="K7">
        <v>0</v>
      </c>
      <c r="L7">
        <v>0</v>
      </c>
      <c r="M7">
        <v>214.37</v>
      </c>
      <c r="N7">
        <v>213.96</v>
      </c>
      <c r="O7">
        <v>519.02</v>
      </c>
      <c r="P7">
        <v>0</v>
      </c>
      <c r="Q7">
        <v>0</v>
      </c>
      <c r="R7">
        <v>0</v>
      </c>
      <c r="S7">
        <v>159.5</v>
      </c>
      <c r="T7">
        <v>159.61</v>
      </c>
      <c r="U7">
        <v>319.23</v>
      </c>
      <c r="V7">
        <v>0</v>
      </c>
      <c r="W7">
        <v>0</v>
      </c>
      <c r="X7">
        <v>0</v>
      </c>
      <c r="Y7">
        <v>12703</v>
      </c>
      <c r="Z7">
        <v>9797.81</v>
      </c>
      <c r="AA7">
        <v>10857</v>
      </c>
      <c r="AB7">
        <v>0</v>
      </c>
      <c r="AC7">
        <v>0</v>
      </c>
      <c r="AD7">
        <v>0</v>
      </c>
      <c r="AE7">
        <v>11873</v>
      </c>
      <c r="AF7">
        <v>9046.31</v>
      </c>
      <c r="AG7">
        <v>10191</v>
      </c>
      <c r="AH7">
        <v>0</v>
      </c>
      <c r="AI7">
        <v>0</v>
      </c>
      <c r="AJ7">
        <v>0</v>
      </c>
      <c r="AK7">
        <v>0.8</v>
      </c>
      <c r="AL7">
        <v>1</v>
      </c>
      <c r="AM7">
        <v>0.8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2024-08-29T05:10:00Z</dcterms:created>
  <dcterms:modified xsi:type="dcterms:W3CDTF">2024-08-29T15:20:11Z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640C21DEAA9941D1BA1B6CBD1403CF63_12</vt:lpwstr>
  </property>
  <property fmtid="{D5CDD505-2E9C-101B-9397-08002B2CF9AE}" pid="3" name="KSOProductBuildVer">
    <vt:lpwstr>2052-12.1.0.17827</vt:lpwstr>
  </property>
</Properties>
</file>