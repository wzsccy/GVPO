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<sst xmlns="http://schemas.openxmlformats.org/spreadsheetml/2006/main" count="492" uniqueCount="75">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</sst>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10.37</v>
      </c>
      <c r="C2">
        <v>2501</v>
      </c>
      <c r="D2">
        <v>10.37</v>
      </c>
      <c r="E2">
        <v>1877.07</v>
      </c>
      <c r="F2">
        <v>10.84</v>
      </c>
      <c r="G2">
        <v>2159</v>
      </c>
      <c r="H2">
        <v>11.51</v>
      </c>
      <c r="I2">
        <v>2044.48</v>
      </c>
      <c r="J2">
        <v>11.4</v>
      </c>
      <c r="K2">
        <v>2157</v>
      </c>
      <c r="L2">
        <v>11.22</v>
      </c>
      <c r="M2">
        <v>1812.84</v>
      </c>
    </row>
    <row r="3" spans="1:13">
      <c r="A3" t="s">
        <v>14</v>
      </c>
      <c r="B3">
        <v>10.71</v>
      </c>
      <c r="C3">
        <v>2555</v>
      </c>
      <c r="D3">
        <v>10.7</v>
      </c>
      <c r="E3">
        <v>1894.46</v>
      </c>
      <c r="F3">
        <v>11.12</v>
      </c>
      <c r="G3">
        <v>2201</v>
      </c>
      <c r="H3">
        <v>11.93</v>
      </c>
      <c r="I3">
        <v>2043.31</v>
      </c>
      <c r="J3">
        <v>11.99</v>
      </c>
      <c r="K3">
        <v>2191</v>
      </c>
      <c r="L3">
        <v>11.43</v>
      </c>
      <c r="M3">
        <v>1845.13</v>
      </c>
    </row>
    <row r="4" spans="1:13">
      <c r="A4" t="s">
        <v>15</v>
      </c>
      <c r="B4">
        <v>10.43</v>
      </c>
      <c r="C4">
        <v>2566</v>
      </c>
      <c r="D4">
        <v>10.42</v>
      </c>
      <c r="E4">
        <v>1884.39</v>
      </c>
      <c r="F4">
        <v>10.75</v>
      </c>
      <c r="G4">
        <v>2196</v>
      </c>
      <c r="H4">
        <v>11.37</v>
      </c>
      <c r="I4">
        <v>2038.75</v>
      </c>
      <c r="J4">
        <v>11.14</v>
      </c>
      <c r="K4">
        <v>2193</v>
      </c>
      <c r="L4">
        <v>10.97</v>
      </c>
      <c r="M4">
        <v>1829</v>
      </c>
    </row>
    <row r="5" spans="1:13">
      <c r="A5" t="s">
        <v>16</v>
      </c>
      <c r="B5">
        <v>11</v>
      </c>
      <c r="C5">
        <v>2678</v>
      </c>
      <c r="D5">
        <v>10.99</v>
      </c>
      <c r="E5">
        <v>1967.77</v>
      </c>
      <c r="F5">
        <v>11.37</v>
      </c>
      <c r="G5">
        <v>2248</v>
      </c>
      <c r="H5">
        <v>12.16</v>
      </c>
      <c r="I5">
        <v>2111.91</v>
      </c>
      <c r="J5">
        <v>11.73</v>
      </c>
      <c r="K5">
        <v>2236</v>
      </c>
      <c r="L5">
        <v>11.57</v>
      </c>
      <c r="M5">
        <v>1891.06</v>
      </c>
    </row>
    <row r="6" spans="1:13">
      <c r="A6" t="s">
        <v>17</v>
      </c>
      <c r="B6">
        <v>11.25</v>
      </c>
      <c r="C6">
        <v>2472</v>
      </c>
      <c r="D6">
        <v>11.27</v>
      </c>
      <c r="E6">
        <v>1910.31</v>
      </c>
      <c r="F6">
        <v>11.51</v>
      </c>
      <c r="G6">
        <v>2212</v>
      </c>
      <c r="H6">
        <v>11.93</v>
      </c>
      <c r="I6">
        <v>2117.42</v>
      </c>
      <c r="J6">
        <v>-1</v>
      </c>
      <c r="K6">
        <v>136</v>
      </c>
      <c r="L6">
        <v>12.42</v>
      </c>
      <c r="M6">
        <v>1864.67</v>
      </c>
    </row>
    <row r="7" spans="1:13">
      <c r="A7" t="s">
        <v>18</v>
      </c>
      <c r="B7">
        <v>10.81</v>
      </c>
      <c r="C7">
        <v>2481</v>
      </c>
      <c r="D7">
        <v>10.79</v>
      </c>
      <c r="E7">
        <v>1845.29</v>
      </c>
      <c r="F7">
        <v>11.22</v>
      </c>
      <c r="G7">
        <v>2185</v>
      </c>
      <c r="H7">
        <v>12.19</v>
      </c>
      <c r="I7">
        <v>2030.28</v>
      </c>
      <c r="J7">
        <v>11.65</v>
      </c>
      <c r="K7">
        <v>2185</v>
      </c>
      <c r="L7">
        <v>11.22</v>
      </c>
      <c r="M7">
        <v>1795.01</v>
      </c>
    </row>
    <row r="8" spans="1:13">
      <c r="A8" t="s">
        <v>19</v>
      </c>
      <c r="B8">
        <v>10.71</v>
      </c>
      <c r="C8">
        <v>2387</v>
      </c>
      <c r="D8">
        <v>10.71</v>
      </c>
      <c r="E8">
        <v>1818.74</v>
      </c>
      <c r="F8">
        <v>11.04</v>
      </c>
      <c r="G8">
        <v>2079</v>
      </c>
      <c r="H8">
        <v>11.56</v>
      </c>
      <c r="I8">
        <v>1973.69</v>
      </c>
      <c r="J8">
        <v>11.79</v>
      </c>
      <c r="K8">
        <v>2078</v>
      </c>
      <c r="L8">
        <v>10.94</v>
      </c>
      <c r="M8">
        <v>1746.62</v>
      </c>
    </row>
    <row r="9" spans="1:13">
      <c r="A9" t="s">
        <v>20</v>
      </c>
      <c r="B9">
        <v>10.2</v>
      </c>
      <c r="C9">
        <v>2336</v>
      </c>
      <c r="D9">
        <v>10.18</v>
      </c>
      <c r="E9">
        <v>1743.93</v>
      </c>
      <c r="F9">
        <v>10.63</v>
      </c>
      <c r="G9">
        <v>2040</v>
      </c>
      <c r="H9">
        <v>11.44</v>
      </c>
      <c r="I9">
        <v>1916.59</v>
      </c>
      <c r="J9">
        <v>10.96</v>
      </c>
      <c r="K9">
        <v>2040</v>
      </c>
      <c r="L9">
        <v>10.66</v>
      </c>
      <c r="M9">
        <v>1691.64</v>
      </c>
    </row>
    <row r="10" spans="1:13">
      <c r="A10" t="s">
        <v>21</v>
      </c>
      <c r="B10">
        <v>10.7</v>
      </c>
      <c r="C10">
        <v>2577</v>
      </c>
      <c r="D10">
        <v>10.69</v>
      </c>
      <c r="E10">
        <v>1915.74</v>
      </c>
      <c r="F10">
        <v>11.15</v>
      </c>
      <c r="G10">
        <v>2205</v>
      </c>
      <c r="H10">
        <v>11.96</v>
      </c>
      <c r="I10">
        <v>2042.16</v>
      </c>
      <c r="J10">
        <v>11.42</v>
      </c>
      <c r="K10">
        <v>2203</v>
      </c>
      <c r="L10">
        <v>11.52</v>
      </c>
      <c r="M10">
        <v>1874.5</v>
      </c>
    </row>
    <row r="11" spans="1:13">
      <c r="A11" t="s">
        <v>22</v>
      </c>
      <c r="B11">
        <v>11.05</v>
      </c>
      <c r="C11">
        <v>2536</v>
      </c>
      <c r="D11">
        <v>11.05</v>
      </c>
      <c r="E11">
        <v>1903.38</v>
      </c>
      <c r="F11">
        <v>11.37</v>
      </c>
      <c r="G11">
        <v>2204</v>
      </c>
      <c r="H11">
        <v>12.03</v>
      </c>
      <c r="I11">
        <v>2088.8</v>
      </c>
      <c r="J11">
        <v>11.74</v>
      </c>
      <c r="K11">
        <v>2203</v>
      </c>
      <c r="L11">
        <v>11.7</v>
      </c>
      <c r="M11">
        <v>1860.47</v>
      </c>
    </row>
    <row r="12" spans="1:13">
      <c r="A12" t="s">
        <v>23</v>
      </c>
      <c r="B12">
        <v>10.98</v>
      </c>
      <c r="C12">
        <v>2544</v>
      </c>
      <c r="D12">
        <v>10.97</v>
      </c>
      <c r="E12">
        <v>1958.84</v>
      </c>
      <c r="F12">
        <v>11.33</v>
      </c>
      <c r="G12">
        <v>2226</v>
      </c>
      <c r="H12">
        <v>12.22</v>
      </c>
      <c r="I12">
        <v>2121.47</v>
      </c>
      <c r="J12">
        <v>11.42</v>
      </c>
      <c r="K12">
        <v>2224</v>
      </c>
      <c r="L12">
        <v>11.44</v>
      </c>
      <c r="M12">
        <v>1872.47</v>
      </c>
    </row>
    <row r="13" spans="1:13">
      <c r="A13" t="s">
        <v>24</v>
      </c>
      <c r="B13">
        <v>10.85</v>
      </c>
      <c r="C13">
        <v>2739</v>
      </c>
      <c r="D13">
        <v>10.84</v>
      </c>
      <c r="E13">
        <v>2002.22</v>
      </c>
      <c r="F13">
        <v>11.29</v>
      </c>
      <c r="G13">
        <v>2281</v>
      </c>
      <c r="H13">
        <v>12.05</v>
      </c>
      <c r="I13">
        <v>2169.62</v>
      </c>
      <c r="J13">
        <v>12.55</v>
      </c>
      <c r="K13">
        <v>2282</v>
      </c>
      <c r="L13">
        <v>11.84</v>
      </c>
      <c r="M13">
        <v>1943.23</v>
      </c>
    </row>
    <row r="14" spans="1:13">
      <c r="A14" t="s">
        <v>25</v>
      </c>
      <c r="B14">
        <v>11.05</v>
      </c>
      <c r="C14">
        <v>2656</v>
      </c>
      <c r="D14">
        <v>10.96</v>
      </c>
      <c r="E14">
        <v>1962.74</v>
      </c>
      <c r="F14">
        <v>11.35</v>
      </c>
      <c r="G14">
        <v>2276</v>
      </c>
      <c r="H14">
        <v>11.92</v>
      </c>
      <c r="I14">
        <v>2136.88</v>
      </c>
      <c r="J14">
        <v>11.78</v>
      </c>
      <c r="K14">
        <v>2268</v>
      </c>
      <c r="L14">
        <v>11.4</v>
      </c>
      <c r="M14">
        <v>1918.27</v>
      </c>
    </row>
    <row r="15" spans="1:13">
      <c r="A15" t="s">
        <v>26</v>
      </c>
      <c r="B15">
        <v>10.68</v>
      </c>
      <c r="C15">
        <v>2353</v>
      </c>
      <c r="D15">
        <v>10.67</v>
      </c>
      <c r="E15">
        <v>1792.6</v>
      </c>
      <c r="F15">
        <v>11.04</v>
      </c>
      <c r="G15">
        <v>2083</v>
      </c>
      <c r="H15">
        <v>11.95</v>
      </c>
      <c r="I15">
        <v>1980.76</v>
      </c>
      <c r="J15">
        <v>-1</v>
      </c>
      <c r="K15">
        <v>0</v>
      </c>
      <c r="L15">
        <v>10.93</v>
      </c>
      <c r="M15">
        <v>1745.39</v>
      </c>
    </row>
    <row r="16" spans="1:13">
      <c r="A16" t="s">
        <v>27</v>
      </c>
      <c r="B16">
        <v>10.77</v>
      </c>
      <c r="C16">
        <v>2657</v>
      </c>
      <c r="D16">
        <v>10.76</v>
      </c>
      <c r="E16">
        <v>2018.26</v>
      </c>
      <c r="F16">
        <v>11.15</v>
      </c>
      <c r="G16">
        <v>2305</v>
      </c>
      <c r="H16">
        <v>12</v>
      </c>
      <c r="I16">
        <v>2162.55</v>
      </c>
      <c r="J16">
        <v>11.98</v>
      </c>
      <c r="K16">
        <v>2290</v>
      </c>
      <c r="L16">
        <v>11.14</v>
      </c>
      <c r="M16">
        <v>1907.94</v>
      </c>
    </row>
    <row r="17" spans="1:13">
      <c r="A17" t="s">
        <v>28</v>
      </c>
      <c r="B17">
        <v>10.4</v>
      </c>
      <c r="C17">
        <v>2481</v>
      </c>
      <c r="D17">
        <v>10.39</v>
      </c>
      <c r="E17">
        <v>1866.6</v>
      </c>
      <c r="F17">
        <v>10.8</v>
      </c>
      <c r="G17">
        <v>2113</v>
      </c>
      <c r="H17">
        <v>11.51</v>
      </c>
      <c r="I17">
        <v>2064.77</v>
      </c>
      <c r="J17">
        <v>11.17</v>
      </c>
      <c r="K17">
        <v>2113</v>
      </c>
      <c r="L17">
        <v>10.77</v>
      </c>
      <c r="M17">
        <v>1797.06</v>
      </c>
    </row>
    <row r="18" spans="1:13">
      <c r="A18" t="s">
        <v>29</v>
      </c>
      <c r="B18">
        <v>11.17</v>
      </c>
      <c r="C18">
        <v>2508</v>
      </c>
      <c r="D18">
        <v>11.16</v>
      </c>
      <c r="E18">
        <v>1923.34</v>
      </c>
      <c r="F18">
        <v>11.63</v>
      </c>
      <c r="G18">
        <v>2160</v>
      </c>
      <c r="H18">
        <v>12.44</v>
      </c>
      <c r="I18">
        <v>2042.67</v>
      </c>
      <c r="J18">
        <v>11.99</v>
      </c>
      <c r="K18">
        <v>2160</v>
      </c>
      <c r="L18">
        <v>11.63</v>
      </c>
      <c r="M18">
        <v>1853.76</v>
      </c>
    </row>
    <row r="19" spans="1:13">
      <c r="A19" t="s">
        <v>30</v>
      </c>
      <c r="B19">
        <v>10.81</v>
      </c>
      <c r="C19">
        <v>2669</v>
      </c>
      <c r="D19">
        <v>10.8</v>
      </c>
      <c r="E19">
        <v>1983.98</v>
      </c>
      <c r="F19">
        <v>11.17</v>
      </c>
      <c r="G19">
        <v>2207</v>
      </c>
      <c r="H19">
        <v>11.94</v>
      </c>
      <c r="I19">
        <v>2083.6</v>
      </c>
      <c r="J19">
        <v>11.42</v>
      </c>
      <c r="K19">
        <v>2201</v>
      </c>
      <c r="L19">
        <v>11.2</v>
      </c>
      <c r="M19">
        <v>1875.71</v>
      </c>
    </row>
    <row r="20" spans="1:13">
      <c r="A20" t="s">
        <v>31</v>
      </c>
      <c r="B20">
        <v>10.66</v>
      </c>
      <c r="C20">
        <v>2636</v>
      </c>
      <c r="D20">
        <v>10.65</v>
      </c>
      <c r="E20">
        <v>1941.22</v>
      </c>
      <c r="F20">
        <v>10.96</v>
      </c>
      <c r="G20">
        <v>2234</v>
      </c>
      <c r="H20">
        <v>11.37</v>
      </c>
      <c r="I20">
        <v>2111.02</v>
      </c>
      <c r="J20">
        <v>11.35</v>
      </c>
      <c r="K20">
        <v>2228</v>
      </c>
      <c r="L20">
        <v>10.88</v>
      </c>
      <c r="M20">
        <v>1865.34</v>
      </c>
    </row>
    <row r="21" spans="1:13">
      <c r="A21" t="s">
        <v>32</v>
      </c>
      <c r="B21">
        <v>10.81</v>
      </c>
      <c r="C21">
        <v>2421</v>
      </c>
      <c r="D21">
        <v>10.72</v>
      </c>
      <c r="E21">
        <v>1868.88</v>
      </c>
      <c r="F21">
        <v>10.96</v>
      </c>
      <c r="G21">
        <v>2141</v>
      </c>
      <c r="H21">
        <v>11.61</v>
      </c>
      <c r="I21">
        <v>2045.71</v>
      </c>
      <c r="J21">
        <v>11.04</v>
      </c>
      <c r="K21">
        <v>2141</v>
      </c>
      <c r="L21">
        <v>11.02</v>
      </c>
      <c r="M21">
        <v>1806.46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10.7705</v>
      </c>
      <c r="B24" s="4">
        <f>IFERROR(AVERAGEIF($D$2:$D$21,"&lt;&gt; -1"),0)</f>
        <v>10.7545</v>
      </c>
      <c r="C24" s="4">
        <f>IFERROR(AVERAGEIF($F$2:$F$21,"&lt;&gt; -1"),0)</f>
        <v>11.134</v>
      </c>
      <c r="D24" s="4">
        <f>IFERROR(AVERAGEIF($H$2:$H$21,"&lt;&gt; -1"),0)</f>
        <v>11.8545</v>
      </c>
      <c r="E24" s="4">
        <f>IFERROR(AVERAGEIF($J$2:$J$21,"&lt;&gt; -1"),0)</f>
        <v>11.5844444444444</v>
      </c>
      <c r="F24" s="4">
        <f>IFERROR(AVERAGEIF($L$2:$L$21,"&lt;&gt; -1"),0)</f>
        <v>11.295</v>
      </c>
      <c r="G24" s="4">
        <f>IFERROR(AVERAGEIFS($C$2:$C$21,$B$2:$B$21,"&lt;&gt; -1"),0)</f>
        <v>2537.65</v>
      </c>
      <c r="H24" s="4">
        <f>IFERROR(AVERAGEIFS($E$2:$E$21,$D$2:$D$21,"&lt;&gt; -1"),0)</f>
        <v>1903.988</v>
      </c>
      <c r="I24" s="4">
        <f>IFERROR(AVERAGEIFS($G$2:$G$21,$F$2:$F$21,"&lt;&gt; -1"),0)</f>
        <v>2187.75</v>
      </c>
      <c r="J24" s="4">
        <f>IFERROR(AVERAGEIFS($I$2:$I$21,$H$2:$H$21,"&lt;&gt; -1"),0)</f>
        <v>2066.322</v>
      </c>
      <c r="K24" s="4">
        <f>IFERROR(AVERAGEIFS($K$2:$K$21,$J$2:$J$21,"&lt;&gt; -1"),0)</f>
        <v>2188.5</v>
      </c>
      <c r="L24" s="4">
        <f>IFERROR(AVERAGEIFS($M$2:$M$21,$L$2:$L$21,"&lt;&gt; -1"),0)</f>
        <v>1839.8285</v>
      </c>
      <c r="M24" s="4">
        <f>IFERROR(_xlfn.MAXIFS($B$2:$B$21,$B$2:$B$21,"&lt;&gt; -1"),0)</f>
        <v>11.25</v>
      </c>
      <c r="N24" s="4">
        <f>IFERROR(_xlfn.MAXIFS($D$2:$D$21,$D$2:$D$21,"&lt;&gt;-1"),0)</f>
        <v>11.27</v>
      </c>
      <c r="O24" s="4">
        <f>IFERROR(_xlfn.MAXIFS($F$2:$F$21,$F$2:$F$21,"&lt;&gt; -1"),0)</f>
        <v>11.63</v>
      </c>
      <c r="P24" s="4">
        <f>IFERROR(_xlfn.MAXIFS($H$2:$H$21,$H$2:$H$21,"&lt;&gt; -1"),0)</f>
        <v>12.44</v>
      </c>
      <c r="Q24" s="4">
        <f>IFERROR(_xlfn.MAXIFS($J$2:$J$21,$J$2:$J$21,"&lt;&gt; -1"),0)</f>
        <v>12.55</v>
      </c>
      <c r="R24" s="4">
        <f>IFERROR(_xlfn.MAXIFS($L$2:$L$21,$L$2:$L$21,"&lt;&gt; -1"),0)</f>
        <v>12.42</v>
      </c>
      <c r="S24" s="4">
        <f>IFERROR(_xlfn.MINIFS($B$2:$B$21,$B$2:$B$21,"&lt;&gt; -1"),0)</f>
        <v>10.2</v>
      </c>
      <c r="T24" s="4">
        <f>IFERROR(_xlfn.MINIFS($D$2:$D$21,$D$2:$D$21,"&lt;&gt;-1"),0)</f>
        <v>10.18</v>
      </c>
      <c r="U24" s="4">
        <f>IFERROR(_xlfn.MINIFS($F$2:$F$21,$F$2:$F$21,"&lt;&gt; -1"),0)</f>
        <v>10.63</v>
      </c>
      <c r="V24" s="4">
        <f>IFERROR(_xlfn.MINIFS($H$2:$H$21,$H$2:$H$21,"&lt;&gt; -1"),0)</f>
        <v>11.37</v>
      </c>
      <c r="W24" s="4">
        <f>IFERROR(_xlfn.MINIFS($J$2:$J$21,$J$2:$J$21,"&lt;&gt; -1"),0)</f>
        <v>10.96</v>
      </c>
      <c r="X24" s="4">
        <f>IFERROR(_xlfn.MINIFS($L$2:$L$21,$L$2:$L$21,"&lt;&gt; -1"),0)</f>
        <v>10.66</v>
      </c>
      <c r="Y24" s="4">
        <f>IFERROR(_xlfn.MAXIFS($C$2:$C$21,$B$2:$B$21,"&lt;&gt; -1"),0)</f>
        <v>2739</v>
      </c>
      <c r="Z24" s="4">
        <f>IFERROR(_xlfn.MAXIFS($E$2:$E$21,$D$2:$D$21,"&lt;&gt; -1"),0)</f>
        <v>2018.26</v>
      </c>
      <c r="AA24" s="4">
        <f>IFERROR(_xlfn.MAXIFS($G$2:$G$21,$F$2:$F$21,"&lt;&gt; -1"),0)</f>
        <v>2305</v>
      </c>
      <c r="AB24" s="4">
        <f>IFERROR(_xlfn.MAXIFS($I$2:$I$21,$H$2:$H$21,"&lt;&gt; -1"),0)</f>
        <v>2169.62</v>
      </c>
      <c r="AC24" s="4">
        <f>IFERROR(_xlfn.MAXIFS($K$2:$K$21,$J$2:$J$21,"&lt;&gt; -1"),0)</f>
        <v>2290</v>
      </c>
      <c r="AD24" s="4">
        <f>IFERROR(_xlfn.MAXIFS($M$2:$M$21,$L$2:$L$21,"&lt;&gt; -1"),0)</f>
        <v>1943.23</v>
      </c>
      <c r="AE24" s="4">
        <f>IFERROR(_xlfn.MINIFS($C$2:$C$21,$B$2:$B$21,"&lt;&gt; -1"),0)</f>
        <v>2336</v>
      </c>
      <c r="AF24" s="4">
        <f>IFERROR(_xlfn.MINIFS($E$2:$E$21,$D$2:$D$21,"&lt;&gt; -1"),0)</f>
        <v>1743.93</v>
      </c>
      <c r="AG24" s="4">
        <f>IFERROR(_xlfn.MINIFS($G$2:$G$21,$F$2:$F$21,"&lt;&gt; -1"),0)</f>
        <v>2040</v>
      </c>
      <c r="AH24" s="4">
        <f>IFERROR(_xlfn.MINIFS($I$2:$I$21,$H$2:$H$21,"&lt;&gt; -1"),0)</f>
        <v>1916.59</v>
      </c>
      <c r="AI24" s="4">
        <f>IFERROR(_xlfn.MINIFS($K$2:$K$21,$J$2:$J$21,"&lt;&gt; -1"),0)</f>
        <v>2040</v>
      </c>
      <c r="AJ24" s="4">
        <f>IFERROR(_xlfn.MINIFS($M$2:$M$21,$L$2:$L$21,"&lt;&gt; -1"),0)</f>
        <v>1691.64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0.9</v>
      </c>
      <c r="AP24" s="4">
        <f>(COUNTIFS($L$2:$L$21,"&gt;0.0",$L$2:$L$21,"&lt;200.0"))/20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12.43</v>
      </c>
      <c r="C2">
        <v>3058</v>
      </c>
      <c r="D2">
        <v>12.38</v>
      </c>
      <c r="E2">
        <v>1978.23</v>
      </c>
      <c r="F2">
        <v>13.28</v>
      </c>
      <c r="G2">
        <v>2126</v>
      </c>
      <c r="H2">
        <v>17.62</v>
      </c>
      <c r="I2">
        <v>1992.97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12.37</v>
      </c>
      <c r="C3">
        <v>3246</v>
      </c>
      <c r="D3">
        <v>12.3</v>
      </c>
      <c r="E3">
        <v>2018.01</v>
      </c>
      <c r="F3">
        <v>13.14</v>
      </c>
      <c r="G3">
        <v>2168</v>
      </c>
      <c r="H3">
        <v>15.62</v>
      </c>
      <c r="I3">
        <v>2025.4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12.2</v>
      </c>
      <c r="C4">
        <v>2973</v>
      </c>
      <c r="D4">
        <v>12.14</v>
      </c>
      <c r="E4">
        <v>1960.42</v>
      </c>
      <c r="F4">
        <v>13.06</v>
      </c>
      <c r="G4">
        <v>2135</v>
      </c>
      <c r="H4">
        <v>15.06</v>
      </c>
      <c r="I4">
        <v>1996.01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12.08</v>
      </c>
      <c r="C5">
        <v>3318</v>
      </c>
      <c r="D5">
        <v>12.03</v>
      </c>
      <c r="E5">
        <v>2149.87</v>
      </c>
      <c r="F5">
        <v>13.15</v>
      </c>
      <c r="G5">
        <v>2256</v>
      </c>
      <c r="H5">
        <v>15.76</v>
      </c>
      <c r="I5">
        <v>2177.89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12.81</v>
      </c>
      <c r="C6">
        <v>3175</v>
      </c>
      <c r="D6">
        <v>12.75</v>
      </c>
      <c r="E6">
        <v>1973.37</v>
      </c>
      <c r="F6">
        <v>13.41</v>
      </c>
      <c r="G6">
        <v>2145</v>
      </c>
      <c r="H6">
        <v>14.23</v>
      </c>
      <c r="I6">
        <v>2065.41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12.1</v>
      </c>
      <c r="C7">
        <v>3239</v>
      </c>
      <c r="D7">
        <v>12.04</v>
      </c>
      <c r="E7">
        <v>2026.56</v>
      </c>
      <c r="F7">
        <v>12.83</v>
      </c>
      <c r="G7">
        <v>2179</v>
      </c>
      <c r="H7">
        <v>15.52</v>
      </c>
      <c r="I7">
        <v>2066.04</v>
      </c>
      <c r="J7">
        <v>-1</v>
      </c>
      <c r="K7">
        <v>350</v>
      </c>
      <c r="L7">
        <v>-1</v>
      </c>
      <c r="M7">
        <v>0</v>
      </c>
    </row>
    <row r="8" spans="1:13">
      <c r="A8" t="s">
        <v>19</v>
      </c>
      <c r="B8">
        <v>12.44</v>
      </c>
      <c r="C8">
        <v>3254</v>
      </c>
      <c r="D8">
        <v>12.35</v>
      </c>
      <c r="E8">
        <v>2035.28</v>
      </c>
      <c r="F8">
        <v>13.36</v>
      </c>
      <c r="G8">
        <v>2154</v>
      </c>
      <c r="H8">
        <v>15.35</v>
      </c>
      <c r="I8">
        <v>2032.75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12.11</v>
      </c>
      <c r="C9">
        <v>3014</v>
      </c>
      <c r="D9">
        <v>12.03</v>
      </c>
      <c r="E9">
        <v>1994.21</v>
      </c>
      <c r="F9">
        <v>13.04</v>
      </c>
      <c r="G9">
        <v>2084</v>
      </c>
      <c r="H9">
        <v>14.55</v>
      </c>
      <c r="I9">
        <v>1955.8</v>
      </c>
      <c r="J9">
        <v>-1</v>
      </c>
      <c r="K9">
        <v>297</v>
      </c>
      <c r="L9">
        <v>-1</v>
      </c>
      <c r="M9">
        <v>0</v>
      </c>
    </row>
    <row r="10" spans="1:13">
      <c r="A10" t="s">
        <v>21</v>
      </c>
      <c r="B10">
        <v>11.78</v>
      </c>
      <c r="C10">
        <v>3118</v>
      </c>
      <c r="D10">
        <v>11.72</v>
      </c>
      <c r="E10">
        <v>2030.51</v>
      </c>
      <c r="F10">
        <v>12.87</v>
      </c>
      <c r="G10">
        <v>2116</v>
      </c>
      <c r="H10">
        <v>20.86</v>
      </c>
      <c r="I10">
        <v>1996.43</v>
      </c>
      <c r="J10">
        <v>-1</v>
      </c>
      <c r="K10">
        <v>313</v>
      </c>
      <c r="L10">
        <v>-1</v>
      </c>
      <c r="M10">
        <v>0</v>
      </c>
    </row>
    <row r="11" spans="1:13">
      <c r="A11" t="s">
        <v>22</v>
      </c>
      <c r="B11">
        <v>12.95</v>
      </c>
      <c r="C11">
        <v>3327</v>
      </c>
      <c r="D11">
        <v>12.88</v>
      </c>
      <c r="E11">
        <v>2242.26</v>
      </c>
      <c r="F11">
        <v>14.01</v>
      </c>
      <c r="G11">
        <v>2277</v>
      </c>
      <c r="H11">
        <v>16.09</v>
      </c>
      <c r="I11">
        <v>2135.64</v>
      </c>
      <c r="J11">
        <v>18.81</v>
      </c>
      <c r="K11">
        <v>2247</v>
      </c>
      <c r="L11">
        <v>-1</v>
      </c>
      <c r="M11">
        <v>0</v>
      </c>
    </row>
    <row r="12" spans="1:13">
      <c r="A12" t="s">
        <v>23</v>
      </c>
      <c r="B12">
        <v>12.8</v>
      </c>
      <c r="C12">
        <v>3684</v>
      </c>
      <c r="D12">
        <v>12.73</v>
      </c>
      <c r="E12">
        <v>2212.94</v>
      </c>
      <c r="F12">
        <v>13.55</v>
      </c>
      <c r="G12">
        <v>2252</v>
      </c>
      <c r="H12">
        <v>15.96</v>
      </c>
      <c r="I12">
        <v>2135.26</v>
      </c>
      <c r="J12">
        <v>-1</v>
      </c>
      <c r="K12">
        <v>290</v>
      </c>
      <c r="L12">
        <v>-1</v>
      </c>
      <c r="M12">
        <v>0</v>
      </c>
    </row>
    <row r="13" spans="1:13">
      <c r="A13" t="s">
        <v>24</v>
      </c>
      <c r="B13">
        <v>12.61</v>
      </c>
      <c r="C13">
        <v>2963</v>
      </c>
      <c r="D13">
        <v>12.57</v>
      </c>
      <c r="E13">
        <v>1980.34</v>
      </c>
      <c r="F13">
        <v>13.29</v>
      </c>
      <c r="G13">
        <v>2127</v>
      </c>
      <c r="H13">
        <v>13.66</v>
      </c>
      <c r="I13">
        <v>2026.26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12.9</v>
      </c>
      <c r="C14">
        <v>3237</v>
      </c>
      <c r="D14">
        <v>12.84</v>
      </c>
      <c r="E14">
        <v>2197.82</v>
      </c>
      <c r="F14">
        <v>14.16</v>
      </c>
      <c r="G14">
        <v>2317</v>
      </c>
      <c r="H14">
        <v>17.22</v>
      </c>
      <c r="I14">
        <v>2196.69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12.21</v>
      </c>
      <c r="C15">
        <v>3017</v>
      </c>
      <c r="D15">
        <v>12.33</v>
      </c>
      <c r="E15">
        <v>1937.85</v>
      </c>
      <c r="F15">
        <v>13.3</v>
      </c>
      <c r="G15">
        <v>2143</v>
      </c>
      <c r="H15">
        <v>14.48</v>
      </c>
      <c r="I15">
        <v>2034.24</v>
      </c>
      <c r="J15">
        <v>-1</v>
      </c>
      <c r="K15">
        <v>302</v>
      </c>
      <c r="L15">
        <v>-1</v>
      </c>
      <c r="M15">
        <v>0</v>
      </c>
    </row>
    <row r="16" spans="1:13">
      <c r="A16" t="s">
        <v>27</v>
      </c>
      <c r="B16">
        <v>12.31</v>
      </c>
      <c r="C16">
        <v>3148</v>
      </c>
      <c r="D16">
        <v>12.26</v>
      </c>
      <c r="E16">
        <v>1988.52</v>
      </c>
      <c r="F16">
        <v>13.35</v>
      </c>
      <c r="G16">
        <v>2238</v>
      </c>
      <c r="H16">
        <v>27.16</v>
      </c>
      <c r="I16">
        <v>2075.71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12.61</v>
      </c>
      <c r="C17">
        <v>3286</v>
      </c>
      <c r="D17">
        <v>12.48</v>
      </c>
      <c r="E17">
        <v>2160.05</v>
      </c>
      <c r="F17">
        <v>13.47</v>
      </c>
      <c r="G17">
        <v>2320</v>
      </c>
      <c r="H17">
        <v>16.07</v>
      </c>
      <c r="I17">
        <v>2196.88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12.64</v>
      </c>
      <c r="C18">
        <v>3181</v>
      </c>
      <c r="D18">
        <v>12.59</v>
      </c>
      <c r="E18">
        <v>2106.77</v>
      </c>
      <c r="F18">
        <v>13.42</v>
      </c>
      <c r="G18">
        <v>2167</v>
      </c>
      <c r="H18">
        <v>39.39</v>
      </c>
      <c r="I18">
        <v>2085.01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12.76</v>
      </c>
      <c r="C19">
        <v>3021</v>
      </c>
      <c r="D19">
        <v>12.69</v>
      </c>
      <c r="E19">
        <v>2033.05</v>
      </c>
      <c r="F19">
        <v>13.81</v>
      </c>
      <c r="G19">
        <v>2185</v>
      </c>
      <c r="H19">
        <v>16.13</v>
      </c>
      <c r="I19">
        <v>2077.31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12.61</v>
      </c>
      <c r="C20">
        <v>3241</v>
      </c>
      <c r="D20">
        <v>12.62</v>
      </c>
      <c r="E20">
        <v>2057.22</v>
      </c>
      <c r="F20">
        <v>13.57</v>
      </c>
      <c r="G20">
        <v>2269</v>
      </c>
      <c r="H20">
        <v>15.54</v>
      </c>
      <c r="I20">
        <v>2076.52</v>
      </c>
      <c r="J20">
        <v>-1</v>
      </c>
      <c r="K20">
        <v>302</v>
      </c>
      <c r="L20">
        <v>-1</v>
      </c>
      <c r="M20">
        <v>0</v>
      </c>
    </row>
    <row r="21" spans="1:13">
      <c r="A21" t="s">
        <v>32</v>
      </c>
      <c r="B21">
        <v>12.57</v>
      </c>
      <c r="C21">
        <v>3139</v>
      </c>
      <c r="D21">
        <v>12.5</v>
      </c>
      <c r="E21">
        <v>2100.22</v>
      </c>
      <c r="F21">
        <v>13.76</v>
      </c>
      <c r="G21">
        <v>2231</v>
      </c>
      <c r="H21">
        <v>15.94</v>
      </c>
      <c r="I21">
        <v>2099.6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12.4645</v>
      </c>
      <c r="B24" s="4">
        <f>IFERROR(AVERAGEIF($D$2:$D$21,"&lt;&gt; -1"),0)</f>
        <v>12.4115</v>
      </c>
      <c r="C24" s="4">
        <f>IFERROR(AVERAGEIF($F$2:$F$21,"&lt;&gt; -1"),0)</f>
        <v>13.3915</v>
      </c>
      <c r="D24" s="4">
        <f>IFERROR(AVERAGEIF($H$2:$H$21,"&lt;&gt; -1"),0)</f>
        <v>17.6105</v>
      </c>
      <c r="E24" s="4">
        <f>IFERROR(AVERAGEIF($J$2:$J$21,"&lt;&gt; -1"),0)</f>
        <v>18.81</v>
      </c>
      <c r="F24" s="4">
        <f>IFERROR(AVERAGEIF($L$2:$L$21,"&lt;&gt; -1"),0)</f>
        <v>0</v>
      </c>
      <c r="G24" s="4">
        <f>IFERROR(AVERAGEIFS($C$2:$C$21,$B$2:$B$21,"&lt;&gt; -1"),0)</f>
        <v>3181.95</v>
      </c>
      <c r="H24" s="4">
        <f>IFERROR(AVERAGEIFS($E$2:$E$21,$D$2:$D$21,"&lt;&gt; -1"),0)</f>
        <v>2059.175</v>
      </c>
      <c r="I24" s="4">
        <f>IFERROR(AVERAGEIFS($G$2:$G$21,$F$2:$F$21,"&lt;&gt; -1"),0)</f>
        <v>2194.45</v>
      </c>
      <c r="J24" s="4">
        <f>IFERROR(AVERAGEIFS($I$2:$I$21,$H$2:$H$21,"&lt;&gt; -1"),0)</f>
        <v>2072.391</v>
      </c>
      <c r="K24" s="4">
        <f>IFERROR(AVERAGEIFS($K$2:$K$21,$J$2:$J$21,"&lt;&gt; -1"),0)</f>
        <v>2247</v>
      </c>
      <c r="L24" s="4">
        <f>IFERROR(AVERAGEIFS($M$2:$M$21,$L$2:$L$21,"&lt;&gt; -1"),0)</f>
        <v>0</v>
      </c>
      <c r="M24" s="4">
        <f>IFERROR(_xlfn.MAXIFS($B$2:$B$21,$B$2:$B$21,"&lt;&gt; -1"),0)</f>
        <v>12.95</v>
      </c>
      <c r="N24" s="4">
        <f>IFERROR(_xlfn.MAXIFS($D$2:$D$21,$D$2:$D$21,"&lt;&gt;-1"),0)</f>
        <v>12.88</v>
      </c>
      <c r="O24" s="4">
        <f>IFERROR(_xlfn.MAXIFS($F$2:$F$21,$F$2:$F$21,"&lt;&gt; -1"),0)</f>
        <v>14.16</v>
      </c>
      <c r="P24" s="4">
        <f>IFERROR(_xlfn.MAXIFS($H$2:$H$21,$H$2:$H$21,"&lt;&gt; -1"),0)</f>
        <v>39.39</v>
      </c>
      <c r="Q24" s="4">
        <f>IFERROR(_xlfn.MAXIFS($J$2:$J$21,$J$2:$J$21,"&lt;&gt; -1"),0)</f>
        <v>18.81</v>
      </c>
      <c r="R24" s="4">
        <f>IFERROR(_xlfn.MAXIFS($L$2:$L$21,$L$2:$L$21,"&lt;&gt; -1"),0)</f>
        <v>0</v>
      </c>
      <c r="S24" s="4">
        <f>IFERROR(_xlfn.MINIFS($B$2:$B$21,$B$2:$B$21,"&lt;&gt; -1"),0)</f>
        <v>11.78</v>
      </c>
      <c r="T24" s="4">
        <f>IFERROR(_xlfn.MINIFS($D$2:$D$21,$D$2:$D$21,"&lt;&gt;-1"),0)</f>
        <v>11.72</v>
      </c>
      <c r="U24" s="4">
        <f>IFERROR(_xlfn.MINIFS($F$2:$F$21,$F$2:$F$21,"&lt;&gt; -1"),0)</f>
        <v>12.83</v>
      </c>
      <c r="V24" s="4">
        <f>IFERROR(_xlfn.MINIFS($H$2:$H$21,$H$2:$H$21,"&lt;&gt; -1"),0)</f>
        <v>13.66</v>
      </c>
      <c r="W24" s="4">
        <f>IFERROR(_xlfn.MINIFS($J$2:$J$21,$J$2:$J$21,"&lt;&gt; -1"),0)</f>
        <v>18.81</v>
      </c>
      <c r="X24" s="4">
        <f>IFERROR(_xlfn.MINIFS($L$2:$L$21,$L$2:$L$21,"&lt;&gt; -1"),0)</f>
        <v>0</v>
      </c>
      <c r="Y24" s="4">
        <f>IFERROR(_xlfn.MAXIFS($C$2:$C$21,$B$2:$B$21,"&lt;&gt; -1"),0)</f>
        <v>3684</v>
      </c>
      <c r="Z24" s="4">
        <f>IFERROR(_xlfn.MAXIFS($E$2:$E$21,$D$2:$D$21,"&lt;&gt; -1"),0)</f>
        <v>2242.26</v>
      </c>
      <c r="AA24" s="4">
        <f>IFERROR(_xlfn.MAXIFS($G$2:$G$21,$F$2:$F$21,"&lt;&gt; -1"),0)</f>
        <v>2320</v>
      </c>
      <c r="AB24" s="4">
        <f>IFERROR(_xlfn.MAXIFS($I$2:$I$21,$H$2:$H$21,"&lt;&gt; -1"),0)</f>
        <v>2196.88</v>
      </c>
      <c r="AC24" s="4">
        <f>IFERROR(_xlfn.MAXIFS($K$2:$K$21,$J$2:$J$21,"&lt;&gt; -1"),0)</f>
        <v>2247</v>
      </c>
      <c r="AD24" s="4">
        <f>IFERROR(_xlfn.MAXIFS($M$2:$M$21,$L$2:$L$21,"&lt;&gt; -1"),0)</f>
        <v>0</v>
      </c>
      <c r="AE24" s="4">
        <f>IFERROR(_xlfn.MINIFS($C$2:$C$21,$B$2:$B$21,"&lt;&gt; -1"),0)</f>
        <v>2963</v>
      </c>
      <c r="AF24" s="4">
        <f>IFERROR(_xlfn.MINIFS($E$2:$E$21,$D$2:$D$21,"&lt;&gt; -1"),0)</f>
        <v>1937.85</v>
      </c>
      <c r="AG24" s="4">
        <f>IFERROR(_xlfn.MINIFS($G$2:$G$21,$F$2:$F$21,"&lt;&gt; -1"),0)</f>
        <v>2084</v>
      </c>
      <c r="AH24" s="4">
        <f>IFERROR(_xlfn.MINIFS($I$2:$I$21,$H$2:$H$21,"&lt;&gt; -1"),0)</f>
        <v>1955.8</v>
      </c>
      <c r="AI24" s="4">
        <f>IFERROR(_xlfn.MINIFS($K$2:$K$21,$J$2:$J$21,"&lt;&gt; -1"),0)</f>
        <v>2247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0.05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13.75</v>
      </c>
      <c r="C2">
        <v>3288</v>
      </c>
      <c r="D2">
        <v>13.68</v>
      </c>
      <c r="E2">
        <v>1989.67</v>
      </c>
      <c r="F2">
        <v>14.95</v>
      </c>
      <c r="G2">
        <v>2152</v>
      </c>
      <c r="H2">
        <v>28.09</v>
      </c>
      <c r="I2">
        <v>2006.09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13.77</v>
      </c>
      <c r="C3">
        <v>3409</v>
      </c>
      <c r="D3">
        <v>13.69</v>
      </c>
      <c r="E3">
        <v>2043.54</v>
      </c>
      <c r="F3">
        <v>15.94</v>
      </c>
      <c r="G3">
        <v>2177</v>
      </c>
      <c r="H3">
        <v>-1</v>
      </c>
      <c r="I3">
        <v>449.08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13.14</v>
      </c>
      <c r="C4">
        <v>3162</v>
      </c>
      <c r="D4">
        <v>13.07</v>
      </c>
      <c r="E4">
        <v>1929.1</v>
      </c>
      <c r="F4">
        <v>15.37</v>
      </c>
      <c r="G4">
        <v>2062</v>
      </c>
      <c r="H4">
        <v>-1</v>
      </c>
      <c r="I4">
        <v>437.9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13.58</v>
      </c>
      <c r="C5">
        <v>2947</v>
      </c>
      <c r="D5">
        <v>13.53</v>
      </c>
      <c r="E5">
        <v>1955.41</v>
      </c>
      <c r="F5">
        <v>14.57</v>
      </c>
      <c r="G5">
        <v>2113</v>
      </c>
      <c r="H5">
        <v>16.58</v>
      </c>
      <c r="I5">
        <v>2008.54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13.69</v>
      </c>
      <c r="C6">
        <v>3357</v>
      </c>
      <c r="D6">
        <v>13.63</v>
      </c>
      <c r="E6">
        <v>2055.94</v>
      </c>
      <c r="F6">
        <v>15.94</v>
      </c>
      <c r="G6">
        <v>2195</v>
      </c>
      <c r="H6">
        <v>62.2</v>
      </c>
      <c r="I6">
        <v>2079.55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13.72</v>
      </c>
      <c r="C7">
        <v>3267</v>
      </c>
      <c r="D7">
        <v>13.66</v>
      </c>
      <c r="E7">
        <v>2097.78</v>
      </c>
      <c r="F7">
        <v>14.93</v>
      </c>
      <c r="G7">
        <v>2203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13.72</v>
      </c>
      <c r="C8">
        <v>3122</v>
      </c>
      <c r="D8">
        <v>13.66</v>
      </c>
      <c r="E8">
        <v>2010.31</v>
      </c>
      <c r="F8">
        <v>14.96</v>
      </c>
      <c r="G8">
        <v>2128</v>
      </c>
      <c r="H8">
        <v>20.87</v>
      </c>
      <c r="I8">
        <v>2007.84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13.53</v>
      </c>
      <c r="C9">
        <v>3413</v>
      </c>
      <c r="D9">
        <v>13.43</v>
      </c>
      <c r="E9">
        <v>2188.39</v>
      </c>
      <c r="F9">
        <v>15.98</v>
      </c>
      <c r="G9">
        <v>2269</v>
      </c>
      <c r="H9">
        <v>-1</v>
      </c>
      <c r="I9">
        <v>561.03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13.7</v>
      </c>
      <c r="C10">
        <v>3596</v>
      </c>
      <c r="D10">
        <v>13.58</v>
      </c>
      <c r="E10">
        <v>2019.04</v>
      </c>
      <c r="F10">
        <v>15.76</v>
      </c>
      <c r="G10">
        <v>2156</v>
      </c>
      <c r="H10">
        <v>-1</v>
      </c>
      <c r="I10">
        <v>507.16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14.03</v>
      </c>
      <c r="C11">
        <v>3479</v>
      </c>
      <c r="D11">
        <v>13.95</v>
      </c>
      <c r="E11">
        <v>2114.85</v>
      </c>
      <c r="F11">
        <v>16.29</v>
      </c>
      <c r="G11">
        <v>2227</v>
      </c>
      <c r="H11">
        <v>-1</v>
      </c>
      <c r="I11">
        <v>513.23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14.24</v>
      </c>
      <c r="C12">
        <v>3051</v>
      </c>
      <c r="D12">
        <v>14.2</v>
      </c>
      <c r="E12">
        <v>1994.3</v>
      </c>
      <c r="F12">
        <v>15.19</v>
      </c>
      <c r="G12">
        <v>2213</v>
      </c>
      <c r="H12">
        <v>16.9</v>
      </c>
      <c r="I12">
        <v>2052.87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13.58</v>
      </c>
      <c r="C13">
        <v>3019</v>
      </c>
      <c r="D13">
        <v>13.56</v>
      </c>
      <c r="E13">
        <v>1950.87</v>
      </c>
      <c r="F13">
        <v>14.41</v>
      </c>
      <c r="G13">
        <v>2125</v>
      </c>
      <c r="H13">
        <v>14.55</v>
      </c>
      <c r="I13">
        <v>2014.99</v>
      </c>
      <c r="J13">
        <v>-1</v>
      </c>
      <c r="K13">
        <v>303</v>
      </c>
      <c r="L13">
        <v>-1</v>
      </c>
      <c r="M13">
        <v>0</v>
      </c>
    </row>
    <row r="14" spans="1:13">
      <c r="A14" t="s">
        <v>25</v>
      </c>
      <c r="B14">
        <v>14.3</v>
      </c>
      <c r="C14">
        <v>3645</v>
      </c>
      <c r="D14">
        <v>14.21</v>
      </c>
      <c r="E14">
        <v>2155.17</v>
      </c>
      <c r="F14">
        <v>17.64</v>
      </c>
      <c r="G14">
        <v>2299</v>
      </c>
      <c r="H14">
        <v>-1</v>
      </c>
      <c r="I14">
        <v>495.54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14.09</v>
      </c>
      <c r="C15">
        <v>3104</v>
      </c>
      <c r="D15">
        <v>14</v>
      </c>
      <c r="E15">
        <v>1948.94</v>
      </c>
      <c r="F15">
        <v>16.89</v>
      </c>
      <c r="G15">
        <v>2144</v>
      </c>
      <c r="H15">
        <v>-1</v>
      </c>
      <c r="I15">
        <v>520.86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13.94</v>
      </c>
      <c r="C16">
        <v>3183</v>
      </c>
      <c r="D16">
        <v>13.87</v>
      </c>
      <c r="E16">
        <v>2003.07</v>
      </c>
      <c r="F16">
        <v>15.09</v>
      </c>
      <c r="G16">
        <v>2241</v>
      </c>
      <c r="H16">
        <v>16.76</v>
      </c>
      <c r="I16">
        <v>2023.13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13.8</v>
      </c>
      <c r="C17">
        <v>3550</v>
      </c>
      <c r="D17">
        <v>13.68</v>
      </c>
      <c r="E17">
        <v>2148.35</v>
      </c>
      <c r="F17">
        <v>17.42</v>
      </c>
      <c r="G17">
        <v>2204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14.34</v>
      </c>
      <c r="C18">
        <v>3438</v>
      </c>
      <c r="D18">
        <v>14.23</v>
      </c>
      <c r="E18">
        <v>2149.42</v>
      </c>
      <c r="F18">
        <v>16.01</v>
      </c>
      <c r="G18">
        <v>2142</v>
      </c>
      <c r="H18">
        <v>22.72</v>
      </c>
      <c r="I18">
        <v>2035.58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13.87</v>
      </c>
      <c r="C19">
        <v>3131</v>
      </c>
      <c r="D19">
        <v>13.83</v>
      </c>
      <c r="E19">
        <v>2005.29</v>
      </c>
      <c r="F19">
        <v>14.45</v>
      </c>
      <c r="G19">
        <v>2201</v>
      </c>
      <c r="H19">
        <v>15.85</v>
      </c>
      <c r="I19">
        <v>2077.54</v>
      </c>
      <c r="J19">
        <v>-1</v>
      </c>
      <c r="K19">
        <v>355</v>
      </c>
      <c r="L19">
        <v>-1</v>
      </c>
      <c r="M19">
        <v>0</v>
      </c>
    </row>
    <row r="20" spans="1:13">
      <c r="A20" t="s">
        <v>31</v>
      </c>
      <c r="B20">
        <v>14.62</v>
      </c>
      <c r="C20">
        <v>3185</v>
      </c>
      <c r="D20">
        <v>14.55</v>
      </c>
      <c r="E20">
        <v>2029.49</v>
      </c>
      <c r="F20">
        <v>15.97</v>
      </c>
      <c r="G20">
        <v>2127</v>
      </c>
      <c r="H20">
        <v>24.68</v>
      </c>
      <c r="I20">
        <v>2017.96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14.72</v>
      </c>
      <c r="C21">
        <v>3449</v>
      </c>
      <c r="D21">
        <v>14.62</v>
      </c>
      <c r="E21">
        <v>2147.55</v>
      </c>
      <c r="F21">
        <v>17.11</v>
      </c>
      <c r="G21">
        <v>2213</v>
      </c>
      <c r="H21">
        <v>-1</v>
      </c>
      <c r="I21">
        <v>502.36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13.9065</v>
      </c>
      <c r="B24" s="4">
        <f>IFERROR(AVERAGEIF($D$2:$D$21,"&lt;&gt; -1"),0)</f>
        <v>13.8315</v>
      </c>
      <c r="C24" s="4">
        <f>IFERROR(AVERAGEIF($F$2:$F$21,"&lt;&gt; -1"),0)</f>
        <v>15.7435</v>
      </c>
      <c r="D24" s="4">
        <f>IFERROR(AVERAGEIF($H$2:$H$21,"&lt;&gt; -1"),0)</f>
        <v>23.92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3289.75</v>
      </c>
      <c r="H24" s="4">
        <f>IFERROR(AVERAGEIFS($E$2:$E$21,$D$2:$D$21,"&lt;&gt; -1"),0)</f>
        <v>2046.824</v>
      </c>
      <c r="I24" s="4">
        <f>IFERROR(AVERAGEIFS($G$2:$G$21,$F$2:$F$21,"&lt;&gt; -1"),0)</f>
        <v>2179.55</v>
      </c>
      <c r="J24" s="4">
        <f>IFERROR(AVERAGEIFS($I$2:$I$21,$H$2:$H$21,"&lt;&gt; -1"),0)</f>
        <v>2032.409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14.72</v>
      </c>
      <c r="N24" s="4">
        <f>IFERROR(_xlfn.MAXIFS($D$2:$D$21,$D$2:$D$21,"&lt;&gt;-1"),0)</f>
        <v>14.62</v>
      </c>
      <c r="O24" s="4">
        <f>IFERROR(_xlfn.MAXIFS($F$2:$F$21,$F$2:$F$21,"&lt;&gt; -1"),0)</f>
        <v>17.64</v>
      </c>
      <c r="P24" s="4">
        <f>IFERROR(_xlfn.MAXIFS($H$2:$H$21,$H$2:$H$21,"&lt;&gt; -1"),0)</f>
        <v>62.2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13.14</v>
      </c>
      <c r="T24" s="4">
        <f>IFERROR(_xlfn.MINIFS($D$2:$D$21,$D$2:$D$21,"&lt;&gt;-1"),0)</f>
        <v>13.07</v>
      </c>
      <c r="U24" s="4">
        <f>IFERROR(_xlfn.MINIFS($F$2:$F$21,$F$2:$F$21,"&lt;&gt; -1"),0)</f>
        <v>14.41</v>
      </c>
      <c r="V24" s="4">
        <f>IFERROR(_xlfn.MINIFS($H$2:$H$21,$H$2:$H$21,"&lt;&gt; -1"),0)</f>
        <v>14.55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3645</v>
      </c>
      <c r="Z24" s="4">
        <f>IFERROR(_xlfn.MAXIFS($E$2:$E$21,$D$2:$D$21,"&lt;&gt; -1"),0)</f>
        <v>2188.39</v>
      </c>
      <c r="AA24" s="4">
        <f>IFERROR(_xlfn.MAXIFS($G$2:$G$21,$F$2:$F$21,"&lt;&gt; -1"),0)</f>
        <v>2299</v>
      </c>
      <c r="AB24" s="4">
        <f>IFERROR(_xlfn.MAXIFS($I$2:$I$21,$H$2:$H$21,"&lt;&gt; -1"),0)</f>
        <v>2079.55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2947</v>
      </c>
      <c r="AF24" s="4">
        <f>IFERROR(_xlfn.MINIFS($E$2:$E$21,$D$2:$D$21,"&lt;&gt; -1"),0)</f>
        <v>1929.1</v>
      </c>
      <c r="AG24" s="4">
        <f>IFERROR(_xlfn.MINIFS($G$2:$G$21,$F$2:$F$21,"&lt;&gt; -1"),0)</f>
        <v>2062</v>
      </c>
      <c r="AH24" s="4">
        <f>IFERROR(_xlfn.MINIFS($I$2:$I$21,$H$2:$H$21,"&lt;&gt; -1"),0)</f>
        <v>2006.09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0.5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13.56</v>
      </c>
      <c r="C2">
        <v>2726</v>
      </c>
      <c r="D2">
        <v>13.51</v>
      </c>
      <c r="E2">
        <v>1777.52</v>
      </c>
      <c r="F2">
        <v>15.26</v>
      </c>
      <c r="G2">
        <v>1890</v>
      </c>
      <c r="H2">
        <v>25.1</v>
      </c>
      <c r="I2">
        <v>1745.43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13.99</v>
      </c>
      <c r="C3">
        <v>2951</v>
      </c>
      <c r="D3">
        <v>13.89</v>
      </c>
      <c r="E3">
        <v>1851.37</v>
      </c>
      <c r="F3">
        <v>15.5</v>
      </c>
      <c r="G3">
        <v>1981</v>
      </c>
      <c r="H3">
        <v>-1</v>
      </c>
      <c r="I3">
        <v>492.92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13.2</v>
      </c>
      <c r="C4">
        <v>2828</v>
      </c>
      <c r="D4">
        <v>13.12</v>
      </c>
      <c r="E4">
        <v>1803.4</v>
      </c>
      <c r="F4">
        <v>16.33</v>
      </c>
      <c r="G4">
        <v>1962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13.79</v>
      </c>
      <c r="C5">
        <v>2729</v>
      </c>
      <c r="D5">
        <v>13.65</v>
      </c>
      <c r="E5">
        <v>1749</v>
      </c>
      <c r="F5">
        <v>15.02</v>
      </c>
      <c r="G5">
        <v>1845</v>
      </c>
      <c r="H5">
        <v>23.03</v>
      </c>
      <c r="I5">
        <v>1758.02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14.05</v>
      </c>
      <c r="C6">
        <v>2538</v>
      </c>
      <c r="D6">
        <v>13.99</v>
      </c>
      <c r="E6">
        <v>1801.21</v>
      </c>
      <c r="F6">
        <v>15.34</v>
      </c>
      <c r="G6">
        <v>1936</v>
      </c>
      <c r="H6">
        <v>22.31</v>
      </c>
      <c r="I6">
        <v>1848.02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13.74</v>
      </c>
      <c r="C7">
        <v>2546</v>
      </c>
      <c r="D7">
        <v>13.68</v>
      </c>
      <c r="E7">
        <v>1764.14</v>
      </c>
      <c r="F7">
        <v>15.2</v>
      </c>
      <c r="G7">
        <v>1886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13.38</v>
      </c>
      <c r="C8">
        <v>2658</v>
      </c>
      <c r="D8">
        <v>13.34</v>
      </c>
      <c r="E8">
        <v>1807.2</v>
      </c>
      <c r="F8">
        <v>14.27</v>
      </c>
      <c r="G8">
        <v>2004</v>
      </c>
      <c r="H8">
        <v>15.26</v>
      </c>
      <c r="I8">
        <v>1853.39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13.49</v>
      </c>
      <c r="C9">
        <v>2857</v>
      </c>
      <c r="D9">
        <v>13.44</v>
      </c>
      <c r="E9">
        <v>1855.07</v>
      </c>
      <c r="F9">
        <v>14.84</v>
      </c>
      <c r="G9">
        <v>2037</v>
      </c>
      <c r="H9">
        <v>49.63</v>
      </c>
      <c r="I9">
        <v>1889.85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13.74</v>
      </c>
      <c r="C10">
        <v>3106</v>
      </c>
      <c r="D10">
        <v>13.66</v>
      </c>
      <c r="E10">
        <v>1789.6</v>
      </c>
      <c r="F10">
        <v>15.05</v>
      </c>
      <c r="G10">
        <v>1910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13.87</v>
      </c>
      <c r="C11">
        <v>3508</v>
      </c>
      <c r="D11">
        <v>13.78</v>
      </c>
      <c r="E11">
        <v>1985.68</v>
      </c>
      <c r="F11">
        <v>14.94</v>
      </c>
      <c r="G11">
        <v>2082</v>
      </c>
      <c r="H11">
        <v>22.79</v>
      </c>
      <c r="I11">
        <v>1942.2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13.65</v>
      </c>
      <c r="C12">
        <v>2866</v>
      </c>
      <c r="D12">
        <v>13.6</v>
      </c>
      <c r="E12">
        <v>1852.71</v>
      </c>
      <c r="F12">
        <v>14.73</v>
      </c>
      <c r="G12">
        <v>2000</v>
      </c>
      <c r="H12">
        <v>22.19</v>
      </c>
      <c r="I12">
        <v>1874.99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13.28</v>
      </c>
      <c r="C13">
        <v>2748</v>
      </c>
      <c r="D13">
        <v>13.25</v>
      </c>
      <c r="E13">
        <v>1872.03</v>
      </c>
      <c r="F13">
        <v>14.07</v>
      </c>
      <c r="G13">
        <v>2002</v>
      </c>
      <c r="H13">
        <v>16.94</v>
      </c>
      <c r="I13">
        <v>1872.71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14.03</v>
      </c>
      <c r="C14">
        <v>2753</v>
      </c>
      <c r="D14">
        <v>13.99</v>
      </c>
      <c r="E14">
        <v>1827.33</v>
      </c>
      <c r="F14">
        <v>14.91</v>
      </c>
      <c r="G14">
        <v>1989</v>
      </c>
      <c r="H14">
        <v>20.36</v>
      </c>
      <c r="I14">
        <v>1863.66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13.46</v>
      </c>
      <c r="C15">
        <v>2918</v>
      </c>
      <c r="D15">
        <v>13.4</v>
      </c>
      <c r="E15">
        <v>1836.14</v>
      </c>
      <c r="F15">
        <v>15.18</v>
      </c>
      <c r="G15">
        <v>1914</v>
      </c>
      <c r="H15">
        <v>-1</v>
      </c>
      <c r="I15">
        <v>446.11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13.32</v>
      </c>
      <c r="C16">
        <v>2416</v>
      </c>
      <c r="D16">
        <v>13.29</v>
      </c>
      <c r="E16">
        <v>1657.82</v>
      </c>
      <c r="F16">
        <v>13.75</v>
      </c>
      <c r="G16">
        <v>1910</v>
      </c>
      <c r="H16">
        <v>14.36</v>
      </c>
      <c r="I16">
        <v>1728.88</v>
      </c>
      <c r="J16">
        <v>-1</v>
      </c>
      <c r="K16">
        <v>229</v>
      </c>
      <c r="L16">
        <v>-1</v>
      </c>
      <c r="M16">
        <v>0</v>
      </c>
    </row>
    <row r="17" spans="1:13">
      <c r="A17" t="s">
        <v>28</v>
      </c>
      <c r="B17">
        <v>13.56</v>
      </c>
      <c r="C17">
        <v>2852</v>
      </c>
      <c r="D17">
        <v>13.52</v>
      </c>
      <c r="E17">
        <v>1907.84</v>
      </c>
      <c r="F17">
        <v>14.58</v>
      </c>
      <c r="G17">
        <v>2018</v>
      </c>
      <c r="H17">
        <v>-1</v>
      </c>
      <c r="I17">
        <v>417.14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13.7</v>
      </c>
      <c r="C18">
        <v>3295</v>
      </c>
      <c r="D18">
        <v>13.59</v>
      </c>
      <c r="E18">
        <v>1826.01</v>
      </c>
      <c r="F18">
        <v>15.7</v>
      </c>
      <c r="G18">
        <v>1945</v>
      </c>
      <c r="H18">
        <v>-1</v>
      </c>
      <c r="I18">
        <v>492.01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18.31</v>
      </c>
      <c r="C19">
        <v>2717</v>
      </c>
      <c r="D19">
        <v>18.34</v>
      </c>
      <c r="E19">
        <v>1808.72</v>
      </c>
      <c r="F19">
        <v>19.76</v>
      </c>
      <c r="G19">
        <v>1885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18.34</v>
      </c>
      <c r="C20">
        <v>2907</v>
      </c>
      <c r="D20">
        <v>18.24</v>
      </c>
      <c r="E20">
        <v>1876.84</v>
      </c>
      <c r="F20">
        <v>19.97</v>
      </c>
      <c r="G20">
        <v>1989</v>
      </c>
      <c r="H20">
        <v>53.12</v>
      </c>
      <c r="I20">
        <v>1880.53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18.7</v>
      </c>
      <c r="C21">
        <v>2775</v>
      </c>
      <c r="D21">
        <v>18.61</v>
      </c>
      <c r="E21">
        <v>1813.23</v>
      </c>
      <c r="F21">
        <v>19.67</v>
      </c>
      <c r="G21">
        <v>1913</v>
      </c>
      <c r="H21">
        <v>20.93</v>
      </c>
      <c r="I21">
        <v>1811.81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14.358</v>
      </c>
      <c r="B24" s="4">
        <f>IFERROR(AVERAGEIF($D$2:$D$21,"&lt;&gt; -1"),0)</f>
        <v>14.2945</v>
      </c>
      <c r="C24" s="4">
        <f>IFERROR(AVERAGEIF($F$2:$F$21,"&lt;&gt; -1"),0)</f>
        <v>15.7035</v>
      </c>
      <c r="D24" s="4">
        <f>IFERROR(AVERAGEIF($H$2:$H$21,"&lt;&gt; -1"),0)</f>
        <v>25.5016666666667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2834.7</v>
      </c>
      <c r="H24" s="4">
        <f>IFERROR(AVERAGEIFS($E$2:$E$21,$D$2:$D$21,"&lt;&gt; -1"),0)</f>
        <v>1823.143</v>
      </c>
      <c r="I24" s="4">
        <f>IFERROR(AVERAGEIFS($G$2:$G$21,$F$2:$F$21,"&lt;&gt; -1"),0)</f>
        <v>1954.9</v>
      </c>
      <c r="J24" s="4">
        <f>IFERROR(AVERAGEIFS($I$2:$I$21,$H$2:$H$21,"&lt;&gt; -1"),0)</f>
        <v>1839.12416666667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18.7</v>
      </c>
      <c r="N24" s="4">
        <f>IFERROR(_xlfn.MAXIFS($D$2:$D$21,$D$2:$D$21,"&lt;&gt;-1"),0)</f>
        <v>18.61</v>
      </c>
      <c r="O24" s="4">
        <f>IFERROR(_xlfn.MAXIFS($F$2:$F$21,$F$2:$F$21,"&lt;&gt; -1"),0)</f>
        <v>19.97</v>
      </c>
      <c r="P24" s="4">
        <f>IFERROR(_xlfn.MAXIFS($H$2:$H$21,$H$2:$H$21,"&lt;&gt; -1"),0)</f>
        <v>53.12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13.2</v>
      </c>
      <c r="T24" s="4">
        <f>IFERROR(_xlfn.MINIFS($D$2:$D$21,$D$2:$D$21,"&lt;&gt;-1"),0)</f>
        <v>13.12</v>
      </c>
      <c r="U24" s="4">
        <f>IFERROR(_xlfn.MINIFS($F$2:$F$21,$F$2:$F$21,"&lt;&gt; -1"),0)</f>
        <v>13.75</v>
      </c>
      <c r="V24" s="4">
        <f>IFERROR(_xlfn.MINIFS($H$2:$H$21,$H$2:$H$21,"&lt;&gt; -1"),0)</f>
        <v>14.36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3508</v>
      </c>
      <c r="Z24" s="4">
        <f>IFERROR(_xlfn.MAXIFS($E$2:$E$21,$D$2:$D$21,"&lt;&gt; -1"),0)</f>
        <v>1985.68</v>
      </c>
      <c r="AA24" s="4">
        <f>IFERROR(_xlfn.MAXIFS($G$2:$G$21,$F$2:$F$21,"&lt;&gt; -1"),0)</f>
        <v>2082</v>
      </c>
      <c r="AB24" s="4">
        <f>IFERROR(_xlfn.MAXIFS($I$2:$I$21,$H$2:$H$21,"&lt;&gt; -1"),0)</f>
        <v>1942.2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2416</v>
      </c>
      <c r="AF24" s="4">
        <f>IFERROR(_xlfn.MINIFS($E$2:$E$21,$D$2:$D$21,"&lt;&gt; -1"),0)</f>
        <v>1657.82</v>
      </c>
      <c r="AG24" s="4">
        <f>IFERROR(_xlfn.MINIFS($G$2:$G$21,$F$2:$F$21,"&lt;&gt; -1"),0)</f>
        <v>1845</v>
      </c>
      <c r="AH24" s="4">
        <f>IFERROR(_xlfn.MINIFS($I$2:$I$21,$H$2:$H$21,"&lt;&gt; -1"),0)</f>
        <v>1728.88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0.6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16.68</v>
      </c>
      <c r="C2">
        <v>2446</v>
      </c>
      <c r="D2">
        <v>16.58</v>
      </c>
      <c r="E2">
        <v>1592.6</v>
      </c>
      <c r="F2">
        <v>21.81</v>
      </c>
      <c r="G2">
        <v>1748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17.27</v>
      </c>
      <c r="C3">
        <v>2429</v>
      </c>
      <c r="D3">
        <v>17.21</v>
      </c>
      <c r="E3">
        <v>1569.14</v>
      </c>
      <c r="F3">
        <v>18.2</v>
      </c>
      <c r="G3">
        <v>1759</v>
      </c>
      <c r="H3">
        <v>19.13</v>
      </c>
      <c r="I3">
        <v>1611.62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16.53</v>
      </c>
      <c r="C4">
        <v>2404</v>
      </c>
      <c r="D4">
        <v>16.48</v>
      </c>
      <c r="E4">
        <v>1542.18</v>
      </c>
      <c r="F4">
        <v>21.92</v>
      </c>
      <c r="G4">
        <v>1648</v>
      </c>
      <c r="H4">
        <v>-1</v>
      </c>
      <c r="I4">
        <v>450.11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12.32</v>
      </c>
      <c r="C5">
        <v>2058</v>
      </c>
      <c r="D5">
        <v>12.28</v>
      </c>
      <c r="E5">
        <v>1524.14</v>
      </c>
      <c r="F5">
        <v>12.83</v>
      </c>
      <c r="G5">
        <v>1656</v>
      </c>
      <c r="H5">
        <v>15.04</v>
      </c>
      <c r="I5">
        <v>1603.89</v>
      </c>
      <c r="J5">
        <v>-1</v>
      </c>
      <c r="K5">
        <v>1649</v>
      </c>
      <c r="L5">
        <v>-1</v>
      </c>
      <c r="M5">
        <v>0</v>
      </c>
    </row>
    <row r="6" spans="1:13">
      <c r="A6" t="s">
        <v>17</v>
      </c>
      <c r="B6">
        <v>17.67</v>
      </c>
      <c r="C6">
        <v>2045</v>
      </c>
      <c r="D6">
        <v>17.67</v>
      </c>
      <c r="E6">
        <v>1480.11</v>
      </c>
      <c r="F6">
        <v>18.03</v>
      </c>
      <c r="G6">
        <v>1683</v>
      </c>
      <c r="H6">
        <v>18.36</v>
      </c>
      <c r="I6">
        <v>1604.16</v>
      </c>
      <c r="J6">
        <v>-1</v>
      </c>
      <c r="K6">
        <v>0</v>
      </c>
      <c r="L6">
        <v>-1</v>
      </c>
      <c r="M6">
        <v>1450.14</v>
      </c>
    </row>
    <row r="7" spans="1:13">
      <c r="A7" t="s">
        <v>18</v>
      </c>
      <c r="B7">
        <v>17.75</v>
      </c>
      <c r="C7">
        <v>2308</v>
      </c>
      <c r="D7">
        <v>17.69</v>
      </c>
      <c r="E7">
        <v>1569.63</v>
      </c>
      <c r="F7">
        <v>19.16</v>
      </c>
      <c r="G7">
        <v>1708</v>
      </c>
      <c r="H7">
        <v>-1</v>
      </c>
      <c r="I7">
        <v>394.27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17.06</v>
      </c>
      <c r="C8">
        <v>2385</v>
      </c>
      <c r="D8">
        <v>16.94</v>
      </c>
      <c r="E8">
        <v>1537.52</v>
      </c>
      <c r="F8">
        <v>17.84</v>
      </c>
      <c r="G8">
        <v>1651</v>
      </c>
      <c r="H8">
        <v>19.42</v>
      </c>
      <c r="I8">
        <v>1580.02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18.11</v>
      </c>
      <c r="C9">
        <v>2534</v>
      </c>
      <c r="D9">
        <v>18.04</v>
      </c>
      <c r="E9">
        <v>1634.18</v>
      </c>
      <c r="F9">
        <v>20.81</v>
      </c>
      <c r="G9">
        <v>1806</v>
      </c>
      <c r="H9">
        <v>31.82</v>
      </c>
      <c r="I9">
        <v>1647.79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17.09</v>
      </c>
      <c r="C10">
        <v>2273</v>
      </c>
      <c r="D10">
        <v>17.08</v>
      </c>
      <c r="E10">
        <v>1522.94</v>
      </c>
      <c r="F10">
        <v>18.13</v>
      </c>
      <c r="G10">
        <v>1665</v>
      </c>
      <c r="H10">
        <v>34</v>
      </c>
      <c r="I10">
        <v>1569.21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17.72</v>
      </c>
      <c r="C11">
        <v>2453</v>
      </c>
      <c r="D11">
        <v>17.69</v>
      </c>
      <c r="E11">
        <v>1667.2</v>
      </c>
      <c r="F11">
        <v>19.32</v>
      </c>
      <c r="G11">
        <v>1765</v>
      </c>
      <c r="H11">
        <v>46.35</v>
      </c>
      <c r="I11">
        <v>1649.72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16.7</v>
      </c>
      <c r="C12">
        <v>2451</v>
      </c>
      <c r="D12">
        <v>16.52</v>
      </c>
      <c r="E12">
        <v>1601.99</v>
      </c>
      <c r="F12">
        <v>17.77</v>
      </c>
      <c r="G12">
        <v>1709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17.72</v>
      </c>
      <c r="C13">
        <v>2489</v>
      </c>
      <c r="D13">
        <v>17.52</v>
      </c>
      <c r="E13">
        <v>1609.32</v>
      </c>
      <c r="F13">
        <v>19.04</v>
      </c>
      <c r="G13">
        <v>1699</v>
      </c>
      <c r="H13">
        <v>-1</v>
      </c>
      <c r="I13">
        <v>462.35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18.07</v>
      </c>
      <c r="C14">
        <v>2329</v>
      </c>
      <c r="D14">
        <v>18.02</v>
      </c>
      <c r="E14">
        <v>1582.39</v>
      </c>
      <c r="F14">
        <v>18.94</v>
      </c>
      <c r="G14">
        <v>1711</v>
      </c>
      <c r="H14">
        <v>30.97</v>
      </c>
      <c r="I14">
        <v>1645.92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12.55</v>
      </c>
      <c r="C15">
        <v>2609</v>
      </c>
      <c r="D15">
        <v>12.51</v>
      </c>
      <c r="E15">
        <v>1659.99</v>
      </c>
      <c r="F15">
        <v>14.04</v>
      </c>
      <c r="G15">
        <v>1795</v>
      </c>
      <c r="H15">
        <v>-1</v>
      </c>
      <c r="I15">
        <v>455.67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12.25</v>
      </c>
      <c r="C16">
        <v>1899</v>
      </c>
      <c r="D16">
        <v>12.25</v>
      </c>
      <c r="E16">
        <v>1387.91</v>
      </c>
      <c r="F16">
        <v>12.63</v>
      </c>
      <c r="G16">
        <v>1613</v>
      </c>
      <c r="H16">
        <v>13.02</v>
      </c>
      <c r="I16">
        <v>1510.42</v>
      </c>
      <c r="J16">
        <v>-1</v>
      </c>
      <c r="K16">
        <v>1609</v>
      </c>
      <c r="L16">
        <v>-1</v>
      </c>
      <c r="M16">
        <v>1358.43</v>
      </c>
    </row>
    <row r="17" spans="1:13">
      <c r="A17" t="s">
        <v>28</v>
      </c>
      <c r="B17">
        <v>14.42</v>
      </c>
      <c r="C17">
        <v>2612</v>
      </c>
      <c r="D17">
        <v>14.39</v>
      </c>
      <c r="E17">
        <v>1704.29</v>
      </c>
      <c r="F17">
        <v>15.52</v>
      </c>
      <c r="G17">
        <v>1910</v>
      </c>
      <c r="H17">
        <v>17.13</v>
      </c>
      <c r="I17">
        <v>1768.44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18.08</v>
      </c>
      <c r="C18">
        <v>2157</v>
      </c>
      <c r="D18">
        <v>18.07</v>
      </c>
      <c r="E18">
        <v>1527.99</v>
      </c>
      <c r="F18">
        <v>18.49</v>
      </c>
      <c r="G18">
        <v>1743</v>
      </c>
      <c r="H18">
        <v>18.85</v>
      </c>
      <c r="I18">
        <v>1667.26</v>
      </c>
      <c r="J18">
        <v>-1</v>
      </c>
      <c r="K18">
        <v>228</v>
      </c>
      <c r="L18">
        <v>-1</v>
      </c>
      <c r="M18">
        <v>0</v>
      </c>
    </row>
    <row r="19" spans="1:13">
      <c r="A19" t="s">
        <v>30</v>
      </c>
      <c r="B19">
        <v>16.41</v>
      </c>
      <c r="C19">
        <v>2227</v>
      </c>
      <c r="D19">
        <v>16.4</v>
      </c>
      <c r="E19">
        <v>1593.6</v>
      </c>
      <c r="F19">
        <v>17.51</v>
      </c>
      <c r="G19">
        <v>1741</v>
      </c>
      <c r="H19">
        <v>25.9</v>
      </c>
      <c r="I19">
        <v>1642.34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17.04</v>
      </c>
      <c r="C20">
        <v>2516</v>
      </c>
      <c r="D20">
        <v>16.98</v>
      </c>
      <c r="E20">
        <v>1595.76</v>
      </c>
      <c r="F20">
        <v>21.92</v>
      </c>
      <c r="G20">
        <v>1788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12.76</v>
      </c>
      <c r="C21">
        <v>2276</v>
      </c>
      <c r="D21">
        <v>12.72</v>
      </c>
      <c r="E21">
        <v>1587.21</v>
      </c>
      <c r="F21">
        <v>13.36</v>
      </c>
      <c r="G21">
        <v>1680</v>
      </c>
      <c r="H21">
        <v>17.9</v>
      </c>
      <c r="I21">
        <v>1622.47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16.21</v>
      </c>
      <c r="B24" s="4">
        <f>IFERROR(AVERAGEIF($D$2:$D$21,"&lt;&gt; -1"),0)</f>
        <v>16.152</v>
      </c>
      <c r="C24" s="4">
        <f>IFERROR(AVERAGEIF($F$2:$F$21,"&lt;&gt; -1"),0)</f>
        <v>17.8635</v>
      </c>
      <c r="D24" s="4">
        <f>IFERROR(AVERAGEIF($H$2:$H$21,"&lt;&gt; -1"),0)</f>
        <v>23.6838461538462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2345</v>
      </c>
      <c r="H24" s="4">
        <f>IFERROR(AVERAGEIFS($E$2:$E$21,$D$2:$D$21,"&lt;&gt; -1"),0)</f>
        <v>1574.5045</v>
      </c>
      <c r="I24" s="4">
        <f>IFERROR(AVERAGEIFS($G$2:$G$21,$F$2:$F$21,"&lt;&gt; -1"),0)</f>
        <v>1723.9</v>
      </c>
      <c r="J24" s="4">
        <f>IFERROR(AVERAGEIFS($I$2:$I$21,$H$2:$H$21,"&lt;&gt; -1"),0)</f>
        <v>1624.86615384615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18.11</v>
      </c>
      <c r="N24" s="4">
        <f>IFERROR(_xlfn.MAXIFS($D$2:$D$21,$D$2:$D$21,"&lt;&gt;-1"),0)</f>
        <v>18.07</v>
      </c>
      <c r="O24" s="4">
        <f>IFERROR(_xlfn.MAXIFS($F$2:$F$21,$F$2:$F$21,"&lt;&gt; -1"),0)</f>
        <v>21.92</v>
      </c>
      <c r="P24" s="4">
        <f>IFERROR(_xlfn.MAXIFS($H$2:$H$21,$H$2:$H$21,"&lt;&gt; -1"),0)</f>
        <v>46.35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12.25</v>
      </c>
      <c r="T24" s="4">
        <f>IFERROR(_xlfn.MINIFS($D$2:$D$21,$D$2:$D$21,"&lt;&gt;-1"),0)</f>
        <v>12.25</v>
      </c>
      <c r="U24" s="4">
        <f>IFERROR(_xlfn.MINIFS($F$2:$F$21,$F$2:$F$21,"&lt;&gt; -1"),0)</f>
        <v>12.63</v>
      </c>
      <c r="V24" s="4">
        <f>IFERROR(_xlfn.MINIFS($H$2:$H$21,$H$2:$H$21,"&lt;&gt; -1"),0)</f>
        <v>13.02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2612</v>
      </c>
      <c r="Z24" s="4">
        <f>IFERROR(_xlfn.MAXIFS($E$2:$E$21,$D$2:$D$21,"&lt;&gt; -1"),0)</f>
        <v>1704.29</v>
      </c>
      <c r="AA24" s="4">
        <f>IFERROR(_xlfn.MAXIFS($G$2:$G$21,$F$2:$F$21,"&lt;&gt; -1"),0)</f>
        <v>1910</v>
      </c>
      <c r="AB24" s="4">
        <f>IFERROR(_xlfn.MAXIFS($I$2:$I$21,$H$2:$H$21,"&lt;&gt; -1"),0)</f>
        <v>1768.44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1899</v>
      </c>
      <c r="AF24" s="4">
        <f>IFERROR(_xlfn.MINIFS($E$2:$E$21,$D$2:$D$21,"&lt;&gt; -1"),0)</f>
        <v>1387.91</v>
      </c>
      <c r="AG24" s="4">
        <f>IFERROR(_xlfn.MINIFS($G$2:$G$21,$F$2:$F$21,"&lt;&gt; -1"),0)</f>
        <v>1613</v>
      </c>
      <c r="AH24" s="4">
        <f>IFERROR(_xlfn.MINIFS($I$2:$I$21,$H$2:$H$21,"&lt;&gt; -1"),0)</f>
        <v>1510.42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0.65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11.73</v>
      </c>
      <c r="C2">
        <v>1911</v>
      </c>
      <c r="D2">
        <v>11.7</v>
      </c>
      <c r="E2">
        <v>1343.72</v>
      </c>
      <c r="F2">
        <v>12.96</v>
      </c>
      <c r="G2">
        <v>1483</v>
      </c>
      <c r="H2">
        <v>-1</v>
      </c>
      <c r="I2">
        <v>476.39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11.91</v>
      </c>
      <c r="C3">
        <v>2014</v>
      </c>
      <c r="D3">
        <v>11.88</v>
      </c>
      <c r="E3">
        <v>1386.62</v>
      </c>
      <c r="F3">
        <v>12.69</v>
      </c>
      <c r="G3">
        <v>1530</v>
      </c>
      <c r="H3">
        <v>16.54</v>
      </c>
      <c r="I3">
        <v>1445.98</v>
      </c>
      <c r="J3">
        <v>-1</v>
      </c>
      <c r="K3">
        <v>1524</v>
      </c>
      <c r="L3">
        <v>-1</v>
      </c>
      <c r="M3">
        <v>0</v>
      </c>
    </row>
    <row r="4" spans="1:13">
      <c r="A4" t="s">
        <v>15</v>
      </c>
      <c r="B4">
        <v>-1</v>
      </c>
      <c r="C4">
        <v>585</v>
      </c>
      <c r="D4">
        <v>11.61</v>
      </c>
      <c r="E4">
        <v>1364.51</v>
      </c>
      <c r="F4">
        <v>14.26</v>
      </c>
      <c r="G4">
        <v>1471</v>
      </c>
      <c r="H4">
        <v>-1</v>
      </c>
      <c r="I4">
        <v>511.95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11.31</v>
      </c>
      <c r="C5">
        <v>2155</v>
      </c>
      <c r="D5">
        <v>11.27</v>
      </c>
      <c r="E5">
        <v>1375.25</v>
      </c>
      <c r="F5">
        <v>12.5</v>
      </c>
      <c r="G5">
        <v>1491</v>
      </c>
      <c r="H5">
        <v>58.62</v>
      </c>
      <c r="I5">
        <v>1437.57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11.99</v>
      </c>
      <c r="C6">
        <v>2102</v>
      </c>
      <c r="D6">
        <v>11.93</v>
      </c>
      <c r="E6">
        <v>1428.96</v>
      </c>
      <c r="F6">
        <v>13.71</v>
      </c>
      <c r="G6">
        <v>1540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11.82</v>
      </c>
      <c r="C7">
        <v>2149</v>
      </c>
      <c r="D7">
        <v>11.78</v>
      </c>
      <c r="E7">
        <v>1393.68</v>
      </c>
      <c r="F7">
        <v>14.61</v>
      </c>
      <c r="G7">
        <v>1549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11.65</v>
      </c>
      <c r="C8">
        <v>2157</v>
      </c>
      <c r="D8">
        <v>11.62</v>
      </c>
      <c r="E8">
        <v>1459.22</v>
      </c>
      <c r="F8">
        <v>12.45</v>
      </c>
      <c r="G8">
        <v>1607</v>
      </c>
      <c r="H8">
        <v>14.09</v>
      </c>
      <c r="I8">
        <v>1493.45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12.09</v>
      </c>
      <c r="C9">
        <v>2114</v>
      </c>
      <c r="D9">
        <v>12.03</v>
      </c>
      <c r="E9">
        <v>1416.91</v>
      </c>
      <c r="F9">
        <v>14.41</v>
      </c>
      <c r="G9">
        <v>1572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12.05</v>
      </c>
      <c r="C10">
        <v>2132</v>
      </c>
      <c r="D10">
        <v>12.02</v>
      </c>
      <c r="E10">
        <v>1432.05</v>
      </c>
      <c r="F10">
        <v>13.3</v>
      </c>
      <c r="G10">
        <v>1550</v>
      </c>
      <c r="H10">
        <v>57.77</v>
      </c>
      <c r="I10">
        <v>1480.02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12.38</v>
      </c>
      <c r="C11">
        <v>2392</v>
      </c>
      <c r="D11">
        <v>12.32</v>
      </c>
      <c r="E11">
        <v>1400.62</v>
      </c>
      <c r="F11">
        <v>13.43</v>
      </c>
      <c r="G11">
        <v>1528</v>
      </c>
      <c r="H11">
        <v>20.86</v>
      </c>
      <c r="I11">
        <v>1429.35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12.24</v>
      </c>
      <c r="C12">
        <v>2289</v>
      </c>
      <c r="D12">
        <v>12.18</v>
      </c>
      <c r="E12">
        <v>1421.05</v>
      </c>
      <c r="F12">
        <v>13.7</v>
      </c>
      <c r="G12">
        <v>1515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12.01</v>
      </c>
      <c r="C13">
        <v>2126</v>
      </c>
      <c r="D13">
        <v>11.96</v>
      </c>
      <c r="E13">
        <v>1429.41</v>
      </c>
      <c r="F13">
        <v>13.88</v>
      </c>
      <c r="G13">
        <v>1580</v>
      </c>
      <c r="H13">
        <v>42.19</v>
      </c>
      <c r="I13">
        <v>1507.86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12.58</v>
      </c>
      <c r="C14">
        <v>2224</v>
      </c>
      <c r="D14">
        <v>12.54</v>
      </c>
      <c r="E14">
        <v>1442.52</v>
      </c>
      <c r="F14">
        <v>13.73</v>
      </c>
      <c r="G14">
        <v>1576</v>
      </c>
      <c r="H14">
        <v>28.24</v>
      </c>
      <c r="I14">
        <v>1484.51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11.99</v>
      </c>
      <c r="C15">
        <v>2145</v>
      </c>
      <c r="D15">
        <v>11.95</v>
      </c>
      <c r="E15">
        <v>1377.38</v>
      </c>
      <c r="F15">
        <v>15.87</v>
      </c>
      <c r="G15">
        <v>1559</v>
      </c>
      <c r="H15">
        <v>-1</v>
      </c>
      <c r="I15">
        <v>572.55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11.52</v>
      </c>
      <c r="C16">
        <v>1917</v>
      </c>
      <c r="D16">
        <v>11.49</v>
      </c>
      <c r="E16">
        <v>1373.58</v>
      </c>
      <c r="F16">
        <v>20.98</v>
      </c>
      <c r="G16">
        <v>1527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12.54</v>
      </c>
      <c r="C17">
        <v>2673</v>
      </c>
      <c r="D17">
        <v>12.45</v>
      </c>
      <c r="E17">
        <v>1498.53</v>
      </c>
      <c r="F17">
        <v>15.4</v>
      </c>
      <c r="G17">
        <v>1645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11.64</v>
      </c>
      <c r="C18">
        <v>2191</v>
      </c>
      <c r="D18">
        <v>11.6</v>
      </c>
      <c r="E18">
        <v>1353.15</v>
      </c>
      <c r="F18">
        <v>14.98</v>
      </c>
      <c r="G18">
        <v>1507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12.24</v>
      </c>
      <c r="C19">
        <v>2508</v>
      </c>
      <c r="D19">
        <v>12.09</v>
      </c>
      <c r="E19">
        <v>1548.7</v>
      </c>
      <c r="F19">
        <v>18.73</v>
      </c>
      <c r="G19">
        <v>1638</v>
      </c>
      <c r="H19">
        <v>-1</v>
      </c>
      <c r="I19">
        <v>515.44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12.05</v>
      </c>
      <c r="C20">
        <v>2060</v>
      </c>
      <c r="D20">
        <v>12.02</v>
      </c>
      <c r="E20">
        <v>1381.73</v>
      </c>
      <c r="F20">
        <v>12.75</v>
      </c>
      <c r="G20">
        <v>1550</v>
      </c>
      <c r="H20">
        <v>14.53</v>
      </c>
      <c r="I20">
        <v>1396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12.02</v>
      </c>
      <c r="C21">
        <v>2151</v>
      </c>
      <c r="D21">
        <v>11.98</v>
      </c>
      <c r="E21">
        <v>1470.89</v>
      </c>
      <c r="F21">
        <v>12.91</v>
      </c>
      <c r="G21">
        <v>1555</v>
      </c>
      <c r="H21">
        <v>15.52</v>
      </c>
      <c r="I21">
        <v>1490.52</v>
      </c>
      <c r="J21">
        <v>-1</v>
      </c>
      <c r="K21">
        <v>331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11.9873684210526</v>
      </c>
      <c r="B24" s="4">
        <f>IFERROR(AVERAGEIF($D$2:$D$21,"&lt;&gt; -1"),0)</f>
        <v>11.921</v>
      </c>
      <c r="C24" s="4">
        <f>IFERROR(AVERAGEIF($F$2:$F$21,"&lt;&gt; -1"),0)</f>
        <v>14.3625</v>
      </c>
      <c r="D24" s="4">
        <f>IFERROR(AVERAGEIF($H$2:$H$21,"&lt;&gt; -1"),0)</f>
        <v>29.8177777777778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2179.47368421053</v>
      </c>
      <c r="H24" s="4">
        <f>IFERROR(AVERAGEIFS($E$2:$E$21,$D$2:$D$21,"&lt;&gt; -1"),0)</f>
        <v>1414.924</v>
      </c>
      <c r="I24" s="4">
        <f>IFERROR(AVERAGEIFS($G$2:$G$21,$F$2:$F$21,"&lt;&gt; -1"),0)</f>
        <v>1548.65</v>
      </c>
      <c r="J24" s="4">
        <f>IFERROR(AVERAGEIFS($I$2:$I$21,$H$2:$H$21,"&lt;&gt; -1"),0)</f>
        <v>1462.80666666667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12.58</v>
      </c>
      <c r="N24" s="4">
        <f>IFERROR(_xlfn.MAXIFS($D$2:$D$21,$D$2:$D$21,"&lt;&gt;-1"),0)</f>
        <v>12.54</v>
      </c>
      <c r="O24" s="4">
        <f>IFERROR(_xlfn.MAXIFS($F$2:$F$21,$F$2:$F$21,"&lt;&gt; -1"),0)</f>
        <v>20.98</v>
      </c>
      <c r="P24" s="4">
        <f>IFERROR(_xlfn.MAXIFS($H$2:$H$21,$H$2:$H$21,"&lt;&gt; -1"),0)</f>
        <v>58.62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11.31</v>
      </c>
      <c r="T24" s="4">
        <f>IFERROR(_xlfn.MINIFS($D$2:$D$21,$D$2:$D$21,"&lt;&gt;-1"),0)</f>
        <v>11.27</v>
      </c>
      <c r="U24" s="4">
        <f>IFERROR(_xlfn.MINIFS($F$2:$F$21,$F$2:$F$21,"&lt;&gt; -1"),0)</f>
        <v>12.45</v>
      </c>
      <c r="V24" s="4">
        <f>IFERROR(_xlfn.MINIFS($H$2:$H$21,$H$2:$H$21,"&lt;&gt; -1"),0)</f>
        <v>14.09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2673</v>
      </c>
      <c r="Z24" s="4">
        <f>IFERROR(_xlfn.MAXIFS($E$2:$E$21,$D$2:$D$21,"&lt;&gt; -1"),0)</f>
        <v>1548.7</v>
      </c>
      <c r="AA24" s="4">
        <f>IFERROR(_xlfn.MAXIFS($G$2:$G$21,$F$2:$F$21,"&lt;&gt; -1"),0)</f>
        <v>1645</v>
      </c>
      <c r="AB24" s="4">
        <f>IFERROR(_xlfn.MAXIFS($I$2:$I$21,$H$2:$H$21,"&lt;&gt; -1"),0)</f>
        <v>1507.86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1911</v>
      </c>
      <c r="AF24" s="4">
        <f>IFERROR(_xlfn.MINIFS($E$2:$E$21,$D$2:$D$21,"&lt;&gt; -1"),0)</f>
        <v>1343.72</v>
      </c>
      <c r="AG24" s="4">
        <f>IFERROR(_xlfn.MINIFS($G$2:$G$21,$F$2:$F$21,"&lt;&gt; -1"),0)</f>
        <v>1471</v>
      </c>
      <c r="AH24" s="4">
        <f>IFERROR(_xlfn.MINIFS($I$2:$I$21,$H$2:$H$21,"&lt;&gt; -1"),0)</f>
        <v>1396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0.95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0.45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2" sqref="E12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10.7705</v>
      </c>
      <c r="B2">
        <v>10.7545</v>
      </c>
      <c r="C2">
        <v>11.134</v>
      </c>
      <c r="D2">
        <v>11.8545</v>
      </c>
      <c r="E2">
        <v>11.5844444444444</v>
      </c>
      <c r="F2">
        <v>11.295</v>
      </c>
      <c r="G2">
        <v>2537.65</v>
      </c>
      <c r="H2">
        <v>1903.988</v>
      </c>
      <c r="I2">
        <v>2187.75</v>
      </c>
      <c r="J2">
        <v>2066.322</v>
      </c>
      <c r="K2">
        <v>2188.5</v>
      </c>
      <c r="L2">
        <v>1839.8285</v>
      </c>
      <c r="M2">
        <v>11.25</v>
      </c>
      <c r="N2">
        <v>11.27</v>
      </c>
      <c r="O2">
        <v>11.63</v>
      </c>
      <c r="P2">
        <v>12.44</v>
      </c>
      <c r="Q2">
        <v>12.55</v>
      </c>
      <c r="R2">
        <v>12.42</v>
      </c>
      <c r="S2">
        <v>10.2</v>
      </c>
      <c r="T2">
        <v>10.18</v>
      </c>
      <c r="U2">
        <v>10.63</v>
      </c>
      <c r="V2">
        <v>11.37</v>
      </c>
      <c r="W2">
        <v>10.96</v>
      </c>
      <c r="X2">
        <v>10.66</v>
      </c>
      <c r="Y2">
        <v>2739</v>
      </c>
      <c r="Z2">
        <v>2018.26</v>
      </c>
      <c r="AA2">
        <v>2305</v>
      </c>
      <c r="AB2">
        <v>2169.62</v>
      </c>
      <c r="AC2">
        <v>2290</v>
      </c>
      <c r="AD2">
        <v>1943.23</v>
      </c>
      <c r="AE2">
        <v>2336</v>
      </c>
      <c r="AF2">
        <v>1743.93</v>
      </c>
      <c r="AG2">
        <v>2040</v>
      </c>
      <c r="AH2">
        <v>1916.59</v>
      </c>
      <c r="AI2">
        <v>2040</v>
      </c>
      <c r="AJ2">
        <v>1691.64</v>
      </c>
      <c r="AK2">
        <v>1</v>
      </c>
      <c r="AL2">
        <v>1</v>
      </c>
      <c r="AM2">
        <v>1</v>
      </c>
      <c r="AN2">
        <v>1</v>
      </c>
      <c r="AO2">
        <v>0.9</v>
      </c>
      <c r="AP2">
        <v>1</v>
      </c>
    </row>
    <row r="3" spans="1:42">
      <c r="A3">
        <v>12.4645</v>
      </c>
      <c r="B3">
        <v>12.4115</v>
      </c>
      <c r="C3">
        <v>13.3915</v>
      </c>
      <c r="D3">
        <v>17.6105</v>
      </c>
      <c r="E3">
        <v>18.81</v>
      </c>
      <c r="F3">
        <v>0</v>
      </c>
      <c r="G3">
        <v>3181.95</v>
      </c>
      <c r="H3">
        <v>2059.175</v>
      </c>
      <c r="I3">
        <v>2194.45</v>
      </c>
      <c r="J3">
        <v>2072.391</v>
      </c>
      <c r="K3">
        <v>2247</v>
      </c>
      <c r="L3">
        <v>0</v>
      </c>
      <c r="M3">
        <v>12.95</v>
      </c>
      <c r="N3">
        <v>12.88</v>
      </c>
      <c r="O3">
        <v>14.16</v>
      </c>
      <c r="P3">
        <v>39.39</v>
      </c>
      <c r="Q3">
        <v>18.81</v>
      </c>
      <c r="R3">
        <v>0</v>
      </c>
      <c r="S3">
        <v>11.78</v>
      </c>
      <c r="T3">
        <v>11.72</v>
      </c>
      <c r="U3">
        <v>12.83</v>
      </c>
      <c r="V3">
        <v>13.66</v>
      </c>
      <c r="W3">
        <v>18.81</v>
      </c>
      <c r="X3">
        <v>0</v>
      </c>
      <c r="Y3">
        <v>3684</v>
      </c>
      <c r="Z3">
        <v>2242.26</v>
      </c>
      <c r="AA3">
        <v>2320</v>
      </c>
      <c r="AB3">
        <v>2196.88</v>
      </c>
      <c r="AC3">
        <v>2247</v>
      </c>
      <c r="AD3">
        <v>0</v>
      </c>
      <c r="AE3">
        <v>2963</v>
      </c>
      <c r="AF3">
        <v>1937.85</v>
      </c>
      <c r="AG3">
        <v>2084</v>
      </c>
      <c r="AH3">
        <v>1955.8</v>
      </c>
      <c r="AI3">
        <v>2247</v>
      </c>
      <c r="AJ3">
        <v>0</v>
      </c>
      <c r="AK3">
        <v>1</v>
      </c>
      <c r="AL3">
        <v>1</v>
      </c>
      <c r="AM3">
        <v>1</v>
      </c>
      <c r="AN3">
        <v>1</v>
      </c>
      <c r="AO3">
        <v>0.05</v>
      </c>
      <c r="AP3">
        <v>0</v>
      </c>
    </row>
    <row r="4" spans="1:42">
      <c r="A4">
        <v>13.9065</v>
      </c>
      <c r="B4">
        <v>13.8315</v>
      </c>
      <c r="C4">
        <v>15.7435</v>
      </c>
      <c r="D4">
        <v>23.92</v>
      </c>
      <c r="E4">
        <v>0</v>
      </c>
      <c r="F4">
        <v>0</v>
      </c>
      <c r="G4">
        <v>3289.75</v>
      </c>
      <c r="H4">
        <v>2046.824</v>
      </c>
      <c r="I4">
        <v>2179.55</v>
      </c>
      <c r="J4">
        <v>2032.409</v>
      </c>
      <c r="K4">
        <v>0</v>
      </c>
      <c r="L4">
        <v>0</v>
      </c>
      <c r="M4">
        <v>14.72</v>
      </c>
      <c r="N4">
        <v>14.62</v>
      </c>
      <c r="O4">
        <v>17.64</v>
      </c>
      <c r="P4">
        <v>62.2</v>
      </c>
      <c r="Q4">
        <v>0</v>
      </c>
      <c r="R4">
        <v>0</v>
      </c>
      <c r="S4">
        <v>13.14</v>
      </c>
      <c r="T4">
        <v>13.07</v>
      </c>
      <c r="U4">
        <v>14.41</v>
      </c>
      <c r="V4">
        <v>14.55</v>
      </c>
      <c r="W4">
        <v>0</v>
      </c>
      <c r="X4">
        <v>0</v>
      </c>
      <c r="Y4">
        <v>3645</v>
      </c>
      <c r="Z4">
        <v>2188.39</v>
      </c>
      <c r="AA4">
        <v>2299</v>
      </c>
      <c r="AB4">
        <v>2079.55</v>
      </c>
      <c r="AC4">
        <v>0</v>
      </c>
      <c r="AD4">
        <v>0</v>
      </c>
      <c r="AE4">
        <v>2947</v>
      </c>
      <c r="AF4">
        <v>1929.1</v>
      </c>
      <c r="AG4">
        <v>2062</v>
      </c>
      <c r="AH4">
        <v>2006.09</v>
      </c>
      <c r="AI4">
        <v>0</v>
      </c>
      <c r="AJ4">
        <v>0</v>
      </c>
      <c r="AK4">
        <v>1</v>
      </c>
      <c r="AL4">
        <v>1</v>
      </c>
      <c r="AM4">
        <v>1</v>
      </c>
      <c r="AN4">
        <v>0.5</v>
      </c>
      <c r="AO4">
        <v>0</v>
      </c>
      <c r="AP4">
        <v>0</v>
      </c>
    </row>
    <row r="5" spans="1:42">
      <c r="A5">
        <v>14.358</v>
      </c>
      <c r="B5">
        <v>14.2945</v>
      </c>
      <c r="C5">
        <v>15.7035</v>
      </c>
      <c r="D5">
        <v>25.5016666666667</v>
      </c>
      <c r="E5">
        <v>0</v>
      </c>
      <c r="F5">
        <v>0</v>
      </c>
      <c r="G5">
        <v>2834.7</v>
      </c>
      <c r="H5">
        <v>1823.143</v>
      </c>
      <c r="I5">
        <v>1954.9</v>
      </c>
      <c r="J5">
        <v>1839.12416666667</v>
      </c>
      <c r="K5">
        <v>0</v>
      </c>
      <c r="L5">
        <v>0</v>
      </c>
      <c r="M5">
        <v>18.7</v>
      </c>
      <c r="N5">
        <v>18.61</v>
      </c>
      <c r="O5">
        <v>19.97</v>
      </c>
      <c r="P5">
        <v>53.12</v>
      </c>
      <c r="Q5">
        <v>0</v>
      </c>
      <c r="R5">
        <v>0</v>
      </c>
      <c r="S5">
        <v>13.2</v>
      </c>
      <c r="T5">
        <v>13.12</v>
      </c>
      <c r="U5">
        <v>13.75</v>
      </c>
      <c r="V5">
        <v>14.36</v>
      </c>
      <c r="W5">
        <v>0</v>
      </c>
      <c r="X5">
        <v>0</v>
      </c>
      <c r="Y5">
        <v>3508</v>
      </c>
      <c r="Z5">
        <v>1985.68</v>
      </c>
      <c r="AA5">
        <v>2082</v>
      </c>
      <c r="AB5">
        <v>1942.2</v>
      </c>
      <c r="AC5">
        <v>0</v>
      </c>
      <c r="AD5">
        <v>0</v>
      </c>
      <c r="AE5">
        <v>2416</v>
      </c>
      <c r="AF5">
        <v>1657.82</v>
      </c>
      <c r="AG5">
        <v>1845</v>
      </c>
      <c r="AH5">
        <v>1728.88</v>
      </c>
      <c r="AI5">
        <v>0</v>
      </c>
      <c r="AJ5">
        <v>0</v>
      </c>
      <c r="AK5">
        <v>1</v>
      </c>
      <c r="AL5">
        <v>1</v>
      </c>
      <c r="AM5">
        <v>1</v>
      </c>
      <c r="AN5">
        <v>0.6</v>
      </c>
      <c r="AO5">
        <v>0</v>
      </c>
      <c r="AP5">
        <v>0</v>
      </c>
    </row>
    <row r="6" spans="1:42">
      <c r="A6">
        <v>16.21</v>
      </c>
      <c r="B6">
        <v>16.152</v>
      </c>
      <c r="C6">
        <v>17.8635</v>
      </c>
      <c r="D6">
        <v>23.6838461538462</v>
      </c>
      <c r="E6">
        <v>0</v>
      </c>
      <c r="F6">
        <v>0</v>
      </c>
      <c r="G6">
        <v>2345</v>
      </c>
      <c r="H6">
        <v>1574.5045</v>
      </c>
      <c r="I6">
        <v>1723.9</v>
      </c>
      <c r="J6">
        <v>1624.86615384615</v>
      </c>
      <c r="K6">
        <v>0</v>
      </c>
      <c r="L6">
        <v>0</v>
      </c>
      <c r="M6">
        <v>18.11</v>
      </c>
      <c r="N6">
        <v>18.07</v>
      </c>
      <c r="O6">
        <v>21.92</v>
      </c>
      <c r="P6">
        <v>46.35</v>
      </c>
      <c r="Q6">
        <v>0</v>
      </c>
      <c r="R6">
        <v>0</v>
      </c>
      <c r="S6">
        <v>12.25</v>
      </c>
      <c r="T6">
        <v>12.25</v>
      </c>
      <c r="U6">
        <v>12.63</v>
      </c>
      <c r="V6">
        <v>13.02</v>
      </c>
      <c r="W6">
        <v>0</v>
      </c>
      <c r="X6">
        <v>0</v>
      </c>
      <c r="Y6">
        <v>2612</v>
      </c>
      <c r="Z6">
        <v>1704.29</v>
      </c>
      <c r="AA6">
        <v>1910</v>
      </c>
      <c r="AB6">
        <v>1768.44</v>
      </c>
      <c r="AC6">
        <v>0</v>
      </c>
      <c r="AD6">
        <v>0</v>
      </c>
      <c r="AE6">
        <v>1899</v>
      </c>
      <c r="AF6">
        <v>1387.91</v>
      </c>
      <c r="AG6">
        <v>1613</v>
      </c>
      <c r="AH6">
        <v>1510.42</v>
      </c>
      <c r="AI6">
        <v>0</v>
      </c>
      <c r="AJ6">
        <v>0</v>
      </c>
      <c r="AK6">
        <v>1</v>
      </c>
      <c r="AL6">
        <v>1</v>
      </c>
      <c r="AM6">
        <v>1</v>
      </c>
      <c r="AN6">
        <v>0.65</v>
      </c>
      <c r="AO6">
        <v>0</v>
      </c>
      <c r="AP6">
        <v>0</v>
      </c>
    </row>
    <row r="7" spans="1:42">
      <c r="A7">
        <v>11.9873684210526</v>
      </c>
      <c r="B7">
        <v>11.921</v>
      </c>
      <c r="C7">
        <v>14.3625</v>
      </c>
      <c r="D7">
        <v>29.8177777777778</v>
      </c>
      <c r="E7">
        <v>0</v>
      </c>
      <c r="F7">
        <v>0</v>
      </c>
      <c r="G7">
        <v>2179.47368421053</v>
      </c>
      <c r="H7">
        <v>1414.924</v>
      </c>
      <c r="I7">
        <v>1548.65</v>
      </c>
      <c r="J7">
        <v>1462.80666666667</v>
      </c>
      <c r="K7">
        <v>0</v>
      </c>
      <c r="L7">
        <v>0</v>
      </c>
      <c r="M7">
        <v>12.58</v>
      </c>
      <c r="N7">
        <v>12.54</v>
      </c>
      <c r="O7">
        <v>20.98</v>
      </c>
      <c r="P7">
        <v>58.62</v>
      </c>
      <c r="Q7">
        <v>0</v>
      </c>
      <c r="R7">
        <v>0</v>
      </c>
      <c r="S7">
        <v>11.31</v>
      </c>
      <c r="T7">
        <v>11.27</v>
      </c>
      <c r="U7">
        <v>12.45</v>
      </c>
      <c r="V7">
        <v>14.09</v>
      </c>
      <c r="W7">
        <v>0</v>
      </c>
      <c r="X7">
        <v>0</v>
      </c>
      <c r="Y7">
        <v>2673</v>
      </c>
      <c r="Z7">
        <v>1548.7</v>
      </c>
      <c r="AA7">
        <v>1645</v>
      </c>
      <c r="AB7">
        <v>1507.86</v>
      </c>
      <c r="AC7">
        <v>0</v>
      </c>
      <c r="AD7">
        <v>0</v>
      </c>
      <c r="AE7">
        <v>1911</v>
      </c>
      <c r="AF7">
        <v>1343.72</v>
      </c>
      <c r="AG7">
        <v>1471</v>
      </c>
      <c r="AH7">
        <v>1396</v>
      </c>
      <c r="AI7">
        <v>0</v>
      </c>
      <c r="AJ7">
        <v>0</v>
      </c>
      <c r="AK7">
        <v>0.95</v>
      </c>
      <c r="AL7">
        <v>1</v>
      </c>
      <c r="AM7">
        <v>1</v>
      </c>
      <c r="AN7">
        <v>0.45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2024-08-28T10:00:00Z</dcterms:created>
  <dcterms:modified xsi:type="dcterms:W3CDTF">2024-08-29T14:56:43Z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46236DCC1B884B359DFE840B23B41EE2_12</vt:lpwstr>
  </property>
  <property fmtid="{D5CDD505-2E9C-101B-9397-08002B2CF9AE}" pid="3" name="KSOProductBuildVer">
    <vt:lpwstr>2052-12.1.0.17827</vt:lpwstr>
  </property>
</Properties>
</file>