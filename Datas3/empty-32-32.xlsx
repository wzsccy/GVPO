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<sst xmlns="http://schemas.openxmlformats.org/spreadsheetml/2006/main" count="492" uniqueCount="75">
  <si>
    <t>scen</t>
  </si>
  <si>
    <t>LC4_T</t>
  </si>
  <si>
    <t>LC4_C</t>
  </si>
  <si>
    <t>LC8_T</t>
  </si>
  <si>
    <t>LC8_C</t>
  </si>
  <si>
    <t>ML4_T</t>
  </si>
  <si>
    <t>ML4_C</t>
  </si>
  <si>
    <t>ML8_T</t>
  </si>
  <si>
    <t>ML8_C</t>
  </si>
  <si>
    <t>MA4_T</t>
  </si>
  <si>
    <t>MA4_C</t>
  </si>
  <si>
    <t>MA8_T</t>
  </si>
  <si>
    <t>MA8_C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</si>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</sst>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A23:AP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35.14</v>
      </c>
      <c r="C2">
        <v>4511</v>
      </c>
      <c r="D2">
        <v>35.19</v>
      </c>
      <c r="E2">
        <v>3620.83</v>
      </c>
      <c r="F2">
        <v>38.53</v>
      </c>
      <c r="G2">
        <v>4273</v>
      </c>
      <c r="H2">
        <v>41.58</v>
      </c>
      <c r="I2">
        <v>4087.78</v>
      </c>
      <c r="J2">
        <v>50.81</v>
      </c>
      <c r="K2">
        <v>4273</v>
      </c>
      <c r="L2">
        <v>37.59</v>
      </c>
      <c r="M2">
        <v>3585.81</v>
      </c>
    </row>
    <row r="3" spans="1:13">
      <c r="A3" t="s">
        <v>14</v>
      </c>
      <c r="B3">
        <v>36.19</v>
      </c>
      <c r="C3">
        <v>4729</v>
      </c>
      <c r="D3">
        <v>36.26</v>
      </c>
      <c r="E3">
        <v>3711.05</v>
      </c>
      <c r="F3">
        <v>38.05</v>
      </c>
      <c r="G3">
        <v>4409</v>
      </c>
      <c r="H3">
        <v>41.82</v>
      </c>
      <c r="I3">
        <v>4244.94</v>
      </c>
      <c r="J3">
        <v>38.8</v>
      </c>
      <c r="K3">
        <v>4409</v>
      </c>
      <c r="L3">
        <v>37.42</v>
      </c>
      <c r="M3">
        <v>3686.04</v>
      </c>
    </row>
    <row r="4" spans="1:13">
      <c r="A4" t="s">
        <v>15</v>
      </c>
      <c r="B4">
        <v>35.22</v>
      </c>
      <c r="C4">
        <v>4715</v>
      </c>
      <c r="D4">
        <v>35.26</v>
      </c>
      <c r="E4">
        <v>3670.36</v>
      </c>
      <c r="F4">
        <v>41.22</v>
      </c>
      <c r="G4">
        <v>4359</v>
      </c>
      <c r="H4">
        <v>41.56</v>
      </c>
      <c r="I4">
        <v>4162.03</v>
      </c>
      <c r="J4">
        <v>55.78</v>
      </c>
      <c r="K4">
        <v>4357</v>
      </c>
      <c r="L4">
        <v>36.91</v>
      </c>
      <c r="M4">
        <v>3639.74</v>
      </c>
    </row>
    <row r="5" spans="1:13">
      <c r="A5" t="s">
        <v>16</v>
      </c>
      <c r="B5">
        <v>34.66</v>
      </c>
      <c r="C5">
        <v>4486</v>
      </c>
      <c r="D5">
        <v>34.78</v>
      </c>
      <c r="E5">
        <v>3574.98</v>
      </c>
      <c r="F5">
        <v>37.79</v>
      </c>
      <c r="G5">
        <v>4226</v>
      </c>
      <c r="H5">
        <v>41.61</v>
      </c>
      <c r="I5">
        <v>4072.39</v>
      </c>
      <c r="J5">
        <v>-1</v>
      </c>
      <c r="K5">
        <v>0</v>
      </c>
      <c r="L5">
        <v>37.81</v>
      </c>
      <c r="M5">
        <v>3521.83</v>
      </c>
    </row>
    <row r="6" spans="1:13">
      <c r="A6" t="s">
        <v>17</v>
      </c>
      <c r="B6">
        <v>34.98</v>
      </c>
      <c r="C6">
        <v>4449</v>
      </c>
      <c r="D6">
        <v>35.02</v>
      </c>
      <c r="E6">
        <v>3558.26</v>
      </c>
      <c r="F6">
        <v>38.91</v>
      </c>
      <c r="G6">
        <v>4161</v>
      </c>
      <c r="H6">
        <v>41.76</v>
      </c>
      <c r="I6">
        <v>4010.23</v>
      </c>
      <c r="J6">
        <v>46.18</v>
      </c>
      <c r="K6">
        <v>4161</v>
      </c>
      <c r="L6">
        <v>-1</v>
      </c>
      <c r="M6">
        <v>242.81</v>
      </c>
    </row>
    <row r="7" spans="1:13">
      <c r="A7" t="s">
        <v>18</v>
      </c>
      <c r="B7">
        <v>39.05</v>
      </c>
      <c r="C7">
        <v>4572</v>
      </c>
      <c r="D7">
        <v>38.99</v>
      </c>
      <c r="E7">
        <v>3628.52</v>
      </c>
      <c r="F7">
        <v>43.43</v>
      </c>
      <c r="G7">
        <v>4348</v>
      </c>
      <c r="H7">
        <v>48.27</v>
      </c>
      <c r="I7">
        <v>4102.02</v>
      </c>
      <c r="J7">
        <v>46.7</v>
      </c>
      <c r="K7">
        <v>4348</v>
      </c>
      <c r="L7">
        <v>42.58</v>
      </c>
      <c r="M7">
        <v>3618.6</v>
      </c>
    </row>
    <row r="8" spans="1:13">
      <c r="A8" t="s">
        <v>19</v>
      </c>
      <c r="B8">
        <v>32.82</v>
      </c>
      <c r="C8">
        <v>4370</v>
      </c>
      <c r="D8">
        <v>32.84</v>
      </c>
      <c r="E8">
        <v>3350.71</v>
      </c>
      <c r="F8">
        <v>34.64</v>
      </c>
      <c r="G8">
        <v>3982</v>
      </c>
      <c r="H8">
        <v>36.95</v>
      </c>
      <c r="I8">
        <v>3748.61</v>
      </c>
      <c r="J8">
        <v>36.9</v>
      </c>
      <c r="K8">
        <v>3982</v>
      </c>
      <c r="L8">
        <v>35.48</v>
      </c>
      <c r="M8">
        <v>3312.87</v>
      </c>
    </row>
    <row r="9" spans="1:13">
      <c r="A9" t="s">
        <v>20</v>
      </c>
      <c r="B9">
        <v>35.31</v>
      </c>
      <c r="C9">
        <v>4560</v>
      </c>
      <c r="D9">
        <v>35.36</v>
      </c>
      <c r="E9">
        <v>3587.77</v>
      </c>
      <c r="F9">
        <v>37.44</v>
      </c>
      <c r="G9">
        <v>4280</v>
      </c>
      <c r="H9">
        <v>40.12</v>
      </c>
      <c r="I9">
        <v>4120.73</v>
      </c>
      <c r="J9">
        <v>-1</v>
      </c>
      <c r="K9">
        <v>294</v>
      </c>
      <c r="L9">
        <v>37.98</v>
      </c>
      <c r="M9">
        <v>3586.13</v>
      </c>
    </row>
    <row r="10" spans="1:13">
      <c r="A10" t="s">
        <v>21</v>
      </c>
      <c r="B10">
        <v>35.74</v>
      </c>
      <c r="C10">
        <v>4490</v>
      </c>
      <c r="D10">
        <v>35.78</v>
      </c>
      <c r="E10">
        <v>3544.97</v>
      </c>
      <c r="F10">
        <v>38.76</v>
      </c>
      <c r="G10">
        <v>4180</v>
      </c>
      <c r="H10">
        <v>41.96</v>
      </c>
      <c r="I10">
        <v>4106.83</v>
      </c>
      <c r="J10">
        <v>41.15</v>
      </c>
      <c r="K10">
        <v>4180</v>
      </c>
      <c r="L10">
        <v>37.8</v>
      </c>
      <c r="M10">
        <v>3526.3</v>
      </c>
    </row>
    <row r="11" spans="1:13">
      <c r="A11" t="s">
        <v>22</v>
      </c>
      <c r="B11">
        <v>37.63</v>
      </c>
      <c r="C11">
        <v>4875</v>
      </c>
      <c r="D11">
        <v>37.66</v>
      </c>
      <c r="E11">
        <v>3716.67</v>
      </c>
      <c r="F11">
        <v>42.43</v>
      </c>
      <c r="G11">
        <v>4425</v>
      </c>
      <c r="H11">
        <v>43.83</v>
      </c>
      <c r="I11">
        <v>4168.66</v>
      </c>
      <c r="J11">
        <v>56</v>
      </c>
      <c r="K11">
        <v>4425</v>
      </c>
      <c r="L11">
        <v>41.42</v>
      </c>
      <c r="M11">
        <v>3690.85</v>
      </c>
    </row>
    <row r="12" spans="1:13">
      <c r="A12" t="s">
        <v>23</v>
      </c>
      <c r="B12">
        <v>36.42</v>
      </c>
      <c r="C12">
        <v>4510</v>
      </c>
      <c r="D12">
        <v>36.35</v>
      </c>
      <c r="E12">
        <v>3580.72</v>
      </c>
      <c r="F12">
        <v>40.45</v>
      </c>
      <c r="G12">
        <v>4296</v>
      </c>
      <c r="H12">
        <v>43.1</v>
      </c>
      <c r="I12">
        <v>4027.23</v>
      </c>
      <c r="J12">
        <v>55.11</v>
      </c>
      <c r="K12">
        <v>4296</v>
      </c>
      <c r="L12">
        <v>38.13</v>
      </c>
      <c r="M12">
        <v>3565.95</v>
      </c>
    </row>
    <row r="13" spans="1:13">
      <c r="A13" t="s">
        <v>24</v>
      </c>
      <c r="B13">
        <v>34.3</v>
      </c>
      <c r="C13">
        <v>4247</v>
      </c>
      <c r="D13">
        <v>34.34</v>
      </c>
      <c r="E13">
        <v>3417.23</v>
      </c>
      <c r="F13">
        <v>36.86</v>
      </c>
      <c r="G13">
        <v>4059</v>
      </c>
      <c r="H13">
        <v>41.13</v>
      </c>
      <c r="I13">
        <v>3824.54</v>
      </c>
      <c r="J13">
        <v>39.1</v>
      </c>
      <c r="K13">
        <v>4059</v>
      </c>
      <c r="L13">
        <v>40.23</v>
      </c>
      <c r="M13">
        <v>3394.07</v>
      </c>
    </row>
    <row r="14" spans="1:13">
      <c r="A14" t="s">
        <v>25</v>
      </c>
      <c r="B14">
        <v>34.21</v>
      </c>
      <c r="C14">
        <v>4425</v>
      </c>
      <c r="D14">
        <v>34.24</v>
      </c>
      <c r="E14">
        <v>3448.86</v>
      </c>
      <c r="F14">
        <v>36.83</v>
      </c>
      <c r="G14">
        <v>4021</v>
      </c>
      <c r="H14">
        <v>40.58</v>
      </c>
      <c r="I14">
        <v>3888</v>
      </c>
      <c r="J14">
        <v>40.04</v>
      </c>
      <c r="K14">
        <v>4019</v>
      </c>
      <c r="L14">
        <v>40.55</v>
      </c>
      <c r="M14">
        <v>3404.49</v>
      </c>
    </row>
    <row r="15" spans="1:13">
      <c r="A15" t="s">
        <v>26</v>
      </c>
      <c r="B15">
        <v>36.23</v>
      </c>
      <c r="C15">
        <v>5017</v>
      </c>
      <c r="D15">
        <v>36.24</v>
      </c>
      <c r="E15">
        <v>3794.05</v>
      </c>
      <c r="F15">
        <v>40.29</v>
      </c>
      <c r="G15">
        <v>4589</v>
      </c>
      <c r="H15">
        <v>42.88</v>
      </c>
      <c r="I15">
        <v>4274.77</v>
      </c>
      <c r="J15">
        <v>47.63</v>
      </c>
      <c r="K15">
        <v>4589</v>
      </c>
      <c r="L15">
        <v>38.4</v>
      </c>
      <c r="M15">
        <v>3788.56</v>
      </c>
    </row>
    <row r="16" spans="1:13">
      <c r="A16" t="s">
        <v>27</v>
      </c>
      <c r="B16">
        <v>35.84</v>
      </c>
      <c r="C16">
        <v>4685</v>
      </c>
      <c r="D16">
        <v>35.8</v>
      </c>
      <c r="E16">
        <v>3652.75</v>
      </c>
      <c r="F16">
        <v>38.52</v>
      </c>
      <c r="G16">
        <v>4339</v>
      </c>
      <c r="H16">
        <v>42.22</v>
      </c>
      <c r="I16">
        <v>4108.01</v>
      </c>
      <c r="J16">
        <v>41.1</v>
      </c>
      <c r="K16">
        <v>4339</v>
      </c>
      <c r="L16">
        <v>38.14</v>
      </c>
      <c r="M16">
        <v>3619.35</v>
      </c>
    </row>
    <row r="17" spans="1:13">
      <c r="A17" t="s">
        <v>28</v>
      </c>
      <c r="B17">
        <v>35.81</v>
      </c>
      <c r="C17">
        <v>4749</v>
      </c>
      <c r="D17">
        <v>35.85</v>
      </c>
      <c r="E17">
        <v>3695.01</v>
      </c>
      <c r="F17">
        <v>39.91</v>
      </c>
      <c r="G17">
        <v>4319</v>
      </c>
      <c r="H17">
        <v>42.41</v>
      </c>
      <c r="I17">
        <v>4158.62</v>
      </c>
      <c r="J17">
        <v>50.58</v>
      </c>
      <c r="K17">
        <v>4319</v>
      </c>
      <c r="L17">
        <v>38.28</v>
      </c>
      <c r="M17">
        <v>3634.48</v>
      </c>
    </row>
    <row r="18" spans="1:13">
      <c r="A18" t="s">
        <v>29</v>
      </c>
      <c r="B18">
        <v>35.13</v>
      </c>
      <c r="C18">
        <v>4583</v>
      </c>
      <c r="D18">
        <v>35.24</v>
      </c>
      <c r="E18">
        <v>3666.82</v>
      </c>
      <c r="F18">
        <v>37.72</v>
      </c>
      <c r="G18">
        <v>4407</v>
      </c>
      <c r="H18">
        <v>40.59</v>
      </c>
      <c r="I18">
        <v>4094.21</v>
      </c>
      <c r="J18">
        <v>41.97</v>
      </c>
      <c r="K18">
        <v>4407</v>
      </c>
      <c r="L18">
        <v>38.03</v>
      </c>
      <c r="M18">
        <v>3640.19</v>
      </c>
    </row>
    <row r="19" spans="1:13">
      <c r="A19" t="s">
        <v>30</v>
      </c>
      <c r="B19">
        <v>34.13</v>
      </c>
      <c r="C19">
        <v>4392</v>
      </c>
      <c r="D19">
        <v>34.16</v>
      </c>
      <c r="E19">
        <v>3477.01</v>
      </c>
      <c r="F19">
        <v>36.99</v>
      </c>
      <c r="G19">
        <v>4096</v>
      </c>
      <c r="H19">
        <v>41.16</v>
      </c>
      <c r="I19">
        <v>3966.62</v>
      </c>
      <c r="J19">
        <v>40.65</v>
      </c>
      <c r="K19">
        <v>4096</v>
      </c>
      <c r="L19">
        <v>36.95</v>
      </c>
      <c r="M19">
        <v>3437.42</v>
      </c>
    </row>
    <row r="20" spans="1:13">
      <c r="A20" t="s">
        <v>31</v>
      </c>
      <c r="B20">
        <v>37.02</v>
      </c>
      <c r="C20">
        <v>4761</v>
      </c>
      <c r="D20">
        <v>37.05</v>
      </c>
      <c r="E20">
        <v>3681.15</v>
      </c>
      <c r="F20">
        <v>39.98</v>
      </c>
      <c r="G20">
        <v>4339</v>
      </c>
      <c r="H20">
        <v>44.99</v>
      </c>
      <c r="I20">
        <v>4220.22</v>
      </c>
      <c r="J20">
        <v>-1</v>
      </c>
      <c r="K20">
        <v>287</v>
      </c>
      <c r="L20">
        <v>41.5</v>
      </c>
      <c r="M20">
        <v>3650.93</v>
      </c>
    </row>
    <row r="21" spans="1:13">
      <c r="A21" t="s">
        <v>32</v>
      </c>
      <c r="B21">
        <v>35.9</v>
      </c>
      <c r="C21">
        <v>4651</v>
      </c>
      <c r="D21">
        <v>35.94</v>
      </c>
      <c r="E21">
        <v>3496.62</v>
      </c>
      <c r="F21">
        <v>39.55</v>
      </c>
      <c r="G21">
        <v>4135</v>
      </c>
      <c r="H21">
        <v>42.08</v>
      </c>
      <c r="I21">
        <v>3964.63</v>
      </c>
      <c r="J21">
        <v>-1</v>
      </c>
      <c r="K21">
        <v>176</v>
      </c>
      <c r="L21">
        <v>37.87</v>
      </c>
      <c r="M21">
        <v>3447.71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35.5865</v>
      </c>
      <c r="B24" s="4">
        <f>IFERROR(AVERAGEIF($D$2:$D$21,"&lt;&gt; -1"),0)</f>
        <v>35.6175</v>
      </c>
      <c r="C24" s="4">
        <f>IFERROR(AVERAGEIF($F$2:$F$21,"&lt;&gt; -1"),0)</f>
        <v>38.915</v>
      </c>
      <c r="D24" s="4">
        <f>IFERROR(AVERAGEIF($H$2:$H$21,"&lt;&gt; -1"),0)</f>
        <v>42.03</v>
      </c>
      <c r="E24" s="4">
        <f>IFERROR(AVERAGEIF($J$2:$J$21,"&lt;&gt; -1"),0)</f>
        <v>45.53125</v>
      </c>
      <c r="F24" s="4">
        <f>IFERROR(AVERAGEIF($L$2:$L$21,"&lt;&gt; -1"),0)</f>
        <v>38.5826315789474</v>
      </c>
      <c r="G24" s="4">
        <f>IFERROR(AVERAGEIFS($C$2:$C$21,$B$2:$B$21,"&lt;&gt; -1"),0)</f>
        <v>4588.85</v>
      </c>
      <c r="H24" s="4">
        <f>IFERROR(AVERAGEIFS($E$2:$E$21,$D$2:$D$21,"&lt;&gt; -1"),0)</f>
        <v>3593.717</v>
      </c>
      <c r="I24" s="4">
        <f>IFERROR(AVERAGEIFS($G$2:$G$21,$F$2:$F$21,"&lt;&gt; -1"),0)</f>
        <v>4262.15</v>
      </c>
      <c r="J24" s="4">
        <f>IFERROR(AVERAGEIFS($I$2:$I$21,$H$2:$H$21,"&lt;&gt; -1"),0)</f>
        <v>4067.5535</v>
      </c>
      <c r="K24" s="4">
        <f>IFERROR(AVERAGEIFS($K$2:$K$21,$J$2:$J$21,"&lt;&gt; -1"),0)</f>
        <v>4266.1875</v>
      </c>
      <c r="L24" s="4">
        <f>IFERROR(AVERAGEIFS($M$2:$M$21,$L$2:$L$21,"&lt;&gt; -1"),0)</f>
        <v>3565.85894736842</v>
      </c>
      <c r="M24" s="4">
        <f>IFERROR(_xlfn.MAXIFS($B$2:$B$21,$B$2:$B$21,"&lt;&gt; -1"),0)</f>
        <v>39.05</v>
      </c>
      <c r="N24" s="4">
        <f>IFERROR(_xlfn.MAXIFS($D$2:$D$21,$D$2:$D$21,"&lt;&gt;-1"),0)</f>
        <v>38.99</v>
      </c>
      <c r="O24" s="4">
        <f>IFERROR(_xlfn.MAXIFS($F$2:$F$21,$F$2:$F$21,"&lt;&gt; -1"),0)</f>
        <v>43.43</v>
      </c>
      <c r="P24" s="4">
        <f>IFERROR(_xlfn.MAXIFS($H$2:$H$21,$H$2:$H$21,"&lt;&gt; -1"),0)</f>
        <v>48.27</v>
      </c>
      <c r="Q24" s="4">
        <f>IFERROR(_xlfn.MAXIFS($J$2:$J$21,$J$2:$J$21,"&lt;&gt; -1"),0)</f>
        <v>56</v>
      </c>
      <c r="R24" s="4">
        <f>IFERROR(_xlfn.MAXIFS($L$2:$L$21,$L$2:$L$21,"&lt;&gt; -1"),0)</f>
        <v>42.58</v>
      </c>
      <c r="S24" s="4">
        <f>IFERROR(_xlfn.MINIFS($B$2:$B$21,$B$2:$B$21,"&lt;&gt; -1"),0)</f>
        <v>32.82</v>
      </c>
      <c r="T24" s="4">
        <f>IFERROR(_xlfn.MINIFS($D$2:$D$21,$D$2:$D$21,"&lt;&gt;-1"),0)</f>
        <v>32.84</v>
      </c>
      <c r="U24" s="4">
        <f>IFERROR(_xlfn.MINIFS($F$2:$F$21,$F$2:$F$21,"&lt;&gt; -1"),0)</f>
        <v>34.64</v>
      </c>
      <c r="V24" s="4">
        <f>IFERROR(_xlfn.MINIFS($H$2:$H$21,$H$2:$H$21,"&lt;&gt; -1"),0)</f>
        <v>36.95</v>
      </c>
      <c r="W24" s="4">
        <f>IFERROR(_xlfn.MINIFS($J$2:$J$21,$J$2:$J$21,"&lt;&gt; -1"),0)</f>
        <v>36.9</v>
      </c>
      <c r="X24" s="4">
        <f>IFERROR(_xlfn.MINIFS($L$2:$L$21,$L$2:$L$21,"&lt;&gt; -1"),0)</f>
        <v>35.48</v>
      </c>
      <c r="Y24" s="4">
        <f>IFERROR(_xlfn.MAXIFS($C$2:$C$21,$B$2:$B$21,"&lt;&gt; -1"),0)</f>
        <v>5017</v>
      </c>
      <c r="Z24" s="4">
        <f>IFERROR(_xlfn.MAXIFS($E$2:$E$21,$D$2:$D$21,"&lt;&gt; -1"),0)</f>
        <v>3794.05</v>
      </c>
      <c r="AA24" s="4">
        <f>IFERROR(_xlfn.MAXIFS($G$2:$G$21,$F$2:$F$21,"&lt;&gt; -1"),0)</f>
        <v>4589</v>
      </c>
      <c r="AB24" s="4">
        <f>IFERROR(_xlfn.MAXIFS($I$2:$I$21,$H$2:$H$21,"&lt;&gt; -1"),0)</f>
        <v>4274.77</v>
      </c>
      <c r="AC24" s="4">
        <f>IFERROR(_xlfn.MAXIFS($K$2:$K$21,$J$2:$J$21,"&lt;&gt; -1"),0)</f>
        <v>4589</v>
      </c>
      <c r="AD24" s="4">
        <f>IFERROR(_xlfn.MAXIFS($M$2:$M$21,$L$2:$L$21,"&lt;&gt; -1"),0)</f>
        <v>3788.56</v>
      </c>
      <c r="AE24" s="4">
        <f>IFERROR(_xlfn.MINIFS($C$2:$C$21,$B$2:$B$21,"&lt;&gt; -1"),0)</f>
        <v>4247</v>
      </c>
      <c r="AF24" s="4">
        <f>IFERROR(_xlfn.MINIFS($E$2:$E$21,$D$2:$D$21,"&lt;&gt; -1"),0)</f>
        <v>3350.71</v>
      </c>
      <c r="AG24" s="4">
        <f>IFERROR(_xlfn.MINIFS($G$2:$G$21,$F$2:$F$21,"&lt;&gt; -1"),0)</f>
        <v>3982</v>
      </c>
      <c r="AH24" s="4">
        <f>IFERROR(_xlfn.MINIFS($I$2:$I$21,$H$2:$H$21,"&lt;&gt; -1"),0)</f>
        <v>3748.61</v>
      </c>
      <c r="AI24" s="4">
        <f>IFERROR(_xlfn.MINIFS($K$2:$K$21,$J$2:$J$21,"&lt;&gt; -1"),0)</f>
        <v>3982</v>
      </c>
      <c r="AJ24" s="4">
        <f>IFERROR(_xlfn.MINIFS($M$2:$M$21,$L$2:$L$21,"&lt;&gt; -1"),0)</f>
        <v>3312.87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1</v>
      </c>
      <c r="AN24" s="4">
        <f>(COUNTIFS($H$2:$H$21,"&gt;0.0",$H$2:$H$21,"&lt;200.0"))/20</f>
        <v>1</v>
      </c>
      <c r="AO24" s="4">
        <f>(COUNTIFS($J$2:$J$21,"&gt;0.0",$J$2:$J$21,"&lt;200.0"))/20</f>
        <v>0.8</v>
      </c>
      <c r="AP24" s="4">
        <f>(COUNTIFS($L$2:$L$21,"&gt;0.0",$L$2:$L$21,"&lt;200.0"))/20</f>
        <v>0.95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5"/>
  <sheetViews>
    <sheetView workbookViewId="0">
      <selection activeCell="A25" sqref="$A25:$XFD2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41.96</v>
      </c>
      <c r="C2">
        <v>5155</v>
      </c>
      <c r="D2">
        <v>41.94</v>
      </c>
      <c r="E2">
        <v>3729.94</v>
      </c>
      <c r="F2">
        <v>50.01</v>
      </c>
      <c r="G2">
        <v>4275</v>
      </c>
      <c r="H2">
        <v>52.04</v>
      </c>
      <c r="I2">
        <v>4039.43</v>
      </c>
      <c r="J2">
        <v>-1</v>
      </c>
      <c r="K2">
        <v>3910</v>
      </c>
      <c r="L2">
        <v>-1</v>
      </c>
      <c r="M2">
        <v>0</v>
      </c>
    </row>
    <row r="3" spans="1:13">
      <c r="A3" t="s">
        <v>14</v>
      </c>
      <c r="B3">
        <v>42.87</v>
      </c>
      <c r="C3">
        <v>4807</v>
      </c>
      <c r="D3">
        <v>42.78</v>
      </c>
      <c r="E3">
        <v>3596.11</v>
      </c>
      <c r="F3">
        <v>53.01</v>
      </c>
      <c r="G3">
        <v>4257</v>
      </c>
      <c r="H3">
        <v>60.64</v>
      </c>
      <c r="I3">
        <v>4021.28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56.57</v>
      </c>
      <c r="C4">
        <v>4751</v>
      </c>
      <c r="D4">
        <v>56.61</v>
      </c>
      <c r="E4">
        <v>3537.65</v>
      </c>
      <c r="F4">
        <v>65.9</v>
      </c>
      <c r="G4">
        <v>4125</v>
      </c>
      <c r="H4">
        <v>70.46</v>
      </c>
      <c r="I4">
        <v>3960.99</v>
      </c>
      <c r="J4">
        <v>85.38</v>
      </c>
      <c r="K4">
        <v>4119</v>
      </c>
      <c r="L4">
        <v>-1</v>
      </c>
      <c r="M4">
        <v>0</v>
      </c>
    </row>
    <row r="5" spans="1:13">
      <c r="A5" t="s">
        <v>16</v>
      </c>
      <c r="B5">
        <v>41.41</v>
      </c>
      <c r="C5">
        <v>4917</v>
      </c>
      <c r="D5">
        <v>41.36</v>
      </c>
      <c r="E5">
        <v>3735.78</v>
      </c>
      <c r="F5">
        <v>47.3</v>
      </c>
      <c r="G5">
        <v>4305</v>
      </c>
      <c r="H5">
        <v>50.3</v>
      </c>
      <c r="I5">
        <v>4126.82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40.07</v>
      </c>
      <c r="C6">
        <v>4576</v>
      </c>
      <c r="D6">
        <v>40.08</v>
      </c>
      <c r="E6">
        <v>3420.53</v>
      </c>
      <c r="F6">
        <v>43.75</v>
      </c>
      <c r="G6">
        <v>3968</v>
      </c>
      <c r="H6">
        <v>45.81</v>
      </c>
      <c r="I6">
        <v>3813.9</v>
      </c>
      <c r="J6">
        <v>-1</v>
      </c>
      <c r="K6">
        <v>604</v>
      </c>
      <c r="L6">
        <v>-1</v>
      </c>
      <c r="M6">
        <v>536.05</v>
      </c>
    </row>
    <row r="7" spans="1:13">
      <c r="A7" t="s">
        <v>18</v>
      </c>
      <c r="B7">
        <v>40.71</v>
      </c>
      <c r="C7">
        <v>5087</v>
      </c>
      <c r="D7">
        <v>40.67</v>
      </c>
      <c r="E7">
        <v>3669.76</v>
      </c>
      <c r="F7">
        <v>44.86</v>
      </c>
      <c r="G7">
        <v>4287</v>
      </c>
      <c r="H7">
        <v>48.14</v>
      </c>
      <c r="I7">
        <v>4034.59</v>
      </c>
      <c r="J7">
        <v>54.08</v>
      </c>
      <c r="K7">
        <v>4283</v>
      </c>
      <c r="L7">
        <v>-1</v>
      </c>
      <c r="M7">
        <v>0</v>
      </c>
    </row>
    <row r="8" spans="1:13">
      <c r="A8" t="s">
        <v>19</v>
      </c>
      <c r="B8">
        <v>38.43</v>
      </c>
      <c r="C8">
        <v>4583</v>
      </c>
      <c r="D8">
        <v>38.39</v>
      </c>
      <c r="E8">
        <v>3460.38</v>
      </c>
      <c r="F8">
        <v>44.75</v>
      </c>
      <c r="G8">
        <v>4045</v>
      </c>
      <c r="H8">
        <v>50.1</v>
      </c>
      <c r="I8">
        <v>3787.16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42.29</v>
      </c>
      <c r="C9">
        <v>4996</v>
      </c>
      <c r="D9">
        <v>42.2</v>
      </c>
      <c r="E9">
        <v>3644.58</v>
      </c>
      <c r="F9">
        <v>46.82</v>
      </c>
      <c r="G9">
        <v>4268</v>
      </c>
      <c r="H9">
        <v>52.82</v>
      </c>
      <c r="I9">
        <v>4037.07</v>
      </c>
      <c r="J9">
        <v>-1</v>
      </c>
      <c r="K9">
        <v>680</v>
      </c>
      <c r="L9">
        <v>-1</v>
      </c>
      <c r="M9">
        <v>580</v>
      </c>
    </row>
    <row r="10" spans="1:13">
      <c r="A10" t="s">
        <v>21</v>
      </c>
      <c r="B10">
        <v>46.05</v>
      </c>
      <c r="C10">
        <v>4684</v>
      </c>
      <c r="D10">
        <v>46.08</v>
      </c>
      <c r="E10">
        <v>3627.06</v>
      </c>
      <c r="F10">
        <v>49.25</v>
      </c>
      <c r="G10">
        <v>4232</v>
      </c>
      <c r="H10">
        <v>55.02</v>
      </c>
      <c r="I10">
        <v>4146.67</v>
      </c>
      <c r="J10">
        <v>-1</v>
      </c>
      <c r="K10">
        <v>686</v>
      </c>
      <c r="L10">
        <v>86.3</v>
      </c>
      <c r="M10">
        <v>3616.76</v>
      </c>
    </row>
    <row r="11" spans="1:13">
      <c r="A11" t="s">
        <v>22</v>
      </c>
      <c r="B11">
        <v>41.6</v>
      </c>
      <c r="C11">
        <v>4968</v>
      </c>
      <c r="D11">
        <v>41.63</v>
      </c>
      <c r="E11">
        <v>3612.84</v>
      </c>
      <c r="F11">
        <v>47.72</v>
      </c>
      <c r="G11">
        <v>4206</v>
      </c>
      <c r="H11">
        <v>50.82</v>
      </c>
      <c r="I11">
        <v>4015.02</v>
      </c>
      <c r="J11">
        <v>-1</v>
      </c>
      <c r="K11">
        <v>640</v>
      </c>
      <c r="L11">
        <v>-1</v>
      </c>
      <c r="M11">
        <v>537.49</v>
      </c>
    </row>
    <row r="12" spans="1:13">
      <c r="A12" t="s">
        <v>23</v>
      </c>
      <c r="B12">
        <v>44.6</v>
      </c>
      <c r="C12">
        <v>5023</v>
      </c>
      <c r="D12">
        <v>44.5</v>
      </c>
      <c r="E12">
        <v>3715.19</v>
      </c>
      <c r="F12">
        <v>50.04</v>
      </c>
      <c r="G12">
        <v>4325</v>
      </c>
      <c r="H12">
        <v>54.21</v>
      </c>
      <c r="I12">
        <v>4095.1</v>
      </c>
      <c r="J12">
        <v>-1</v>
      </c>
      <c r="K12">
        <v>1503</v>
      </c>
      <c r="L12">
        <v>-1</v>
      </c>
      <c r="M12">
        <v>0</v>
      </c>
    </row>
    <row r="13" spans="1:13">
      <c r="A13" t="s">
        <v>24</v>
      </c>
      <c r="B13">
        <v>40.3</v>
      </c>
      <c r="C13">
        <v>4551</v>
      </c>
      <c r="D13">
        <v>40.28</v>
      </c>
      <c r="E13">
        <v>3421.65</v>
      </c>
      <c r="F13">
        <v>46.89</v>
      </c>
      <c r="G13">
        <v>4009</v>
      </c>
      <c r="H13">
        <v>48.9</v>
      </c>
      <c r="I13">
        <v>3750.01</v>
      </c>
      <c r="J13">
        <v>-1</v>
      </c>
      <c r="K13">
        <v>571</v>
      </c>
      <c r="L13">
        <v>-1</v>
      </c>
      <c r="M13">
        <v>496.61</v>
      </c>
    </row>
    <row r="14" spans="1:13">
      <c r="A14" t="s">
        <v>25</v>
      </c>
      <c r="B14">
        <v>40.26</v>
      </c>
      <c r="C14">
        <v>4506</v>
      </c>
      <c r="D14">
        <v>40.25</v>
      </c>
      <c r="E14">
        <v>3470.51</v>
      </c>
      <c r="F14">
        <v>43.13</v>
      </c>
      <c r="G14">
        <v>4062</v>
      </c>
      <c r="H14">
        <v>47.14</v>
      </c>
      <c r="I14">
        <v>3861.75</v>
      </c>
      <c r="J14">
        <v>-1</v>
      </c>
      <c r="K14">
        <v>579</v>
      </c>
      <c r="L14">
        <v>-1</v>
      </c>
      <c r="M14">
        <v>484.1</v>
      </c>
    </row>
    <row r="15" spans="1:13">
      <c r="A15" t="s">
        <v>26</v>
      </c>
      <c r="B15">
        <v>43.08</v>
      </c>
      <c r="C15">
        <v>5254</v>
      </c>
      <c r="D15">
        <v>42.98</v>
      </c>
      <c r="E15">
        <v>3761.43</v>
      </c>
      <c r="F15">
        <v>50.09</v>
      </c>
      <c r="G15">
        <v>4426</v>
      </c>
      <c r="H15">
        <v>56.39</v>
      </c>
      <c r="I15">
        <v>4172.75</v>
      </c>
      <c r="J15">
        <v>-1</v>
      </c>
      <c r="K15">
        <v>0</v>
      </c>
      <c r="L15">
        <v>-1</v>
      </c>
      <c r="M15">
        <v>511.71</v>
      </c>
    </row>
    <row r="16" spans="1:13">
      <c r="A16" t="s">
        <v>27</v>
      </c>
      <c r="B16">
        <v>42.6</v>
      </c>
      <c r="C16">
        <v>5200</v>
      </c>
      <c r="D16">
        <v>42.53</v>
      </c>
      <c r="E16">
        <v>3855.29</v>
      </c>
      <c r="F16">
        <v>50.96</v>
      </c>
      <c r="G16">
        <v>4454</v>
      </c>
      <c r="H16">
        <v>52.79</v>
      </c>
      <c r="I16">
        <v>4219.32</v>
      </c>
      <c r="J16">
        <v>70.55</v>
      </c>
      <c r="K16">
        <v>4450</v>
      </c>
      <c r="L16">
        <v>-1</v>
      </c>
      <c r="M16">
        <v>0</v>
      </c>
    </row>
    <row r="17" spans="1:13">
      <c r="A17" t="s">
        <v>28</v>
      </c>
      <c r="B17">
        <v>41.6</v>
      </c>
      <c r="C17">
        <v>4893</v>
      </c>
      <c r="D17">
        <v>41.57</v>
      </c>
      <c r="E17">
        <v>3641.13</v>
      </c>
      <c r="F17">
        <v>46.97</v>
      </c>
      <c r="G17">
        <v>4289</v>
      </c>
      <c r="H17">
        <v>54.61</v>
      </c>
      <c r="I17">
        <v>4051.64</v>
      </c>
      <c r="J17">
        <v>-1</v>
      </c>
      <c r="K17">
        <v>711</v>
      </c>
      <c r="L17">
        <v>-1</v>
      </c>
      <c r="M17">
        <v>591.4</v>
      </c>
    </row>
    <row r="18" spans="1:13">
      <c r="A18" t="s">
        <v>29</v>
      </c>
      <c r="B18">
        <v>40.74</v>
      </c>
      <c r="C18">
        <v>4998</v>
      </c>
      <c r="D18">
        <v>40.67</v>
      </c>
      <c r="E18">
        <v>3729.35</v>
      </c>
      <c r="F18">
        <v>47.62</v>
      </c>
      <c r="G18">
        <v>4348</v>
      </c>
      <c r="H18">
        <v>51.78</v>
      </c>
      <c r="I18">
        <v>4115.29</v>
      </c>
      <c r="J18">
        <v>68.07</v>
      </c>
      <c r="K18">
        <v>4346</v>
      </c>
      <c r="L18">
        <v>-1</v>
      </c>
      <c r="M18">
        <v>2775.44</v>
      </c>
    </row>
    <row r="19" spans="1:13">
      <c r="A19" t="s">
        <v>30</v>
      </c>
      <c r="B19">
        <v>39.19</v>
      </c>
      <c r="C19">
        <v>4535</v>
      </c>
      <c r="D19">
        <v>39.22</v>
      </c>
      <c r="E19">
        <v>3517.53</v>
      </c>
      <c r="F19">
        <v>46.11</v>
      </c>
      <c r="G19">
        <v>4097</v>
      </c>
      <c r="H19">
        <v>46.35</v>
      </c>
      <c r="I19">
        <v>3988.31</v>
      </c>
      <c r="J19">
        <v>-1</v>
      </c>
      <c r="K19">
        <v>730</v>
      </c>
      <c r="L19">
        <v>-1</v>
      </c>
      <c r="M19">
        <v>0</v>
      </c>
    </row>
    <row r="20" spans="1:13">
      <c r="A20" t="s">
        <v>31</v>
      </c>
      <c r="B20">
        <v>42.37</v>
      </c>
      <c r="C20">
        <v>4608</v>
      </c>
      <c r="D20">
        <v>42.37</v>
      </c>
      <c r="E20">
        <v>3492.04</v>
      </c>
      <c r="F20">
        <v>46.94</v>
      </c>
      <c r="G20">
        <v>4052</v>
      </c>
      <c r="H20">
        <v>49.09</v>
      </c>
      <c r="I20">
        <v>3921.04</v>
      </c>
      <c r="J20">
        <v>66.33</v>
      </c>
      <c r="K20">
        <v>4050</v>
      </c>
      <c r="L20">
        <v>-1</v>
      </c>
      <c r="M20">
        <v>0</v>
      </c>
    </row>
    <row r="21" spans="1:13">
      <c r="A21" t="s">
        <v>32</v>
      </c>
      <c r="B21">
        <v>41.06</v>
      </c>
      <c r="C21">
        <v>5081</v>
      </c>
      <c r="D21">
        <v>40.96</v>
      </c>
      <c r="E21">
        <v>3646.29</v>
      </c>
      <c r="F21">
        <v>48.87</v>
      </c>
      <c r="G21">
        <v>4293</v>
      </c>
      <c r="H21">
        <v>53.57</v>
      </c>
      <c r="I21">
        <v>4025.85</v>
      </c>
      <c r="J21">
        <v>-1</v>
      </c>
      <c r="K21">
        <v>0</v>
      </c>
      <c r="L21">
        <v>-1</v>
      </c>
      <c r="M21">
        <v>0</v>
      </c>
    </row>
    <row r="24" spans="1:42">
      <c r="A24" s="2" t="s">
        <v>33</v>
      </c>
      <c r="B24" s="2" t="s">
        <v>34</v>
      </c>
      <c r="C24" s="2" t="s">
        <v>35</v>
      </c>
      <c r="D24" s="3" t="s">
        <v>36</v>
      </c>
      <c r="E24" s="2" t="s">
        <v>37</v>
      </c>
      <c r="F24" s="2" t="s">
        <v>38</v>
      </c>
      <c r="G24" s="2" t="s">
        <v>39</v>
      </c>
      <c r="H24" s="2" t="s">
        <v>40</v>
      </c>
      <c r="I24" s="2" t="s">
        <v>41</v>
      </c>
      <c r="J24" s="3" t="s">
        <v>42</v>
      </c>
      <c r="K24" s="2" t="s">
        <v>43</v>
      </c>
      <c r="L24" s="2" t="s">
        <v>44</v>
      </c>
      <c r="M24" s="2" t="s">
        <v>45</v>
      </c>
      <c r="N24" s="2" t="s">
        <v>46</v>
      </c>
      <c r="O24" s="2" t="s">
        <v>47</v>
      </c>
      <c r="P24" s="3" t="s">
        <v>48</v>
      </c>
      <c r="Q24" s="2" t="s">
        <v>49</v>
      </c>
      <c r="R24" s="2" t="s">
        <v>50</v>
      </c>
      <c r="S24" s="2" t="s">
        <v>51</v>
      </c>
      <c r="T24" s="2" t="s">
        <v>52</v>
      </c>
      <c r="U24" s="2" t="s">
        <v>53</v>
      </c>
      <c r="V24" s="3" t="s">
        <v>54</v>
      </c>
      <c r="W24" s="2" t="s">
        <v>55</v>
      </c>
      <c r="X24" s="2" t="s">
        <v>56</v>
      </c>
      <c r="Y24" s="2" t="s">
        <v>57</v>
      </c>
      <c r="Z24" s="2" t="s">
        <v>58</v>
      </c>
      <c r="AA24" s="2" t="s">
        <v>59</v>
      </c>
      <c r="AB24" s="3" t="s">
        <v>60</v>
      </c>
      <c r="AC24" s="2" t="s">
        <v>61</v>
      </c>
      <c r="AD24" s="2" t="s">
        <v>62</v>
      </c>
      <c r="AE24" s="2" t="s">
        <v>63</v>
      </c>
      <c r="AF24" s="2" t="s">
        <v>64</v>
      </c>
      <c r="AG24" s="2" t="s">
        <v>65</v>
      </c>
      <c r="AH24" s="3" t="s">
        <v>66</v>
      </c>
      <c r="AI24" s="2" t="s">
        <v>67</v>
      </c>
      <c r="AJ24" s="2" t="s">
        <v>68</v>
      </c>
      <c r="AK24" s="2" t="s">
        <v>69</v>
      </c>
      <c r="AL24" s="2" t="s">
        <v>70</v>
      </c>
      <c r="AM24" s="2" t="s">
        <v>71</v>
      </c>
      <c r="AN24" s="3" t="s">
        <v>72</v>
      </c>
      <c r="AO24" s="2" t="s">
        <v>73</v>
      </c>
      <c r="AP24" s="2" t="s">
        <v>74</v>
      </c>
    </row>
    <row r="25" spans="1:42">
      <c r="A25" s="4">
        <f>IFERROR(AVERAGEIF($B$2:$B$21,"&lt;&gt; -1"),0)</f>
        <v>42.388</v>
      </c>
      <c r="B25" s="4">
        <f>IFERROR(AVERAGEIF($D$2:$D$21,"&lt;&gt; -1"),0)</f>
        <v>42.3535</v>
      </c>
      <c r="C25" s="4">
        <f>IFERROR(AVERAGEIF($F$2:$F$21,"&lt;&gt; -1"),0)</f>
        <v>48.5495</v>
      </c>
      <c r="D25" s="4">
        <f>IFERROR(AVERAGEIF($H$2:$H$21,"&lt;&gt; -1"),0)</f>
        <v>52.549</v>
      </c>
      <c r="E25" s="4">
        <f>IFERROR(AVERAGEIF($J$2:$J$21,"&lt;&gt; -1"),0)</f>
        <v>68.882</v>
      </c>
      <c r="F25" s="4">
        <f>IFERROR(AVERAGEIF($L$2:$L$21,"&lt;&gt; -1"),0)</f>
        <v>86.3</v>
      </c>
      <c r="G25" s="4">
        <f>IFERROR(AVERAGEIFS($C$2:$C$21,$B$2:$B$21,"&lt;&gt; -1"),0)</f>
        <v>4858.65</v>
      </c>
      <c r="H25" s="4">
        <f>IFERROR(AVERAGEIFS($E$2:$E$21,$D$2:$D$21,"&lt;&gt; -1"),0)</f>
        <v>3614.252</v>
      </c>
      <c r="I25" s="4">
        <f>IFERROR(AVERAGEIFS($G$2:$G$21,$F$2:$F$21,"&lt;&gt; -1"),0)</f>
        <v>4216.15</v>
      </c>
      <c r="J25" s="4">
        <f>IFERROR(AVERAGEIFS($I$2:$I$21,$H$2:$H$21,"&lt;&gt; -1"),0)</f>
        <v>4009.1995</v>
      </c>
      <c r="K25" s="4">
        <f>IFERROR(AVERAGEIFS($K$2:$K$21,$J$2:$J$21,"&lt;&gt; -1"),0)</f>
        <v>4249.6</v>
      </c>
      <c r="L25" s="4">
        <f>IFERROR(AVERAGEIFS($M$2:$M$21,$L$2:$L$21,"&lt;&gt; -1"),0)</f>
        <v>3616.76</v>
      </c>
      <c r="M25" s="4">
        <f>IFERROR(_xlfn.MAXIFS($B$2:$B$21,$B$2:$B$21,"&lt;&gt; -1"),0)</f>
        <v>56.57</v>
      </c>
      <c r="N25" s="4">
        <f>IFERROR(_xlfn.MAXIFS($D$2:$D$21,$D$2:$D$21,"&lt;&gt;-1"),0)</f>
        <v>56.61</v>
      </c>
      <c r="O25" s="4">
        <f>IFERROR(_xlfn.MAXIFS($F$2:$F$21,$F$2:$F$21,"&lt;&gt; -1"),0)</f>
        <v>65.9</v>
      </c>
      <c r="P25" s="4">
        <f>IFERROR(_xlfn.MAXIFS($H$2:$H$21,$H$2:$H$21,"&lt;&gt; -1"),0)</f>
        <v>70.46</v>
      </c>
      <c r="Q25" s="4">
        <f>IFERROR(_xlfn.MAXIFS($J$2:$J$21,$J$2:$J$21,"&lt;&gt; -1"),0)</f>
        <v>85.38</v>
      </c>
      <c r="R25" s="4">
        <f>IFERROR(_xlfn.MAXIFS($L$2:$L$21,$L$2:$L$21,"&lt;&gt; -1"),0)</f>
        <v>86.3</v>
      </c>
      <c r="S25" s="4">
        <f>IFERROR(_xlfn.MINIFS($B$2:$B$21,$B$2:$B$21,"&lt;&gt; -1"),0)</f>
        <v>38.43</v>
      </c>
      <c r="T25" s="4">
        <f>IFERROR(_xlfn.MINIFS($D$2:$D$21,$D$2:$D$21,"&lt;&gt;-1"),0)</f>
        <v>38.39</v>
      </c>
      <c r="U25" s="4">
        <f>IFERROR(_xlfn.MINIFS($F$2:$F$21,$F$2:$F$21,"&lt;&gt; -1"),0)</f>
        <v>43.13</v>
      </c>
      <c r="V25" s="4">
        <f>IFERROR(_xlfn.MINIFS($H$2:$H$21,$H$2:$H$21,"&lt;&gt; -1"),0)</f>
        <v>45.81</v>
      </c>
      <c r="W25" s="4">
        <f>IFERROR(_xlfn.MINIFS($J$2:$J$21,$J$2:$J$21,"&lt;&gt; -1"),0)</f>
        <v>54.08</v>
      </c>
      <c r="X25" s="4">
        <f>IFERROR(_xlfn.MINIFS($L$2:$L$21,$L$2:$L$21,"&lt;&gt; -1"),0)</f>
        <v>86.3</v>
      </c>
      <c r="Y25" s="4">
        <f>IFERROR(_xlfn.MAXIFS($C$2:$C$21,$B$2:$B$21,"&lt;&gt; -1"),0)</f>
        <v>5254</v>
      </c>
      <c r="Z25" s="4">
        <f>IFERROR(_xlfn.MAXIFS($E$2:$E$21,$D$2:$D$21,"&lt;&gt; -1"),0)</f>
        <v>3855.29</v>
      </c>
      <c r="AA25" s="4">
        <f>IFERROR(_xlfn.MAXIFS($G$2:$G$21,$F$2:$F$21,"&lt;&gt; -1"),0)</f>
        <v>4454</v>
      </c>
      <c r="AB25" s="4">
        <f>IFERROR(_xlfn.MAXIFS($I$2:$I$21,$H$2:$H$21,"&lt;&gt; -1"),0)</f>
        <v>4219.32</v>
      </c>
      <c r="AC25" s="4">
        <f>IFERROR(_xlfn.MAXIFS($K$2:$K$21,$J$2:$J$21,"&lt;&gt; -1"),0)</f>
        <v>4450</v>
      </c>
      <c r="AD25" s="4">
        <f>IFERROR(_xlfn.MAXIFS($M$2:$M$21,$L$2:$L$21,"&lt;&gt; -1"),0)</f>
        <v>3616.76</v>
      </c>
      <c r="AE25" s="4">
        <f>IFERROR(_xlfn.MINIFS($C$2:$C$21,$B$2:$B$21,"&lt;&gt; -1"),0)</f>
        <v>4506</v>
      </c>
      <c r="AF25" s="4">
        <f>IFERROR(_xlfn.MINIFS($E$2:$E$21,$D$2:$D$21,"&lt;&gt; -1"),0)</f>
        <v>3420.53</v>
      </c>
      <c r="AG25" s="4">
        <f>IFERROR(_xlfn.MINIFS($G$2:$G$21,$F$2:$F$21,"&lt;&gt; -1"),0)</f>
        <v>3968</v>
      </c>
      <c r="AH25" s="4">
        <f>IFERROR(_xlfn.MINIFS($I$2:$I$21,$H$2:$H$21,"&lt;&gt; -1"),0)</f>
        <v>3750.01</v>
      </c>
      <c r="AI25" s="4">
        <f>IFERROR(_xlfn.MINIFS($K$2:$K$21,$J$2:$J$21,"&lt;&gt; -1"),0)</f>
        <v>4050</v>
      </c>
      <c r="AJ25" s="4">
        <f>IFERROR(_xlfn.MINIFS($M$2:$M$21,$L$2:$L$21,"&lt;&gt; -1"),0)</f>
        <v>3616.76</v>
      </c>
      <c r="AK25" s="4">
        <f>(COUNTIFS($B$2:$B$21,"&gt;0.0",$B$2:$B$21,"&lt;200.0"))/20</f>
        <v>1</v>
      </c>
      <c r="AL25" s="4">
        <f>(COUNTIFS($D$2:$D$21,"&gt;0.0",$D$2:$D$21,"&lt;200.0"))/20</f>
        <v>1</v>
      </c>
      <c r="AM25" s="4">
        <f>(COUNTIFS($F$2:$F$21,"&gt;0.0",$F$2:$F$21,"&lt;200.0"))/20</f>
        <v>1</v>
      </c>
      <c r="AN25" s="4">
        <f>(COUNTIFS($H$2:$H$21,"&gt;0.0",$H$2:$H$21,"&lt;200.0"))/20</f>
        <v>1</v>
      </c>
      <c r="AO25" s="4">
        <f>(COUNTIFS($J$2:$J$21,"&gt;0.0",$J$2:$J$21,"&lt;200.0"))/20</f>
        <v>0.25</v>
      </c>
      <c r="AP25" s="4">
        <f>(COUNTIFS($L$2:$L$21,"&gt;0.0",$L$2:$L$21,"&lt;200.0"))/20</f>
        <v>0.05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6"/>
  <sheetViews>
    <sheetView workbookViewId="0">
      <selection activeCell="A26" sqref="$A26:$XFD26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49.92</v>
      </c>
      <c r="C2">
        <v>5156</v>
      </c>
      <c r="D2">
        <v>49.87</v>
      </c>
      <c r="E2">
        <v>3751.67</v>
      </c>
      <c r="F2">
        <v>62.23</v>
      </c>
      <c r="G2">
        <v>4286</v>
      </c>
      <c r="H2">
        <v>76</v>
      </c>
      <c r="I2">
        <v>4098.88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48.64</v>
      </c>
      <c r="C3">
        <v>5314</v>
      </c>
      <c r="D3">
        <v>48.59</v>
      </c>
      <c r="E3">
        <v>3770.48</v>
      </c>
      <c r="F3">
        <v>66.15</v>
      </c>
      <c r="G3">
        <v>4462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46.69</v>
      </c>
      <c r="C4">
        <v>4738</v>
      </c>
      <c r="D4">
        <v>46.63</v>
      </c>
      <c r="E4">
        <v>3537.26</v>
      </c>
      <c r="F4">
        <v>53.88</v>
      </c>
      <c r="G4">
        <v>4158</v>
      </c>
      <c r="H4">
        <v>92.98</v>
      </c>
      <c r="I4">
        <v>3933.97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47.15</v>
      </c>
      <c r="C5">
        <v>5064</v>
      </c>
      <c r="D5">
        <v>47.13</v>
      </c>
      <c r="E5">
        <v>3752.38</v>
      </c>
      <c r="F5">
        <v>52.84</v>
      </c>
      <c r="G5">
        <v>4402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44.8</v>
      </c>
      <c r="C6">
        <v>4944</v>
      </c>
      <c r="D6">
        <v>44.73</v>
      </c>
      <c r="E6">
        <v>3611.18</v>
      </c>
      <c r="F6">
        <v>58.94</v>
      </c>
      <c r="G6">
        <v>4160</v>
      </c>
      <c r="H6">
        <v>77.48</v>
      </c>
      <c r="I6">
        <v>3948.66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46.05</v>
      </c>
      <c r="C7">
        <v>4675</v>
      </c>
      <c r="D7">
        <v>46.01</v>
      </c>
      <c r="E7">
        <v>3524.34</v>
      </c>
      <c r="F7">
        <v>51.17</v>
      </c>
      <c r="G7">
        <v>4107</v>
      </c>
      <c r="H7">
        <v>-1</v>
      </c>
      <c r="I7">
        <v>887.99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45.09</v>
      </c>
      <c r="C8">
        <v>4982</v>
      </c>
      <c r="D8">
        <v>45.15</v>
      </c>
      <c r="E8">
        <v>3764.39</v>
      </c>
      <c r="F8">
        <v>53.78</v>
      </c>
      <c r="G8">
        <v>4316</v>
      </c>
      <c r="H8">
        <v>-1</v>
      </c>
      <c r="I8">
        <v>2626.73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50.54</v>
      </c>
      <c r="C9">
        <v>4851</v>
      </c>
      <c r="D9">
        <v>50.54</v>
      </c>
      <c r="E9">
        <v>3618.43</v>
      </c>
      <c r="F9">
        <v>55.29</v>
      </c>
      <c r="G9">
        <v>4295</v>
      </c>
      <c r="H9">
        <v>64.47</v>
      </c>
      <c r="I9">
        <v>4014.55</v>
      </c>
      <c r="J9">
        <v>-1</v>
      </c>
      <c r="K9">
        <v>912</v>
      </c>
      <c r="L9">
        <v>-1</v>
      </c>
      <c r="M9">
        <v>0</v>
      </c>
    </row>
    <row r="10" spans="1:13">
      <c r="A10" t="s">
        <v>21</v>
      </c>
      <c r="B10">
        <v>48.47</v>
      </c>
      <c r="C10">
        <v>4945</v>
      </c>
      <c r="D10">
        <v>48.48</v>
      </c>
      <c r="E10">
        <v>3608.44</v>
      </c>
      <c r="F10">
        <v>51.7</v>
      </c>
      <c r="G10">
        <v>4171</v>
      </c>
      <c r="H10">
        <v>54.9</v>
      </c>
      <c r="I10">
        <v>4042.61</v>
      </c>
      <c r="J10">
        <v>-1</v>
      </c>
      <c r="K10">
        <v>1852</v>
      </c>
      <c r="L10">
        <v>-1</v>
      </c>
      <c r="M10">
        <v>0</v>
      </c>
    </row>
    <row r="11" spans="1:13">
      <c r="A11" t="s">
        <v>22</v>
      </c>
      <c r="B11">
        <v>46.79</v>
      </c>
      <c r="C11">
        <v>4795</v>
      </c>
      <c r="D11">
        <v>46.74</v>
      </c>
      <c r="E11">
        <v>3663.9</v>
      </c>
      <c r="F11">
        <v>54</v>
      </c>
      <c r="G11">
        <v>4321</v>
      </c>
      <c r="H11">
        <v>57.72</v>
      </c>
      <c r="I11">
        <v>4039.1</v>
      </c>
      <c r="J11">
        <v>-1</v>
      </c>
      <c r="K11">
        <v>2566</v>
      </c>
      <c r="L11">
        <v>-1</v>
      </c>
      <c r="M11">
        <v>0</v>
      </c>
    </row>
    <row r="12" spans="1:13">
      <c r="A12" t="s">
        <v>23</v>
      </c>
      <c r="B12">
        <v>47.62</v>
      </c>
      <c r="C12">
        <v>4909</v>
      </c>
      <c r="D12">
        <v>47.59</v>
      </c>
      <c r="E12">
        <v>3618.63</v>
      </c>
      <c r="F12">
        <v>60.57</v>
      </c>
      <c r="G12">
        <v>4245</v>
      </c>
      <c r="H12">
        <v>64.68</v>
      </c>
      <c r="I12">
        <v>3910.36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46.08</v>
      </c>
      <c r="C13">
        <v>5330</v>
      </c>
      <c r="D13">
        <v>45.92</v>
      </c>
      <c r="E13">
        <v>3660.13</v>
      </c>
      <c r="F13">
        <v>57.57</v>
      </c>
      <c r="G13">
        <v>4160</v>
      </c>
      <c r="H13">
        <v>78.19</v>
      </c>
      <c r="I13">
        <v>3931.49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46.81</v>
      </c>
      <c r="C14">
        <v>4850</v>
      </c>
      <c r="D14">
        <v>46.78</v>
      </c>
      <c r="E14">
        <v>3526.49</v>
      </c>
      <c r="F14">
        <v>52.98</v>
      </c>
      <c r="G14">
        <v>4010</v>
      </c>
      <c r="H14">
        <v>75.72</v>
      </c>
      <c r="I14">
        <v>3905.87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50.18</v>
      </c>
      <c r="C15">
        <v>5277</v>
      </c>
      <c r="D15">
        <v>50.16</v>
      </c>
      <c r="E15">
        <v>3817.44</v>
      </c>
      <c r="F15">
        <v>54.62</v>
      </c>
      <c r="G15">
        <v>4475</v>
      </c>
      <c r="H15">
        <v>58.61</v>
      </c>
      <c r="I15">
        <v>4216.74</v>
      </c>
      <c r="J15">
        <v>-1</v>
      </c>
      <c r="K15">
        <v>783</v>
      </c>
      <c r="L15">
        <v>-1</v>
      </c>
      <c r="M15">
        <v>0</v>
      </c>
    </row>
    <row r="16" spans="1:13">
      <c r="A16" t="s">
        <v>27</v>
      </c>
      <c r="B16">
        <v>49.08</v>
      </c>
      <c r="C16">
        <v>5464</v>
      </c>
      <c r="D16">
        <v>49.03</v>
      </c>
      <c r="E16">
        <v>3784.48</v>
      </c>
      <c r="F16">
        <v>61.09</v>
      </c>
      <c r="G16">
        <v>4404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47.91</v>
      </c>
      <c r="C17">
        <v>5050</v>
      </c>
      <c r="D17">
        <v>47.81</v>
      </c>
      <c r="E17">
        <v>3654.15</v>
      </c>
      <c r="F17">
        <v>55.29</v>
      </c>
      <c r="G17">
        <v>4190</v>
      </c>
      <c r="H17">
        <v>60.28</v>
      </c>
      <c r="I17">
        <v>4031.94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47.15</v>
      </c>
      <c r="C18">
        <v>4943</v>
      </c>
      <c r="D18">
        <v>47.22</v>
      </c>
      <c r="E18">
        <v>3668.89</v>
      </c>
      <c r="F18">
        <v>53.16</v>
      </c>
      <c r="G18">
        <v>4245</v>
      </c>
      <c r="H18">
        <v>82.73</v>
      </c>
      <c r="I18">
        <v>4003.76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45.84</v>
      </c>
      <c r="C19">
        <v>4929</v>
      </c>
      <c r="D19">
        <v>45.82</v>
      </c>
      <c r="E19">
        <v>3512.68</v>
      </c>
      <c r="F19">
        <v>54.67</v>
      </c>
      <c r="G19">
        <v>4067</v>
      </c>
      <c r="H19">
        <v>-1</v>
      </c>
      <c r="I19">
        <v>1129.45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49.89</v>
      </c>
      <c r="C20">
        <v>5227</v>
      </c>
      <c r="D20">
        <v>49.8</v>
      </c>
      <c r="E20">
        <v>3751.03</v>
      </c>
      <c r="F20">
        <v>60.7</v>
      </c>
      <c r="G20">
        <v>4309</v>
      </c>
      <c r="H20">
        <v>82</v>
      </c>
      <c r="I20">
        <v>4163.65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49.25</v>
      </c>
      <c r="C21">
        <v>5484</v>
      </c>
      <c r="D21">
        <v>49.19</v>
      </c>
      <c r="E21">
        <v>3888.18</v>
      </c>
      <c r="F21">
        <v>59.08</v>
      </c>
      <c r="G21">
        <v>4508</v>
      </c>
      <c r="H21">
        <v>58.29</v>
      </c>
      <c r="I21">
        <v>4194.16</v>
      </c>
      <c r="J21">
        <v>-1</v>
      </c>
      <c r="K21">
        <v>0</v>
      </c>
      <c r="L21">
        <v>-1</v>
      </c>
      <c r="M21">
        <v>0</v>
      </c>
    </row>
    <row r="25" spans="1:42">
      <c r="A25" s="2" t="s">
        <v>33</v>
      </c>
      <c r="B25" s="2" t="s">
        <v>34</v>
      </c>
      <c r="C25" s="2" t="s">
        <v>35</v>
      </c>
      <c r="D25" s="3" t="s">
        <v>36</v>
      </c>
      <c r="E25" s="2" t="s">
        <v>37</v>
      </c>
      <c r="F25" s="2" t="s">
        <v>38</v>
      </c>
      <c r="G25" s="2" t="s">
        <v>39</v>
      </c>
      <c r="H25" s="2" t="s">
        <v>40</v>
      </c>
      <c r="I25" s="2" t="s">
        <v>41</v>
      </c>
      <c r="J25" s="3" t="s">
        <v>42</v>
      </c>
      <c r="K25" s="2" t="s">
        <v>43</v>
      </c>
      <c r="L25" s="2" t="s">
        <v>44</v>
      </c>
      <c r="M25" s="2" t="s">
        <v>45</v>
      </c>
      <c r="N25" s="2" t="s">
        <v>46</v>
      </c>
      <c r="O25" s="2" t="s">
        <v>47</v>
      </c>
      <c r="P25" s="3" t="s">
        <v>48</v>
      </c>
      <c r="Q25" s="2" t="s">
        <v>49</v>
      </c>
      <c r="R25" s="2" t="s">
        <v>50</v>
      </c>
      <c r="S25" s="2" t="s">
        <v>51</v>
      </c>
      <c r="T25" s="2" t="s">
        <v>52</v>
      </c>
      <c r="U25" s="2" t="s">
        <v>53</v>
      </c>
      <c r="V25" s="3" t="s">
        <v>54</v>
      </c>
      <c r="W25" s="2" t="s">
        <v>55</v>
      </c>
      <c r="X25" s="2" t="s">
        <v>56</v>
      </c>
      <c r="Y25" s="2" t="s">
        <v>57</v>
      </c>
      <c r="Z25" s="2" t="s">
        <v>58</v>
      </c>
      <c r="AA25" s="2" t="s">
        <v>59</v>
      </c>
      <c r="AB25" s="3" t="s">
        <v>60</v>
      </c>
      <c r="AC25" s="2" t="s">
        <v>61</v>
      </c>
      <c r="AD25" s="2" t="s">
        <v>62</v>
      </c>
      <c r="AE25" s="2" t="s">
        <v>63</v>
      </c>
      <c r="AF25" s="2" t="s">
        <v>64</v>
      </c>
      <c r="AG25" s="2" t="s">
        <v>65</v>
      </c>
      <c r="AH25" s="3" t="s">
        <v>66</v>
      </c>
      <c r="AI25" s="2" t="s">
        <v>67</v>
      </c>
      <c r="AJ25" s="2" t="s">
        <v>68</v>
      </c>
      <c r="AK25" s="2" t="s">
        <v>69</v>
      </c>
      <c r="AL25" s="2" t="s">
        <v>70</v>
      </c>
      <c r="AM25" s="2" t="s">
        <v>71</v>
      </c>
      <c r="AN25" s="3" t="s">
        <v>72</v>
      </c>
      <c r="AO25" s="2" t="s">
        <v>73</v>
      </c>
      <c r="AP25" s="2" t="s">
        <v>74</v>
      </c>
    </row>
    <row r="26" spans="1:42">
      <c r="A26" s="4">
        <f>IFERROR(AVERAGEIF($B$2:$B$21,"&lt;&gt; -1"),0)</f>
        <v>47.6975</v>
      </c>
      <c r="B26" s="4">
        <f>IFERROR(AVERAGEIF($D$2:$D$21,"&lt;&gt; -1"),0)</f>
        <v>47.6595</v>
      </c>
      <c r="C26" s="4">
        <f>IFERROR(AVERAGEIF($F$2:$F$21,"&lt;&gt; -1"),0)</f>
        <v>56.4855</v>
      </c>
      <c r="D26" s="4">
        <f>IFERROR(AVERAGEIF($H$2:$H$21,"&lt;&gt; -1"),0)</f>
        <v>70.2892857142857</v>
      </c>
      <c r="E26" s="4">
        <f>IFERROR(AVERAGEIF($J$2:$J$21,"&lt;&gt; -1"),0)</f>
        <v>0</v>
      </c>
      <c r="F26" s="4">
        <f>IFERROR(AVERAGEIF($L$2:$L$21,"&lt;&gt; -1"),0)</f>
        <v>0</v>
      </c>
      <c r="G26" s="4">
        <f>IFERROR(AVERAGEIFS($C$2:$C$21,$B$2:$B$21,"&lt;&gt; -1"),0)</f>
        <v>5046.35</v>
      </c>
      <c r="H26" s="4">
        <f>IFERROR(AVERAGEIFS($E$2:$E$21,$D$2:$D$21,"&lt;&gt; -1"),0)</f>
        <v>3674.2285</v>
      </c>
      <c r="I26" s="4">
        <f>IFERROR(AVERAGEIFS($G$2:$G$21,$F$2:$F$21,"&lt;&gt; -1"),0)</f>
        <v>4264.55</v>
      </c>
      <c r="J26" s="4">
        <f>IFERROR(AVERAGEIFS($I$2:$I$21,$H$2:$H$21,"&lt;&gt; -1"),0)</f>
        <v>4031.12428571429</v>
      </c>
      <c r="K26" s="4">
        <f>IFERROR(AVERAGEIFS($K$2:$K$21,$J$2:$J$21,"&lt;&gt; -1"),0)</f>
        <v>0</v>
      </c>
      <c r="L26" s="4">
        <f>IFERROR(AVERAGEIFS($M$2:$M$21,$L$2:$L$21,"&lt;&gt; -1"),0)</f>
        <v>0</v>
      </c>
      <c r="M26" s="4">
        <f>IFERROR(_xlfn.MAXIFS($B$2:$B$21,$B$2:$B$21,"&lt;&gt; -1"),0)</f>
        <v>50.54</v>
      </c>
      <c r="N26" s="4">
        <f>IFERROR(_xlfn.MAXIFS($D$2:$D$21,$D$2:$D$21,"&lt;&gt;-1"),0)</f>
        <v>50.54</v>
      </c>
      <c r="O26" s="4">
        <f>IFERROR(_xlfn.MAXIFS($F$2:$F$21,$F$2:$F$21,"&lt;&gt; -1"),0)</f>
        <v>66.15</v>
      </c>
      <c r="P26" s="4">
        <f>IFERROR(_xlfn.MAXIFS($H$2:$H$21,$H$2:$H$21,"&lt;&gt; -1"),0)</f>
        <v>92.98</v>
      </c>
      <c r="Q26" s="4">
        <f>IFERROR(_xlfn.MAXIFS($J$2:$J$21,$J$2:$J$21,"&lt;&gt; -1"),0)</f>
        <v>0</v>
      </c>
      <c r="R26" s="4">
        <f>IFERROR(_xlfn.MAXIFS($L$2:$L$21,$L$2:$L$21,"&lt;&gt; -1"),0)</f>
        <v>0</v>
      </c>
      <c r="S26" s="4">
        <f>IFERROR(_xlfn.MINIFS($B$2:$B$21,$B$2:$B$21,"&lt;&gt; -1"),0)</f>
        <v>44.8</v>
      </c>
      <c r="T26" s="4">
        <f>IFERROR(_xlfn.MINIFS($D$2:$D$21,$D$2:$D$21,"&lt;&gt;-1"),0)</f>
        <v>44.73</v>
      </c>
      <c r="U26" s="4">
        <f>IFERROR(_xlfn.MINIFS($F$2:$F$21,$F$2:$F$21,"&lt;&gt; -1"),0)</f>
        <v>51.17</v>
      </c>
      <c r="V26" s="4">
        <f>IFERROR(_xlfn.MINIFS($H$2:$H$21,$H$2:$H$21,"&lt;&gt; -1"),0)</f>
        <v>54.9</v>
      </c>
      <c r="W26" s="4">
        <f>IFERROR(_xlfn.MINIFS($J$2:$J$21,$J$2:$J$21,"&lt;&gt; -1"),0)</f>
        <v>0</v>
      </c>
      <c r="X26" s="4">
        <f>IFERROR(_xlfn.MINIFS($L$2:$L$21,$L$2:$L$21,"&lt;&gt; -1"),0)</f>
        <v>0</v>
      </c>
      <c r="Y26" s="4">
        <f>IFERROR(_xlfn.MAXIFS($C$2:$C$21,$B$2:$B$21,"&lt;&gt; -1"),0)</f>
        <v>5484</v>
      </c>
      <c r="Z26" s="4">
        <f>IFERROR(_xlfn.MAXIFS($E$2:$E$21,$D$2:$D$21,"&lt;&gt; -1"),0)</f>
        <v>3888.18</v>
      </c>
      <c r="AA26" s="4">
        <f>IFERROR(_xlfn.MAXIFS($G$2:$G$21,$F$2:$F$21,"&lt;&gt; -1"),0)</f>
        <v>4508</v>
      </c>
      <c r="AB26" s="4">
        <f>IFERROR(_xlfn.MAXIFS($I$2:$I$21,$H$2:$H$21,"&lt;&gt; -1"),0)</f>
        <v>4216.74</v>
      </c>
      <c r="AC26" s="4">
        <f>IFERROR(_xlfn.MAXIFS($K$2:$K$21,$J$2:$J$21,"&lt;&gt; -1"),0)</f>
        <v>0</v>
      </c>
      <c r="AD26" s="4">
        <f>IFERROR(_xlfn.MAXIFS($M$2:$M$21,$L$2:$L$21,"&lt;&gt; -1"),0)</f>
        <v>0</v>
      </c>
      <c r="AE26" s="4">
        <f>IFERROR(_xlfn.MINIFS($C$2:$C$21,$B$2:$B$21,"&lt;&gt; -1"),0)</f>
        <v>4675</v>
      </c>
      <c r="AF26" s="4">
        <f>IFERROR(_xlfn.MINIFS($E$2:$E$21,$D$2:$D$21,"&lt;&gt; -1"),0)</f>
        <v>3512.68</v>
      </c>
      <c r="AG26" s="4">
        <f>IFERROR(_xlfn.MINIFS($G$2:$G$21,$F$2:$F$21,"&lt;&gt; -1"),0)</f>
        <v>4010</v>
      </c>
      <c r="AH26" s="4">
        <f>IFERROR(_xlfn.MINIFS($I$2:$I$21,$H$2:$H$21,"&lt;&gt; -1"),0)</f>
        <v>3905.87</v>
      </c>
      <c r="AI26" s="4">
        <f>IFERROR(_xlfn.MINIFS($K$2:$K$21,$J$2:$J$21,"&lt;&gt; -1"),0)</f>
        <v>0</v>
      </c>
      <c r="AJ26" s="4">
        <f>IFERROR(_xlfn.MINIFS($M$2:$M$21,$L$2:$L$21,"&lt;&gt; -1"),0)</f>
        <v>0</v>
      </c>
      <c r="AK26" s="4">
        <f>(COUNTIFS($B$2:$B$21,"&gt;0.0",$B$2:$B$21,"&lt;200.0"))/20</f>
        <v>1</v>
      </c>
      <c r="AL26" s="4">
        <f>(COUNTIFS($D$2:$D$21,"&gt;0.0",$D$2:$D$21,"&lt;200.0"))/20</f>
        <v>1</v>
      </c>
      <c r="AM26" s="4">
        <f>(COUNTIFS($F$2:$F$21,"&gt;0.0",$F$2:$F$21,"&lt;200.0"))/20</f>
        <v>1</v>
      </c>
      <c r="AN26" s="4">
        <f>(COUNTIFS($H$2:$H$21,"&gt;0.0",$H$2:$H$21,"&lt;200.0"))/20</f>
        <v>0.7</v>
      </c>
      <c r="AO26" s="4">
        <f>(COUNTIFS($J$2:$J$21,"&gt;0.0",$J$2:$J$21,"&lt;200.0"))/20</f>
        <v>0</v>
      </c>
      <c r="AP26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5"/>
  <sheetViews>
    <sheetView workbookViewId="0">
      <selection activeCell="A25" sqref="$A25:$XFD2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64.1</v>
      </c>
      <c r="C2">
        <v>5429</v>
      </c>
      <c r="D2">
        <v>64.04</v>
      </c>
      <c r="E2">
        <v>3770.47</v>
      </c>
      <c r="F2">
        <v>79.37</v>
      </c>
      <c r="G2">
        <v>4299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64.36</v>
      </c>
      <c r="C3">
        <v>5463</v>
      </c>
      <c r="D3">
        <v>64.32</v>
      </c>
      <c r="E3">
        <v>3771.42</v>
      </c>
      <c r="F3">
        <v>70.81</v>
      </c>
      <c r="G3">
        <v>4333</v>
      </c>
      <c r="H3">
        <v>97.78</v>
      </c>
      <c r="I3">
        <v>4126.23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53.39</v>
      </c>
      <c r="C4">
        <v>5011</v>
      </c>
      <c r="D4">
        <v>53.35</v>
      </c>
      <c r="E4">
        <v>3581.98</v>
      </c>
      <c r="F4">
        <v>58.45</v>
      </c>
      <c r="G4">
        <v>4171</v>
      </c>
      <c r="H4">
        <v>60.04</v>
      </c>
      <c r="I4">
        <v>4001.72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61</v>
      </c>
      <c r="C5">
        <v>5463</v>
      </c>
      <c r="D5">
        <v>61.06</v>
      </c>
      <c r="E5">
        <v>3772.96</v>
      </c>
      <c r="F5">
        <v>72.43</v>
      </c>
      <c r="G5">
        <v>4347</v>
      </c>
      <c r="H5">
        <v>-1</v>
      </c>
      <c r="I5">
        <v>1039.31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72.31</v>
      </c>
      <c r="C6">
        <v>4208</v>
      </c>
      <c r="D6">
        <v>72.23</v>
      </c>
      <c r="E6">
        <v>3270.23</v>
      </c>
      <c r="F6">
        <v>80.09</v>
      </c>
      <c r="G6">
        <v>3878</v>
      </c>
      <c r="H6">
        <v>81.8</v>
      </c>
      <c r="I6">
        <v>3656.47</v>
      </c>
      <c r="J6">
        <v>-1</v>
      </c>
      <c r="K6">
        <v>2087</v>
      </c>
      <c r="L6">
        <v>-1</v>
      </c>
      <c r="M6">
        <v>407.09</v>
      </c>
    </row>
    <row r="7" spans="1:13">
      <c r="A7" t="s">
        <v>18</v>
      </c>
      <c r="B7">
        <v>76.08</v>
      </c>
      <c r="C7">
        <v>4834</v>
      </c>
      <c r="D7">
        <v>76.1</v>
      </c>
      <c r="E7">
        <v>3677.83</v>
      </c>
      <c r="F7">
        <v>83.08</v>
      </c>
      <c r="G7">
        <v>4308</v>
      </c>
      <c r="H7">
        <v>92.21</v>
      </c>
      <c r="I7">
        <v>4067.65</v>
      </c>
      <c r="J7">
        <v>-1</v>
      </c>
      <c r="K7">
        <v>892</v>
      </c>
      <c r="L7">
        <v>-1</v>
      </c>
      <c r="M7">
        <v>0</v>
      </c>
    </row>
    <row r="8" spans="1:13">
      <c r="A8" t="s">
        <v>19</v>
      </c>
      <c r="B8">
        <v>75.03</v>
      </c>
      <c r="C8">
        <v>5072</v>
      </c>
      <c r="D8">
        <v>74.83</v>
      </c>
      <c r="E8">
        <v>3735.27</v>
      </c>
      <c r="F8">
        <v>92.09</v>
      </c>
      <c r="G8">
        <v>4400</v>
      </c>
      <c r="H8">
        <v>-1</v>
      </c>
      <c r="I8">
        <v>1179.94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79.21</v>
      </c>
      <c r="C9">
        <v>5204</v>
      </c>
      <c r="D9">
        <v>79.15</v>
      </c>
      <c r="E9">
        <v>3789.59</v>
      </c>
      <c r="F9">
        <v>92.65</v>
      </c>
      <c r="G9">
        <v>4386</v>
      </c>
      <c r="H9">
        <v>-1</v>
      </c>
      <c r="I9">
        <v>1184.52</v>
      </c>
      <c r="J9">
        <v>-1</v>
      </c>
      <c r="K9">
        <v>1268</v>
      </c>
      <c r="L9">
        <v>-1</v>
      </c>
      <c r="M9">
        <v>0</v>
      </c>
    </row>
    <row r="10" spans="1:13">
      <c r="A10" t="s">
        <v>21</v>
      </c>
      <c r="B10">
        <v>77.65</v>
      </c>
      <c r="C10">
        <v>5006</v>
      </c>
      <c r="D10">
        <v>77.67</v>
      </c>
      <c r="E10">
        <v>3648.81</v>
      </c>
      <c r="F10">
        <v>80.18</v>
      </c>
      <c r="G10">
        <v>4204</v>
      </c>
      <c r="H10">
        <v>85.82</v>
      </c>
      <c r="I10">
        <v>4123.27</v>
      </c>
      <c r="J10">
        <v>98.65</v>
      </c>
      <c r="K10">
        <v>4198</v>
      </c>
      <c r="L10">
        <v>-1</v>
      </c>
      <c r="M10">
        <v>0</v>
      </c>
    </row>
    <row r="11" spans="1:13">
      <c r="A11" t="s">
        <v>22</v>
      </c>
      <c r="B11">
        <v>56.8</v>
      </c>
      <c r="C11">
        <v>4659</v>
      </c>
      <c r="D11">
        <v>56.71</v>
      </c>
      <c r="E11">
        <v>3449.93</v>
      </c>
      <c r="F11">
        <v>64.93</v>
      </c>
      <c r="G11">
        <v>3969</v>
      </c>
      <c r="H11">
        <v>77.51</v>
      </c>
      <c r="I11">
        <v>3849.73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76.14</v>
      </c>
      <c r="C12">
        <v>5037</v>
      </c>
      <c r="D12">
        <v>76.14</v>
      </c>
      <c r="E12">
        <v>3773.4</v>
      </c>
      <c r="F12">
        <v>80.6</v>
      </c>
      <c r="G12">
        <v>4429</v>
      </c>
      <c r="H12">
        <v>87.54</v>
      </c>
      <c r="I12">
        <v>4123.1</v>
      </c>
      <c r="J12">
        <v>-1</v>
      </c>
      <c r="K12">
        <v>2944</v>
      </c>
      <c r="L12">
        <v>102</v>
      </c>
      <c r="M12">
        <v>3734.58</v>
      </c>
    </row>
    <row r="13" spans="1:13">
      <c r="A13" t="s">
        <v>24</v>
      </c>
      <c r="B13">
        <v>74.36</v>
      </c>
      <c r="C13">
        <v>5371</v>
      </c>
      <c r="D13">
        <v>74.37</v>
      </c>
      <c r="E13">
        <v>3679.78</v>
      </c>
      <c r="F13">
        <v>89.49</v>
      </c>
      <c r="G13">
        <v>4207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74.67</v>
      </c>
      <c r="C14">
        <v>5035</v>
      </c>
      <c r="D14">
        <v>74.83</v>
      </c>
      <c r="E14">
        <v>3583.49</v>
      </c>
      <c r="F14">
        <v>87.56</v>
      </c>
      <c r="G14">
        <v>4139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77.98</v>
      </c>
      <c r="C15">
        <v>5410</v>
      </c>
      <c r="D15">
        <v>77.89</v>
      </c>
      <c r="E15">
        <v>3743.23</v>
      </c>
      <c r="F15">
        <v>91.48</v>
      </c>
      <c r="G15">
        <v>4366</v>
      </c>
      <c r="H15">
        <v>118.87</v>
      </c>
      <c r="I15">
        <v>4105.05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54.6</v>
      </c>
      <c r="C16">
        <v>5089</v>
      </c>
      <c r="D16">
        <v>54.59</v>
      </c>
      <c r="E16">
        <v>3773.34</v>
      </c>
      <c r="F16">
        <v>60.38</v>
      </c>
      <c r="G16">
        <v>4435</v>
      </c>
      <c r="H16">
        <v>86.9</v>
      </c>
      <c r="I16">
        <v>4205.8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52.43</v>
      </c>
      <c r="C17">
        <v>4968</v>
      </c>
      <c r="D17">
        <v>52.38</v>
      </c>
      <c r="E17">
        <v>3718.5</v>
      </c>
      <c r="F17">
        <v>59.77</v>
      </c>
      <c r="G17">
        <v>4358</v>
      </c>
      <c r="H17">
        <v>86.37</v>
      </c>
      <c r="I17">
        <v>4132.93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53.02</v>
      </c>
      <c r="C18">
        <v>5035</v>
      </c>
      <c r="D18">
        <v>52.98</v>
      </c>
      <c r="E18">
        <v>3673.26</v>
      </c>
      <c r="F18">
        <v>61.7</v>
      </c>
      <c r="G18">
        <v>4293</v>
      </c>
      <c r="H18">
        <v>-1</v>
      </c>
      <c r="I18">
        <v>884.5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51.57</v>
      </c>
      <c r="C19">
        <v>4635</v>
      </c>
      <c r="D19">
        <v>51.51</v>
      </c>
      <c r="E19">
        <v>3444.48</v>
      </c>
      <c r="F19">
        <v>59.45</v>
      </c>
      <c r="G19">
        <v>3991</v>
      </c>
      <c r="H19">
        <v>-1</v>
      </c>
      <c r="I19">
        <v>911.08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56.37</v>
      </c>
      <c r="C20">
        <v>5043</v>
      </c>
      <c r="D20">
        <v>56.38</v>
      </c>
      <c r="E20">
        <v>3820.79</v>
      </c>
      <c r="F20">
        <v>60.65</v>
      </c>
      <c r="G20">
        <v>4433</v>
      </c>
      <c r="H20">
        <v>65.31</v>
      </c>
      <c r="I20">
        <v>4293.48</v>
      </c>
      <c r="J20">
        <v>-1</v>
      </c>
      <c r="K20">
        <v>818</v>
      </c>
      <c r="L20">
        <v>-1</v>
      </c>
      <c r="M20">
        <v>0</v>
      </c>
    </row>
    <row r="21" spans="1:13">
      <c r="A21" t="s">
        <v>32</v>
      </c>
      <c r="B21">
        <v>53.84</v>
      </c>
      <c r="C21">
        <v>5153</v>
      </c>
      <c r="D21">
        <v>53.8</v>
      </c>
      <c r="E21">
        <v>3646.43</v>
      </c>
      <c r="F21">
        <v>60.86</v>
      </c>
      <c r="G21">
        <v>4237</v>
      </c>
      <c r="H21">
        <v>81.35</v>
      </c>
      <c r="I21">
        <v>3972.57</v>
      </c>
      <c r="J21">
        <v>-1</v>
      </c>
      <c r="K21">
        <v>0</v>
      </c>
      <c r="L21">
        <v>-1</v>
      </c>
      <c r="M21">
        <v>0</v>
      </c>
    </row>
    <row r="24" spans="1:42">
      <c r="A24" s="2" t="s">
        <v>33</v>
      </c>
      <c r="B24" s="2" t="s">
        <v>34</v>
      </c>
      <c r="C24" s="2" t="s">
        <v>35</v>
      </c>
      <c r="D24" s="3" t="s">
        <v>36</v>
      </c>
      <c r="E24" s="2" t="s">
        <v>37</v>
      </c>
      <c r="F24" s="2" t="s">
        <v>38</v>
      </c>
      <c r="G24" s="2" t="s">
        <v>39</v>
      </c>
      <c r="H24" s="2" t="s">
        <v>40</v>
      </c>
      <c r="I24" s="2" t="s">
        <v>41</v>
      </c>
      <c r="J24" s="3" t="s">
        <v>42</v>
      </c>
      <c r="K24" s="2" t="s">
        <v>43</v>
      </c>
      <c r="L24" s="2" t="s">
        <v>44</v>
      </c>
      <c r="M24" s="2" t="s">
        <v>45</v>
      </c>
      <c r="N24" s="2" t="s">
        <v>46</v>
      </c>
      <c r="O24" s="2" t="s">
        <v>47</v>
      </c>
      <c r="P24" s="3" t="s">
        <v>48</v>
      </c>
      <c r="Q24" s="2" t="s">
        <v>49</v>
      </c>
      <c r="R24" s="2" t="s">
        <v>50</v>
      </c>
      <c r="S24" s="2" t="s">
        <v>51</v>
      </c>
      <c r="T24" s="2" t="s">
        <v>52</v>
      </c>
      <c r="U24" s="2" t="s">
        <v>53</v>
      </c>
      <c r="V24" s="3" t="s">
        <v>54</v>
      </c>
      <c r="W24" s="2" t="s">
        <v>55</v>
      </c>
      <c r="X24" s="2" t="s">
        <v>56</v>
      </c>
      <c r="Y24" s="2" t="s">
        <v>57</v>
      </c>
      <c r="Z24" s="2" t="s">
        <v>58</v>
      </c>
      <c r="AA24" s="2" t="s">
        <v>59</v>
      </c>
      <c r="AB24" s="3" t="s">
        <v>60</v>
      </c>
      <c r="AC24" s="2" t="s">
        <v>61</v>
      </c>
      <c r="AD24" s="2" t="s">
        <v>62</v>
      </c>
      <c r="AE24" s="2" t="s">
        <v>63</v>
      </c>
      <c r="AF24" s="2" t="s">
        <v>64</v>
      </c>
      <c r="AG24" s="2" t="s">
        <v>65</v>
      </c>
      <c r="AH24" s="3" t="s">
        <v>66</v>
      </c>
      <c r="AI24" s="2" t="s">
        <v>67</v>
      </c>
      <c r="AJ24" s="2" t="s">
        <v>68</v>
      </c>
      <c r="AK24" s="2" t="s">
        <v>69</v>
      </c>
      <c r="AL24" s="2" t="s">
        <v>70</v>
      </c>
      <c r="AM24" s="2" t="s">
        <v>71</v>
      </c>
      <c r="AN24" s="3" t="s">
        <v>72</v>
      </c>
      <c r="AO24" s="2" t="s">
        <v>73</v>
      </c>
      <c r="AP24" s="2" t="s">
        <v>74</v>
      </c>
    </row>
    <row r="25" spans="1:42">
      <c r="A25" s="4">
        <f>IFERROR(AVERAGEIF($B$2:$B$21,"&lt;&gt; -1"),0)</f>
        <v>65.2455</v>
      </c>
      <c r="B25" s="4">
        <f>IFERROR(AVERAGEIF($D$2:$D$21,"&lt;&gt; -1"),0)</f>
        <v>65.2165</v>
      </c>
      <c r="C25" s="4">
        <f>IFERROR(AVERAGEIF($F$2:$F$21,"&lt;&gt; -1"),0)</f>
        <v>74.301</v>
      </c>
      <c r="D25" s="4">
        <f>IFERROR(AVERAGEIF($H$2:$H$21,"&lt;&gt; -1"),0)</f>
        <v>85.125</v>
      </c>
      <c r="E25" s="4">
        <f>IFERROR(AVERAGEIF($J$2:$J$21,"&lt;&gt; -1"),0)</f>
        <v>98.65</v>
      </c>
      <c r="F25" s="4">
        <f>IFERROR(AVERAGEIF($L$2:$L$21,"&lt;&gt; -1"),0)</f>
        <v>102</v>
      </c>
      <c r="G25" s="4">
        <f>IFERROR(AVERAGEIFS($C$2:$C$21,$B$2:$B$21,"&lt;&gt; -1"),0)</f>
        <v>5056.25</v>
      </c>
      <c r="H25" s="4">
        <f>IFERROR(AVERAGEIFS($E$2:$E$21,$D$2:$D$21,"&lt;&gt; -1"),0)</f>
        <v>3666.2595</v>
      </c>
      <c r="I25" s="4">
        <f>IFERROR(AVERAGEIFS($G$2:$G$21,$F$2:$F$21,"&lt;&gt; -1"),0)</f>
        <v>4259.15</v>
      </c>
      <c r="J25" s="4">
        <f>IFERROR(AVERAGEIFS($I$2:$I$21,$H$2:$H$21,"&lt;&gt; -1"),0)</f>
        <v>4054.83333333333</v>
      </c>
      <c r="K25" s="4">
        <f>IFERROR(AVERAGEIFS($K$2:$K$21,$J$2:$J$21,"&lt;&gt; -1"),0)</f>
        <v>4198</v>
      </c>
      <c r="L25" s="4">
        <f>IFERROR(AVERAGEIFS($M$2:$M$21,$L$2:$L$21,"&lt;&gt; -1"),0)</f>
        <v>3734.58</v>
      </c>
      <c r="M25" s="4">
        <f>IFERROR(_xlfn.MAXIFS($B$2:$B$21,$B$2:$B$21,"&lt;&gt; -1"),0)</f>
        <v>79.21</v>
      </c>
      <c r="N25" s="4">
        <f>IFERROR(_xlfn.MAXIFS($D$2:$D$21,$D$2:$D$21,"&lt;&gt;-1"),0)</f>
        <v>79.15</v>
      </c>
      <c r="O25" s="4">
        <f>IFERROR(_xlfn.MAXIFS($F$2:$F$21,$F$2:$F$21,"&lt;&gt; -1"),0)</f>
        <v>92.65</v>
      </c>
      <c r="P25" s="4">
        <f>IFERROR(_xlfn.MAXIFS($H$2:$H$21,$H$2:$H$21,"&lt;&gt; -1"),0)</f>
        <v>118.87</v>
      </c>
      <c r="Q25" s="4">
        <f>IFERROR(_xlfn.MAXIFS($J$2:$J$21,$J$2:$J$21,"&lt;&gt; -1"),0)</f>
        <v>98.65</v>
      </c>
      <c r="R25" s="4">
        <f>IFERROR(_xlfn.MAXIFS($L$2:$L$21,$L$2:$L$21,"&lt;&gt; -1"),0)</f>
        <v>102</v>
      </c>
      <c r="S25" s="4">
        <f>IFERROR(_xlfn.MINIFS($B$2:$B$21,$B$2:$B$21,"&lt;&gt; -1"),0)</f>
        <v>51.57</v>
      </c>
      <c r="T25" s="4">
        <f>IFERROR(_xlfn.MINIFS($D$2:$D$21,$D$2:$D$21,"&lt;&gt;-1"),0)</f>
        <v>51.51</v>
      </c>
      <c r="U25" s="4">
        <f>IFERROR(_xlfn.MINIFS($F$2:$F$21,$F$2:$F$21,"&lt;&gt; -1"),0)</f>
        <v>58.45</v>
      </c>
      <c r="V25" s="4">
        <f>IFERROR(_xlfn.MINIFS($H$2:$H$21,$H$2:$H$21,"&lt;&gt; -1"),0)</f>
        <v>60.04</v>
      </c>
      <c r="W25" s="4">
        <f>IFERROR(_xlfn.MINIFS($J$2:$J$21,$J$2:$J$21,"&lt;&gt; -1"),0)</f>
        <v>98.65</v>
      </c>
      <c r="X25" s="4">
        <f>IFERROR(_xlfn.MINIFS($L$2:$L$21,$L$2:$L$21,"&lt;&gt; -1"),0)</f>
        <v>102</v>
      </c>
      <c r="Y25" s="4">
        <f>IFERROR(_xlfn.MAXIFS($C$2:$C$21,$B$2:$B$21,"&lt;&gt; -1"),0)</f>
        <v>5463</v>
      </c>
      <c r="Z25" s="4">
        <f>IFERROR(_xlfn.MAXIFS($E$2:$E$21,$D$2:$D$21,"&lt;&gt; -1"),0)</f>
        <v>3820.79</v>
      </c>
      <c r="AA25" s="4">
        <f>IFERROR(_xlfn.MAXIFS($G$2:$G$21,$F$2:$F$21,"&lt;&gt; -1"),0)</f>
        <v>4435</v>
      </c>
      <c r="AB25" s="4">
        <f>IFERROR(_xlfn.MAXIFS($I$2:$I$21,$H$2:$H$21,"&lt;&gt; -1"),0)</f>
        <v>4293.48</v>
      </c>
      <c r="AC25" s="4">
        <f>IFERROR(_xlfn.MAXIFS($K$2:$K$21,$J$2:$J$21,"&lt;&gt; -1"),0)</f>
        <v>4198</v>
      </c>
      <c r="AD25" s="4">
        <f>IFERROR(_xlfn.MAXIFS($M$2:$M$21,$L$2:$L$21,"&lt;&gt; -1"),0)</f>
        <v>3734.58</v>
      </c>
      <c r="AE25" s="4">
        <f>IFERROR(_xlfn.MINIFS($C$2:$C$21,$B$2:$B$21,"&lt;&gt; -1"),0)</f>
        <v>4208</v>
      </c>
      <c r="AF25" s="4">
        <f>IFERROR(_xlfn.MINIFS($E$2:$E$21,$D$2:$D$21,"&lt;&gt; -1"),0)</f>
        <v>3270.23</v>
      </c>
      <c r="AG25" s="4">
        <f>IFERROR(_xlfn.MINIFS($G$2:$G$21,$F$2:$F$21,"&lt;&gt; -1"),0)</f>
        <v>3878</v>
      </c>
      <c r="AH25" s="4">
        <f>IFERROR(_xlfn.MINIFS($I$2:$I$21,$H$2:$H$21,"&lt;&gt; -1"),0)</f>
        <v>3656.47</v>
      </c>
      <c r="AI25" s="4">
        <f>IFERROR(_xlfn.MINIFS($K$2:$K$21,$J$2:$J$21,"&lt;&gt; -1"),0)</f>
        <v>4198</v>
      </c>
      <c r="AJ25" s="4">
        <f>IFERROR(_xlfn.MINIFS($M$2:$M$21,$L$2:$L$21,"&lt;&gt; -1"),0)</f>
        <v>3734.58</v>
      </c>
      <c r="AK25" s="4">
        <f>(COUNTIFS($B$2:$B$21,"&gt;0.0",$B$2:$B$21,"&lt;200.0"))/20</f>
        <v>1</v>
      </c>
      <c r="AL25" s="4">
        <f>(COUNTIFS($D$2:$D$21,"&gt;0.0",$D$2:$D$21,"&lt;200.0"))/20</f>
        <v>1</v>
      </c>
      <c r="AM25" s="4">
        <f>(COUNTIFS($F$2:$F$21,"&gt;0.0",$F$2:$F$21,"&lt;200.0"))/20</f>
        <v>1</v>
      </c>
      <c r="AN25" s="4">
        <f>(COUNTIFS($H$2:$H$21,"&gt;0.0",$H$2:$H$21,"&lt;200.0"))/20</f>
        <v>0.6</v>
      </c>
      <c r="AO25" s="4">
        <f>(COUNTIFS($J$2:$J$21,"&gt;0.0",$J$2:$J$21,"&lt;200.0"))/20</f>
        <v>0.05</v>
      </c>
      <c r="AP25" s="4">
        <f>(COUNTIFS($L$2:$L$21,"&gt;0.0",$L$2:$L$21,"&lt;200.0"))/20</f>
        <v>0.05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5"/>
  <sheetViews>
    <sheetView workbookViewId="0">
      <selection activeCell="A25" sqref="$A25:$XFD2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62.83</v>
      </c>
      <c r="C2">
        <v>5451</v>
      </c>
      <c r="D2">
        <v>62.77</v>
      </c>
      <c r="E2">
        <v>3856.63</v>
      </c>
      <c r="F2">
        <v>72.33</v>
      </c>
      <c r="G2">
        <v>4441</v>
      </c>
      <c r="H2">
        <v>-1</v>
      </c>
      <c r="I2">
        <v>1067.41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82.6</v>
      </c>
      <c r="C3">
        <v>5049</v>
      </c>
      <c r="D3">
        <v>82.47</v>
      </c>
      <c r="E3">
        <v>3707.19</v>
      </c>
      <c r="F3">
        <v>94.44</v>
      </c>
      <c r="G3">
        <v>4259</v>
      </c>
      <c r="H3">
        <v>-1</v>
      </c>
      <c r="I3">
        <v>1182.38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77.42</v>
      </c>
      <c r="C4">
        <v>5223</v>
      </c>
      <c r="D4">
        <v>77.36</v>
      </c>
      <c r="E4">
        <v>3731.1</v>
      </c>
      <c r="F4">
        <v>83.85</v>
      </c>
      <c r="G4">
        <v>4375</v>
      </c>
      <c r="H4">
        <v>85.83</v>
      </c>
      <c r="I4">
        <v>4110.48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59.84</v>
      </c>
      <c r="C5">
        <v>4850</v>
      </c>
      <c r="D5">
        <v>59.8</v>
      </c>
      <c r="E5">
        <v>3599.93</v>
      </c>
      <c r="F5">
        <v>66.85</v>
      </c>
      <c r="G5">
        <v>4236</v>
      </c>
      <c r="H5">
        <v>-1</v>
      </c>
      <c r="I5">
        <v>1014.47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59.57</v>
      </c>
      <c r="C6">
        <v>4742</v>
      </c>
      <c r="D6">
        <v>59.5</v>
      </c>
      <c r="E6">
        <v>3516.47</v>
      </c>
      <c r="F6">
        <v>68.92</v>
      </c>
      <c r="G6">
        <v>4072</v>
      </c>
      <c r="H6">
        <v>74</v>
      </c>
      <c r="I6">
        <v>3874.87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58.71</v>
      </c>
      <c r="C7">
        <v>4722</v>
      </c>
      <c r="D7">
        <v>58.67</v>
      </c>
      <c r="E7">
        <v>3476.9</v>
      </c>
      <c r="F7">
        <v>64.13</v>
      </c>
      <c r="G7">
        <v>4088</v>
      </c>
      <c r="H7">
        <v>84.3</v>
      </c>
      <c r="I7">
        <v>3916.82</v>
      </c>
      <c r="J7">
        <v>-1</v>
      </c>
      <c r="K7">
        <v>812</v>
      </c>
      <c r="L7">
        <v>-1</v>
      </c>
      <c r="M7">
        <v>0</v>
      </c>
    </row>
    <row r="8" spans="1:13">
      <c r="A8" t="s">
        <v>19</v>
      </c>
      <c r="B8">
        <v>59.03</v>
      </c>
      <c r="C8">
        <v>4935</v>
      </c>
      <c r="D8">
        <v>59.01</v>
      </c>
      <c r="E8">
        <v>3637.78</v>
      </c>
      <c r="F8">
        <v>62.58</v>
      </c>
      <c r="G8">
        <v>4235</v>
      </c>
      <c r="H8">
        <v>64.59</v>
      </c>
      <c r="I8">
        <v>3988</v>
      </c>
      <c r="J8">
        <v>71.39</v>
      </c>
      <c r="K8">
        <v>4233</v>
      </c>
      <c r="L8">
        <v>-1</v>
      </c>
      <c r="M8">
        <v>603.94</v>
      </c>
    </row>
    <row r="9" spans="1:13">
      <c r="A9" t="s">
        <v>20</v>
      </c>
      <c r="B9">
        <v>63.01</v>
      </c>
      <c r="C9">
        <v>4850</v>
      </c>
      <c r="D9">
        <v>63.01</v>
      </c>
      <c r="E9">
        <v>3760.98</v>
      </c>
      <c r="F9">
        <v>67.46</v>
      </c>
      <c r="G9">
        <v>4306</v>
      </c>
      <c r="H9">
        <v>-1</v>
      </c>
      <c r="I9">
        <v>926.31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61.43</v>
      </c>
      <c r="C10">
        <v>4572</v>
      </c>
      <c r="D10">
        <v>61.45</v>
      </c>
      <c r="E10">
        <v>3496</v>
      </c>
      <c r="F10">
        <v>64.77</v>
      </c>
      <c r="G10">
        <v>4054</v>
      </c>
      <c r="H10">
        <v>67.79</v>
      </c>
      <c r="I10">
        <v>3955.12</v>
      </c>
      <c r="J10">
        <v>73.1</v>
      </c>
      <c r="K10">
        <v>4048</v>
      </c>
      <c r="L10">
        <v>-1</v>
      </c>
      <c r="M10">
        <v>481.46</v>
      </c>
    </row>
    <row r="11" spans="1:13">
      <c r="A11" t="s">
        <v>22</v>
      </c>
      <c r="B11">
        <v>58.75</v>
      </c>
      <c r="C11">
        <v>5004</v>
      </c>
      <c r="D11">
        <v>58.69</v>
      </c>
      <c r="E11">
        <v>3541.18</v>
      </c>
      <c r="F11">
        <v>74.68</v>
      </c>
      <c r="G11">
        <v>4090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61.32</v>
      </c>
      <c r="C12">
        <v>4855</v>
      </c>
      <c r="D12">
        <v>61.31</v>
      </c>
      <c r="E12">
        <v>3650.55</v>
      </c>
      <c r="F12">
        <v>70.12</v>
      </c>
      <c r="G12">
        <v>4293</v>
      </c>
      <c r="H12">
        <v>71.44</v>
      </c>
      <c r="I12">
        <v>4013.76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57.55</v>
      </c>
      <c r="C13">
        <v>4907</v>
      </c>
      <c r="D13">
        <v>57.53</v>
      </c>
      <c r="E13">
        <v>3578.42</v>
      </c>
      <c r="F13">
        <v>66.31</v>
      </c>
      <c r="G13">
        <v>4079</v>
      </c>
      <c r="H13">
        <v>-1</v>
      </c>
      <c r="I13">
        <v>2968.3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60.88</v>
      </c>
      <c r="C14">
        <v>5155</v>
      </c>
      <c r="D14">
        <v>60.81</v>
      </c>
      <c r="E14">
        <v>3550.38</v>
      </c>
      <c r="F14">
        <v>67.7</v>
      </c>
      <c r="G14">
        <v>4139</v>
      </c>
      <c r="H14">
        <v>75.78</v>
      </c>
      <c r="I14">
        <v>3923.62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62.51</v>
      </c>
      <c r="C15">
        <v>5302</v>
      </c>
      <c r="D15">
        <v>62.43</v>
      </c>
      <c r="E15">
        <v>3808.67</v>
      </c>
      <c r="F15">
        <v>76.83</v>
      </c>
      <c r="G15">
        <v>4456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89.31</v>
      </c>
      <c r="C16">
        <v>5559</v>
      </c>
      <c r="D16">
        <v>89.15</v>
      </c>
      <c r="E16">
        <v>3903.17</v>
      </c>
      <c r="F16">
        <v>104.82</v>
      </c>
      <c r="G16">
        <v>4567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84.93</v>
      </c>
      <c r="C17">
        <v>4792</v>
      </c>
      <c r="D17">
        <v>84.84</v>
      </c>
      <c r="E17">
        <v>3620.19</v>
      </c>
      <c r="F17">
        <v>96.36</v>
      </c>
      <c r="G17">
        <v>4210</v>
      </c>
      <c r="H17">
        <v>-1</v>
      </c>
      <c r="I17">
        <v>1122.06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84.51</v>
      </c>
      <c r="C18">
        <v>4983</v>
      </c>
      <c r="D18">
        <v>84.27</v>
      </c>
      <c r="E18">
        <v>3595.12</v>
      </c>
      <c r="F18">
        <v>93.55</v>
      </c>
      <c r="G18">
        <v>4279</v>
      </c>
      <c r="H18">
        <v>97.53</v>
      </c>
      <c r="I18">
        <v>3966.73</v>
      </c>
      <c r="J18">
        <v>-1</v>
      </c>
      <c r="K18">
        <v>0</v>
      </c>
      <c r="L18">
        <v>-1</v>
      </c>
      <c r="M18">
        <v>602.87</v>
      </c>
    </row>
    <row r="19" spans="1:13">
      <c r="A19" t="s">
        <v>30</v>
      </c>
      <c r="B19">
        <v>81.63</v>
      </c>
      <c r="C19">
        <v>4957</v>
      </c>
      <c r="D19">
        <v>81.49</v>
      </c>
      <c r="E19">
        <v>3547.71</v>
      </c>
      <c r="F19">
        <v>93.44</v>
      </c>
      <c r="G19">
        <v>4101</v>
      </c>
      <c r="H19">
        <v>103.47</v>
      </c>
      <c r="I19">
        <v>3966.41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85.68</v>
      </c>
      <c r="C20">
        <v>5284</v>
      </c>
      <c r="D20">
        <v>85.95</v>
      </c>
      <c r="E20">
        <v>3833.61</v>
      </c>
      <c r="F20">
        <v>94.03</v>
      </c>
      <c r="G20">
        <v>4500</v>
      </c>
      <c r="H20">
        <v>101.27</v>
      </c>
      <c r="I20">
        <v>4291.65</v>
      </c>
      <c r="J20">
        <v>-1</v>
      </c>
      <c r="K20">
        <v>0</v>
      </c>
      <c r="L20">
        <v>-1</v>
      </c>
      <c r="M20">
        <v>771.43</v>
      </c>
    </row>
    <row r="21" spans="1:13">
      <c r="A21" t="s">
        <v>32</v>
      </c>
      <c r="B21">
        <v>86.46</v>
      </c>
      <c r="C21">
        <v>5467</v>
      </c>
      <c r="D21">
        <v>86.05</v>
      </c>
      <c r="E21">
        <v>3752.8</v>
      </c>
      <c r="F21">
        <v>107.98</v>
      </c>
      <c r="G21">
        <v>4355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4" spans="1:42">
      <c r="A24" s="2" t="s">
        <v>33</v>
      </c>
      <c r="B24" s="2" t="s">
        <v>34</v>
      </c>
      <c r="C24" s="2" t="s">
        <v>35</v>
      </c>
      <c r="D24" s="3" t="s">
        <v>36</v>
      </c>
      <c r="E24" s="2" t="s">
        <v>37</v>
      </c>
      <c r="F24" s="2" t="s">
        <v>38</v>
      </c>
      <c r="G24" s="2" t="s">
        <v>39</v>
      </c>
      <c r="H24" s="2" t="s">
        <v>40</v>
      </c>
      <c r="I24" s="2" t="s">
        <v>41</v>
      </c>
      <c r="J24" s="3" t="s">
        <v>42</v>
      </c>
      <c r="K24" s="2" t="s">
        <v>43</v>
      </c>
      <c r="L24" s="2" t="s">
        <v>44</v>
      </c>
      <c r="M24" s="2" t="s">
        <v>45</v>
      </c>
      <c r="N24" s="2" t="s">
        <v>46</v>
      </c>
      <c r="O24" s="2" t="s">
        <v>47</v>
      </c>
      <c r="P24" s="3" t="s">
        <v>48</v>
      </c>
      <c r="Q24" s="2" t="s">
        <v>49</v>
      </c>
      <c r="R24" s="2" t="s">
        <v>50</v>
      </c>
      <c r="S24" s="2" t="s">
        <v>51</v>
      </c>
      <c r="T24" s="2" t="s">
        <v>52</v>
      </c>
      <c r="U24" s="2" t="s">
        <v>53</v>
      </c>
      <c r="V24" s="3" t="s">
        <v>54</v>
      </c>
      <c r="W24" s="2" t="s">
        <v>55</v>
      </c>
      <c r="X24" s="2" t="s">
        <v>56</v>
      </c>
      <c r="Y24" s="2" t="s">
        <v>57</v>
      </c>
      <c r="Z24" s="2" t="s">
        <v>58</v>
      </c>
      <c r="AA24" s="2" t="s">
        <v>59</v>
      </c>
      <c r="AB24" s="3" t="s">
        <v>60</v>
      </c>
      <c r="AC24" s="2" t="s">
        <v>61</v>
      </c>
      <c r="AD24" s="2" t="s">
        <v>62</v>
      </c>
      <c r="AE24" s="2" t="s">
        <v>63</v>
      </c>
      <c r="AF24" s="2" t="s">
        <v>64</v>
      </c>
      <c r="AG24" s="2" t="s">
        <v>65</v>
      </c>
      <c r="AH24" s="3" t="s">
        <v>66</v>
      </c>
      <c r="AI24" s="2" t="s">
        <v>67</v>
      </c>
      <c r="AJ24" s="2" t="s">
        <v>68</v>
      </c>
      <c r="AK24" s="2" t="s">
        <v>69</v>
      </c>
      <c r="AL24" s="2" t="s">
        <v>70</v>
      </c>
      <c r="AM24" s="2" t="s">
        <v>71</v>
      </c>
      <c r="AN24" s="3" t="s">
        <v>72</v>
      </c>
      <c r="AO24" s="2" t="s">
        <v>73</v>
      </c>
      <c r="AP24" s="2" t="s">
        <v>74</v>
      </c>
    </row>
    <row r="25" spans="1:42">
      <c r="A25" s="4">
        <f>IFERROR(AVERAGEIF($B$2:$B$21,"&lt;&gt; -1"),0)</f>
        <v>69.8985</v>
      </c>
      <c r="B25" s="4">
        <f>IFERROR(AVERAGEIF($D$2:$D$21,"&lt;&gt; -1"),0)</f>
        <v>69.828</v>
      </c>
      <c r="C25" s="4">
        <f>IFERROR(AVERAGEIF($F$2:$F$21,"&lt;&gt; -1"),0)</f>
        <v>79.5575</v>
      </c>
      <c r="D25" s="4">
        <f>IFERROR(AVERAGEIF($H$2:$H$21,"&lt;&gt; -1"),0)</f>
        <v>82.6</v>
      </c>
      <c r="E25" s="4">
        <f>IFERROR(AVERAGEIF($J$2:$J$21,"&lt;&gt; -1"),0)</f>
        <v>72.245</v>
      </c>
      <c r="F25" s="4">
        <f>IFERROR(AVERAGEIF($L$2:$L$21,"&lt;&gt; -1"),0)</f>
        <v>0</v>
      </c>
      <c r="G25" s="4">
        <f>IFERROR(AVERAGEIFS($C$2:$C$21,$B$2:$B$21,"&lt;&gt; -1"),0)</f>
        <v>5032.95</v>
      </c>
      <c r="H25" s="4">
        <f>IFERROR(AVERAGEIFS($E$2:$E$21,$D$2:$D$21,"&lt;&gt; -1"),0)</f>
        <v>3658.239</v>
      </c>
      <c r="I25" s="4">
        <f>IFERROR(AVERAGEIFS($G$2:$G$21,$F$2:$F$21,"&lt;&gt; -1"),0)</f>
        <v>4256.75</v>
      </c>
      <c r="J25" s="4">
        <f>IFERROR(AVERAGEIFS($I$2:$I$21,$H$2:$H$21,"&lt;&gt; -1"),0)</f>
        <v>4000.746</v>
      </c>
      <c r="K25" s="4">
        <f>IFERROR(AVERAGEIFS($K$2:$K$21,$J$2:$J$21,"&lt;&gt; -1"),0)</f>
        <v>4140.5</v>
      </c>
      <c r="L25" s="4">
        <f>IFERROR(AVERAGEIFS($M$2:$M$21,$L$2:$L$21,"&lt;&gt; -1"),0)</f>
        <v>0</v>
      </c>
      <c r="M25" s="4">
        <f>IFERROR(_xlfn.MAXIFS($B$2:$B$21,$B$2:$B$21,"&lt;&gt; -1"),0)</f>
        <v>89.31</v>
      </c>
      <c r="N25" s="4">
        <f>IFERROR(_xlfn.MAXIFS($D$2:$D$21,$D$2:$D$21,"&lt;&gt;-1"),0)</f>
        <v>89.15</v>
      </c>
      <c r="O25" s="4">
        <f>IFERROR(_xlfn.MAXIFS($F$2:$F$21,$F$2:$F$21,"&lt;&gt; -1"),0)</f>
        <v>107.98</v>
      </c>
      <c r="P25" s="4">
        <f>IFERROR(_xlfn.MAXIFS($H$2:$H$21,$H$2:$H$21,"&lt;&gt; -1"),0)</f>
        <v>103.47</v>
      </c>
      <c r="Q25" s="4">
        <f>IFERROR(_xlfn.MAXIFS($J$2:$J$21,$J$2:$J$21,"&lt;&gt; -1"),0)</f>
        <v>73.1</v>
      </c>
      <c r="R25" s="4">
        <f>IFERROR(_xlfn.MAXIFS($L$2:$L$21,$L$2:$L$21,"&lt;&gt; -1"),0)</f>
        <v>0</v>
      </c>
      <c r="S25" s="4">
        <f>IFERROR(_xlfn.MINIFS($B$2:$B$21,$B$2:$B$21,"&lt;&gt; -1"),0)</f>
        <v>57.55</v>
      </c>
      <c r="T25" s="4">
        <f>IFERROR(_xlfn.MINIFS($D$2:$D$21,$D$2:$D$21,"&lt;&gt;-1"),0)</f>
        <v>57.53</v>
      </c>
      <c r="U25" s="4">
        <f>IFERROR(_xlfn.MINIFS($F$2:$F$21,$F$2:$F$21,"&lt;&gt; -1"),0)</f>
        <v>62.58</v>
      </c>
      <c r="V25" s="4">
        <f>IFERROR(_xlfn.MINIFS($H$2:$H$21,$H$2:$H$21,"&lt;&gt; -1"),0)</f>
        <v>64.59</v>
      </c>
      <c r="W25" s="4">
        <f>IFERROR(_xlfn.MINIFS($J$2:$J$21,$J$2:$J$21,"&lt;&gt; -1"),0)</f>
        <v>71.39</v>
      </c>
      <c r="X25" s="4">
        <f>IFERROR(_xlfn.MINIFS($L$2:$L$21,$L$2:$L$21,"&lt;&gt; -1"),0)</f>
        <v>0</v>
      </c>
      <c r="Y25" s="4">
        <f>IFERROR(_xlfn.MAXIFS($C$2:$C$21,$B$2:$B$21,"&lt;&gt; -1"),0)</f>
        <v>5559</v>
      </c>
      <c r="Z25" s="4">
        <f>IFERROR(_xlfn.MAXIFS($E$2:$E$21,$D$2:$D$21,"&lt;&gt; -1"),0)</f>
        <v>3903.17</v>
      </c>
      <c r="AA25" s="4">
        <f>IFERROR(_xlfn.MAXIFS($G$2:$G$21,$F$2:$F$21,"&lt;&gt; -1"),0)</f>
        <v>4567</v>
      </c>
      <c r="AB25" s="4">
        <f>IFERROR(_xlfn.MAXIFS($I$2:$I$21,$H$2:$H$21,"&lt;&gt; -1"),0)</f>
        <v>4291.65</v>
      </c>
      <c r="AC25" s="4">
        <f>IFERROR(_xlfn.MAXIFS($K$2:$K$21,$J$2:$J$21,"&lt;&gt; -1"),0)</f>
        <v>4233</v>
      </c>
      <c r="AD25" s="4">
        <f>IFERROR(_xlfn.MAXIFS($M$2:$M$21,$L$2:$L$21,"&lt;&gt; -1"),0)</f>
        <v>0</v>
      </c>
      <c r="AE25" s="4">
        <f>IFERROR(_xlfn.MINIFS($C$2:$C$21,$B$2:$B$21,"&lt;&gt; -1"),0)</f>
        <v>4572</v>
      </c>
      <c r="AF25" s="4">
        <f>IFERROR(_xlfn.MINIFS($E$2:$E$21,$D$2:$D$21,"&lt;&gt; -1"),0)</f>
        <v>3476.9</v>
      </c>
      <c r="AG25" s="4">
        <f>IFERROR(_xlfn.MINIFS($G$2:$G$21,$F$2:$F$21,"&lt;&gt; -1"),0)</f>
        <v>4054</v>
      </c>
      <c r="AH25" s="4">
        <f>IFERROR(_xlfn.MINIFS($I$2:$I$21,$H$2:$H$21,"&lt;&gt; -1"),0)</f>
        <v>3874.87</v>
      </c>
      <c r="AI25" s="4">
        <f>IFERROR(_xlfn.MINIFS($K$2:$K$21,$J$2:$J$21,"&lt;&gt; -1"),0)</f>
        <v>4048</v>
      </c>
      <c r="AJ25" s="4">
        <f>IFERROR(_xlfn.MINIFS($M$2:$M$21,$L$2:$L$21,"&lt;&gt; -1"),0)</f>
        <v>0</v>
      </c>
      <c r="AK25" s="4">
        <f>(COUNTIFS($B$2:$B$21,"&gt;0.0",$B$2:$B$21,"&lt;200.0"))/20</f>
        <v>1</v>
      </c>
      <c r="AL25" s="4">
        <f>(COUNTIFS($D$2:$D$21,"&gt;0.0",$D$2:$D$21,"&lt;200.0"))/20</f>
        <v>1</v>
      </c>
      <c r="AM25" s="4">
        <f>(COUNTIFS($F$2:$F$21,"&gt;0.0",$F$2:$F$21,"&lt;200.0"))/20</f>
        <v>1</v>
      </c>
      <c r="AN25" s="4">
        <f>(COUNTIFS($H$2:$H$21,"&gt;0.0",$H$2:$H$21,"&lt;200.0"))/20</f>
        <v>0.5</v>
      </c>
      <c r="AO25" s="4">
        <f>(COUNTIFS($J$2:$J$21,"&gt;0.0",$J$2:$J$21,"&lt;200.0"))/20</f>
        <v>0.1</v>
      </c>
      <c r="AP25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5"/>
  <sheetViews>
    <sheetView workbookViewId="0">
      <selection activeCell="A25" sqref="$A25:$XFD2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87.09</v>
      </c>
      <c r="C2">
        <v>5087</v>
      </c>
      <c r="D2">
        <v>87.23</v>
      </c>
      <c r="E2">
        <v>3865.92</v>
      </c>
      <c r="F2">
        <v>102.43</v>
      </c>
      <c r="G2">
        <v>4401</v>
      </c>
      <c r="H2">
        <v>-1</v>
      </c>
      <c r="I2">
        <v>1282.13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101.36</v>
      </c>
      <c r="C3">
        <v>5404</v>
      </c>
      <c r="D3">
        <v>101.21</v>
      </c>
      <c r="E3">
        <v>3883.56</v>
      </c>
      <c r="F3">
        <v>124.55</v>
      </c>
      <c r="G3">
        <v>4490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91.26</v>
      </c>
      <c r="C4">
        <v>4811</v>
      </c>
      <c r="D4">
        <v>91.28</v>
      </c>
      <c r="E4">
        <v>3516.55</v>
      </c>
      <c r="F4">
        <v>104.52</v>
      </c>
      <c r="G4">
        <v>4127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90.97</v>
      </c>
      <c r="C5">
        <v>4870</v>
      </c>
      <c r="D5">
        <v>90.76</v>
      </c>
      <c r="E5">
        <v>3598.19</v>
      </c>
      <c r="F5">
        <v>108.63</v>
      </c>
      <c r="G5">
        <v>4156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68.02</v>
      </c>
      <c r="C6">
        <v>4773</v>
      </c>
      <c r="D6">
        <v>68.05</v>
      </c>
      <c r="E6">
        <v>3492.08</v>
      </c>
      <c r="F6">
        <v>80.85</v>
      </c>
      <c r="G6">
        <v>4035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80.94</v>
      </c>
      <c r="C7">
        <v>4476</v>
      </c>
      <c r="D7">
        <v>81.14</v>
      </c>
      <c r="E7">
        <v>3290.65</v>
      </c>
      <c r="F7">
        <v>97.77</v>
      </c>
      <c r="G7">
        <v>3868</v>
      </c>
      <c r="H7">
        <v>-1</v>
      </c>
      <c r="I7">
        <v>0</v>
      </c>
      <c r="J7">
        <v>-1</v>
      </c>
      <c r="K7">
        <v>1142</v>
      </c>
      <c r="L7">
        <v>-1</v>
      </c>
      <c r="M7">
        <v>0</v>
      </c>
    </row>
    <row r="8" spans="1:13">
      <c r="A8" t="s">
        <v>19</v>
      </c>
      <c r="B8">
        <v>92.23</v>
      </c>
      <c r="C8">
        <v>5052</v>
      </c>
      <c r="D8">
        <v>92.52</v>
      </c>
      <c r="E8">
        <v>3674.44</v>
      </c>
      <c r="F8">
        <v>111.57</v>
      </c>
      <c r="G8">
        <v>4244</v>
      </c>
      <c r="H8">
        <v>-1</v>
      </c>
      <c r="I8">
        <v>1257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77.91</v>
      </c>
      <c r="C9">
        <v>5035</v>
      </c>
      <c r="D9">
        <v>77.88</v>
      </c>
      <c r="E9">
        <v>3747.19</v>
      </c>
      <c r="F9">
        <v>93.82</v>
      </c>
      <c r="G9">
        <v>4341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65.18</v>
      </c>
      <c r="C10">
        <v>4678</v>
      </c>
      <c r="D10">
        <v>65.11</v>
      </c>
      <c r="E10">
        <v>3553.92</v>
      </c>
      <c r="F10">
        <v>74.36</v>
      </c>
      <c r="G10">
        <v>4022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93.21</v>
      </c>
      <c r="C11">
        <v>4990</v>
      </c>
      <c r="D11">
        <v>93.11</v>
      </c>
      <c r="E11">
        <v>3732.03</v>
      </c>
      <c r="F11">
        <v>109.58</v>
      </c>
      <c r="G11">
        <v>4346</v>
      </c>
      <c r="H11">
        <v>129.39</v>
      </c>
      <c r="I11">
        <v>4108.48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96.05</v>
      </c>
      <c r="C12">
        <v>5427</v>
      </c>
      <c r="D12">
        <v>95.95</v>
      </c>
      <c r="E12">
        <v>3869.14</v>
      </c>
      <c r="F12">
        <v>114.09</v>
      </c>
      <c r="G12">
        <v>4571</v>
      </c>
      <c r="H12">
        <v>-1</v>
      </c>
      <c r="I12">
        <v>936.9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91.22</v>
      </c>
      <c r="C13">
        <v>4991</v>
      </c>
      <c r="D13">
        <v>90.92</v>
      </c>
      <c r="E13">
        <v>3551.86</v>
      </c>
      <c r="F13">
        <v>106.84</v>
      </c>
      <c r="G13">
        <v>4077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94.09</v>
      </c>
      <c r="C14">
        <v>5084</v>
      </c>
      <c r="D14">
        <v>93.87</v>
      </c>
      <c r="E14">
        <v>3666.64</v>
      </c>
      <c r="F14">
        <v>113.36</v>
      </c>
      <c r="G14">
        <v>4244</v>
      </c>
      <c r="H14">
        <v>-1</v>
      </c>
      <c r="I14">
        <v>1231.12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97.42</v>
      </c>
      <c r="C15">
        <v>5128</v>
      </c>
      <c r="D15">
        <v>97.13</v>
      </c>
      <c r="E15">
        <v>3816.71</v>
      </c>
      <c r="F15">
        <v>114.69</v>
      </c>
      <c r="G15">
        <v>4542</v>
      </c>
      <c r="H15">
        <v>132.63</v>
      </c>
      <c r="I15">
        <v>4154.08</v>
      </c>
      <c r="J15">
        <v>-1</v>
      </c>
      <c r="K15">
        <v>1164</v>
      </c>
      <c r="L15">
        <v>-1</v>
      </c>
      <c r="M15">
        <v>0</v>
      </c>
    </row>
    <row r="16" spans="1:13">
      <c r="A16" t="s">
        <v>27</v>
      </c>
      <c r="B16">
        <v>82.94</v>
      </c>
      <c r="C16">
        <v>5182</v>
      </c>
      <c r="D16">
        <v>82.85</v>
      </c>
      <c r="E16">
        <v>3825.66</v>
      </c>
      <c r="F16">
        <v>97.37</v>
      </c>
      <c r="G16">
        <v>4458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66.46</v>
      </c>
      <c r="C17">
        <v>5088</v>
      </c>
      <c r="D17">
        <v>66.33</v>
      </c>
      <c r="E17">
        <v>3729.12</v>
      </c>
      <c r="F17">
        <v>76.01</v>
      </c>
      <c r="G17">
        <v>4270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73.19</v>
      </c>
      <c r="C18">
        <v>5104</v>
      </c>
      <c r="D18">
        <v>73.14</v>
      </c>
      <c r="E18">
        <v>3810.28</v>
      </c>
      <c r="F18">
        <v>87.87</v>
      </c>
      <c r="G18">
        <v>4402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83.23</v>
      </c>
      <c r="C19">
        <v>4769</v>
      </c>
      <c r="D19">
        <v>83.09</v>
      </c>
      <c r="E19">
        <v>3568.87</v>
      </c>
      <c r="F19">
        <v>92.32</v>
      </c>
      <c r="G19">
        <v>4097</v>
      </c>
      <c r="H19">
        <v>-1</v>
      </c>
      <c r="I19">
        <v>0</v>
      </c>
      <c r="J19">
        <v>-1</v>
      </c>
      <c r="K19">
        <v>1150</v>
      </c>
      <c r="L19">
        <v>-1</v>
      </c>
      <c r="M19">
        <v>0</v>
      </c>
    </row>
    <row r="20" spans="1:13">
      <c r="A20" t="s">
        <v>31</v>
      </c>
      <c r="B20">
        <v>75.19</v>
      </c>
      <c r="C20">
        <v>5679</v>
      </c>
      <c r="D20">
        <v>75.01</v>
      </c>
      <c r="E20">
        <v>3908.76</v>
      </c>
      <c r="F20">
        <v>85.78</v>
      </c>
      <c r="G20">
        <v>4511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66.59</v>
      </c>
      <c r="C21">
        <v>5211</v>
      </c>
      <c r="D21">
        <v>66.42</v>
      </c>
      <c r="E21">
        <v>3636.2</v>
      </c>
      <c r="F21">
        <v>72.84</v>
      </c>
      <c r="G21">
        <v>4155</v>
      </c>
      <c r="H21">
        <v>115.52</v>
      </c>
      <c r="I21">
        <v>4025.15</v>
      </c>
      <c r="J21">
        <v>-1</v>
      </c>
      <c r="K21">
        <v>0</v>
      </c>
      <c r="L21">
        <v>-1</v>
      </c>
      <c r="M21">
        <v>0</v>
      </c>
    </row>
    <row r="24" spans="1:42">
      <c r="A24" s="2" t="s">
        <v>33</v>
      </c>
      <c r="B24" s="2" t="s">
        <v>34</v>
      </c>
      <c r="C24" s="2" t="s">
        <v>35</v>
      </c>
      <c r="D24" s="3" t="s">
        <v>36</v>
      </c>
      <c r="E24" s="2" t="s">
        <v>37</v>
      </c>
      <c r="F24" s="2" t="s">
        <v>38</v>
      </c>
      <c r="G24" s="2" t="s">
        <v>39</v>
      </c>
      <c r="H24" s="2" t="s">
        <v>40</v>
      </c>
      <c r="I24" s="2" t="s">
        <v>41</v>
      </c>
      <c r="J24" s="3" t="s">
        <v>42</v>
      </c>
      <c r="K24" s="2" t="s">
        <v>43</v>
      </c>
      <c r="L24" s="2" t="s">
        <v>44</v>
      </c>
      <c r="M24" s="2" t="s">
        <v>45</v>
      </c>
      <c r="N24" s="2" t="s">
        <v>46</v>
      </c>
      <c r="O24" s="2" t="s">
        <v>47</v>
      </c>
      <c r="P24" s="3" t="s">
        <v>48</v>
      </c>
      <c r="Q24" s="2" t="s">
        <v>49</v>
      </c>
      <c r="R24" s="2" t="s">
        <v>50</v>
      </c>
      <c r="S24" s="2" t="s">
        <v>51</v>
      </c>
      <c r="T24" s="2" t="s">
        <v>52</v>
      </c>
      <c r="U24" s="2" t="s">
        <v>53</v>
      </c>
      <c r="V24" s="3" t="s">
        <v>54</v>
      </c>
      <c r="W24" s="2" t="s">
        <v>55</v>
      </c>
      <c r="X24" s="2" t="s">
        <v>56</v>
      </c>
      <c r="Y24" s="2" t="s">
        <v>57</v>
      </c>
      <c r="Z24" s="2" t="s">
        <v>58</v>
      </c>
      <c r="AA24" s="2" t="s">
        <v>59</v>
      </c>
      <c r="AB24" s="3" t="s">
        <v>60</v>
      </c>
      <c r="AC24" s="2" t="s">
        <v>61</v>
      </c>
      <c r="AD24" s="2" t="s">
        <v>62</v>
      </c>
      <c r="AE24" s="2" t="s">
        <v>63</v>
      </c>
      <c r="AF24" s="2" t="s">
        <v>64</v>
      </c>
      <c r="AG24" s="2" t="s">
        <v>65</v>
      </c>
      <c r="AH24" s="3" t="s">
        <v>66</v>
      </c>
      <c r="AI24" s="2" t="s">
        <v>67</v>
      </c>
      <c r="AJ24" s="2" t="s">
        <v>68</v>
      </c>
      <c r="AK24" s="2" t="s">
        <v>69</v>
      </c>
      <c r="AL24" s="2" t="s">
        <v>70</v>
      </c>
      <c r="AM24" s="2" t="s">
        <v>71</v>
      </c>
      <c r="AN24" s="3" t="s">
        <v>72</v>
      </c>
      <c r="AO24" s="2" t="s">
        <v>73</v>
      </c>
      <c r="AP24" s="2" t="s">
        <v>74</v>
      </c>
    </row>
    <row r="25" spans="1:42">
      <c r="A25" s="4">
        <f>IFERROR(AVERAGEIF($B$2:$B$21,"&lt;&gt; -1"),0)</f>
        <v>83.7275</v>
      </c>
      <c r="B25" s="4">
        <f>IFERROR(AVERAGEIF($D$2:$D$21,"&lt;&gt; -1"),0)</f>
        <v>83.65</v>
      </c>
      <c r="C25" s="4">
        <f>IFERROR(AVERAGEIF($F$2:$F$21,"&lt;&gt; -1"),0)</f>
        <v>98.4625</v>
      </c>
      <c r="D25" s="4">
        <f>IFERROR(AVERAGEIF($H$2:$H$21,"&lt;&gt; -1"),0)</f>
        <v>125.846666666667</v>
      </c>
      <c r="E25" s="4">
        <f>IFERROR(AVERAGEIF($J$2:$J$21,"&lt;&gt; -1"),0)</f>
        <v>0</v>
      </c>
      <c r="F25" s="4">
        <f>IFERROR(AVERAGEIF($L$2:$L$21,"&lt;&gt; -1"),0)</f>
        <v>0</v>
      </c>
      <c r="G25" s="4">
        <f>IFERROR(AVERAGEIFS($C$2:$C$21,$B$2:$B$21,"&lt;&gt; -1"),0)</f>
        <v>5041.95</v>
      </c>
      <c r="H25" s="4">
        <f>IFERROR(AVERAGEIFS($E$2:$E$21,$D$2:$D$21,"&lt;&gt; -1"),0)</f>
        <v>3686.8885</v>
      </c>
      <c r="I25" s="4">
        <f>IFERROR(AVERAGEIFS($G$2:$G$21,$F$2:$F$21,"&lt;&gt; -1"),0)</f>
        <v>4267.85</v>
      </c>
      <c r="J25" s="4">
        <f>IFERROR(AVERAGEIFS($I$2:$I$21,$H$2:$H$21,"&lt;&gt; -1"),0)</f>
        <v>4095.90333333333</v>
      </c>
      <c r="K25" s="4">
        <f>IFERROR(AVERAGEIFS($K$2:$K$21,$J$2:$J$21,"&lt;&gt; -1"),0)</f>
        <v>0</v>
      </c>
      <c r="L25" s="4">
        <f>IFERROR(AVERAGEIFS($M$2:$M$21,$L$2:$L$21,"&lt;&gt; -1"),0)</f>
        <v>0</v>
      </c>
      <c r="M25" s="4">
        <f>IFERROR(_xlfn.MAXIFS($B$2:$B$21,$B$2:$B$21,"&lt;&gt; -1"),0)</f>
        <v>101.36</v>
      </c>
      <c r="N25" s="4">
        <f>IFERROR(_xlfn.MAXIFS($D$2:$D$21,$D$2:$D$21,"&lt;&gt;-1"),0)</f>
        <v>101.21</v>
      </c>
      <c r="O25" s="4">
        <f>IFERROR(_xlfn.MAXIFS($F$2:$F$21,$F$2:$F$21,"&lt;&gt; -1"),0)</f>
        <v>124.55</v>
      </c>
      <c r="P25" s="4">
        <f>IFERROR(_xlfn.MAXIFS($H$2:$H$21,$H$2:$H$21,"&lt;&gt; -1"),0)</f>
        <v>132.63</v>
      </c>
      <c r="Q25" s="4">
        <f>IFERROR(_xlfn.MAXIFS($J$2:$J$21,$J$2:$J$21,"&lt;&gt; -1"),0)</f>
        <v>0</v>
      </c>
      <c r="R25" s="4">
        <f>IFERROR(_xlfn.MAXIFS($L$2:$L$21,$L$2:$L$21,"&lt;&gt; -1"),0)</f>
        <v>0</v>
      </c>
      <c r="S25" s="4">
        <f>IFERROR(_xlfn.MINIFS($B$2:$B$21,$B$2:$B$21,"&lt;&gt; -1"),0)</f>
        <v>65.18</v>
      </c>
      <c r="T25" s="4">
        <f>IFERROR(_xlfn.MINIFS($D$2:$D$21,$D$2:$D$21,"&lt;&gt;-1"),0)</f>
        <v>65.11</v>
      </c>
      <c r="U25" s="4">
        <f>IFERROR(_xlfn.MINIFS($F$2:$F$21,$F$2:$F$21,"&lt;&gt; -1"),0)</f>
        <v>72.84</v>
      </c>
      <c r="V25" s="4">
        <f>IFERROR(_xlfn.MINIFS($H$2:$H$21,$H$2:$H$21,"&lt;&gt; -1"),0)</f>
        <v>115.52</v>
      </c>
      <c r="W25" s="4">
        <f>IFERROR(_xlfn.MINIFS($J$2:$J$21,$J$2:$J$21,"&lt;&gt; -1"),0)</f>
        <v>0</v>
      </c>
      <c r="X25" s="4">
        <f>IFERROR(_xlfn.MINIFS($L$2:$L$21,$L$2:$L$21,"&lt;&gt; -1"),0)</f>
        <v>0</v>
      </c>
      <c r="Y25" s="4">
        <f>IFERROR(_xlfn.MAXIFS($C$2:$C$21,$B$2:$B$21,"&lt;&gt; -1"),0)</f>
        <v>5679</v>
      </c>
      <c r="Z25" s="4">
        <f>IFERROR(_xlfn.MAXIFS($E$2:$E$21,$D$2:$D$21,"&lt;&gt; -1"),0)</f>
        <v>3908.76</v>
      </c>
      <c r="AA25" s="4">
        <f>IFERROR(_xlfn.MAXIFS($G$2:$G$21,$F$2:$F$21,"&lt;&gt; -1"),0)</f>
        <v>4571</v>
      </c>
      <c r="AB25" s="4">
        <f>IFERROR(_xlfn.MAXIFS($I$2:$I$21,$H$2:$H$21,"&lt;&gt; -1"),0)</f>
        <v>4154.08</v>
      </c>
      <c r="AC25" s="4">
        <f>IFERROR(_xlfn.MAXIFS($K$2:$K$21,$J$2:$J$21,"&lt;&gt; -1"),0)</f>
        <v>0</v>
      </c>
      <c r="AD25" s="4">
        <f>IFERROR(_xlfn.MAXIFS($M$2:$M$21,$L$2:$L$21,"&lt;&gt; -1"),0)</f>
        <v>0</v>
      </c>
      <c r="AE25" s="4">
        <f>IFERROR(_xlfn.MINIFS($C$2:$C$21,$B$2:$B$21,"&lt;&gt; -1"),0)</f>
        <v>4476</v>
      </c>
      <c r="AF25" s="4">
        <f>IFERROR(_xlfn.MINIFS($E$2:$E$21,$D$2:$D$21,"&lt;&gt; -1"),0)</f>
        <v>3290.65</v>
      </c>
      <c r="AG25" s="4">
        <f>IFERROR(_xlfn.MINIFS($G$2:$G$21,$F$2:$F$21,"&lt;&gt; -1"),0)</f>
        <v>3868</v>
      </c>
      <c r="AH25" s="4">
        <f>IFERROR(_xlfn.MINIFS($I$2:$I$21,$H$2:$H$21,"&lt;&gt; -1"),0)</f>
        <v>4025.15</v>
      </c>
      <c r="AI25" s="4">
        <f>IFERROR(_xlfn.MINIFS($K$2:$K$21,$J$2:$J$21,"&lt;&gt; -1"),0)</f>
        <v>0</v>
      </c>
      <c r="AJ25" s="4">
        <f>IFERROR(_xlfn.MINIFS($M$2:$M$21,$L$2:$L$21,"&lt;&gt; -1"),0)</f>
        <v>0</v>
      </c>
      <c r="AK25" s="4">
        <f>(COUNTIFS($B$2:$B$21,"&gt;0.0",$B$2:$B$21,"&lt;200.0"))/20</f>
        <v>1</v>
      </c>
      <c r="AL25" s="4">
        <f>(COUNTIFS($D$2:$D$21,"&gt;0.0",$D$2:$D$21,"&lt;200.0"))/20</f>
        <v>1</v>
      </c>
      <c r="AM25" s="4">
        <f>(COUNTIFS($F$2:$F$21,"&gt;0.0",$F$2:$F$21,"&lt;200.0"))/20</f>
        <v>1</v>
      </c>
      <c r="AN25" s="4">
        <f>(COUNTIFS($H$2:$H$21,"&gt;0.0",$H$2:$H$21,"&lt;200.0"))/20</f>
        <v>0.15</v>
      </c>
      <c r="AO25" s="4">
        <f>(COUNTIFS($J$2:$J$21,"&gt;0.0",$J$2:$J$21,"&lt;200.0"))/20</f>
        <v>0</v>
      </c>
      <c r="AP25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H15" sqref="H15"/>
    </sheetView>
  </sheetViews>
  <sheetFormatPr defaultColWidth="8.72727272727273" defaultRowHeight="14" outlineLevelRow="6"/>
  <sheetData>
    <row r="1" spans="1:4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  <c r="AP1" t="s">
        <v>74</v>
      </c>
    </row>
    <row r="2" spans="1:42">
      <c r="A2">
        <v>35.5865</v>
      </c>
      <c r="B2">
        <v>35.6175</v>
      </c>
      <c r="C2">
        <v>38.915</v>
      </c>
      <c r="D2">
        <v>42.03</v>
      </c>
      <c r="E2">
        <v>45.53125</v>
      </c>
      <c r="F2">
        <v>38.5826315789474</v>
      </c>
      <c r="G2">
        <v>4588.85</v>
      </c>
      <c r="H2">
        <v>3593.717</v>
      </c>
      <c r="I2">
        <v>4262.15</v>
      </c>
      <c r="J2">
        <v>4067.5535</v>
      </c>
      <c r="K2">
        <v>4266.1875</v>
      </c>
      <c r="L2">
        <v>3565.85894736842</v>
      </c>
      <c r="M2">
        <v>39.05</v>
      </c>
      <c r="N2">
        <v>38.99</v>
      </c>
      <c r="O2">
        <v>43.43</v>
      </c>
      <c r="P2">
        <v>48.27</v>
      </c>
      <c r="Q2">
        <v>56</v>
      </c>
      <c r="R2">
        <v>42.58</v>
      </c>
      <c r="S2">
        <v>32.82</v>
      </c>
      <c r="T2">
        <v>32.84</v>
      </c>
      <c r="U2">
        <v>34.64</v>
      </c>
      <c r="V2">
        <v>36.95</v>
      </c>
      <c r="W2">
        <v>36.9</v>
      </c>
      <c r="X2">
        <v>35.48</v>
      </c>
      <c r="Y2">
        <v>5017</v>
      </c>
      <c r="Z2">
        <v>3794.05</v>
      </c>
      <c r="AA2">
        <v>4589</v>
      </c>
      <c r="AB2">
        <v>4274.77</v>
      </c>
      <c r="AC2">
        <v>4589</v>
      </c>
      <c r="AD2">
        <v>3788.56</v>
      </c>
      <c r="AE2">
        <v>4247</v>
      </c>
      <c r="AF2">
        <v>3350.71</v>
      </c>
      <c r="AG2">
        <v>3982</v>
      </c>
      <c r="AH2">
        <v>3748.61</v>
      </c>
      <c r="AI2">
        <v>3982</v>
      </c>
      <c r="AJ2">
        <v>3312.87</v>
      </c>
      <c r="AK2">
        <v>1</v>
      </c>
      <c r="AL2">
        <v>1</v>
      </c>
      <c r="AM2">
        <v>1</v>
      </c>
      <c r="AN2">
        <v>1</v>
      </c>
      <c r="AO2">
        <v>0.8</v>
      </c>
      <c r="AP2">
        <v>0.95</v>
      </c>
    </row>
    <row r="3" spans="1:42">
      <c r="A3">
        <v>42.388</v>
      </c>
      <c r="B3">
        <v>42.3535</v>
      </c>
      <c r="C3">
        <v>48.5495</v>
      </c>
      <c r="D3">
        <v>52.549</v>
      </c>
      <c r="E3">
        <v>68.882</v>
      </c>
      <c r="F3">
        <v>86.3</v>
      </c>
      <c r="G3">
        <v>4858.65</v>
      </c>
      <c r="H3">
        <v>3614.252</v>
      </c>
      <c r="I3">
        <v>4216.15</v>
      </c>
      <c r="J3">
        <v>4009.1995</v>
      </c>
      <c r="K3">
        <v>4249.6</v>
      </c>
      <c r="L3">
        <v>3616.76</v>
      </c>
      <c r="M3">
        <v>56.57</v>
      </c>
      <c r="N3">
        <v>56.61</v>
      </c>
      <c r="O3">
        <v>65.9</v>
      </c>
      <c r="P3">
        <v>70.46</v>
      </c>
      <c r="Q3">
        <v>85.38</v>
      </c>
      <c r="R3">
        <v>86.3</v>
      </c>
      <c r="S3">
        <v>38.43</v>
      </c>
      <c r="T3">
        <v>38.39</v>
      </c>
      <c r="U3">
        <v>43.13</v>
      </c>
      <c r="V3">
        <v>45.81</v>
      </c>
      <c r="W3">
        <v>54.08</v>
      </c>
      <c r="X3">
        <v>86.3</v>
      </c>
      <c r="Y3">
        <v>5254</v>
      </c>
      <c r="Z3">
        <v>3855.29</v>
      </c>
      <c r="AA3">
        <v>4454</v>
      </c>
      <c r="AB3">
        <v>4219.32</v>
      </c>
      <c r="AC3">
        <v>4450</v>
      </c>
      <c r="AD3">
        <v>3616.76</v>
      </c>
      <c r="AE3">
        <v>4506</v>
      </c>
      <c r="AF3">
        <v>3420.53</v>
      </c>
      <c r="AG3">
        <v>3968</v>
      </c>
      <c r="AH3">
        <v>3750.01</v>
      </c>
      <c r="AI3">
        <v>4050</v>
      </c>
      <c r="AJ3">
        <v>3616.76</v>
      </c>
      <c r="AK3">
        <v>1</v>
      </c>
      <c r="AL3">
        <v>1</v>
      </c>
      <c r="AM3">
        <v>1</v>
      </c>
      <c r="AN3">
        <v>1</v>
      </c>
      <c r="AO3">
        <v>0.25</v>
      </c>
      <c r="AP3">
        <v>0.05</v>
      </c>
    </row>
    <row r="4" spans="1:42">
      <c r="A4">
        <v>47.6975</v>
      </c>
      <c r="B4">
        <v>47.6595</v>
      </c>
      <c r="C4">
        <v>56.4855</v>
      </c>
      <c r="D4">
        <v>70.2892857142857</v>
      </c>
      <c r="E4">
        <v>0</v>
      </c>
      <c r="F4">
        <v>0</v>
      </c>
      <c r="G4">
        <v>5046.35</v>
      </c>
      <c r="H4">
        <v>3674.2285</v>
      </c>
      <c r="I4">
        <v>4264.55</v>
      </c>
      <c r="J4">
        <v>4031.12428571429</v>
      </c>
      <c r="K4">
        <v>0</v>
      </c>
      <c r="L4">
        <v>0</v>
      </c>
      <c r="M4">
        <v>50.54</v>
      </c>
      <c r="N4">
        <v>50.54</v>
      </c>
      <c r="O4">
        <v>66.15</v>
      </c>
      <c r="P4">
        <v>92.98</v>
      </c>
      <c r="Q4">
        <v>0</v>
      </c>
      <c r="R4">
        <v>0</v>
      </c>
      <c r="S4">
        <v>44.8</v>
      </c>
      <c r="T4">
        <v>44.73</v>
      </c>
      <c r="U4">
        <v>51.17</v>
      </c>
      <c r="V4">
        <v>54.9</v>
      </c>
      <c r="W4">
        <v>0</v>
      </c>
      <c r="X4">
        <v>0</v>
      </c>
      <c r="Y4">
        <v>5484</v>
      </c>
      <c r="Z4">
        <v>3888.18</v>
      </c>
      <c r="AA4">
        <v>4508</v>
      </c>
      <c r="AB4">
        <v>4216.74</v>
      </c>
      <c r="AC4">
        <v>0</v>
      </c>
      <c r="AD4">
        <v>0</v>
      </c>
      <c r="AE4">
        <v>4675</v>
      </c>
      <c r="AF4">
        <v>3512.68</v>
      </c>
      <c r="AG4">
        <v>4010</v>
      </c>
      <c r="AH4">
        <v>3905.87</v>
      </c>
      <c r="AI4">
        <v>0</v>
      </c>
      <c r="AJ4">
        <v>0</v>
      </c>
      <c r="AK4">
        <v>1</v>
      </c>
      <c r="AL4">
        <v>1</v>
      </c>
      <c r="AM4">
        <v>1</v>
      </c>
      <c r="AN4">
        <v>0.7</v>
      </c>
      <c r="AO4">
        <v>0</v>
      </c>
      <c r="AP4">
        <v>0</v>
      </c>
    </row>
    <row r="5" spans="1:42">
      <c r="A5">
        <v>65.2455</v>
      </c>
      <c r="B5">
        <v>65.2165</v>
      </c>
      <c r="C5">
        <v>74.301</v>
      </c>
      <c r="D5">
        <v>85.125</v>
      </c>
      <c r="E5">
        <v>98.65</v>
      </c>
      <c r="F5">
        <v>102</v>
      </c>
      <c r="G5">
        <v>5056.25</v>
      </c>
      <c r="H5">
        <v>3666.2595</v>
      </c>
      <c r="I5">
        <v>4259.15</v>
      </c>
      <c r="J5">
        <v>4054.83333333333</v>
      </c>
      <c r="K5">
        <v>4198</v>
      </c>
      <c r="L5">
        <v>3734.58</v>
      </c>
      <c r="M5">
        <v>79.21</v>
      </c>
      <c r="N5">
        <v>79.15</v>
      </c>
      <c r="O5">
        <v>92.65</v>
      </c>
      <c r="P5">
        <v>118.87</v>
      </c>
      <c r="Q5">
        <v>98.65</v>
      </c>
      <c r="R5">
        <v>102</v>
      </c>
      <c r="S5">
        <v>51.57</v>
      </c>
      <c r="T5">
        <v>51.51</v>
      </c>
      <c r="U5">
        <v>58.45</v>
      </c>
      <c r="V5">
        <v>60.04</v>
      </c>
      <c r="W5">
        <v>98.65</v>
      </c>
      <c r="X5">
        <v>102</v>
      </c>
      <c r="Y5">
        <v>5463</v>
      </c>
      <c r="Z5">
        <v>3820.79</v>
      </c>
      <c r="AA5">
        <v>4435</v>
      </c>
      <c r="AB5">
        <v>4293.48</v>
      </c>
      <c r="AC5">
        <v>4198</v>
      </c>
      <c r="AD5">
        <v>3734.58</v>
      </c>
      <c r="AE5">
        <v>4208</v>
      </c>
      <c r="AF5">
        <v>3270.23</v>
      </c>
      <c r="AG5">
        <v>3878</v>
      </c>
      <c r="AH5">
        <v>3656.47</v>
      </c>
      <c r="AI5">
        <v>4198</v>
      </c>
      <c r="AJ5">
        <v>3734.58</v>
      </c>
      <c r="AK5">
        <v>1</v>
      </c>
      <c r="AL5">
        <v>1</v>
      </c>
      <c r="AM5">
        <v>1</v>
      </c>
      <c r="AN5">
        <v>0.6</v>
      </c>
      <c r="AO5">
        <v>0.05</v>
      </c>
      <c r="AP5">
        <v>0.05</v>
      </c>
    </row>
    <row r="6" spans="1:42">
      <c r="A6">
        <v>69.8985</v>
      </c>
      <c r="B6">
        <v>69.828</v>
      </c>
      <c r="C6">
        <v>79.5575</v>
      </c>
      <c r="D6">
        <v>82.6</v>
      </c>
      <c r="E6">
        <v>72.245</v>
      </c>
      <c r="F6">
        <v>0</v>
      </c>
      <c r="G6">
        <v>5032.95</v>
      </c>
      <c r="H6">
        <v>3658.239</v>
      </c>
      <c r="I6">
        <v>4256.75</v>
      </c>
      <c r="J6">
        <v>4000.746</v>
      </c>
      <c r="K6">
        <v>4140.5</v>
      </c>
      <c r="L6">
        <v>0</v>
      </c>
      <c r="M6">
        <v>89.31</v>
      </c>
      <c r="N6">
        <v>89.15</v>
      </c>
      <c r="O6">
        <v>107.98</v>
      </c>
      <c r="P6">
        <v>103.47</v>
      </c>
      <c r="Q6">
        <v>73.1</v>
      </c>
      <c r="R6">
        <v>0</v>
      </c>
      <c r="S6">
        <v>57.55</v>
      </c>
      <c r="T6">
        <v>57.53</v>
      </c>
      <c r="U6">
        <v>62.58</v>
      </c>
      <c r="V6">
        <v>64.59</v>
      </c>
      <c r="W6">
        <v>71.39</v>
      </c>
      <c r="X6">
        <v>0</v>
      </c>
      <c r="Y6">
        <v>5559</v>
      </c>
      <c r="Z6">
        <v>3903.17</v>
      </c>
      <c r="AA6">
        <v>4567</v>
      </c>
      <c r="AB6">
        <v>4291.65</v>
      </c>
      <c r="AC6">
        <v>4233</v>
      </c>
      <c r="AD6">
        <v>0</v>
      </c>
      <c r="AE6">
        <v>4572</v>
      </c>
      <c r="AF6">
        <v>3476.9</v>
      </c>
      <c r="AG6">
        <v>4054</v>
      </c>
      <c r="AH6">
        <v>3874.87</v>
      </c>
      <c r="AI6">
        <v>4048</v>
      </c>
      <c r="AJ6">
        <v>0</v>
      </c>
      <c r="AK6">
        <v>1</v>
      </c>
      <c r="AL6">
        <v>1</v>
      </c>
      <c r="AM6">
        <v>1</v>
      </c>
      <c r="AN6">
        <v>0.5</v>
      </c>
      <c r="AO6">
        <v>0.1</v>
      </c>
      <c r="AP6">
        <v>0</v>
      </c>
    </row>
    <row r="7" spans="1:42">
      <c r="A7">
        <v>83.7275</v>
      </c>
      <c r="B7">
        <v>83.65</v>
      </c>
      <c r="C7">
        <v>98.4625</v>
      </c>
      <c r="D7">
        <v>125.846666666667</v>
      </c>
      <c r="E7">
        <v>0</v>
      </c>
      <c r="F7">
        <v>0</v>
      </c>
      <c r="G7">
        <v>5041.95</v>
      </c>
      <c r="H7">
        <v>3686.8885</v>
      </c>
      <c r="I7">
        <v>4267.85</v>
      </c>
      <c r="J7">
        <v>4095.90333333333</v>
      </c>
      <c r="K7">
        <v>0</v>
      </c>
      <c r="L7">
        <v>0</v>
      </c>
      <c r="M7">
        <v>101.36</v>
      </c>
      <c r="N7">
        <v>101.21</v>
      </c>
      <c r="O7">
        <v>124.55</v>
      </c>
      <c r="P7">
        <v>132.63</v>
      </c>
      <c r="Q7">
        <v>0</v>
      </c>
      <c r="R7">
        <v>0</v>
      </c>
      <c r="S7">
        <v>65.18</v>
      </c>
      <c r="T7">
        <v>65.11</v>
      </c>
      <c r="U7">
        <v>72.84</v>
      </c>
      <c r="V7">
        <v>115.52</v>
      </c>
      <c r="W7">
        <v>0</v>
      </c>
      <c r="X7">
        <v>0</v>
      </c>
      <c r="Y7">
        <v>5679</v>
      </c>
      <c r="Z7">
        <v>3908.76</v>
      </c>
      <c r="AA7">
        <v>4571</v>
      </c>
      <c r="AB7">
        <v>4154.08</v>
      </c>
      <c r="AC7">
        <v>0</v>
      </c>
      <c r="AD7">
        <v>0</v>
      </c>
      <c r="AE7">
        <v>4476</v>
      </c>
      <c r="AF7">
        <v>3290.65</v>
      </c>
      <c r="AG7">
        <v>3868</v>
      </c>
      <c r="AH7">
        <v>4025.15</v>
      </c>
      <c r="AI7">
        <v>0</v>
      </c>
      <c r="AJ7">
        <v>0</v>
      </c>
      <c r="AK7">
        <v>1</v>
      </c>
      <c r="AL7">
        <v>1</v>
      </c>
      <c r="AM7">
        <v>1</v>
      </c>
      <c r="AN7">
        <v>0.15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2024-08-28T15:28:00Z</dcterms:created>
  <dcterms:modified xsi:type="dcterms:W3CDTF">2024-08-29T14:23:33Z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2CC7B7E0718E49FC8B880F4A44D5C01D_12</vt:lpwstr>
  </property>
  <property fmtid="{D5CDD505-2E9C-101B-9397-08002B2CF9AE}" pid="3" name="KSOProductBuildVer">
    <vt:lpwstr>2052-12.1.0.17827</vt:lpwstr>
  </property>
</Properties>
</file>