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<sst xmlns="http://schemas.openxmlformats.org/spreadsheetml/2006/main" count="492" uniqueCount="75">
  <si>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</si>
  <si>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LC4_T</t>
  </si>
  <si>
    <t>LC4_C</t>
  </si>
  <si>
    <t>LC8_T</t>
  </si>
  <si>
    <t>LC8_C</t>
  </si>
  <si>
    <t>ML4_T</t>
  </si>
  <si>
    <t>ML4_C</t>
  </si>
  <si>
    <t>ML8_T</t>
  </si>
  <si>
    <t>ML8_C</t>
  </si>
  <si>
    <t>MA4_T</t>
  </si>
  <si>
    <t>MA4_C</t>
  </si>
  <si>
    <t>MA8_T</t>
  </si>
  <si>
    <t>MA8_C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</si>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</sst>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B24" sqref="A23:AP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70.62</v>
      </c>
      <c r="C2">
        <v>6530</v>
      </c>
      <c r="D2">
        <v>70.8</v>
      </c>
      <c r="E2">
        <v>5270.74</v>
      </c>
      <c r="F2">
        <v>81.46</v>
      </c>
      <c r="G2">
        <v>6306</v>
      </c>
      <c r="H2">
        <v>86.48</v>
      </c>
      <c r="I2">
        <v>6017.38</v>
      </c>
      <c r="J2">
        <v>-1</v>
      </c>
      <c r="K2">
        <v>431</v>
      </c>
      <c r="L2">
        <v>90.02</v>
      </c>
      <c r="M2">
        <v>5248.94</v>
      </c>
    </row>
    <row r="3" spans="1:13">
      <c r="A3" t="s">
        <v>14</v>
      </c>
      <c r="B3">
        <v>68.19</v>
      </c>
      <c r="C3">
        <v>6488</v>
      </c>
      <c r="D3">
        <v>68.26</v>
      </c>
      <c r="E3">
        <v>5270.5</v>
      </c>
      <c r="F3">
        <v>83.89</v>
      </c>
      <c r="G3">
        <v>6302</v>
      </c>
      <c r="H3">
        <v>92.3</v>
      </c>
      <c r="I3">
        <v>6005.78</v>
      </c>
      <c r="J3">
        <v>97.4</v>
      </c>
      <c r="K3">
        <v>6302</v>
      </c>
      <c r="L3">
        <v>86.37</v>
      </c>
      <c r="M3">
        <v>5269.93</v>
      </c>
    </row>
    <row r="4" spans="1:13">
      <c r="A4" t="s">
        <v>15</v>
      </c>
      <c r="B4">
        <v>66.57</v>
      </c>
      <c r="C4">
        <v>6280</v>
      </c>
      <c r="D4">
        <v>66.76</v>
      </c>
      <c r="E4">
        <v>5116.17</v>
      </c>
      <c r="F4">
        <v>72.9</v>
      </c>
      <c r="G4">
        <v>6146</v>
      </c>
      <c r="H4">
        <v>83.65</v>
      </c>
      <c r="I4">
        <v>5835.04</v>
      </c>
      <c r="J4">
        <v>78.65</v>
      </c>
      <c r="K4">
        <v>6146</v>
      </c>
      <c r="L4">
        <v>73.28</v>
      </c>
      <c r="M4">
        <v>5115.79</v>
      </c>
    </row>
    <row r="5" spans="1:13">
      <c r="A5" t="s">
        <v>16</v>
      </c>
      <c r="B5">
        <v>68.1</v>
      </c>
      <c r="C5">
        <v>6599</v>
      </c>
      <c r="D5">
        <v>68.24</v>
      </c>
      <c r="E5">
        <v>5343.48</v>
      </c>
      <c r="F5">
        <v>76.26</v>
      </c>
      <c r="G5">
        <v>6411</v>
      </c>
      <c r="H5">
        <v>77.68</v>
      </c>
      <c r="I5">
        <v>6183.32</v>
      </c>
      <c r="J5">
        <v>-1</v>
      </c>
      <c r="K5">
        <v>6072</v>
      </c>
      <c r="L5">
        <v>71.01</v>
      </c>
      <c r="M5">
        <v>5344.91</v>
      </c>
    </row>
    <row r="6" spans="1:13">
      <c r="A6" t="s">
        <v>17</v>
      </c>
      <c r="B6">
        <v>69.6</v>
      </c>
      <c r="C6">
        <v>6704</v>
      </c>
      <c r="D6">
        <v>69.81</v>
      </c>
      <c r="E6">
        <v>5367.71</v>
      </c>
      <c r="F6">
        <v>79.51</v>
      </c>
      <c r="G6">
        <v>6396</v>
      </c>
      <c r="H6">
        <v>88.29</v>
      </c>
      <c r="I6">
        <v>6125.4</v>
      </c>
      <c r="J6">
        <v>-1</v>
      </c>
      <c r="K6">
        <v>4107</v>
      </c>
      <c r="L6">
        <v>89.96</v>
      </c>
      <c r="M6">
        <v>5340.35</v>
      </c>
    </row>
    <row r="7" spans="1:13">
      <c r="A7" t="s">
        <v>18</v>
      </c>
      <c r="B7">
        <v>67.84</v>
      </c>
      <c r="C7">
        <v>7154</v>
      </c>
      <c r="D7">
        <v>68.03</v>
      </c>
      <c r="E7">
        <v>5574.65</v>
      </c>
      <c r="F7">
        <v>83.75</v>
      </c>
      <c r="G7">
        <v>6730</v>
      </c>
      <c r="H7">
        <v>85.17</v>
      </c>
      <c r="I7">
        <v>6369.98</v>
      </c>
      <c r="J7">
        <v>-1</v>
      </c>
      <c r="K7">
        <v>937</v>
      </c>
      <c r="L7">
        <v>89.17</v>
      </c>
      <c r="M7">
        <v>5577.74</v>
      </c>
    </row>
    <row r="8" spans="1:13">
      <c r="A8" t="s">
        <v>19</v>
      </c>
      <c r="B8">
        <v>70.07</v>
      </c>
      <c r="C8">
        <v>6932</v>
      </c>
      <c r="D8">
        <v>70.25</v>
      </c>
      <c r="E8">
        <v>5409.47</v>
      </c>
      <c r="F8">
        <v>90.26</v>
      </c>
      <c r="G8">
        <v>6500</v>
      </c>
      <c r="H8">
        <v>85.91</v>
      </c>
      <c r="I8">
        <v>6194.46</v>
      </c>
      <c r="J8">
        <v>-1</v>
      </c>
      <c r="K8">
        <v>4589</v>
      </c>
      <c r="L8">
        <v>106.43</v>
      </c>
      <c r="M8">
        <v>5388.91</v>
      </c>
    </row>
    <row r="9" spans="1:13">
      <c r="A9" t="s">
        <v>20</v>
      </c>
      <c r="B9">
        <v>65.83</v>
      </c>
      <c r="C9">
        <v>6305</v>
      </c>
      <c r="D9">
        <v>65.93</v>
      </c>
      <c r="E9">
        <v>5054.17</v>
      </c>
      <c r="F9">
        <v>73.11</v>
      </c>
      <c r="G9">
        <v>6187</v>
      </c>
      <c r="H9">
        <v>79.51</v>
      </c>
      <c r="I9">
        <v>5693.43</v>
      </c>
      <c r="J9">
        <v>84.99</v>
      </c>
      <c r="K9">
        <v>6187</v>
      </c>
      <c r="L9">
        <v>77.71</v>
      </c>
      <c r="M9">
        <v>5048.62</v>
      </c>
    </row>
    <row r="10" spans="1:13">
      <c r="A10" t="s">
        <v>21</v>
      </c>
      <c r="B10">
        <v>70.53</v>
      </c>
      <c r="C10">
        <v>7176</v>
      </c>
      <c r="D10">
        <v>70.6</v>
      </c>
      <c r="E10">
        <v>5703.26</v>
      </c>
      <c r="F10">
        <v>78.16</v>
      </c>
      <c r="G10">
        <v>6826</v>
      </c>
      <c r="H10">
        <v>85.46</v>
      </c>
      <c r="I10">
        <v>6427.87</v>
      </c>
      <c r="J10">
        <v>94.61</v>
      </c>
      <c r="K10">
        <v>6826</v>
      </c>
      <c r="L10">
        <v>82.99</v>
      </c>
      <c r="M10">
        <v>5672.97</v>
      </c>
    </row>
    <row r="11" spans="1:13">
      <c r="A11" t="s">
        <v>22</v>
      </c>
      <c r="B11">
        <v>68.31</v>
      </c>
      <c r="C11">
        <v>6433</v>
      </c>
      <c r="D11">
        <v>68.4</v>
      </c>
      <c r="E11">
        <v>5011.8</v>
      </c>
      <c r="F11">
        <v>75.77</v>
      </c>
      <c r="G11">
        <v>6025</v>
      </c>
      <c r="H11">
        <v>81.2</v>
      </c>
      <c r="I11">
        <v>5671.94</v>
      </c>
      <c r="J11">
        <v>90.03</v>
      </c>
      <c r="K11">
        <v>6023</v>
      </c>
      <c r="L11">
        <v>74.04</v>
      </c>
      <c r="M11">
        <v>4982.68</v>
      </c>
    </row>
    <row r="12" spans="1:13">
      <c r="A12" t="s">
        <v>23</v>
      </c>
      <c r="B12">
        <v>67.5</v>
      </c>
      <c r="C12">
        <v>6590</v>
      </c>
      <c r="D12">
        <v>67.63</v>
      </c>
      <c r="E12">
        <v>5236.57</v>
      </c>
      <c r="F12">
        <v>70.79</v>
      </c>
      <c r="G12">
        <v>6206</v>
      </c>
      <c r="H12">
        <v>80.36</v>
      </c>
      <c r="I12">
        <v>6043.08</v>
      </c>
      <c r="J12">
        <v>75.97</v>
      </c>
      <c r="K12">
        <v>6206</v>
      </c>
      <c r="L12">
        <v>90.03</v>
      </c>
      <c r="M12">
        <v>5196.29</v>
      </c>
    </row>
    <row r="13" spans="1:13">
      <c r="A13" t="s">
        <v>24</v>
      </c>
      <c r="B13">
        <v>67.75</v>
      </c>
      <c r="C13">
        <v>6230</v>
      </c>
      <c r="D13">
        <v>67.89</v>
      </c>
      <c r="E13">
        <v>5097.41</v>
      </c>
      <c r="F13">
        <v>76.85</v>
      </c>
      <c r="G13">
        <v>6018</v>
      </c>
      <c r="H13">
        <v>79.37</v>
      </c>
      <c r="I13">
        <v>5855.85</v>
      </c>
      <c r="J13">
        <v>-1</v>
      </c>
      <c r="K13">
        <v>4111</v>
      </c>
      <c r="L13">
        <v>100.29</v>
      </c>
      <c r="M13">
        <v>5085.81</v>
      </c>
    </row>
    <row r="14" spans="1:13">
      <c r="A14" t="s">
        <v>25</v>
      </c>
      <c r="B14">
        <v>67.33</v>
      </c>
      <c r="C14">
        <v>6628</v>
      </c>
      <c r="D14">
        <v>67.52</v>
      </c>
      <c r="E14">
        <v>5276.07</v>
      </c>
      <c r="F14">
        <v>72.47</v>
      </c>
      <c r="G14">
        <v>6276</v>
      </c>
      <c r="H14">
        <v>84.69</v>
      </c>
      <c r="I14">
        <v>6065.97</v>
      </c>
      <c r="J14">
        <v>-1</v>
      </c>
      <c r="K14">
        <v>0</v>
      </c>
      <c r="L14">
        <v>72.29</v>
      </c>
      <c r="M14">
        <v>5234.37</v>
      </c>
    </row>
    <row r="15" spans="1:13">
      <c r="A15" t="s">
        <v>26</v>
      </c>
      <c r="B15">
        <v>68.87</v>
      </c>
      <c r="C15">
        <v>6289</v>
      </c>
      <c r="D15">
        <v>69.07</v>
      </c>
      <c r="E15">
        <v>5145.51</v>
      </c>
      <c r="F15">
        <v>82.86</v>
      </c>
      <c r="G15">
        <v>6165</v>
      </c>
      <c r="H15">
        <v>81.49</v>
      </c>
      <c r="I15">
        <v>5846.02</v>
      </c>
      <c r="J15">
        <v>-1</v>
      </c>
      <c r="K15">
        <v>3029</v>
      </c>
      <c r="L15">
        <v>-1</v>
      </c>
      <c r="M15">
        <v>2477.77</v>
      </c>
    </row>
    <row r="16" spans="1:13">
      <c r="A16" t="s">
        <v>27</v>
      </c>
      <c r="B16">
        <v>60.96</v>
      </c>
      <c r="C16">
        <v>5848</v>
      </c>
      <c r="D16">
        <v>61.06</v>
      </c>
      <c r="E16">
        <v>4726.68</v>
      </c>
      <c r="F16">
        <v>67.79</v>
      </c>
      <c r="G16">
        <v>5626</v>
      </c>
      <c r="H16">
        <v>77.97</v>
      </c>
      <c r="I16">
        <v>5400.42</v>
      </c>
      <c r="J16">
        <v>74.17</v>
      </c>
      <c r="K16">
        <v>5626</v>
      </c>
      <c r="L16">
        <v>68.78</v>
      </c>
      <c r="M16">
        <v>4692.2</v>
      </c>
    </row>
    <row r="17" spans="1:13">
      <c r="A17" t="s">
        <v>28</v>
      </c>
      <c r="B17">
        <v>69.38</v>
      </c>
      <c r="C17">
        <v>7009</v>
      </c>
      <c r="D17">
        <v>69.49</v>
      </c>
      <c r="E17">
        <v>5471.99</v>
      </c>
      <c r="F17">
        <v>75.82</v>
      </c>
      <c r="G17">
        <v>6555</v>
      </c>
      <c r="H17">
        <v>82.59</v>
      </c>
      <c r="I17">
        <v>6266.92</v>
      </c>
      <c r="J17">
        <v>86.5</v>
      </c>
      <c r="K17">
        <v>6555</v>
      </c>
      <c r="L17">
        <v>75.15</v>
      </c>
      <c r="M17">
        <v>5451.22</v>
      </c>
    </row>
    <row r="18" spans="1:13">
      <c r="A18" t="s">
        <v>29</v>
      </c>
      <c r="B18">
        <v>70.07</v>
      </c>
      <c r="C18">
        <v>6720</v>
      </c>
      <c r="D18">
        <v>70.21</v>
      </c>
      <c r="E18">
        <v>5458.01</v>
      </c>
      <c r="F18">
        <v>81.93</v>
      </c>
      <c r="G18">
        <v>6470</v>
      </c>
      <c r="H18">
        <v>88.03</v>
      </c>
      <c r="I18">
        <v>6204.15</v>
      </c>
      <c r="J18">
        <v>-1</v>
      </c>
      <c r="K18">
        <v>0</v>
      </c>
      <c r="L18">
        <v>109.41</v>
      </c>
      <c r="M18">
        <v>5426.07</v>
      </c>
    </row>
    <row r="19" spans="1:13">
      <c r="A19" t="s">
        <v>30</v>
      </c>
      <c r="B19">
        <v>65.62</v>
      </c>
      <c r="C19">
        <v>6538</v>
      </c>
      <c r="D19">
        <v>65.66</v>
      </c>
      <c r="E19">
        <v>5148.75</v>
      </c>
      <c r="F19">
        <v>76.06</v>
      </c>
      <c r="G19">
        <v>6244</v>
      </c>
      <c r="H19">
        <v>81.93</v>
      </c>
      <c r="I19">
        <v>5785.65</v>
      </c>
      <c r="J19">
        <v>94.82</v>
      </c>
      <c r="K19">
        <v>6244</v>
      </c>
      <c r="L19">
        <v>73.04</v>
      </c>
      <c r="M19">
        <v>5127.78</v>
      </c>
    </row>
    <row r="20" spans="1:13">
      <c r="A20" t="s">
        <v>31</v>
      </c>
      <c r="B20">
        <v>68.03</v>
      </c>
      <c r="C20">
        <v>6666</v>
      </c>
      <c r="D20">
        <v>68.14</v>
      </c>
      <c r="E20">
        <v>5272.42</v>
      </c>
      <c r="F20">
        <v>79.14</v>
      </c>
      <c r="G20">
        <v>6356</v>
      </c>
      <c r="H20">
        <v>82.46</v>
      </c>
      <c r="I20">
        <v>6004.89</v>
      </c>
      <c r="J20">
        <v>-1</v>
      </c>
      <c r="K20">
        <v>6291</v>
      </c>
      <c r="L20">
        <v>73.19</v>
      </c>
      <c r="M20">
        <v>5266.04</v>
      </c>
    </row>
    <row r="21" spans="1:13">
      <c r="A21" t="s">
        <v>32</v>
      </c>
      <c r="B21">
        <v>68.09</v>
      </c>
      <c r="C21">
        <v>6697</v>
      </c>
      <c r="D21">
        <v>68.31</v>
      </c>
      <c r="E21">
        <v>5367.4</v>
      </c>
      <c r="F21">
        <v>80.45</v>
      </c>
      <c r="G21">
        <v>6403</v>
      </c>
      <c r="H21">
        <v>89.95</v>
      </c>
      <c r="I21">
        <v>6130.56</v>
      </c>
      <c r="J21">
        <v>-1</v>
      </c>
      <c r="K21">
        <v>5939</v>
      </c>
      <c r="L21">
        <v>82.42</v>
      </c>
      <c r="M21">
        <v>5348.28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67.963</v>
      </c>
      <c r="B24" s="4">
        <f>IFERROR(AVERAGEIF($D$2:$D$21,"&lt;&gt; -1"),0)</f>
        <v>68.103</v>
      </c>
      <c r="C24" s="4">
        <f>IFERROR(AVERAGEIF($F$2:$F$21,"&lt;&gt; -1"),0)</f>
        <v>77.9615</v>
      </c>
      <c r="D24" s="4">
        <f>IFERROR(AVERAGEIF($H$2:$H$21,"&lt;&gt; -1"),0)</f>
        <v>83.7245</v>
      </c>
      <c r="E24" s="4">
        <f>IFERROR(AVERAGEIF($J$2:$J$21,"&lt;&gt; -1"),0)</f>
        <v>86.3488888888889</v>
      </c>
      <c r="F24" s="4">
        <f>IFERROR(AVERAGEIF($L$2:$L$21,"&lt;&gt; -1"),0)</f>
        <v>83.4515789473684</v>
      </c>
      <c r="G24" s="4">
        <f>IFERROR(AVERAGEIFS($C$2:$C$21,$B$2:$B$21,"&lt;&gt; -1"),0)</f>
        <v>6590.8</v>
      </c>
      <c r="H24" s="4">
        <f>IFERROR(AVERAGEIFS($E$2:$E$21,$D$2:$D$21,"&lt;&gt; -1"),0)</f>
        <v>5266.138</v>
      </c>
      <c r="I24" s="4">
        <f>IFERROR(AVERAGEIFS($G$2:$G$21,$F$2:$F$21,"&lt;&gt; -1"),0)</f>
        <v>6307.4</v>
      </c>
      <c r="J24" s="4">
        <f>IFERROR(AVERAGEIFS($I$2:$I$21,$H$2:$H$21,"&lt;&gt; -1"),0)</f>
        <v>6006.4055</v>
      </c>
      <c r="K24" s="4">
        <f>IFERROR(AVERAGEIFS($K$2:$K$21,$J$2:$J$21,"&lt;&gt; -1"),0)</f>
        <v>6235</v>
      </c>
      <c r="L24" s="4">
        <f>IFERROR(AVERAGEIFS($M$2:$M$21,$L$2:$L$21,"&lt;&gt; -1"),0)</f>
        <v>5253.62631578947</v>
      </c>
      <c r="M24" s="4">
        <f>IFERROR(_xlfn.MAXIFS($B$2:$B$21,$B$2:$B$21,"&lt;&gt; -1"),0)</f>
        <v>70.62</v>
      </c>
      <c r="N24" s="4">
        <f>IFERROR(_xlfn.MAXIFS($D$2:$D$21,$D$2:$D$21,"&lt;&gt;-1"),0)</f>
        <v>70.8</v>
      </c>
      <c r="O24" s="4">
        <f>IFERROR(_xlfn.MAXIFS($F$2:$F$21,$F$2:$F$21,"&lt;&gt; -1"),0)</f>
        <v>90.26</v>
      </c>
      <c r="P24" s="4">
        <f>IFERROR(_xlfn.MAXIFS($H$2:$H$21,$H$2:$H$21,"&lt;&gt; -1"),0)</f>
        <v>92.3</v>
      </c>
      <c r="Q24" s="4">
        <f>IFERROR(_xlfn.MAXIFS($J$2:$J$21,$J$2:$J$21,"&lt;&gt; -1"),0)</f>
        <v>97.4</v>
      </c>
      <c r="R24" s="4">
        <f>IFERROR(_xlfn.MAXIFS($L$2:$L$21,$L$2:$L$21,"&lt;&gt; -1"),0)</f>
        <v>109.41</v>
      </c>
      <c r="S24" s="4">
        <f>IFERROR(_xlfn.MINIFS($B$2:$B$21,$B$2:$B$21,"&lt;&gt; -1"),0)</f>
        <v>60.96</v>
      </c>
      <c r="T24" s="4">
        <f>IFERROR(_xlfn.MINIFS($D$2:$D$21,$D$2:$D$21,"&lt;&gt;-1"),0)</f>
        <v>61.06</v>
      </c>
      <c r="U24" s="4">
        <f>IFERROR(_xlfn.MINIFS($F$2:$F$21,$F$2:$F$21,"&lt;&gt; -1"),0)</f>
        <v>67.79</v>
      </c>
      <c r="V24" s="4">
        <f>IFERROR(_xlfn.MINIFS($H$2:$H$21,$H$2:$H$21,"&lt;&gt; -1"),0)</f>
        <v>77.68</v>
      </c>
      <c r="W24" s="4">
        <f>IFERROR(_xlfn.MINIFS($J$2:$J$21,$J$2:$J$21,"&lt;&gt; -1"),0)</f>
        <v>74.17</v>
      </c>
      <c r="X24" s="4">
        <f>IFERROR(_xlfn.MINIFS($L$2:$L$21,$L$2:$L$21,"&lt;&gt; -1"),0)</f>
        <v>68.78</v>
      </c>
      <c r="Y24" s="4">
        <f>IFERROR(_xlfn.MAXIFS($C$2:$C$21,$B$2:$B$21,"&lt;&gt; -1"),0)</f>
        <v>7176</v>
      </c>
      <c r="Z24" s="4">
        <f>IFERROR(_xlfn.MAXIFS($E$2:$E$21,$D$2:$D$21,"&lt;&gt; -1"),0)</f>
        <v>5703.26</v>
      </c>
      <c r="AA24" s="4">
        <f>IFERROR(_xlfn.MAXIFS($G$2:$G$21,$F$2:$F$21,"&lt;&gt; -1"),0)</f>
        <v>6826</v>
      </c>
      <c r="AB24" s="4">
        <f>IFERROR(_xlfn.MAXIFS($I$2:$I$21,$H$2:$H$21,"&lt;&gt; -1"),0)</f>
        <v>6427.87</v>
      </c>
      <c r="AC24" s="4">
        <f>IFERROR(_xlfn.MAXIFS($K$2:$K$21,$J$2:$J$21,"&lt;&gt; -1"),0)</f>
        <v>6826</v>
      </c>
      <c r="AD24" s="4">
        <f>IFERROR(_xlfn.MAXIFS($M$2:$M$21,$L$2:$L$21,"&lt;&gt; -1"),0)</f>
        <v>5672.97</v>
      </c>
      <c r="AE24" s="4">
        <f>IFERROR(_xlfn.MINIFS($C$2:$C$21,$B$2:$B$21,"&lt;&gt; -1"),0)</f>
        <v>5848</v>
      </c>
      <c r="AF24" s="4">
        <f>IFERROR(_xlfn.MINIFS($E$2:$E$21,$D$2:$D$21,"&lt;&gt; -1"),0)</f>
        <v>4726.68</v>
      </c>
      <c r="AG24" s="4">
        <f>IFERROR(_xlfn.MINIFS($G$2:$G$21,$F$2:$F$21,"&lt;&gt; -1"),0)</f>
        <v>5626</v>
      </c>
      <c r="AH24" s="4">
        <f>IFERROR(_xlfn.MINIFS($I$2:$I$21,$H$2:$H$21,"&lt;&gt; -1"),0)</f>
        <v>5400.42</v>
      </c>
      <c r="AI24" s="4">
        <f>IFERROR(_xlfn.MINIFS($K$2:$K$21,$J$2:$J$21,"&lt;&gt; -1"),0)</f>
        <v>5626</v>
      </c>
      <c r="AJ24" s="4">
        <f>IFERROR(_xlfn.MINIFS($M$2:$M$21,$L$2:$L$21,"&lt;&gt; -1"),0)</f>
        <v>4692.2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1</v>
      </c>
      <c r="AO24" s="4">
        <f>(COUNTIFS($J$2:$J$21,"&gt;0.0",$J$2:$J$21,"&lt;200.0"))/20</f>
        <v>0.45</v>
      </c>
      <c r="AP24" s="4">
        <f>(COUNTIFS($L$2:$L$21,"&gt;0.0",$L$2:$L$21,"&lt;200.0"))/20</f>
        <v>0.95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81.66</v>
      </c>
      <c r="C2">
        <v>6971</v>
      </c>
      <c r="D2">
        <v>81.64</v>
      </c>
      <c r="E2">
        <v>5394.35</v>
      </c>
      <c r="F2">
        <v>-1</v>
      </c>
      <c r="G2">
        <v>4077</v>
      </c>
      <c r="H2">
        <v>100.32</v>
      </c>
      <c r="I2">
        <v>6086.13</v>
      </c>
      <c r="J2">
        <v>-1</v>
      </c>
      <c r="K2">
        <v>935</v>
      </c>
      <c r="L2">
        <v>-1</v>
      </c>
      <c r="M2">
        <v>777.42</v>
      </c>
    </row>
    <row r="3" spans="1:13">
      <c r="A3" t="s">
        <v>14</v>
      </c>
      <c r="B3">
        <v>79.91</v>
      </c>
      <c r="C3">
        <v>7214</v>
      </c>
      <c r="D3">
        <v>80.06</v>
      </c>
      <c r="E3">
        <v>5596.85</v>
      </c>
      <c r="F3">
        <v>92.47</v>
      </c>
      <c r="G3">
        <v>6614</v>
      </c>
      <c r="H3">
        <v>-1</v>
      </c>
      <c r="I3">
        <v>0</v>
      </c>
      <c r="J3">
        <v>-1</v>
      </c>
      <c r="K3">
        <v>1189</v>
      </c>
      <c r="L3">
        <v>-1</v>
      </c>
      <c r="M3">
        <v>0</v>
      </c>
    </row>
    <row r="4" spans="1:13">
      <c r="A4" t="s">
        <v>15</v>
      </c>
      <c r="B4">
        <v>79.5</v>
      </c>
      <c r="C4">
        <v>6947</v>
      </c>
      <c r="D4">
        <v>79.55</v>
      </c>
      <c r="E4">
        <v>5271.3</v>
      </c>
      <c r="F4">
        <v>96.04</v>
      </c>
      <c r="G4">
        <v>6241</v>
      </c>
      <c r="H4">
        <v>98.58</v>
      </c>
      <c r="I4">
        <v>5911.44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79.4</v>
      </c>
      <c r="C5">
        <v>7023</v>
      </c>
      <c r="D5">
        <v>79.44</v>
      </c>
      <c r="E5">
        <v>5309.54</v>
      </c>
      <c r="F5">
        <v>94.29</v>
      </c>
      <c r="G5">
        <v>6361</v>
      </c>
      <c r="H5">
        <v>93.9</v>
      </c>
      <c r="I5">
        <v>6054.21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81.72</v>
      </c>
      <c r="C6">
        <v>7408</v>
      </c>
      <c r="D6">
        <v>81.8</v>
      </c>
      <c r="E6">
        <v>5647.43</v>
      </c>
      <c r="F6">
        <v>99.53</v>
      </c>
      <c r="G6">
        <v>6692</v>
      </c>
      <c r="H6">
        <v>102.52</v>
      </c>
      <c r="I6">
        <v>6406.75</v>
      </c>
      <c r="J6">
        <v>-1</v>
      </c>
      <c r="K6">
        <v>1086</v>
      </c>
      <c r="L6">
        <v>-1</v>
      </c>
      <c r="M6">
        <v>0</v>
      </c>
    </row>
    <row r="7" spans="1:13">
      <c r="A7" t="s">
        <v>18</v>
      </c>
      <c r="B7">
        <v>80.17</v>
      </c>
      <c r="C7">
        <v>7241</v>
      </c>
      <c r="D7">
        <v>80.22</v>
      </c>
      <c r="E7">
        <v>5408.84</v>
      </c>
      <c r="F7">
        <v>-1</v>
      </c>
      <c r="G7">
        <v>6152</v>
      </c>
      <c r="H7">
        <v>110.58</v>
      </c>
      <c r="I7">
        <v>6126.02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83.82</v>
      </c>
      <c r="C8">
        <v>7290</v>
      </c>
      <c r="D8">
        <v>83.81</v>
      </c>
      <c r="E8">
        <v>5614.76</v>
      </c>
      <c r="F8">
        <v>104.89</v>
      </c>
      <c r="G8">
        <v>6610</v>
      </c>
      <c r="H8">
        <v>113.23</v>
      </c>
      <c r="I8">
        <v>6387.8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79.24</v>
      </c>
      <c r="C9">
        <v>6594</v>
      </c>
      <c r="D9">
        <v>79.26</v>
      </c>
      <c r="E9">
        <v>5124.12</v>
      </c>
      <c r="F9">
        <v>96.42</v>
      </c>
      <c r="G9">
        <v>6194</v>
      </c>
      <c r="H9">
        <v>100.89</v>
      </c>
      <c r="I9">
        <v>5784.94</v>
      </c>
      <c r="J9">
        <v>-1</v>
      </c>
      <c r="K9">
        <v>3481</v>
      </c>
      <c r="L9">
        <v>-1</v>
      </c>
      <c r="M9">
        <v>0</v>
      </c>
    </row>
    <row r="10" spans="1:13">
      <c r="A10" t="s">
        <v>21</v>
      </c>
      <c r="B10">
        <v>83.84</v>
      </c>
      <c r="C10">
        <v>7160</v>
      </c>
      <c r="D10">
        <v>83.85</v>
      </c>
      <c r="E10">
        <v>5473.78</v>
      </c>
      <c r="F10">
        <v>103.56</v>
      </c>
      <c r="G10">
        <v>6496</v>
      </c>
      <c r="H10">
        <v>117.2</v>
      </c>
      <c r="I10">
        <v>6182.82</v>
      </c>
      <c r="J10">
        <v>-1</v>
      </c>
      <c r="K10">
        <v>0</v>
      </c>
      <c r="L10">
        <v>-1</v>
      </c>
      <c r="M10">
        <v>852.52</v>
      </c>
    </row>
    <row r="11" spans="1:13">
      <c r="A11" t="s">
        <v>22</v>
      </c>
      <c r="B11">
        <v>83.78</v>
      </c>
      <c r="C11">
        <v>6994</v>
      </c>
      <c r="D11">
        <v>83.81</v>
      </c>
      <c r="E11">
        <v>5361.79</v>
      </c>
      <c r="F11">
        <v>104.53</v>
      </c>
      <c r="G11">
        <v>6362</v>
      </c>
      <c r="H11">
        <v>109.87</v>
      </c>
      <c r="I11">
        <v>6050.45</v>
      </c>
      <c r="J11">
        <v>-1</v>
      </c>
      <c r="K11">
        <v>1057</v>
      </c>
      <c r="L11">
        <v>111.57</v>
      </c>
      <c r="M11">
        <v>5350.43</v>
      </c>
    </row>
    <row r="12" spans="1:13">
      <c r="A12" t="s">
        <v>23</v>
      </c>
      <c r="B12">
        <v>84.63</v>
      </c>
      <c r="C12">
        <v>6958</v>
      </c>
      <c r="D12">
        <v>84.59</v>
      </c>
      <c r="E12">
        <v>5397.92</v>
      </c>
      <c r="F12">
        <v>112.86</v>
      </c>
      <c r="G12">
        <v>6420</v>
      </c>
      <c r="H12">
        <v>110.74</v>
      </c>
      <c r="I12">
        <v>6063.76</v>
      </c>
      <c r="J12">
        <v>-1</v>
      </c>
      <c r="K12">
        <v>876</v>
      </c>
      <c r="L12">
        <v>-1</v>
      </c>
      <c r="M12">
        <v>2903.56</v>
      </c>
    </row>
    <row r="13" spans="1:13">
      <c r="A13" t="s">
        <v>24</v>
      </c>
      <c r="B13">
        <v>80.98</v>
      </c>
      <c r="C13">
        <v>6910</v>
      </c>
      <c r="D13">
        <v>80.99</v>
      </c>
      <c r="E13">
        <v>5302.51</v>
      </c>
      <c r="F13">
        <v>106</v>
      </c>
      <c r="G13">
        <v>6254</v>
      </c>
      <c r="H13">
        <v>102.34</v>
      </c>
      <c r="I13">
        <v>5993.86</v>
      </c>
      <c r="J13">
        <v>-1</v>
      </c>
      <c r="K13">
        <v>882</v>
      </c>
      <c r="L13">
        <v>-1</v>
      </c>
      <c r="M13">
        <v>761.5</v>
      </c>
    </row>
    <row r="14" spans="1:13">
      <c r="A14" t="s">
        <v>25</v>
      </c>
      <c r="B14">
        <v>82.9</v>
      </c>
      <c r="C14">
        <v>6957</v>
      </c>
      <c r="D14">
        <v>82.95</v>
      </c>
      <c r="E14">
        <v>5280.79</v>
      </c>
      <c r="F14">
        <v>109.22</v>
      </c>
      <c r="G14">
        <v>6179</v>
      </c>
      <c r="H14">
        <v>117.63</v>
      </c>
      <c r="I14">
        <v>5986.32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83.08</v>
      </c>
      <c r="C15">
        <v>7022</v>
      </c>
      <c r="D15">
        <v>83.11</v>
      </c>
      <c r="E15">
        <v>5435.82</v>
      </c>
      <c r="F15">
        <v>104.4</v>
      </c>
      <c r="G15">
        <v>6478</v>
      </c>
      <c r="H15">
        <v>106.44</v>
      </c>
      <c r="I15">
        <v>6100.55</v>
      </c>
      <c r="J15">
        <v>-1</v>
      </c>
      <c r="K15">
        <v>1076</v>
      </c>
      <c r="L15">
        <v>-1</v>
      </c>
      <c r="M15">
        <v>908.47</v>
      </c>
    </row>
    <row r="16" spans="1:13">
      <c r="A16" t="s">
        <v>27</v>
      </c>
      <c r="B16">
        <v>75.25</v>
      </c>
      <c r="C16">
        <v>6221</v>
      </c>
      <c r="D16">
        <v>75.29</v>
      </c>
      <c r="E16">
        <v>4754.51</v>
      </c>
      <c r="F16">
        <v>104.06</v>
      </c>
      <c r="G16">
        <v>5615</v>
      </c>
      <c r="H16">
        <v>110.79</v>
      </c>
      <c r="I16">
        <v>5379.92</v>
      </c>
      <c r="J16">
        <v>-1</v>
      </c>
      <c r="K16">
        <v>0</v>
      </c>
      <c r="L16">
        <v>-1</v>
      </c>
      <c r="M16">
        <v>786.18</v>
      </c>
    </row>
    <row r="17" spans="1:13">
      <c r="A17" t="s">
        <v>28</v>
      </c>
      <c r="B17">
        <v>85.01</v>
      </c>
      <c r="C17">
        <v>7471</v>
      </c>
      <c r="D17">
        <v>84.97</v>
      </c>
      <c r="E17">
        <v>5589.26</v>
      </c>
      <c r="F17">
        <v>97.4</v>
      </c>
      <c r="G17">
        <v>6603</v>
      </c>
      <c r="H17">
        <v>126.95</v>
      </c>
      <c r="I17">
        <v>6339.45</v>
      </c>
      <c r="J17">
        <v>-1</v>
      </c>
      <c r="K17">
        <v>6501</v>
      </c>
      <c r="L17">
        <v>118.63</v>
      </c>
      <c r="M17">
        <v>5565.98</v>
      </c>
    </row>
    <row r="18" spans="1:13">
      <c r="A18" t="s">
        <v>29</v>
      </c>
      <c r="B18">
        <v>85.79</v>
      </c>
      <c r="C18">
        <v>7269</v>
      </c>
      <c r="D18">
        <v>85.82</v>
      </c>
      <c r="E18">
        <v>5481.28</v>
      </c>
      <c r="F18">
        <v>105.22</v>
      </c>
      <c r="G18">
        <v>6579</v>
      </c>
      <c r="H18">
        <v>106.31</v>
      </c>
      <c r="I18">
        <v>6166.46</v>
      </c>
      <c r="J18">
        <v>-1</v>
      </c>
      <c r="K18">
        <v>0</v>
      </c>
      <c r="L18">
        <v>-1</v>
      </c>
      <c r="M18">
        <v>858.12</v>
      </c>
    </row>
    <row r="19" spans="1:13">
      <c r="A19" t="s">
        <v>30</v>
      </c>
      <c r="B19">
        <v>78.55</v>
      </c>
      <c r="C19">
        <v>6965</v>
      </c>
      <c r="D19">
        <v>78.63</v>
      </c>
      <c r="E19">
        <v>5260.54</v>
      </c>
      <c r="F19">
        <v>97.22</v>
      </c>
      <c r="G19">
        <v>6353</v>
      </c>
      <c r="H19">
        <v>98.58</v>
      </c>
      <c r="I19">
        <v>5903.69</v>
      </c>
      <c r="J19">
        <v>-1</v>
      </c>
      <c r="K19">
        <v>1033</v>
      </c>
      <c r="L19">
        <v>123.84</v>
      </c>
      <c r="M19">
        <v>5275.38</v>
      </c>
    </row>
    <row r="20" spans="1:13">
      <c r="A20" t="s">
        <v>31</v>
      </c>
      <c r="B20">
        <v>81.15</v>
      </c>
      <c r="C20">
        <v>6604</v>
      </c>
      <c r="D20">
        <v>81.08</v>
      </c>
      <c r="E20">
        <v>5061.18</v>
      </c>
      <c r="F20">
        <v>95.04</v>
      </c>
      <c r="G20">
        <v>6030</v>
      </c>
      <c r="H20">
        <v>104.96</v>
      </c>
      <c r="I20">
        <v>5707.1</v>
      </c>
      <c r="J20">
        <v>-1</v>
      </c>
      <c r="K20">
        <v>937</v>
      </c>
      <c r="L20">
        <v>-1</v>
      </c>
      <c r="M20">
        <v>775.91</v>
      </c>
    </row>
    <row r="21" spans="1:13">
      <c r="A21" t="s">
        <v>32</v>
      </c>
      <c r="B21">
        <v>117.32</v>
      </c>
      <c r="C21">
        <v>6951</v>
      </c>
      <c r="D21">
        <v>117.37</v>
      </c>
      <c r="E21">
        <v>5406.51</v>
      </c>
      <c r="F21">
        <v>139.74</v>
      </c>
      <c r="G21">
        <v>6389</v>
      </c>
      <c r="H21">
        <v>158.14</v>
      </c>
      <c r="I21">
        <v>6053.48</v>
      </c>
      <c r="J21">
        <v>-1</v>
      </c>
      <c r="K21">
        <v>0</v>
      </c>
      <c r="L21">
        <v>-1</v>
      </c>
      <c r="M21">
        <v>803.83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83.385</v>
      </c>
      <c r="B24" s="4">
        <f>IFERROR(AVERAGEIF($D$2:$D$21,"&lt;&gt; -1"),0)</f>
        <v>83.412</v>
      </c>
      <c r="C24" s="4">
        <f>IFERROR(AVERAGEIF($F$2:$F$21,"&lt;&gt; -1"),0)</f>
        <v>103.493888888889</v>
      </c>
      <c r="D24" s="4">
        <f>IFERROR(AVERAGEIF($H$2:$H$21,"&lt;&gt; -1"),0)</f>
        <v>109.998421052632</v>
      </c>
      <c r="E24" s="4">
        <f>IFERROR(AVERAGEIF($J$2:$J$21,"&lt;&gt; -1"),0)</f>
        <v>0</v>
      </c>
      <c r="F24" s="4">
        <f>IFERROR(AVERAGEIF($L$2:$L$21,"&lt;&gt; -1"),0)</f>
        <v>118.013333333333</v>
      </c>
      <c r="G24" s="4">
        <f>IFERROR(AVERAGEIFS($C$2:$C$21,$B$2:$B$21,"&lt;&gt; -1"),0)</f>
        <v>7008.5</v>
      </c>
      <c r="H24" s="4">
        <f>IFERROR(AVERAGEIFS($E$2:$E$21,$D$2:$D$21,"&lt;&gt; -1"),0)</f>
        <v>5358.654</v>
      </c>
      <c r="I24" s="4">
        <f>IFERROR(AVERAGEIFS($G$2:$G$21,$F$2:$F$21,"&lt;&gt; -1"),0)</f>
        <v>6359.44444444444</v>
      </c>
      <c r="J24" s="4">
        <f>IFERROR(AVERAGEIFS($I$2:$I$21,$H$2:$H$21,"&lt;&gt; -1"),0)</f>
        <v>6036.06052631579</v>
      </c>
      <c r="K24" s="4">
        <f>IFERROR(AVERAGEIFS($K$2:$K$21,$J$2:$J$21,"&lt;&gt; -1"),0)</f>
        <v>0</v>
      </c>
      <c r="L24" s="4">
        <f>IFERROR(AVERAGEIFS($M$2:$M$21,$L$2:$L$21,"&lt;&gt; -1"),0)</f>
        <v>5397.26333333333</v>
      </c>
      <c r="M24" s="4">
        <f>IFERROR(_xlfn.MAXIFS($B$2:$B$21,$B$2:$B$21,"&lt;&gt; -1"),0)</f>
        <v>117.32</v>
      </c>
      <c r="N24" s="4">
        <f>IFERROR(_xlfn.MAXIFS($D$2:$D$21,$D$2:$D$21,"&lt;&gt;-1"),0)</f>
        <v>117.37</v>
      </c>
      <c r="O24" s="4">
        <f>IFERROR(_xlfn.MAXIFS($F$2:$F$21,$F$2:$F$21,"&lt;&gt; -1"),0)</f>
        <v>139.74</v>
      </c>
      <c r="P24" s="4">
        <f>IFERROR(_xlfn.MAXIFS($H$2:$H$21,$H$2:$H$21,"&lt;&gt; -1"),0)</f>
        <v>158.14</v>
      </c>
      <c r="Q24" s="4">
        <f>IFERROR(_xlfn.MAXIFS($J$2:$J$21,$J$2:$J$21,"&lt;&gt; -1"),0)</f>
        <v>0</v>
      </c>
      <c r="R24" s="4">
        <f>IFERROR(_xlfn.MAXIFS($L$2:$L$21,$L$2:$L$21,"&lt;&gt; -1"),0)</f>
        <v>123.84</v>
      </c>
      <c r="S24" s="4">
        <f>IFERROR(_xlfn.MINIFS($B$2:$B$21,$B$2:$B$21,"&lt;&gt; -1"),0)</f>
        <v>75.25</v>
      </c>
      <c r="T24" s="4">
        <f>IFERROR(_xlfn.MINIFS($D$2:$D$21,$D$2:$D$21,"&lt;&gt;-1"),0)</f>
        <v>75.29</v>
      </c>
      <c r="U24" s="4">
        <f>IFERROR(_xlfn.MINIFS($F$2:$F$21,$F$2:$F$21,"&lt;&gt; -1"),0)</f>
        <v>92.47</v>
      </c>
      <c r="V24" s="4">
        <f>IFERROR(_xlfn.MINIFS($H$2:$H$21,$H$2:$H$21,"&lt;&gt; -1"),0)</f>
        <v>93.9</v>
      </c>
      <c r="W24" s="4">
        <f>IFERROR(_xlfn.MINIFS($J$2:$J$21,$J$2:$J$21,"&lt;&gt; -1"),0)</f>
        <v>0</v>
      </c>
      <c r="X24" s="4">
        <f>IFERROR(_xlfn.MINIFS($L$2:$L$21,$L$2:$L$21,"&lt;&gt; -1"),0)</f>
        <v>111.57</v>
      </c>
      <c r="Y24" s="4">
        <f>IFERROR(_xlfn.MAXIFS($C$2:$C$21,$B$2:$B$21,"&lt;&gt; -1"),0)</f>
        <v>7471</v>
      </c>
      <c r="Z24" s="4">
        <f>IFERROR(_xlfn.MAXIFS($E$2:$E$21,$D$2:$D$21,"&lt;&gt; -1"),0)</f>
        <v>5647.43</v>
      </c>
      <c r="AA24" s="4">
        <f>IFERROR(_xlfn.MAXIFS($G$2:$G$21,$F$2:$F$21,"&lt;&gt; -1"),0)</f>
        <v>6692</v>
      </c>
      <c r="AB24" s="4">
        <f>IFERROR(_xlfn.MAXIFS($I$2:$I$21,$H$2:$H$21,"&lt;&gt; -1"),0)</f>
        <v>6406.75</v>
      </c>
      <c r="AC24" s="4">
        <f>IFERROR(_xlfn.MAXIFS($K$2:$K$21,$J$2:$J$21,"&lt;&gt; -1"),0)</f>
        <v>0</v>
      </c>
      <c r="AD24" s="4">
        <f>IFERROR(_xlfn.MAXIFS($M$2:$M$21,$L$2:$L$21,"&lt;&gt; -1"),0)</f>
        <v>5565.98</v>
      </c>
      <c r="AE24" s="4">
        <f>IFERROR(_xlfn.MINIFS($C$2:$C$21,$B$2:$B$21,"&lt;&gt; -1"),0)</f>
        <v>6221</v>
      </c>
      <c r="AF24" s="4">
        <f>IFERROR(_xlfn.MINIFS($E$2:$E$21,$D$2:$D$21,"&lt;&gt; -1"),0)</f>
        <v>4754.51</v>
      </c>
      <c r="AG24" s="4">
        <f>IFERROR(_xlfn.MINIFS($G$2:$G$21,$F$2:$F$21,"&lt;&gt; -1"),0)</f>
        <v>5615</v>
      </c>
      <c r="AH24" s="4">
        <f>IFERROR(_xlfn.MINIFS($I$2:$I$21,$H$2:$H$21,"&lt;&gt; -1"),0)</f>
        <v>5379.92</v>
      </c>
      <c r="AI24" s="4">
        <f>IFERROR(_xlfn.MINIFS($K$2:$K$21,$J$2:$J$21,"&lt;&gt; -1"),0)</f>
        <v>0</v>
      </c>
      <c r="AJ24" s="4">
        <f>IFERROR(_xlfn.MINIFS($M$2:$M$21,$L$2:$L$21,"&lt;&gt; -1"),0)</f>
        <v>5275.38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0.9</v>
      </c>
      <c r="AN24" s="4">
        <f>(COUNTIFS($H$2:$H$21,"&gt;0.0",$H$2:$H$21,"&lt;200.0"))/20</f>
        <v>0.95</v>
      </c>
      <c r="AO24" s="4">
        <f>(COUNTIFS($J$2:$J$21,"&gt;0.0",$J$2:$J$21,"&lt;200.0"))/20</f>
        <v>0</v>
      </c>
      <c r="AP24" s="4">
        <f>(COUNTIFS($L$2:$L$21,"&gt;0.0",$L$2:$L$21,"&lt;200.0"))/20</f>
        <v>0.15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129.95</v>
      </c>
      <c r="C2">
        <v>7171</v>
      </c>
      <c r="D2">
        <v>130.02</v>
      </c>
      <c r="E2">
        <v>5420.07</v>
      </c>
      <c r="F2">
        <v>156.94</v>
      </c>
      <c r="G2">
        <v>6485</v>
      </c>
      <c r="H2">
        <v>149.89</v>
      </c>
      <c r="I2">
        <v>6065.48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128.04</v>
      </c>
      <c r="C3">
        <v>6797</v>
      </c>
      <c r="D3">
        <v>128.27</v>
      </c>
      <c r="E3">
        <v>5372.12</v>
      </c>
      <c r="F3">
        <v>-1</v>
      </c>
      <c r="G3">
        <v>3465</v>
      </c>
      <c r="H3">
        <v>158.51</v>
      </c>
      <c r="I3">
        <v>6095.06</v>
      </c>
      <c r="J3">
        <v>-1</v>
      </c>
      <c r="K3">
        <v>0</v>
      </c>
      <c r="L3">
        <v>-1</v>
      </c>
      <c r="M3">
        <v>1124.84</v>
      </c>
    </row>
    <row r="4" spans="1:13">
      <c r="A4" t="s">
        <v>15</v>
      </c>
      <c r="B4">
        <v>91.56</v>
      </c>
      <c r="C4">
        <v>6752</v>
      </c>
      <c r="D4">
        <v>91.61</v>
      </c>
      <c r="E4">
        <v>5358.54</v>
      </c>
      <c r="F4">
        <v>112.77</v>
      </c>
      <c r="G4">
        <v>6398</v>
      </c>
      <c r="H4">
        <v>131.83</v>
      </c>
      <c r="I4">
        <v>6028.49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129.39</v>
      </c>
      <c r="C5">
        <v>6772</v>
      </c>
      <c r="D5">
        <v>129.29</v>
      </c>
      <c r="E5">
        <v>5214.35</v>
      </c>
      <c r="F5">
        <v>-1</v>
      </c>
      <c r="G5">
        <v>5957</v>
      </c>
      <c r="H5">
        <v>-1</v>
      </c>
      <c r="I5">
        <v>5351.15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130.31</v>
      </c>
      <c r="C6">
        <v>7164</v>
      </c>
      <c r="D6">
        <v>130.04</v>
      </c>
      <c r="E6">
        <v>5385.43</v>
      </c>
      <c r="F6">
        <v>-1</v>
      </c>
      <c r="G6">
        <v>5221</v>
      </c>
      <c r="H6">
        <v>-1</v>
      </c>
      <c r="I6">
        <v>1354.7</v>
      </c>
      <c r="J6">
        <v>-1</v>
      </c>
      <c r="K6">
        <v>0</v>
      </c>
      <c r="L6">
        <v>-1</v>
      </c>
      <c r="M6">
        <v>1185.42</v>
      </c>
    </row>
    <row r="7" spans="1:13">
      <c r="A7" t="s">
        <v>18</v>
      </c>
      <c r="B7">
        <v>115.99</v>
      </c>
      <c r="C7">
        <v>7084</v>
      </c>
      <c r="D7">
        <v>115.74</v>
      </c>
      <c r="E7">
        <v>5389.59</v>
      </c>
      <c r="F7">
        <v>-1</v>
      </c>
      <c r="G7">
        <v>3885</v>
      </c>
      <c r="H7">
        <v>-1</v>
      </c>
      <c r="I7">
        <v>4805.08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134.8</v>
      </c>
      <c r="C8">
        <v>7138</v>
      </c>
      <c r="D8">
        <v>134.82</v>
      </c>
      <c r="E8">
        <v>5429.84</v>
      </c>
      <c r="F8">
        <v>147.61</v>
      </c>
      <c r="G8">
        <v>6478</v>
      </c>
      <c r="H8">
        <v>158.79</v>
      </c>
      <c r="I8">
        <v>6167.13</v>
      </c>
      <c r="J8">
        <v>-1</v>
      </c>
      <c r="K8">
        <v>1025</v>
      </c>
      <c r="L8">
        <v>-1</v>
      </c>
      <c r="M8">
        <v>896.71</v>
      </c>
    </row>
    <row r="9" spans="1:13">
      <c r="A9" t="s">
        <v>20</v>
      </c>
      <c r="B9">
        <v>107.63</v>
      </c>
      <c r="C9">
        <v>7273</v>
      </c>
      <c r="D9">
        <v>107.86</v>
      </c>
      <c r="E9">
        <v>5351.85</v>
      </c>
      <c r="F9">
        <v>135.14</v>
      </c>
      <c r="G9">
        <v>6367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126.59</v>
      </c>
      <c r="C10">
        <v>7469</v>
      </c>
      <c r="D10">
        <v>126.65</v>
      </c>
      <c r="E10">
        <v>5718.51</v>
      </c>
      <c r="F10">
        <v>147.51</v>
      </c>
      <c r="G10">
        <v>6841</v>
      </c>
      <c r="H10">
        <v>147.09</v>
      </c>
      <c r="I10">
        <v>6445.69</v>
      </c>
      <c r="J10">
        <v>-1</v>
      </c>
      <c r="K10">
        <v>0</v>
      </c>
      <c r="L10">
        <v>-1</v>
      </c>
      <c r="M10">
        <v>910.04</v>
      </c>
    </row>
    <row r="11" spans="1:13">
      <c r="A11" t="s">
        <v>22</v>
      </c>
      <c r="B11">
        <v>92.84</v>
      </c>
      <c r="C11">
        <v>7042</v>
      </c>
      <c r="D11">
        <v>92.85</v>
      </c>
      <c r="E11">
        <v>5258.82</v>
      </c>
      <c r="F11">
        <v>-1</v>
      </c>
      <c r="G11">
        <v>5150</v>
      </c>
      <c r="H11">
        <v>123.21</v>
      </c>
      <c r="I11">
        <v>5846.52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95.53</v>
      </c>
      <c r="C12">
        <v>7254</v>
      </c>
      <c r="D12">
        <v>95.53</v>
      </c>
      <c r="E12">
        <v>5422.38</v>
      </c>
      <c r="F12">
        <v>-1</v>
      </c>
      <c r="G12">
        <v>5209</v>
      </c>
      <c r="H12">
        <v>137.55</v>
      </c>
      <c r="I12">
        <v>6131.12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91.76</v>
      </c>
      <c r="C13">
        <v>7060</v>
      </c>
      <c r="D13">
        <v>91.76</v>
      </c>
      <c r="E13">
        <v>5272.19</v>
      </c>
      <c r="F13">
        <v>113.03</v>
      </c>
      <c r="G13">
        <v>6224</v>
      </c>
      <c r="H13">
        <v>-1</v>
      </c>
      <c r="I13">
        <v>4495.48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94.45</v>
      </c>
      <c r="C14">
        <v>6892</v>
      </c>
      <c r="D14">
        <v>94.46</v>
      </c>
      <c r="E14">
        <v>5268.6</v>
      </c>
      <c r="F14">
        <v>-1</v>
      </c>
      <c r="G14">
        <v>5998</v>
      </c>
      <c r="H14">
        <v>-1</v>
      </c>
      <c r="I14">
        <v>0</v>
      </c>
      <c r="J14">
        <v>-1</v>
      </c>
      <c r="K14">
        <v>1627</v>
      </c>
      <c r="L14">
        <v>-1</v>
      </c>
      <c r="M14">
        <v>0</v>
      </c>
    </row>
    <row r="15" spans="1:13">
      <c r="A15" t="s">
        <v>26</v>
      </c>
      <c r="B15">
        <v>98.26</v>
      </c>
      <c r="C15">
        <v>7111</v>
      </c>
      <c r="D15">
        <v>98.34</v>
      </c>
      <c r="E15">
        <v>5463.8</v>
      </c>
      <c r="F15">
        <v>124.65</v>
      </c>
      <c r="G15">
        <v>6505</v>
      </c>
      <c r="H15">
        <v>111.29</v>
      </c>
      <c r="I15">
        <v>6115.83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87.71</v>
      </c>
      <c r="C16">
        <v>6472</v>
      </c>
      <c r="D16">
        <v>87.71</v>
      </c>
      <c r="E16">
        <v>4903.4</v>
      </c>
      <c r="F16">
        <v>109.01</v>
      </c>
      <c r="G16">
        <v>5792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97.9</v>
      </c>
      <c r="C17">
        <v>6904</v>
      </c>
      <c r="D17">
        <v>97.94</v>
      </c>
      <c r="E17">
        <v>5406.68</v>
      </c>
      <c r="F17">
        <v>119.13</v>
      </c>
      <c r="G17">
        <v>6392</v>
      </c>
      <c r="H17">
        <v>-1</v>
      </c>
      <c r="I17">
        <v>1446.52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100.15</v>
      </c>
      <c r="C18">
        <v>7062</v>
      </c>
      <c r="D18">
        <v>100.16</v>
      </c>
      <c r="E18">
        <v>5477.6</v>
      </c>
      <c r="F18">
        <v>-1</v>
      </c>
      <c r="G18">
        <v>5000</v>
      </c>
      <c r="H18">
        <v>120.23</v>
      </c>
      <c r="I18">
        <v>6193.95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92.27</v>
      </c>
      <c r="C19">
        <v>6608</v>
      </c>
      <c r="D19">
        <v>92.36</v>
      </c>
      <c r="E19">
        <v>4982.86</v>
      </c>
      <c r="F19">
        <v>114.67</v>
      </c>
      <c r="G19">
        <v>5976</v>
      </c>
      <c r="H19">
        <v>110.48</v>
      </c>
      <c r="I19">
        <v>5616.32</v>
      </c>
      <c r="J19">
        <v>-1</v>
      </c>
      <c r="K19">
        <v>1468</v>
      </c>
      <c r="L19">
        <v>-1</v>
      </c>
      <c r="M19">
        <v>0</v>
      </c>
    </row>
    <row r="20" spans="1:13">
      <c r="A20" t="s">
        <v>31</v>
      </c>
      <c r="B20">
        <v>95.1</v>
      </c>
      <c r="C20">
        <v>7295</v>
      </c>
      <c r="D20">
        <v>95.24</v>
      </c>
      <c r="E20">
        <v>5439.49</v>
      </c>
      <c r="F20">
        <v>119.73</v>
      </c>
      <c r="G20">
        <v>6469</v>
      </c>
      <c r="H20">
        <v>135.46</v>
      </c>
      <c r="I20">
        <v>6174.55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97.29</v>
      </c>
      <c r="C21">
        <v>7011</v>
      </c>
      <c r="D21">
        <v>97.25</v>
      </c>
      <c r="E21">
        <v>5432.83</v>
      </c>
      <c r="F21">
        <v>-1</v>
      </c>
      <c r="G21">
        <v>5811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106.876</v>
      </c>
      <c r="B24" s="4">
        <f>IFERROR(AVERAGEIF($D$2:$D$21,"&lt;&gt; -1"),0)</f>
        <v>106.895</v>
      </c>
      <c r="C24" s="4">
        <f>IFERROR(AVERAGEIF($F$2:$F$21,"&lt;&gt; -1"),0)</f>
        <v>127.29</v>
      </c>
      <c r="D24" s="4">
        <f>IFERROR(AVERAGEIF($H$2:$H$21,"&lt;&gt; -1"),0)</f>
        <v>134.939090909091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7016.55</v>
      </c>
      <c r="H24" s="4">
        <f>IFERROR(AVERAGEIFS($E$2:$E$21,$D$2:$D$21,"&lt;&gt; -1"),0)</f>
        <v>5348.4475</v>
      </c>
      <c r="I24" s="4">
        <f>IFERROR(AVERAGEIFS($G$2:$G$21,$F$2:$F$21,"&lt;&gt; -1"),0)</f>
        <v>6357</v>
      </c>
      <c r="J24" s="4">
        <f>IFERROR(AVERAGEIFS($I$2:$I$21,$H$2:$H$21,"&lt;&gt; -1"),0)</f>
        <v>6080.01272727273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134.8</v>
      </c>
      <c r="N24" s="4">
        <f>IFERROR(_xlfn.MAXIFS($D$2:$D$21,$D$2:$D$21,"&lt;&gt;-1"),0)</f>
        <v>134.82</v>
      </c>
      <c r="O24" s="4">
        <f>IFERROR(_xlfn.MAXIFS($F$2:$F$21,$F$2:$F$21,"&lt;&gt; -1"),0)</f>
        <v>156.94</v>
      </c>
      <c r="P24" s="4">
        <f>IFERROR(_xlfn.MAXIFS($H$2:$H$21,$H$2:$H$21,"&lt;&gt; -1"),0)</f>
        <v>158.79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87.71</v>
      </c>
      <c r="T24" s="4">
        <f>IFERROR(_xlfn.MINIFS($D$2:$D$21,$D$2:$D$21,"&lt;&gt;-1"),0)</f>
        <v>87.71</v>
      </c>
      <c r="U24" s="4">
        <f>IFERROR(_xlfn.MINIFS($F$2:$F$21,$F$2:$F$21,"&lt;&gt; -1"),0)</f>
        <v>109.01</v>
      </c>
      <c r="V24" s="4">
        <f>IFERROR(_xlfn.MINIFS($H$2:$H$21,$H$2:$H$21,"&lt;&gt; -1"),0)</f>
        <v>110.48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7469</v>
      </c>
      <c r="Z24" s="4">
        <f>IFERROR(_xlfn.MAXIFS($E$2:$E$21,$D$2:$D$21,"&lt;&gt; -1"),0)</f>
        <v>5718.51</v>
      </c>
      <c r="AA24" s="4">
        <f>IFERROR(_xlfn.MAXIFS($G$2:$G$21,$F$2:$F$21,"&lt;&gt; -1"),0)</f>
        <v>6841</v>
      </c>
      <c r="AB24" s="4">
        <f>IFERROR(_xlfn.MAXIFS($I$2:$I$21,$H$2:$H$21,"&lt;&gt; -1"),0)</f>
        <v>6445.69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6472</v>
      </c>
      <c r="AF24" s="4">
        <f>IFERROR(_xlfn.MINIFS($E$2:$E$21,$D$2:$D$21,"&lt;&gt; -1"),0)</f>
        <v>4903.4</v>
      </c>
      <c r="AG24" s="4">
        <f>IFERROR(_xlfn.MINIFS($G$2:$G$21,$F$2:$F$21,"&lt;&gt; -1"),0)</f>
        <v>5792</v>
      </c>
      <c r="AH24" s="4">
        <f>IFERROR(_xlfn.MINIFS($I$2:$I$21,$H$2:$H$21,"&lt;&gt; -1"),0)</f>
        <v>5616.32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0.55</v>
      </c>
      <c r="AN24" s="4">
        <f>(COUNTIFS($H$2:$H$21,"&gt;0.0",$H$2:$H$21,"&lt;200.0"))/20</f>
        <v>0.55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109.1</v>
      </c>
      <c r="C2">
        <v>7231</v>
      </c>
      <c r="D2">
        <v>109.14</v>
      </c>
      <c r="E2">
        <v>5534</v>
      </c>
      <c r="F2">
        <v>135.04</v>
      </c>
      <c r="G2">
        <v>6643</v>
      </c>
      <c r="H2">
        <v>-1</v>
      </c>
      <c r="I2">
        <v>5866.23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108.73</v>
      </c>
      <c r="C3">
        <v>6832</v>
      </c>
      <c r="D3">
        <v>108.87</v>
      </c>
      <c r="E3">
        <v>5463.34</v>
      </c>
      <c r="F3">
        <v>124.53</v>
      </c>
      <c r="G3">
        <v>6416</v>
      </c>
      <c r="H3">
        <v>-1</v>
      </c>
      <c r="I3">
        <v>6168.29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104.01</v>
      </c>
      <c r="C4">
        <v>6978</v>
      </c>
      <c r="D4">
        <v>104.05</v>
      </c>
      <c r="E4">
        <v>5218.86</v>
      </c>
      <c r="F4">
        <v>122.87</v>
      </c>
      <c r="G4">
        <v>6158</v>
      </c>
      <c r="H4">
        <v>135.22</v>
      </c>
      <c r="I4">
        <v>5869.04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107.28</v>
      </c>
      <c r="C5">
        <v>6821</v>
      </c>
      <c r="D5">
        <v>107.28</v>
      </c>
      <c r="E5">
        <v>5275.47</v>
      </c>
      <c r="F5">
        <v>-1</v>
      </c>
      <c r="G5">
        <v>5551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108.29</v>
      </c>
      <c r="C6">
        <v>6516</v>
      </c>
      <c r="D6">
        <v>108.37</v>
      </c>
      <c r="E6">
        <v>5187.92</v>
      </c>
      <c r="F6">
        <v>-1</v>
      </c>
      <c r="G6">
        <v>1842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106.93</v>
      </c>
      <c r="C7">
        <v>6794</v>
      </c>
      <c r="D7">
        <v>106.97</v>
      </c>
      <c r="E7">
        <v>5340.05</v>
      </c>
      <c r="F7">
        <v>126.65</v>
      </c>
      <c r="G7">
        <v>6326</v>
      </c>
      <c r="H7">
        <v>131.98</v>
      </c>
      <c r="I7">
        <v>6114.86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137.84</v>
      </c>
      <c r="C8">
        <v>7009</v>
      </c>
      <c r="D8">
        <v>137.66</v>
      </c>
      <c r="E8">
        <v>5568.29</v>
      </c>
      <c r="F8">
        <v>-1</v>
      </c>
      <c r="G8">
        <v>3975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105.19</v>
      </c>
      <c r="C9">
        <v>6798</v>
      </c>
      <c r="D9">
        <v>105.25</v>
      </c>
      <c r="E9">
        <v>5237.73</v>
      </c>
      <c r="F9">
        <v>117.98</v>
      </c>
      <c r="G9">
        <v>6256</v>
      </c>
      <c r="H9">
        <v>121.41</v>
      </c>
      <c r="I9">
        <v>5887.45</v>
      </c>
      <c r="J9">
        <v>-1</v>
      </c>
      <c r="K9">
        <v>1106</v>
      </c>
      <c r="L9">
        <v>-1</v>
      </c>
      <c r="M9">
        <v>936.12</v>
      </c>
    </row>
    <row r="10" spans="1:13">
      <c r="A10" t="s">
        <v>21</v>
      </c>
      <c r="B10">
        <v>105.74</v>
      </c>
      <c r="C10">
        <v>7094</v>
      </c>
      <c r="D10">
        <v>105.68</v>
      </c>
      <c r="E10">
        <v>5316.91</v>
      </c>
      <c r="F10">
        <v>132.92</v>
      </c>
      <c r="G10">
        <v>6370</v>
      </c>
      <c r="H10">
        <v>127.24</v>
      </c>
      <c r="I10">
        <v>5954.36</v>
      </c>
      <c r="J10">
        <v>-1</v>
      </c>
      <c r="K10">
        <v>1315</v>
      </c>
      <c r="L10">
        <v>-1</v>
      </c>
      <c r="M10">
        <v>0</v>
      </c>
    </row>
    <row r="11" spans="1:13">
      <c r="A11" t="s">
        <v>22</v>
      </c>
      <c r="B11">
        <v>105.82</v>
      </c>
      <c r="C11">
        <v>6746</v>
      </c>
      <c r="D11">
        <v>105.84</v>
      </c>
      <c r="E11">
        <v>5265.37</v>
      </c>
      <c r="F11">
        <v>-1</v>
      </c>
      <c r="G11">
        <v>1793</v>
      </c>
      <c r="H11">
        <v>142.09</v>
      </c>
      <c r="I11">
        <v>5943.38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113.53</v>
      </c>
      <c r="C12">
        <v>6979</v>
      </c>
      <c r="D12">
        <v>113.53</v>
      </c>
      <c r="E12">
        <v>5493.1</v>
      </c>
      <c r="F12">
        <v>131.72</v>
      </c>
      <c r="G12">
        <v>6549</v>
      </c>
      <c r="H12">
        <v>-1</v>
      </c>
      <c r="I12">
        <v>1319.7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102.08</v>
      </c>
      <c r="C13">
        <v>6224</v>
      </c>
      <c r="D13">
        <v>102.17</v>
      </c>
      <c r="E13">
        <v>4963.33</v>
      </c>
      <c r="F13">
        <v>124.14</v>
      </c>
      <c r="G13">
        <v>5786</v>
      </c>
      <c r="H13">
        <v>-1</v>
      </c>
      <c r="I13">
        <v>5055.32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106.72</v>
      </c>
      <c r="C14">
        <v>6951</v>
      </c>
      <c r="D14">
        <v>106.79</v>
      </c>
      <c r="E14">
        <v>5269.18</v>
      </c>
      <c r="F14">
        <v>-1</v>
      </c>
      <c r="G14">
        <v>6131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109.66</v>
      </c>
      <c r="C15">
        <v>7123</v>
      </c>
      <c r="D15">
        <v>109.72</v>
      </c>
      <c r="E15">
        <v>5446.91</v>
      </c>
      <c r="F15">
        <v>-1</v>
      </c>
      <c r="G15">
        <v>5494</v>
      </c>
      <c r="H15">
        <v>129.29</v>
      </c>
      <c r="I15">
        <v>6029.68</v>
      </c>
      <c r="J15">
        <v>-1</v>
      </c>
      <c r="K15">
        <v>0</v>
      </c>
      <c r="L15">
        <v>-1</v>
      </c>
      <c r="M15">
        <v>956.62</v>
      </c>
    </row>
    <row r="16" spans="1:13">
      <c r="A16" t="s">
        <v>27</v>
      </c>
      <c r="B16">
        <v>99</v>
      </c>
      <c r="C16">
        <v>6237</v>
      </c>
      <c r="D16">
        <v>99.06</v>
      </c>
      <c r="E16">
        <v>4751.52</v>
      </c>
      <c r="F16">
        <v>108.72</v>
      </c>
      <c r="G16">
        <v>5627</v>
      </c>
      <c r="H16">
        <v>-1</v>
      </c>
      <c r="I16">
        <v>1042.01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108.37</v>
      </c>
      <c r="C17">
        <v>7182</v>
      </c>
      <c r="D17">
        <v>108.4</v>
      </c>
      <c r="E17">
        <v>5643.34</v>
      </c>
      <c r="F17">
        <v>-1</v>
      </c>
      <c r="G17">
        <v>6557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111.84</v>
      </c>
      <c r="C18">
        <v>6765</v>
      </c>
      <c r="D18">
        <v>111.88</v>
      </c>
      <c r="E18">
        <v>5207.96</v>
      </c>
      <c r="F18">
        <v>-1</v>
      </c>
      <c r="G18">
        <v>5666</v>
      </c>
      <c r="H18">
        <v>134.1</v>
      </c>
      <c r="I18">
        <v>5929.12</v>
      </c>
      <c r="J18">
        <v>-1</v>
      </c>
      <c r="K18">
        <v>0</v>
      </c>
      <c r="L18">
        <v>-1</v>
      </c>
      <c r="M18">
        <v>1067.16</v>
      </c>
    </row>
    <row r="19" spans="1:13">
      <c r="A19" t="s">
        <v>30</v>
      </c>
      <c r="B19">
        <v>103.39</v>
      </c>
      <c r="C19">
        <v>7063</v>
      </c>
      <c r="D19">
        <v>103.42</v>
      </c>
      <c r="E19">
        <v>5321.69</v>
      </c>
      <c r="F19">
        <v>123.57</v>
      </c>
      <c r="G19">
        <v>6399</v>
      </c>
      <c r="H19">
        <v>136.57</v>
      </c>
      <c r="I19">
        <v>5928.66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108.26</v>
      </c>
      <c r="C20">
        <v>7257</v>
      </c>
      <c r="D20">
        <v>108.29</v>
      </c>
      <c r="E20">
        <v>5422.28</v>
      </c>
      <c r="F20">
        <v>132.6</v>
      </c>
      <c r="G20">
        <v>6341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112.13</v>
      </c>
      <c r="C21">
        <v>6615</v>
      </c>
      <c r="D21">
        <v>112.15</v>
      </c>
      <c r="E21">
        <v>5271.57</v>
      </c>
      <c r="F21">
        <v>-1</v>
      </c>
      <c r="G21">
        <v>1666</v>
      </c>
      <c r="H21">
        <v>-1</v>
      </c>
      <c r="I21">
        <v>1541.6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108.6955</v>
      </c>
      <c r="B24" s="4">
        <f>IFERROR(AVERAGEIF($D$2:$D$21,"&lt;&gt; -1"),0)</f>
        <v>108.726</v>
      </c>
      <c r="C24" s="4">
        <f>IFERROR(AVERAGEIF($F$2:$F$21,"&lt;&gt; -1"),0)</f>
        <v>125.521818181818</v>
      </c>
      <c r="D24" s="4">
        <f>IFERROR(AVERAGEIF($H$2:$H$21,"&lt;&gt; -1"),0)</f>
        <v>132.2375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6860.75</v>
      </c>
      <c r="H24" s="4">
        <f>IFERROR(AVERAGEIFS($E$2:$E$21,$D$2:$D$21,"&lt;&gt; -1"),0)</f>
        <v>5309.941</v>
      </c>
      <c r="I24" s="4">
        <f>IFERROR(AVERAGEIFS($G$2:$G$21,$F$2:$F$21,"&lt;&gt; -1"),0)</f>
        <v>6261</v>
      </c>
      <c r="J24" s="4">
        <f>IFERROR(AVERAGEIFS($I$2:$I$21,$H$2:$H$21,"&lt;&gt; -1"),0)</f>
        <v>5957.06875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137.84</v>
      </c>
      <c r="N24" s="4">
        <f>IFERROR(_xlfn.MAXIFS($D$2:$D$21,$D$2:$D$21,"&lt;&gt;-1"),0)</f>
        <v>137.66</v>
      </c>
      <c r="O24" s="4">
        <f>IFERROR(_xlfn.MAXIFS($F$2:$F$21,$F$2:$F$21,"&lt;&gt; -1"),0)</f>
        <v>135.04</v>
      </c>
      <c r="P24" s="4">
        <f>IFERROR(_xlfn.MAXIFS($H$2:$H$21,$H$2:$H$21,"&lt;&gt; -1"),0)</f>
        <v>142.09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99</v>
      </c>
      <c r="T24" s="4">
        <f>IFERROR(_xlfn.MINIFS($D$2:$D$21,$D$2:$D$21,"&lt;&gt;-1"),0)</f>
        <v>99.06</v>
      </c>
      <c r="U24" s="4">
        <f>IFERROR(_xlfn.MINIFS($F$2:$F$21,$F$2:$F$21,"&lt;&gt; -1"),0)</f>
        <v>108.72</v>
      </c>
      <c r="V24" s="4">
        <f>IFERROR(_xlfn.MINIFS($H$2:$H$21,$H$2:$H$21,"&lt;&gt; -1"),0)</f>
        <v>121.41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7257</v>
      </c>
      <c r="Z24" s="4">
        <f>IFERROR(_xlfn.MAXIFS($E$2:$E$21,$D$2:$D$21,"&lt;&gt; -1"),0)</f>
        <v>5643.34</v>
      </c>
      <c r="AA24" s="4">
        <f>IFERROR(_xlfn.MAXIFS($G$2:$G$21,$F$2:$F$21,"&lt;&gt; -1"),0)</f>
        <v>6643</v>
      </c>
      <c r="AB24" s="4">
        <f>IFERROR(_xlfn.MAXIFS($I$2:$I$21,$H$2:$H$21,"&lt;&gt; -1"),0)</f>
        <v>6114.86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6224</v>
      </c>
      <c r="AF24" s="4">
        <f>IFERROR(_xlfn.MINIFS($E$2:$E$21,$D$2:$D$21,"&lt;&gt; -1"),0)</f>
        <v>4751.52</v>
      </c>
      <c r="AG24" s="4">
        <f>IFERROR(_xlfn.MINIFS($G$2:$G$21,$F$2:$F$21,"&lt;&gt; -1"),0)</f>
        <v>5627</v>
      </c>
      <c r="AH24" s="4">
        <f>IFERROR(_xlfn.MINIFS($I$2:$I$21,$H$2:$H$21,"&lt;&gt; -1"),0)</f>
        <v>5869.04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0.55</v>
      </c>
      <c r="AN24" s="4">
        <f>(COUNTIFS($H$2:$H$21,"&gt;0.0",$H$2:$H$21,"&lt;200.0"))/20</f>
        <v>0.4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120.54</v>
      </c>
      <c r="C2">
        <v>7319</v>
      </c>
      <c r="D2">
        <v>120.44</v>
      </c>
      <c r="E2">
        <v>5436.79</v>
      </c>
      <c r="F2">
        <v>145.68</v>
      </c>
      <c r="G2">
        <v>6423</v>
      </c>
      <c r="H2">
        <v>145.93</v>
      </c>
      <c r="I2">
        <v>6093.73</v>
      </c>
      <c r="J2">
        <v>-1</v>
      </c>
      <c r="K2">
        <v>1511</v>
      </c>
      <c r="L2">
        <v>-1</v>
      </c>
      <c r="M2">
        <v>0</v>
      </c>
    </row>
    <row r="3" spans="1:13">
      <c r="A3" t="s">
        <v>14</v>
      </c>
      <c r="B3">
        <v>122.1</v>
      </c>
      <c r="C3">
        <v>7163</v>
      </c>
      <c r="D3">
        <v>122.12</v>
      </c>
      <c r="E3">
        <v>5483.06</v>
      </c>
      <c r="F3">
        <v>-1</v>
      </c>
      <c r="G3">
        <v>4807</v>
      </c>
      <c r="H3">
        <v>-1</v>
      </c>
      <c r="I3">
        <v>1768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117</v>
      </c>
      <c r="C4">
        <v>6452</v>
      </c>
      <c r="D4">
        <v>116.97</v>
      </c>
      <c r="E4">
        <v>4931.33</v>
      </c>
      <c r="F4">
        <v>135.61</v>
      </c>
      <c r="G4">
        <v>5786</v>
      </c>
      <c r="H4">
        <v>149.6</v>
      </c>
      <c r="I4">
        <v>5487.79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122.33</v>
      </c>
      <c r="C5">
        <v>7101</v>
      </c>
      <c r="D5">
        <v>122.28</v>
      </c>
      <c r="E5">
        <v>5331.95</v>
      </c>
      <c r="F5">
        <v>138.82</v>
      </c>
      <c r="G5">
        <v>6345</v>
      </c>
      <c r="H5">
        <v>-1</v>
      </c>
      <c r="I5">
        <v>1684.79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122.87</v>
      </c>
      <c r="C6">
        <v>7939</v>
      </c>
      <c r="D6">
        <v>122.86</v>
      </c>
      <c r="E6">
        <v>5684.16</v>
      </c>
      <c r="F6">
        <v>-1</v>
      </c>
      <c r="G6">
        <v>6186</v>
      </c>
      <c r="H6">
        <v>150.93</v>
      </c>
      <c r="I6">
        <v>6435.01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117.91</v>
      </c>
      <c r="C7">
        <v>7199</v>
      </c>
      <c r="D7">
        <v>117.97</v>
      </c>
      <c r="E7">
        <v>5505</v>
      </c>
      <c r="F7">
        <v>-1</v>
      </c>
      <c r="G7">
        <v>4927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125.3</v>
      </c>
      <c r="C8">
        <v>7751</v>
      </c>
      <c r="D8">
        <v>125.23</v>
      </c>
      <c r="E8">
        <v>5595.84</v>
      </c>
      <c r="F8">
        <v>-1</v>
      </c>
      <c r="G8">
        <v>5571</v>
      </c>
      <c r="H8">
        <v>151.83</v>
      </c>
      <c r="I8">
        <v>6163.51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120.75</v>
      </c>
      <c r="C9">
        <v>6865</v>
      </c>
      <c r="D9">
        <v>120.85</v>
      </c>
      <c r="E9">
        <v>5306.51</v>
      </c>
      <c r="F9">
        <v>138.12</v>
      </c>
      <c r="G9">
        <v>6287</v>
      </c>
      <c r="H9">
        <v>151.36</v>
      </c>
      <c r="I9">
        <v>6027.23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121.27</v>
      </c>
      <c r="C10">
        <v>6713</v>
      </c>
      <c r="D10">
        <v>121.36</v>
      </c>
      <c r="E10">
        <v>5117.78</v>
      </c>
      <c r="F10">
        <v>140.45</v>
      </c>
      <c r="G10">
        <v>6097</v>
      </c>
      <c r="H10">
        <v>136.59</v>
      </c>
      <c r="I10">
        <v>5738.22</v>
      </c>
      <c r="J10">
        <v>-1</v>
      </c>
      <c r="K10">
        <v>953</v>
      </c>
      <c r="L10">
        <v>-1</v>
      </c>
      <c r="M10">
        <v>5067.86</v>
      </c>
    </row>
    <row r="11" spans="1:13">
      <c r="A11" t="s">
        <v>22</v>
      </c>
      <c r="B11">
        <v>130.14</v>
      </c>
      <c r="C11">
        <v>6903</v>
      </c>
      <c r="D11">
        <v>130.26</v>
      </c>
      <c r="E11">
        <v>5283.44</v>
      </c>
      <c r="F11">
        <v>-1</v>
      </c>
      <c r="G11">
        <v>3908</v>
      </c>
      <c r="H11">
        <v>158.73</v>
      </c>
      <c r="I11">
        <v>5957.02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131.45</v>
      </c>
      <c r="C12">
        <v>6706</v>
      </c>
      <c r="D12">
        <v>131.41</v>
      </c>
      <c r="E12">
        <v>5267.47</v>
      </c>
      <c r="F12">
        <v>-1</v>
      </c>
      <c r="G12">
        <v>6226</v>
      </c>
      <c r="H12">
        <v>164.6</v>
      </c>
      <c r="I12">
        <v>6044.11</v>
      </c>
      <c r="J12">
        <v>-1</v>
      </c>
      <c r="K12">
        <v>1321</v>
      </c>
      <c r="L12">
        <v>-1</v>
      </c>
      <c r="M12">
        <v>0</v>
      </c>
    </row>
    <row r="13" spans="1:13">
      <c r="A13" t="s">
        <v>24</v>
      </c>
      <c r="B13">
        <v>117.91</v>
      </c>
      <c r="C13">
        <v>6442</v>
      </c>
      <c r="D13">
        <v>117.93</v>
      </c>
      <c r="E13">
        <v>5017.02</v>
      </c>
      <c r="F13">
        <v>-1</v>
      </c>
      <c r="G13">
        <v>4279</v>
      </c>
      <c r="H13">
        <v>-1</v>
      </c>
      <c r="I13">
        <v>1746.25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169.41</v>
      </c>
      <c r="C14">
        <v>6843</v>
      </c>
      <c r="D14">
        <v>169.37</v>
      </c>
      <c r="E14">
        <v>5389.04</v>
      </c>
      <c r="F14">
        <v>-1</v>
      </c>
      <c r="G14">
        <v>5919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176.44</v>
      </c>
      <c r="C15">
        <v>7075</v>
      </c>
      <c r="D15">
        <v>176.34</v>
      </c>
      <c r="E15">
        <v>5379.6</v>
      </c>
      <c r="F15">
        <v>-1</v>
      </c>
      <c r="G15">
        <v>4349</v>
      </c>
      <c r="H15">
        <v>218.24</v>
      </c>
      <c r="I15">
        <v>5976.95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157.07</v>
      </c>
      <c r="C16">
        <v>6434</v>
      </c>
      <c r="D16">
        <v>157.13</v>
      </c>
      <c r="E16">
        <v>4907.89</v>
      </c>
      <c r="F16">
        <v>-1</v>
      </c>
      <c r="G16">
        <v>5108</v>
      </c>
      <c r="H16">
        <v>-1</v>
      </c>
      <c r="I16">
        <v>1275.5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128.03</v>
      </c>
      <c r="C17">
        <v>6857</v>
      </c>
      <c r="D17">
        <v>128.14</v>
      </c>
      <c r="E17">
        <v>5368.06</v>
      </c>
      <c r="F17">
        <v>139.34</v>
      </c>
      <c r="G17">
        <v>6365</v>
      </c>
      <c r="H17">
        <v>147.79</v>
      </c>
      <c r="I17">
        <v>6070.9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140.74</v>
      </c>
      <c r="C18">
        <v>7407</v>
      </c>
      <c r="D18">
        <v>140.72</v>
      </c>
      <c r="E18">
        <v>5581.24</v>
      </c>
      <c r="F18">
        <v>-1</v>
      </c>
      <c r="G18">
        <v>1936</v>
      </c>
      <c r="H18">
        <v>-1</v>
      </c>
      <c r="I18">
        <v>1849.23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172.06</v>
      </c>
      <c r="C19">
        <v>6691</v>
      </c>
      <c r="D19">
        <v>172.13</v>
      </c>
      <c r="E19">
        <v>5120.44</v>
      </c>
      <c r="F19">
        <v>189.24</v>
      </c>
      <c r="G19">
        <v>6239</v>
      </c>
      <c r="H19">
        <v>186.19</v>
      </c>
      <c r="I19">
        <v>5724.29</v>
      </c>
      <c r="J19">
        <v>-1</v>
      </c>
      <c r="K19">
        <v>1171</v>
      </c>
      <c r="L19">
        <v>-1</v>
      </c>
      <c r="M19">
        <v>0</v>
      </c>
    </row>
    <row r="20" spans="1:13">
      <c r="A20" t="s">
        <v>31</v>
      </c>
      <c r="B20">
        <v>169.75</v>
      </c>
      <c r="C20">
        <v>7341</v>
      </c>
      <c r="D20">
        <v>169.76</v>
      </c>
      <c r="E20">
        <v>5518.49</v>
      </c>
      <c r="F20">
        <v>198.08</v>
      </c>
      <c r="G20">
        <v>6503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126.54</v>
      </c>
      <c r="C21">
        <v>6855</v>
      </c>
      <c r="D21">
        <v>126.54</v>
      </c>
      <c r="E21">
        <v>5492.22</v>
      </c>
      <c r="F21">
        <v>151.99</v>
      </c>
      <c r="G21">
        <v>6479</v>
      </c>
      <c r="H21">
        <v>164.46</v>
      </c>
      <c r="I21">
        <v>6233.97</v>
      </c>
      <c r="J21">
        <v>-1</v>
      </c>
      <c r="K21">
        <v>4165</v>
      </c>
      <c r="L21">
        <v>-1</v>
      </c>
      <c r="M21">
        <v>1117.28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135.4805</v>
      </c>
      <c r="B24" s="4">
        <f>IFERROR(AVERAGEIF($D$2:$D$21,"&lt;&gt; -1"),0)</f>
        <v>135.4905</v>
      </c>
      <c r="C24" s="4">
        <f>IFERROR(AVERAGEIF($F$2:$F$21,"&lt;&gt; -1"),0)</f>
        <v>153.036666666667</v>
      </c>
      <c r="D24" s="4">
        <f>IFERROR(AVERAGEIF($H$2:$H$21,"&lt;&gt; -1"),0)</f>
        <v>160.520833333333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7002.8</v>
      </c>
      <c r="H24" s="4">
        <f>IFERROR(AVERAGEIFS($E$2:$E$21,$D$2:$D$21,"&lt;&gt; -1"),0)</f>
        <v>5335.8665</v>
      </c>
      <c r="I24" s="4">
        <f>IFERROR(AVERAGEIFS($G$2:$G$21,$F$2:$F$21,"&lt;&gt; -1"),0)</f>
        <v>6280.44444444444</v>
      </c>
      <c r="J24" s="4">
        <f>IFERROR(AVERAGEIFS($I$2:$I$21,$H$2:$H$21,"&lt;&gt; -1"),0)</f>
        <v>5996.06083333333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176.44</v>
      </c>
      <c r="N24" s="4">
        <f>IFERROR(_xlfn.MAXIFS($D$2:$D$21,$D$2:$D$21,"&lt;&gt;-1"),0)</f>
        <v>176.34</v>
      </c>
      <c r="O24" s="4">
        <f>IFERROR(_xlfn.MAXIFS($F$2:$F$21,$F$2:$F$21,"&lt;&gt; -1"),0)</f>
        <v>198.08</v>
      </c>
      <c r="P24" s="4">
        <f>IFERROR(_xlfn.MAXIFS($H$2:$H$21,$H$2:$H$21,"&lt;&gt; -1"),0)</f>
        <v>218.24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117</v>
      </c>
      <c r="T24" s="4">
        <f>IFERROR(_xlfn.MINIFS($D$2:$D$21,$D$2:$D$21,"&lt;&gt;-1"),0)</f>
        <v>116.97</v>
      </c>
      <c r="U24" s="4">
        <f>IFERROR(_xlfn.MINIFS($F$2:$F$21,$F$2:$F$21,"&lt;&gt; -1"),0)</f>
        <v>135.61</v>
      </c>
      <c r="V24" s="4">
        <f>IFERROR(_xlfn.MINIFS($H$2:$H$21,$H$2:$H$21,"&lt;&gt; -1"),0)</f>
        <v>136.59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7939</v>
      </c>
      <c r="Z24" s="4">
        <f>IFERROR(_xlfn.MAXIFS($E$2:$E$21,$D$2:$D$21,"&lt;&gt; -1"),0)</f>
        <v>5684.16</v>
      </c>
      <c r="AA24" s="4">
        <f>IFERROR(_xlfn.MAXIFS($G$2:$G$21,$F$2:$F$21,"&lt;&gt; -1"),0)</f>
        <v>6503</v>
      </c>
      <c r="AB24" s="4">
        <f>IFERROR(_xlfn.MAXIFS($I$2:$I$21,$H$2:$H$21,"&lt;&gt; -1"),0)</f>
        <v>6435.01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6434</v>
      </c>
      <c r="AF24" s="4">
        <f>IFERROR(_xlfn.MINIFS($E$2:$E$21,$D$2:$D$21,"&lt;&gt; -1"),0)</f>
        <v>4907.89</v>
      </c>
      <c r="AG24" s="4">
        <f>IFERROR(_xlfn.MINIFS($G$2:$G$21,$F$2:$F$21,"&lt;&gt; -1"),0)</f>
        <v>5786</v>
      </c>
      <c r="AH24" s="4">
        <f>IFERROR(_xlfn.MINIFS($I$2:$I$21,$H$2:$H$21,"&lt;&gt; -1"),0)</f>
        <v>5487.79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0.45</v>
      </c>
      <c r="AN24" s="4">
        <f>(COUNTIFS($H$2:$H$21,"&gt;0.0",$H$2:$H$21,"&lt;200.0"))/20</f>
        <v>0.55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138.18</v>
      </c>
      <c r="C2">
        <v>7265</v>
      </c>
      <c r="D2">
        <v>138.13</v>
      </c>
      <c r="E2">
        <v>5563.99</v>
      </c>
      <c r="F2">
        <v>-1</v>
      </c>
      <c r="G2">
        <v>5036</v>
      </c>
      <c r="H2">
        <v>-1</v>
      </c>
      <c r="I2">
        <v>2308.9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137.48</v>
      </c>
      <c r="C3">
        <v>7098</v>
      </c>
      <c r="D3">
        <v>137.44</v>
      </c>
      <c r="E3">
        <v>5410.55</v>
      </c>
      <c r="F3">
        <v>-1</v>
      </c>
      <c r="G3">
        <v>2235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133.22</v>
      </c>
      <c r="C4">
        <v>7216</v>
      </c>
      <c r="D4">
        <v>133.23</v>
      </c>
      <c r="E4">
        <v>5335.73</v>
      </c>
      <c r="F4">
        <v>-1</v>
      </c>
      <c r="G4">
        <v>4960</v>
      </c>
      <c r="H4">
        <v>-1</v>
      </c>
      <c r="I4">
        <v>2322.22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191.75</v>
      </c>
      <c r="C5">
        <v>6833</v>
      </c>
      <c r="D5">
        <v>191.68</v>
      </c>
      <c r="E5">
        <v>5277.3</v>
      </c>
      <c r="F5">
        <v>-1</v>
      </c>
      <c r="G5">
        <v>2280</v>
      </c>
      <c r="H5">
        <v>-1</v>
      </c>
      <c r="I5">
        <v>2200.06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139.77</v>
      </c>
      <c r="C6">
        <v>7364</v>
      </c>
      <c r="D6">
        <v>139.67</v>
      </c>
      <c r="E6">
        <v>5505.01</v>
      </c>
      <c r="F6">
        <v>-1</v>
      </c>
      <c r="G6">
        <v>4997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134.13</v>
      </c>
      <c r="C7">
        <v>7276</v>
      </c>
      <c r="D7">
        <v>134.12</v>
      </c>
      <c r="E7">
        <v>5310.34</v>
      </c>
      <c r="F7">
        <v>-1</v>
      </c>
      <c r="G7">
        <v>2375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138.7</v>
      </c>
      <c r="C8">
        <v>7418</v>
      </c>
      <c r="D8">
        <v>138.68</v>
      </c>
      <c r="E8">
        <v>5652.19</v>
      </c>
      <c r="F8">
        <v>-1</v>
      </c>
      <c r="G8">
        <v>6488</v>
      </c>
      <c r="H8">
        <v>176.72</v>
      </c>
      <c r="I8">
        <v>6361.94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132.65</v>
      </c>
      <c r="C9">
        <v>6506</v>
      </c>
      <c r="D9">
        <v>132.69</v>
      </c>
      <c r="E9">
        <v>5080.84</v>
      </c>
      <c r="F9">
        <v>144.63</v>
      </c>
      <c r="G9">
        <v>6092</v>
      </c>
      <c r="H9">
        <v>151.15</v>
      </c>
      <c r="I9">
        <v>5723.28</v>
      </c>
      <c r="J9">
        <v>-1</v>
      </c>
      <c r="K9">
        <v>0</v>
      </c>
      <c r="L9">
        <v>-1</v>
      </c>
      <c r="M9">
        <v>1088.8</v>
      </c>
    </row>
    <row r="10" spans="1:13">
      <c r="A10" t="s">
        <v>21</v>
      </c>
      <c r="B10">
        <v>130.49</v>
      </c>
      <c r="C10">
        <v>6788</v>
      </c>
      <c r="D10">
        <v>130.59</v>
      </c>
      <c r="E10">
        <v>5140.84</v>
      </c>
      <c r="F10">
        <v>-1</v>
      </c>
      <c r="G10">
        <v>1679</v>
      </c>
      <c r="H10">
        <v>-1</v>
      </c>
      <c r="I10">
        <v>1561.63</v>
      </c>
      <c r="J10">
        <v>-1</v>
      </c>
      <c r="K10">
        <v>1675</v>
      </c>
      <c r="L10">
        <v>-1</v>
      </c>
      <c r="M10">
        <v>0</v>
      </c>
    </row>
    <row r="11" spans="1:13">
      <c r="A11" t="s">
        <v>22</v>
      </c>
      <c r="B11">
        <v>137.36</v>
      </c>
      <c r="C11">
        <v>6872</v>
      </c>
      <c r="D11">
        <v>137.31</v>
      </c>
      <c r="E11">
        <v>5291.13</v>
      </c>
      <c r="F11">
        <v>-1</v>
      </c>
      <c r="G11">
        <v>2299</v>
      </c>
      <c r="H11">
        <v>-1</v>
      </c>
      <c r="I11">
        <v>2134.92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140.39</v>
      </c>
      <c r="C12">
        <v>6644</v>
      </c>
      <c r="D12">
        <v>140.48</v>
      </c>
      <c r="E12">
        <v>5242.25</v>
      </c>
      <c r="F12">
        <v>-1</v>
      </c>
      <c r="G12">
        <v>2429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188.78</v>
      </c>
      <c r="C13">
        <v>7018</v>
      </c>
      <c r="D13">
        <v>188.69</v>
      </c>
      <c r="E13">
        <v>5205.83</v>
      </c>
      <c r="F13">
        <v>-1</v>
      </c>
      <c r="G13">
        <v>2198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191.19</v>
      </c>
      <c r="C14">
        <v>7065</v>
      </c>
      <c r="D14">
        <v>191.34</v>
      </c>
      <c r="E14">
        <v>5398.74</v>
      </c>
      <c r="F14">
        <v>217.94</v>
      </c>
      <c r="G14">
        <v>6461</v>
      </c>
      <c r="H14">
        <v>-1</v>
      </c>
      <c r="I14">
        <v>1934.27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192.41</v>
      </c>
      <c r="C15">
        <v>7330</v>
      </c>
      <c r="D15">
        <v>192.36</v>
      </c>
      <c r="E15">
        <v>5396.92</v>
      </c>
      <c r="F15">
        <v>-1</v>
      </c>
      <c r="G15">
        <v>2505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157.56</v>
      </c>
      <c r="C16">
        <v>6579</v>
      </c>
      <c r="D16">
        <v>157.54</v>
      </c>
      <c r="E16">
        <v>4951.9</v>
      </c>
      <c r="F16">
        <v>-1</v>
      </c>
      <c r="G16">
        <v>5421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196.01</v>
      </c>
      <c r="C17">
        <v>7154</v>
      </c>
      <c r="D17">
        <v>196.02</v>
      </c>
      <c r="E17">
        <v>5481.99</v>
      </c>
      <c r="F17">
        <v>-1</v>
      </c>
      <c r="G17">
        <v>2033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198.45</v>
      </c>
      <c r="C18">
        <v>7709</v>
      </c>
      <c r="D18">
        <v>198.1</v>
      </c>
      <c r="E18">
        <v>5719.31</v>
      </c>
      <c r="F18">
        <v>-1</v>
      </c>
      <c r="G18">
        <v>2030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152.78</v>
      </c>
      <c r="C19">
        <v>6742</v>
      </c>
      <c r="D19">
        <v>152.85</v>
      </c>
      <c r="E19">
        <v>5238.91</v>
      </c>
      <c r="F19">
        <v>-1</v>
      </c>
      <c r="G19">
        <v>1947</v>
      </c>
      <c r="H19">
        <v>185.34</v>
      </c>
      <c r="I19">
        <v>5899.56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200.94</v>
      </c>
      <c r="C20">
        <v>7190</v>
      </c>
      <c r="D20">
        <v>201.51</v>
      </c>
      <c r="E20">
        <v>5551.05</v>
      </c>
      <c r="F20">
        <v>-1</v>
      </c>
      <c r="G20">
        <v>2114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179.95</v>
      </c>
      <c r="C21">
        <v>6992</v>
      </c>
      <c r="D21">
        <v>179.98</v>
      </c>
      <c r="E21">
        <v>5405.34</v>
      </c>
      <c r="F21">
        <v>-1</v>
      </c>
      <c r="G21">
        <v>2006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160.6095</v>
      </c>
      <c r="B25" s="4">
        <f>IFERROR(AVERAGEIF($D$2:$D$21,"&lt;&gt; -1"),0)</f>
        <v>160.6205</v>
      </c>
      <c r="C25" s="4">
        <f>IFERROR(AVERAGEIF($F$2:$F$21,"&lt;&gt; -1"),0)</f>
        <v>181.285</v>
      </c>
      <c r="D25" s="4">
        <f>IFERROR(AVERAGEIF($H$2:$H$21,"&lt;&gt; -1"),0)</f>
        <v>171.07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7052.95</v>
      </c>
      <c r="H25" s="4">
        <f>IFERROR(AVERAGEIFS($E$2:$E$21,$D$2:$D$21,"&lt;&gt; -1"),0)</f>
        <v>5358.008</v>
      </c>
      <c r="I25" s="4">
        <f>IFERROR(AVERAGEIFS($G$2:$G$21,$F$2:$F$21,"&lt;&gt; -1"),0)</f>
        <v>6276.5</v>
      </c>
      <c r="J25" s="4">
        <f>IFERROR(AVERAGEIFS($I$2:$I$21,$H$2:$H$21,"&lt;&gt; -1"),0)</f>
        <v>5994.92666666667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200.94</v>
      </c>
      <c r="N25" s="4">
        <f>IFERROR(_xlfn.MAXIFS($D$2:$D$21,$D$2:$D$21,"&lt;&gt;-1"),0)</f>
        <v>201.51</v>
      </c>
      <c r="O25" s="4">
        <f>IFERROR(_xlfn.MAXIFS($F$2:$F$21,$F$2:$F$21,"&lt;&gt; -1"),0)</f>
        <v>217.94</v>
      </c>
      <c r="P25" s="4">
        <f>IFERROR(_xlfn.MAXIFS($H$2:$H$21,$H$2:$H$21,"&lt;&gt; -1"),0)</f>
        <v>185.34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130.49</v>
      </c>
      <c r="T25" s="4">
        <f>IFERROR(_xlfn.MINIFS($D$2:$D$21,$D$2:$D$21,"&lt;&gt;-1"),0)</f>
        <v>130.59</v>
      </c>
      <c r="U25" s="4">
        <f>IFERROR(_xlfn.MINIFS($F$2:$F$21,$F$2:$F$21,"&lt;&gt; -1"),0)</f>
        <v>144.63</v>
      </c>
      <c r="V25" s="4">
        <f>IFERROR(_xlfn.MINIFS($H$2:$H$21,$H$2:$H$21,"&lt;&gt; -1"),0)</f>
        <v>151.15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7709</v>
      </c>
      <c r="Z25" s="4">
        <f>IFERROR(_xlfn.MAXIFS($E$2:$E$21,$D$2:$D$21,"&lt;&gt; -1"),0)</f>
        <v>5719.31</v>
      </c>
      <c r="AA25" s="4">
        <f>IFERROR(_xlfn.MAXIFS($G$2:$G$21,$F$2:$F$21,"&lt;&gt; -1"),0)</f>
        <v>6461</v>
      </c>
      <c r="AB25" s="4">
        <f>IFERROR(_xlfn.MAXIFS($I$2:$I$21,$H$2:$H$21,"&lt;&gt; -1"),0)</f>
        <v>6361.94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6506</v>
      </c>
      <c r="AF25" s="4">
        <f>IFERROR(_xlfn.MINIFS($E$2:$E$21,$D$2:$D$21,"&lt;&gt; -1"),0)</f>
        <v>4951.9</v>
      </c>
      <c r="AG25" s="4">
        <f>IFERROR(_xlfn.MINIFS($G$2:$G$21,$F$2:$F$21,"&lt;&gt; -1"),0)</f>
        <v>6092</v>
      </c>
      <c r="AH25" s="4">
        <f>IFERROR(_xlfn.MINIFS($I$2:$I$21,$H$2:$H$21,"&lt;&gt; -1"),0)</f>
        <v>5723.28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(COUNTIFS($B$2:$B$21,"&gt;0.0",$B$2:$B$21,"&lt;200.0"))/20</f>
        <v>0.95</v>
      </c>
      <c r="AL25" s="4">
        <f>(COUNTIFS($D$2:$D$21,"&gt;0.0",$D$2:$D$21,"&lt;200.0"))/20</f>
        <v>0.95</v>
      </c>
      <c r="AM25" s="4">
        <f>(COUNTIFS($F$2:$F$21,"&gt;0.0",$F$2:$F$21,"&lt;200.0"))/20</f>
        <v>0.05</v>
      </c>
      <c r="AN25" s="4">
        <f>(COUNTIFS($H$2:$H$21,"&gt;0.0",$H$2:$H$21,"&lt;200.0"))/20</f>
        <v>0.15</v>
      </c>
      <c r="AO25" s="4">
        <f>(COUNTIFS($J$2:$J$21,"&gt;0.0",$J$2:$J$21,"&lt;200.0"))/20</f>
        <v>0</v>
      </c>
      <c r="AP25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D15" sqref="D15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67.963</v>
      </c>
      <c r="B2">
        <v>68.103</v>
      </c>
      <c r="C2">
        <v>77.9615</v>
      </c>
      <c r="D2">
        <v>83.7245</v>
      </c>
      <c r="E2">
        <v>86.3488888888889</v>
      </c>
      <c r="F2">
        <v>83.4515789473684</v>
      </c>
      <c r="G2">
        <v>6590.8</v>
      </c>
      <c r="H2">
        <v>5266.138</v>
      </c>
      <c r="I2">
        <v>6307.4</v>
      </c>
      <c r="J2">
        <v>6006.4055</v>
      </c>
      <c r="K2">
        <v>6235</v>
      </c>
      <c r="L2">
        <v>5253.62631578947</v>
      </c>
      <c r="M2">
        <v>70.62</v>
      </c>
      <c r="N2">
        <v>70.8</v>
      </c>
      <c r="O2">
        <v>90.26</v>
      </c>
      <c r="P2">
        <v>92.3</v>
      </c>
      <c r="Q2">
        <v>97.4</v>
      </c>
      <c r="R2">
        <v>109.41</v>
      </c>
      <c r="S2">
        <v>60.96</v>
      </c>
      <c r="T2">
        <v>61.06</v>
      </c>
      <c r="U2">
        <v>67.79</v>
      </c>
      <c r="V2">
        <v>77.68</v>
      </c>
      <c r="W2">
        <v>74.17</v>
      </c>
      <c r="X2">
        <v>68.78</v>
      </c>
      <c r="Y2">
        <v>7176</v>
      </c>
      <c r="Z2">
        <v>5703.26</v>
      </c>
      <c r="AA2">
        <v>6826</v>
      </c>
      <c r="AB2">
        <v>6427.87</v>
      </c>
      <c r="AC2">
        <v>6826</v>
      </c>
      <c r="AD2">
        <v>5672.97</v>
      </c>
      <c r="AE2">
        <v>5848</v>
      </c>
      <c r="AF2">
        <v>4726.68</v>
      </c>
      <c r="AG2">
        <v>5626</v>
      </c>
      <c r="AH2">
        <v>5400.42</v>
      </c>
      <c r="AI2">
        <v>5626</v>
      </c>
      <c r="AJ2">
        <v>4692.2</v>
      </c>
      <c r="AK2">
        <v>1</v>
      </c>
      <c r="AL2">
        <v>1</v>
      </c>
      <c r="AM2">
        <v>1</v>
      </c>
      <c r="AN2">
        <v>1</v>
      </c>
      <c r="AO2">
        <v>0.45</v>
      </c>
      <c r="AP2">
        <v>0.95</v>
      </c>
    </row>
    <row r="3" spans="1:42">
      <c r="A3">
        <v>83.385</v>
      </c>
      <c r="B3">
        <v>83.412</v>
      </c>
      <c r="C3">
        <v>103.493888888889</v>
      </c>
      <c r="D3">
        <v>109.998421052632</v>
      </c>
      <c r="E3">
        <v>0</v>
      </c>
      <c r="F3">
        <v>118.013333333333</v>
      </c>
      <c r="G3">
        <v>7008.5</v>
      </c>
      <c r="H3">
        <v>5358.654</v>
      </c>
      <c r="I3">
        <v>6359.44444444444</v>
      </c>
      <c r="J3">
        <v>6036.06052631579</v>
      </c>
      <c r="K3">
        <v>0</v>
      </c>
      <c r="L3">
        <v>5397.26333333333</v>
      </c>
      <c r="M3">
        <v>117.32</v>
      </c>
      <c r="N3">
        <v>117.37</v>
      </c>
      <c r="O3">
        <v>139.74</v>
      </c>
      <c r="P3">
        <v>158.14</v>
      </c>
      <c r="Q3">
        <v>0</v>
      </c>
      <c r="R3">
        <v>123.84</v>
      </c>
      <c r="S3">
        <v>75.25</v>
      </c>
      <c r="T3">
        <v>75.29</v>
      </c>
      <c r="U3">
        <v>92.47</v>
      </c>
      <c r="V3">
        <v>93.9</v>
      </c>
      <c r="W3">
        <v>0</v>
      </c>
      <c r="X3">
        <v>111.57</v>
      </c>
      <c r="Y3">
        <v>7471</v>
      </c>
      <c r="Z3">
        <v>5647.43</v>
      </c>
      <c r="AA3">
        <v>6692</v>
      </c>
      <c r="AB3">
        <v>6406.75</v>
      </c>
      <c r="AC3">
        <v>0</v>
      </c>
      <c r="AD3">
        <v>5565.98</v>
      </c>
      <c r="AE3">
        <v>6221</v>
      </c>
      <c r="AF3">
        <v>4754.51</v>
      </c>
      <c r="AG3">
        <v>5615</v>
      </c>
      <c r="AH3">
        <v>5379.92</v>
      </c>
      <c r="AI3">
        <v>0</v>
      </c>
      <c r="AJ3">
        <v>5275.38</v>
      </c>
      <c r="AK3">
        <v>1</v>
      </c>
      <c r="AL3">
        <v>1</v>
      </c>
      <c r="AM3">
        <v>0.9</v>
      </c>
      <c r="AN3">
        <v>0.95</v>
      </c>
      <c r="AO3">
        <v>0</v>
      </c>
      <c r="AP3">
        <v>0.15</v>
      </c>
    </row>
    <row r="4" spans="1:42">
      <c r="A4">
        <v>106.876</v>
      </c>
      <c r="B4">
        <v>106.895</v>
      </c>
      <c r="C4">
        <v>127.29</v>
      </c>
      <c r="D4">
        <v>134.939090909091</v>
      </c>
      <c r="E4">
        <v>0</v>
      </c>
      <c r="F4">
        <v>0</v>
      </c>
      <c r="G4">
        <v>7016.55</v>
      </c>
      <c r="H4">
        <v>5348.4475</v>
      </c>
      <c r="I4">
        <v>6357</v>
      </c>
      <c r="J4">
        <v>6080.01272727273</v>
      </c>
      <c r="K4">
        <v>0</v>
      </c>
      <c r="L4">
        <v>0</v>
      </c>
      <c r="M4">
        <v>134.8</v>
      </c>
      <c r="N4">
        <v>134.82</v>
      </c>
      <c r="O4">
        <v>156.94</v>
      </c>
      <c r="P4">
        <v>158.79</v>
      </c>
      <c r="Q4">
        <v>0</v>
      </c>
      <c r="R4">
        <v>0</v>
      </c>
      <c r="S4">
        <v>87.71</v>
      </c>
      <c r="T4">
        <v>87.71</v>
      </c>
      <c r="U4">
        <v>109.01</v>
      </c>
      <c r="V4">
        <v>110.48</v>
      </c>
      <c r="W4">
        <v>0</v>
      </c>
      <c r="X4">
        <v>0</v>
      </c>
      <c r="Y4">
        <v>7469</v>
      </c>
      <c r="Z4">
        <v>5718.51</v>
      </c>
      <c r="AA4">
        <v>6841</v>
      </c>
      <c r="AB4">
        <v>6445.69</v>
      </c>
      <c r="AC4">
        <v>0</v>
      </c>
      <c r="AD4">
        <v>0</v>
      </c>
      <c r="AE4">
        <v>6472</v>
      </c>
      <c r="AF4">
        <v>4903.4</v>
      </c>
      <c r="AG4">
        <v>5792</v>
      </c>
      <c r="AH4">
        <v>5616.32</v>
      </c>
      <c r="AI4">
        <v>0</v>
      </c>
      <c r="AJ4">
        <v>0</v>
      </c>
      <c r="AK4">
        <v>1</v>
      </c>
      <c r="AL4">
        <v>1</v>
      </c>
      <c r="AM4">
        <v>0.55</v>
      </c>
      <c r="AN4">
        <v>0.55</v>
      </c>
      <c r="AO4">
        <v>0</v>
      </c>
      <c r="AP4">
        <v>0</v>
      </c>
    </row>
    <row r="5" spans="1:42">
      <c r="A5">
        <v>108.6955</v>
      </c>
      <c r="B5">
        <v>108.726</v>
      </c>
      <c r="C5">
        <v>125.521818181818</v>
      </c>
      <c r="D5">
        <v>132.2375</v>
      </c>
      <c r="E5">
        <v>0</v>
      </c>
      <c r="F5">
        <v>0</v>
      </c>
      <c r="G5">
        <v>6860.75</v>
      </c>
      <c r="H5">
        <v>5309.941</v>
      </c>
      <c r="I5">
        <v>6261</v>
      </c>
      <c r="J5">
        <v>5957.06875</v>
      </c>
      <c r="K5">
        <v>0</v>
      </c>
      <c r="L5">
        <v>0</v>
      </c>
      <c r="M5">
        <v>137.84</v>
      </c>
      <c r="N5">
        <v>137.66</v>
      </c>
      <c r="O5">
        <v>135.04</v>
      </c>
      <c r="P5">
        <v>142.09</v>
      </c>
      <c r="Q5">
        <v>0</v>
      </c>
      <c r="R5">
        <v>0</v>
      </c>
      <c r="S5">
        <v>99</v>
      </c>
      <c r="T5">
        <v>99.06</v>
      </c>
      <c r="U5">
        <v>108.72</v>
      </c>
      <c r="V5">
        <v>121.41</v>
      </c>
      <c r="W5">
        <v>0</v>
      </c>
      <c r="X5">
        <v>0</v>
      </c>
      <c r="Y5">
        <v>7257</v>
      </c>
      <c r="Z5">
        <v>5643.34</v>
      </c>
      <c r="AA5">
        <v>6643</v>
      </c>
      <c r="AB5">
        <v>6114.86</v>
      </c>
      <c r="AC5">
        <v>0</v>
      </c>
      <c r="AD5">
        <v>0</v>
      </c>
      <c r="AE5">
        <v>6224</v>
      </c>
      <c r="AF5">
        <v>4751.52</v>
      </c>
      <c r="AG5">
        <v>5627</v>
      </c>
      <c r="AH5">
        <v>5869.04</v>
      </c>
      <c r="AI5">
        <v>0</v>
      </c>
      <c r="AJ5">
        <v>0</v>
      </c>
      <c r="AK5">
        <v>1</v>
      </c>
      <c r="AL5">
        <v>1</v>
      </c>
      <c r="AM5">
        <v>0.55</v>
      </c>
      <c r="AN5">
        <v>0.4</v>
      </c>
      <c r="AO5">
        <v>0</v>
      </c>
      <c r="AP5">
        <v>0</v>
      </c>
    </row>
    <row r="6" spans="1:42">
      <c r="A6">
        <v>135.4805</v>
      </c>
      <c r="B6">
        <v>135.4905</v>
      </c>
      <c r="C6">
        <v>153.036666666667</v>
      </c>
      <c r="D6">
        <v>160.520833333333</v>
      </c>
      <c r="E6">
        <v>0</v>
      </c>
      <c r="F6">
        <v>0</v>
      </c>
      <c r="G6">
        <v>7002.8</v>
      </c>
      <c r="H6">
        <v>5335.8665</v>
      </c>
      <c r="I6">
        <v>6280.44444444444</v>
      </c>
      <c r="J6">
        <v>5996.06083333333</v>
      </c>
      <c r="K6">
        <v>0</v>
      </c>
      <c r="L6">
        <v>0</v>
      </c>
      <c r="M6">
        <v>176.44</v>
      </c>
      <c r="N6">
        <v>176.34</v>
      </c>
      <c r="O6">
        <v>198.08</v>
      </c>
      <c r="P6">
        <v>218.24</v>
      </c>
      <c r="Q6">
        <v>0</v>
      </c>
      <c r="R6">
        <v>0</v>
      </c>
      <c r="S6">
        <v>117</v>
      </c>
      <c r="T6">
        <v>116.97</v>
      </c>
      <c r="U6">
        <v>135.61</v>
      </c>
      <c r="V6">
        <v>136.59</v>
      </c>
      <c r="W6">
        <v>0</v>
      </c>
      <c r="X6">
        <v>0</v>
      </c>
      <c r="Y6">
        <v>7939</v>
      </c>
      <c r="Z6">
        <v>5684.16</v>
      </c>
      <c r="AA6">
        <v>6503</v>
      </c>
      <c r="AB6">
        <v>6435.01</v>
      </c>
      <c r="AC6">
        <v>0</v>
      </c>
      <c r="AD6">
        <v>0</v>
      </c>
      <c r="AE6">
        <v>6434</v>
      </c>
      <c r="AF6">
        <v>4907.89</v>
      </c>
      <c r="AG6">
        <v>5786</v>
      </c>
      <c r="AH6">
        <v>5487.79</v>
      </c>
      <c r="AI6">
        <v>0</v>
      </c>
      <c r="AJ6">
        <v>0</v>
      </c>
      <c r="AK6">
        <v>1</v>
      </c>
      <c r="AL6">
        <v>1</v>
      </c>
      <c r="AM6">
        <v>0.45</v>
      </c>
      <c r="AN6">
        <v>0.55</v>
      </c>
      <c r="AO6">
        <v>0</v>
      </c>
      <c r="AP6">
        <v>0</v>
      </c>
    </row>
    <row r="7" spans="1:42">
      <c r="A7">
        <v>160.6095</v>
      </c>
      <c r="B7">
        <v>160.6205</v>
      </c>
      <c r="C7">
        <v>181.285</v>
      </c>
      <c r="D7">
        <v>171.07</v>
      </c>
      <c r="E7">
        <v>0</v>
      </c>
      <c r="F7">
        <v>0</v>
      </c>
      <c r="G7">
        <v>7052.95</v>
      </c>
      <c r="H7">
        <v>5358.008</v>
      </c>
      <c r="I7">
        <v>6276.5</v>
      </c>
      <c r="J7">
        <v>5994.92666666667</v>
      </c>
      <c r="K7">
        <v>0</v>
      </c>
      <c r="L7">
        <v>0</v>
      </c>
      <c r="M7">
        <v>200.94</v>
      </c>
      <c r="N7">
        <v>201.51</v>
      </c>
      <c r="O7">
        <v>217.94</v>
      </c>
      <c r="P7">
        <v>185.34</v>
      </c>
      <c r="Q7">
        <v>0</v>
      </c>
      <c r="R7">
        <v>0</v>
      </c>
      <c r="S7">
        <v>130.49</v>
      </c>
      <c r="T7">
        <v>130.59</v>
      </c>
      <c r="U7">
        <v>144.63</v>
      </c>
      <c r="V7">
        <v>151.15</v>
      </c>
      <c r="W7">
        <v>0</v>
      </c>
      <c r="X7">
        <v>0</v>
      </c>
      <c r="Y7">
        <v>7709</v>
      </c>
      <c r="Z7">
        <v>5719.31</v>
      </c>
      <c r="AA7">
        <v>6461</v>
      </c>
      <c r="AB7">
        <v>6361.94</v>
      </c>
      <c r="AC7">
        <v>0</v>
      </c>
      <c r="AD7">
        <v>0</v>
      </c>
      <c r="AE7">
        <v>6506</v>
      </c>
      <c r="AF7">
        <v>4951.9</v>
      </c>
      <c r="AG7">
        <v>6092</v>
      </c>
      <c r="AH7">
        <v>5723.28</v>
      </c>
      <c r="AI7">
        <v>0</v>
      </c>
      <c r="AJ7">
        <v>0</v>
      </c>
      <c r="AK7">
        <v>0.95</v>
      </c>
      <c r="AL7">
        <v>0.95</v>
      </c>
      <c r="AM7">
        <v>0.05</v>
      </c>
      <c r="AN7">
        <v>0.15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2024-08-28T14:43:00Z</dcterms:created>
  <dcterms:modified xsi:type="dcterms:W3CDTF">2024-08-29T15:01:55Z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262E88DA4677403A955D83E7C5F408B8_12</vt:lpwstr>
  </property>
  <property fmtid="{D5CDD505-2E9C-101B-9397-08002B2CF9AE}" pid="3" name="KSOProductBuildVer">
    <vt:lpwstr>2052-12.1.0.17827</vt:lpwstr>
  </property>
</Properties>
</file>