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<sst xmlns="http://schemas.openxmlformats.org/spreadsheetml/2006/main" count="402" uniqueCount="60">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</sst>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8" sqref="A8:AP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325.19</v>
      </c>
      <c r="C2">
        <v>22429</v>
      </c>
      <c r="D2">
        <v>326.17</v>
      </c>
      <c r="E2">
        <v>19357.02</v>
      </c>
      <c r="F2">
        <v>355.14</v>
      </c>
      <c r="G2">
        <v>21517</v>
      </c>
      <c r="H2">
        <v>-1</v>
      </c>
      <c r="I2">
        <v>15897.99</v>
      </c>
      <c r="J2">
        <v>376.16</v>
      </c>
      <c r="K2">
        <v>21517</v>
      </c>
      <c r="L2">
        <v>-1</v>
      </c>
      <c r="M2">
        <v>1436.4</v>
      </c>
    </row>
    <row r="3" spans="1:13">
      <c r="A3" t="s">
        <v>14</v>
      </c>
      <c r="B3">
        <v>424.78</v>
      </c>
      <c r="C3">
        <v>22856</v>
      </c>
      <c r="D3">
        <v>426.24</v>
      </c>
      <c r="E3">
        <v>19905.07</v>
      </c>
      <c r="F3">
        <v>964.93</v>
      </c>
      <c r="G3">
        <v>22114</v>
      </c>
      <c r="H3">
        <v>-1</v>
      </c>
      <c r="I3">
        <v>0</v>
      </c>
      <c r="J3">
        <v>-1</v>
      </c>
      <c r="K3">
        <v>4798</v>
      </c>
      <c r="L3">
        <v>807.87</v>
      </c>
      <c r="M3">
        <v>19968.36</v>
      </c>
    </row>
    <row r="4" spans="1:13">
      <c r="A4" t="s">
        <v>15</v>
      </c>
      <c r="B4">
        <v>445.69</v>
      </c>
      <c r="C4">
        <v>20181</v>
      </c>
      <c r="D4">
        <v>446.85</v>
      </c>
      <c r="E4">
        <v>18111.93</v>
      </c>
      <c r="F4">
        <v>492.49</v>
      </c>
      <c r="G4">
        <v>20125</v>
      </c>
      <c r="H4">
        <v>-1</v>
      </c>
      <c r="I4">
        <v>980.86</v>
      </c>
      <c r="J4">
        <v>505.41</v>
      </c>
      <c r="K4">
        <v>20125</v>
      </c>
      <c r="L4">
        <v>499.58</v>
      </c>
      <c r="M4">
        <v>18139.43</v>
      </c>
    </row>
    <row r="5" spans="1:13">
      <c r="A5" t="s">
        <v>16</v>
      </c>
      <c r="B5">
        <v>425.9</v>
      </c>
      <c r="C5">
        <v>22632</v>
      </c>
      <c r="D5">
        <v>426.9</v>
      </c>
      <c r="E5">
        <v>19678.51</v>
      </c>
      <c r="F5">
        <v>461.13</v>
      </c>
      <c r="G5">
        <v>21778</v>
      </c>
      <c r="H5">
        <v>491.27</v>
      </c>
      <c r="I5">
        <v>24175.18</v>
      </c>
      <c r="J5">
        <v>-1</v>
      </c>
      <c r="K5">
        <v>759</v>
      </c>
      <c r="L5">
        <v>709.01</v>
      </c>
      <c r="M5">
        <v>19730.92</v>
      </c>
    </row>
    <row r="6" spans="1:13">
      <c r="A6" t="s">
        <v>17</v>
      </c>
      <c r="B6">
        <v>448.96</v>
      </c>
      <c r="C6">
        <v>21854</v>
      </c>
      <c r="D6">
        <v>449.77</v>
      </c>
      <c r="E6">
        <v>19206.78</v>
      </c>
      <c r="F6">
        <v>485.52</v>
      </c>
      <c r="G6">
        <v>21430</v>
      </c>
      <c r="H6">
        <v>590.51</v>
      </c>
      <c r="I6">
        <v>22965.16</v>
      </c>
      <c r="J6">
        <v>-1</v>
      </c>
      <c r="K6">
        <v>0</v>
      </c>
      <c r="L6">
        <v>-1</v>
      </c>
      <c r="M6">
        <v>14448.82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414.104</v>
      </c>
      <c r="B9" s="4">
        <f>IFERROR(AVERAGEIF($D$2:$D$6,"&lt;&gt; -1"),0)</f>
        <v>415.186</v>
      </c>
      <c r="C9" s="4">
        <f>IFERROR(AVERAGEIF($F$2:$F$6,"&lt;&gt; -1"),0)</f>
        <v>551.842</v>
      </c>
      <c r="D9" s="4">
        <f>IFERROR(AVERAGEIF($H$2:$H$6,"&lt;&gt; -1"),0)</f>
        <v>540.89</v>
      </c>
      <c r="E9" s="4">
        <f>IFERROR(AVERAGEIF($J$2:$J$6,"&lt;&gt; -1"),0)</f>
        <v>440.785</v>
      </c>
      <c r="F9" s="4">
        <f>IFERROR(AVERAGEIF($L$2:$L$6,"&lt;&gt; -1"),0)</f>
        <v>672.153333333333</v>
      </c>
      <c r="G9" s="4">
        <f>IFERROR(AVERAGEIFS($C$2:$C$6,$B$2:$B$6,"&lt;&gt; -1"),0)</f>
        <v>21990.4</v>
      </c>
      <c r="H9" s="4">
        <f>IFERROR(AVERAGEIFS($E$2:$E$6,$D$2:$D$6,"&lt;&gt; -1"),0)</f>
        <v>19251.862</v>
      </c>
      <c r="I9" s="4">
        <f>IFERROR(AVERAGEIFS($G$2:$G$6,$F$2:$F$6,"&lt;&gt; -1"),0)</f>
        <v>21392.8</v>
      </c>
      <c r="J9" s="4">
        <f>IFERROR(AVERAGEIFS($I$2:$I$6,$H$2:$H$6,"&lt;&gt; -1"),0)</f>
        <v>23570.17</v>
      </c>
      <c r="K9" s="4">
        <f>IFERROR(AVERAGEIFS($K$2:$K$6,$J$2:$J$6,"&lt;&gt; -1"),0)</f>
        <v>20821</v>
      </c>
      <c r="L9" s="4">
        <f>IFERROR(AVERAGEIFS($M$2:$M$6,$L$2:$L$6,"&lt;&gt; -1"),0)</f>
        <v>19279.57</v>
      </c>
      <c r="M9" s="4">
        <f>IFERROR(_xlfn.MAXIFS($B$2:$B$6,$B$2:$B$6,"&lt;&gt; -1"),0)</f>
        <v>448.96</v>
      </c>
      <c r="N9" s="4">
        <f>IFERROR(_xlfn.MAXIFS($D$2:$D$6,$D$2:$D$6,"&lt;&gt;-1"),0)</f>
        <v>449.77</v>
      </c>
      <c r="O9" s="4">
        <f>IFERROR(_xlfn.MAXIFS($F$2:$F$6,$F$2:$F$6,"&lt;&gt; -1"),0)</f>
        <v>964.93</v>
      </c>
      <c r="P9" s="4">
        <f>IFERROR(_xlfn.MAXIFS($H$2:$H$6,$H$2:$H$6,"&lt;&gt; -1"),0)</f>
        <v>590.51</v>
      </c>
      <c r="Q9" s="4">
        <f>IFERROR(_xlfn.MAXIFS($J$2:$J$6,$J$2:$J$6,"&lt;&gt; -1"),0)</f>
        <v>505.41</v>
      </c>
      <c r="R9" s="4">
        <f>IFERROR(_xlfn.MAXIFS($L$2:$L$6,$L$2:$L$6,"&lt;&gt; -1"),0)</f>
        <v>807.87</v>
      </c>
      <c r="S9" s="4">
        <f>IFERROR(_xlfn.MINIFS($B$2:$B$6,$B$2:$B$6,"&lt;&gt; -1"),0)</f>
        <v>325.19</v>
      </c>
      <c r="T9" s="4">
        <f>IFERROR(_xlfn.MINIFS($D$2:$D$6,$D$2:$D$6,"&lt;&gt;-1"),0)</f>
        <v>326.17</v>
      </c>
      <c r="U9" s="4">
        <f>IFERROR(_xlfn.MINIFS($F$2:$F$6,$F$2:$F$6,"&lt;&gt; -1"),0)</f>
        <v>355.14</v>
      </c>
      <c r="V9" s="4">
        <f>IFERROR(_xlfn.MINIFS($H$2:$H$6,$H$2:$H$6,"&lt;&gt; -1"),0)</f>
        <v>491.27</v>
      </c>
      <c r="W9" s="4">
        <f>IFERROR(_xlfn.MINIFS($J$2:$J$6,$J$2:$J$6,"&lt;&gt; -1"),0)</f>
        <v>376.16</v>
      </c>
      <c r="X9" s="4">
        <f>IFERROR(_xlfn.MINIFS($L$2:$L$6,$L$2:$L$6,"&lt;&gt; -1"),0)</f>
        <v>499.58</v>
      </c>
      <c r="Y9" s="4">
        <f>IFERROR(_xlfn.MAXIFS($C$2:$C$6,$B$2:$B$6,"&lt;&gt; -1"),0)</f>
        <v>22856</v>
      </c>
      <c r="Z9" s="4">
        <f>IFERROR(_xlfn.MAXIFS($E$2:$E$6,$D$2:$D$6,"&lt;&gt; -1"),0)</f>
        <v>19905.07</v>
      </c>
      <c r="AA9" s="4">
        <f>IFERROR(_xlfn.MAXIFS($G$2:$G$6,$F$2:$F$6,"&lt;&gt; -1"),0)</f>
        <v>22114</v>
      </c>
      <c r="AB9" s="4">
        <f>IFERROR(_xlfn.MAXIFS($I$2:$I$6,$H$2:$H$6,"&lt;&gt; -1"),0)</f>
        <v>24175.18</v>
      </c>
      <c r="AC9" s="4">
        <f>IFERROR(_xlfn.MAXIFS($K$2:$K$6,$J$2:$J$6,"&lt;&gt; -1"),0)</f>
        <v>21517</v>
      </c>
      <c r="AD9" s="4">
        <f>IFERROR(_xlfn.MAXIFS($M$2:$M$6,$L$2:$L$6,"&lt;&gt; -1"),0)</f>
        <v>19968.36</v>
      </c>
      <c r="AE9" s="4">
        <f>IFERROR(_xlfn.MINIFS($C$2:$C$6,$B$2:$B$6,"&lt;&gt; -1"),0)</f>
        <v>20181</v>
      </c>
      <c r="AF9" s="4">
        <f>IFERROR(_xlfn.MINIFS($E$2:$E$6,$D$2:$D$6,"&lt;&gt; -1"),0)</f>
        <v>18111.93</v>
      </c>
      <c r="AG9" s="4">
        <f>IFERROR(_xlfn.MINIFS($G$2:$G$6,$F$2:$F$6,"&lt;&gt; -1"),0)</f>
        <v>20125</v>
      </c>
      <c r="AH9" s="4">
        <f>IFERROR(_xlfn.MINIFS($I$2:$I$6,$H$2:$H$6,"&lt;&gt; -1"),0)</f>
        <v>22965.16</v>
      </c>
      <c r="AI9" s="4">
        <f>IFERROR(_xlfn.MINIFS($K$2:$K$6,$J$2:$J$6,"&lt;&gt; -1"),0)</f>
        <v>20125</v>
      </c>
      <c r="AJ9" s="4">
        <f>IFERROR(_xlfn.MINIFS($M$2:$M$6,$L$2:$L$6,"&lt;&gt; -1"),0)</f>
        <v>18139.43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1</v>
      </c>
      <c r="AN9" s="4">
        <f>(COUNTIFS($H$2:$H$6,"&gt;0.0",$H$2:$H$6,"&lt;1000.0"))/5</f>
        <v>0.4</v>
      </c>
      <c r="AO9" s="4">
        <f>(COUNTIFS($J$2:$J$6,"&gt;0.0",$J$2:$J$6,"&lt;1000.0"))/5</f>
        <v>0.4</v>
      </c>
      <c r="AP9" s="4">
        <f>(COUNTIFS($L$2:$L$6,"&gt;0.0",$L$2:$L$6,"&lt;1000.0"))/5</f>
        <v>0.6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383.24</v>
      </c>
      <c r="C2">
        <v>28542</v>
      </c>
      <c r="D2">
        <v>383.82</v>
      </c>
      <c r="E2">
        <v>19993.08</v>
      </c>
      <c r="F2">
        <v>-1</v>
      </c>
      <c r="G2">
        <v>12798</v>
      </c>
      <c r="H2">
        <v>-1</v>
      </c>
      <c r="I2">
        <v>4032.08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416.66</v>
      </c>
      <c r="C3">
        <v>26618</v>
      </c>
      <c r="D3">
        <v>417.34</v>
      </c>
      <c r="E3">
        <v>20510.55</v>
      </c>
      <c r="F3">
        <v>-1</v>
      </c>
      <c r="G3">
        <v>10920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376.33</v>
      </c>
      <c r="C4">
        <v>24494</v>
      </c>
      <c r="D4">
        <v>377.01</v>
      </c>
      <c r="E4">
        <v>19519.18</v>
      </c>
      <c r="F4">
        <v>-1</v>
      </c>
      <c r="G4">
        <v>7613</v>
      </c>
      <c r="H4">
        <v>-1</v>
      </c>
      <c r="I4">
        <v>4222.17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413.15</v>
      </c>
      <c r="C5">
        <v>31504</v>
      </c>
      <c r="D5">
        <v>413.62</v>
      </c>
      <c r="E5">
        <v>21143.69</v>
      </c>
      <c r="F5">
        <v>-1</v>
      </c>
      <c r="G5">
        <v>2991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383.49</v>
      </c>
      <c r="C6">
        <v>21812</v>
      </c>
      <c r="D6">
        <v>384.01</v>
      </c>
      <c r="E6">
        <v>18407.01</v>
      </c>
      <c r="F6">
        <v>-1</v>
      </c>
      <c r="G6">
        <v>13822</v>
      </c>
      <c r="H6">
        <v>-1</v>
      </c>
      <c r="I6">
        <v>7797.82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394.574</v>
      </c>
      <c r="B9" s="4">
        <f>IFERROR(AVERAGEIF($D$2:$D$6,"&lt;&gt; -1"),0)</f>
        <v>395.16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26594</v>
      </c>
      <c r="H9" s="4">
        <f>IFERROR(AVERAGEIFS($E$2:$E$6,$D$2:$D$6,"&lt;&gt; -1"),0)</f>
        <v>19914.702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416.66</v>
      </c>
      <c r="N9" s="4">
        <f>IFERROR(_xlfn.MAXIFS($D$2:$D$6,$D$2:$D$6,"&lt;&gt;-1"),0)</f>
        <v>417.34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376.33</v>
      </c>
      <c r="T9" s="4">
        <f>IFERROR(_xlfn.MINIFS($D$2:$D$6,$D$2:$D$6,"&lt;&gt;-1"),0)</f>
        <v>377.01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31504</v>
      </c>
      <c r="Z9" s="4">
        <f>IFERROR(_xlfn.MAXIFS($E$2:$E$6,$D$2:$D$6,"&lt;&gt; -1"),0)</f>
        <v>21143.69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21812</v>
      </c>
      <c r="AF9" s="4">
        <f>IFERROR(_xlfn.MINIFS($E$2:$E$6,$D$2:$D$6,"&lt;&gt; -1"),0)</f>
        <v>18407.01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421.62</v>
      </c>
      <c r="C2">
        <v>27459</v>
      </c>
      <c r="D2">
        <v>421.56</v>
      </c>
      <c r="E2">
        <v>19132.55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457.64</v>
      </c>
      <c r="C3">
        <v>27112</v>
      </c>
      <c r="D3">
        <v>458.02</v>
      </c>
      <c r="E3">
        <v>20686.54</v>
      </c>
      <c r="F3">
        <v>-1</v>
      </c>
      <c r="G3">
        <v>4807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414.41</v>
      </c>
      <c r="C4">
        <v>27854</v>
      </c>
      <c r="D4">
        <v>414.71</v>
      </c>
      <c r="E4">
        <v>18962.88</v>
      </c>
      <c r="F4">
        <v>-1</v>
      </c>
      <c r="G4">
        <v>4791</v>
      </c>
      <c r="H4">
        <v>-1</v>
      </c>
      <c r="I4">
        <v>5168.57</v>
      </c>
      <c r="J4">
        <v>-1</v>
      </c>
      <c r="K4">
        <v>4779</v>
      </c>
      <c r="L4">
        <v>-1</v>
      </c>
      <c r="M4">
        <v>0</v>
      </c>
    </row>
    <row r="5" spans="1:13">
      <c r="A5" t="s">
        <v>16</v>
      </c>
      <c r="B5">
        <v>431.25</v>
      </c>
      <c r="C5">
        <v>34011</v>
      </c>
      <c r="D5">
        <v>431.37</v>
      </c>
      <c r="E5">
        <v>20210.58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414.11</v>
      </c>
      <c r="C6">
        <v>22464</v>
      </c>
      <c r="D6">
        <v>414.68</v>
      </c>
      <c r="E6">
        <v>19416.86</v>
      </c>
      <c r="F6">
        <v>-1</v>
      </c>
      <c r="G6">
        <v>8136</v>
      </c>
      <c r="H6">
        <v>-1</v>
      </c>
      <c r="I6">
        <v>20271.23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427.806</v>
      </c>
      <c r="B9" s="4">
        <f>IFERROR(AVERAGEIF($D$2:$D$6,"&lt;&gt; -1"),0)</f>
        <v>428.068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27780</v>
      </c>
      <c r="H9" s="4">
        <f>IFERROR(AVERAGEIFS($E$2:$E$6,$D$2:$D$6,"&lt;&gt; -1"),0)</f>
        <v>19681.882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457.64</v>
      </c>
      <c r="N9" s="4">
        <f>IFERROR(_xlfn.MAXIFS($D$2:$D$6,$D$2:$D$6,"&lt;&gt;-1"),0)</f>
        <v>458.02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414.11</v>
      </c>
      <c r="T9" s="4">
        <f>IFERROR(_xlfn.MINIFS($D$2:$D$6,$D$2:$D$6,"&lt;&gt;-1"),0)</f>
        <v>414.68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34011</v>
      </c>
      <c r="Z9" s="4">
        <f>IFERROR(_xlfn.MAXIFS($E$2:$E$6,$D$2:$D$6,"&lt;&gt; -1"),0)</f>
        <v>20686.54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22464</v>
      </c>
      <c r="AF9" s="4">
        <f>IFERROR(_xlfn.MINIFS($E$2:$E$6,$D$2:$D$6,"&lt;&gt; -1"),0)</f>
        <v>18962.88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472.02</v>
      </c>
      <c r="C2">
        <v>30854</v>
      </c>
      <c r="D2">
        <v>472.35</v>
      </c>
      <c r="E2">
        <v>19932.02</v>
      </c>
      <c r="F2">
        <v>-1</v>
      </c>
      <c r="G2">
        <v>4373</v>
      </c>
      <c r="H2">
        <v>-1</v>
      </c>
      <c r="I2">
        <v>4806.08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512.94</v>
      </c>
      <c r="C3">
        <v>30546</v>
      </c>
      <c r="D3">
        <v>502.36</v>
      </c>
      <c r="E3">
        <v>20859.03</v>
      </c>
      <c r="F3">
        <v>-1</v>
      </c>
      <c r="G3">
        <v>7117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476.78</v>
      </c>
      <c r="C4">
        <v>48177</v>
      </c>
      <c r="D4">
        <v>476.23</v>
      </c>
      <c r="E4">
        <v>20078.43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483.26</v>
      </c>
      <c r="C5">
        <v>28840</v>
      </c>
      <c r="D5">
        <v>483.65</v>
      </c>
      <c r="E5">
        <v>20631.07</v>
      </c>
      <c r="F5">
        <v>-1</v>
      </c>
      <c r="G5">
        <v>4586</v>
      </c>
      <c r="H5">
        <v>-1</v>
      </c>
      <c r="I5">
        <v>5058.23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456.77</v>
      </c>
      <c r="C6">
        <v>23789</v>
      </c>
      <c r="D6">
        <v>457.19</v>
      </c>
      <c r="E6">
        <v>19244.22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480.354</v>
      </c>
      <c r="B9" s="4">
        <f>IFERROR(AVERAGEIF($D$2:$D$6,"&lt;&gt; -1"),0)</f>
        <v>478.356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32441.2</v>
      </c>
      <c r="H9" s="4">
        <f>IFERROR(AVERAGEIFS($E$2:$E$6,$D$2:$D$6,"&lt;&gt; -1"),0)</f>
        <v>20148.954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512.94</v>
      </c>
      <c r="N9" s="4">
        <f>IFERROR(_xlfn.MAXIFS($D$2:$D$6,$D$2:$D$6,"&lt;&gt;-1"),0)</f>
        <v>502.36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456.77</v>
      </c>
      <c r="T9" s="4">
        <f>IFERROR(_xlfn.MINIFS($D$2:$D$6,$D$2:$D$6,"&lt;&gt;-1"),0)</f>
        <v>457.19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48177</v>
      </c>
      <c r="Z9" s="4">
        <f>IFERROR(_xlfn.MAXIFS($E$2:$E$6,$D$2:$D$6,"&lt;&gt; -1"),0)</f>
        <v>20859.03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23789</v>
      </c>
      <c r="AF9" s="4">
        <f>IFERROR(_xlfn.MINIFS($E$2:$E$6,$D$2:$D$6,"&lt;&gt; -1"),0)</f>
        <v>19244.22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670.79</v>
      </c>
      <c r="C2">
        <v>34909</v>
      </c>
      <c r="D2">
        <v>671.78</v>
      </c>
      <c r="E2">
        <v>19167.61</v>
      </c>
      <c r="F2">
        <v>-1</v>
      </c>
      <c r="G2">
        <v>12071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725.87</v>
      </c>
      <c r="C3">
        <v>34814</v>
      </c>
      <c r="D3">
        <v>726.07</v>
      </c>
      <c r="E3">
        <v>20384.19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9520</v>
      </c>
      <c r="D4">
        <v>746.42</v>
      </c>
      <c r="E4">
        <v>20502.6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617.67</v>
      </c>
      <c r="C5">
        <v>31269</v>
      </c>
      <c r="D5">
        <v>617.38</v>
      </c>
      <c r="E5">
        <v>20890.24</v>
      </c>
      <c r="F5">
        <v>-1</v>
      </c>
      <c r="G5">
        <v>6457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654.86</v>
      </c>
      <c r="C6">
        <v>29193</v>
      </c>
      <c r="D6">
        <v>654.84</v>
      </c>
      <c r="E6">
        <v>19040.78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667.2975</v>
      </c>
      <c r="B9" s="4">
        <f>IFERROR(AVERAGEIF($D$2:$D$6,"&lt;&gt; -1"),0)</f>
        <v>683.298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32546.25</v>
      </c>
      <c r="H9" s="4">
        <f>IFERROR(AVERAGEIFS($E$2:$E$6,$D$2:$D$6,"&lt;&gt; -1"),0)</f>
        <v>19997.084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725.87</v>
      </c>
      <c r="N9" s="4">
        <f>IFERROR(_xlfn.MAXIFS($D$2:$D$6,$D$2:$D$6,"&lt;&gt;-1"),0)</f>
        <v>746.42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617.67</v>
      </c>
      <c r="T9" s="4">
        <f>IFERROR(_xlfn.MINIFS($D$2:$D$6,$D$2:$D$6,"&lt;&gt;-1"),0)</f>
        <v>617.38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34909</v>
      </c>
      <c r="Z9" s="4">
        <f>IFERROR(_xlfn.MAXIFS($E$2:$E$6,$D$2:$D$6,"&lt;&gt; -1"),0)</f>
        <v>20890.24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29193</v>
      </c>
      <c r="AF9" s="4">
        <f>IFERROR(_xlfn.MINIFS($E$2:$E$6,$D$2:$D$6,"&lt;&gt; -1"),0)</f>
        <v>19040.78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0.8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707.3</v>
      </c>
      <c r="C2">
        <v>36884</v>
      </c>
      <c r="D2">
        <v>707.08</v>
      </c>
      <c r="E2">
        <v>19064.17</v>
      </c>
      <c r="F2">
        <v>-1</v>
      </c>
      <c r="G2">
        <v>5799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583.5</v>
      </c>
      <c r="C3">
        <v>30246</v>
      </c>
      <c r="D3">
        <v>583.73</v>
      </c>
      <c r="E3">
        <v>20056.07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644.7</v>
      </c>
      <c r="C4">
        <v>31862</v>
      </c>
      <c r="D4">
        <v>644.82</v>
      </c>
      <c r="E4">
        <v>21107.36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825.83</v>
      </c>
      <c r="C5">
        <v>32104</v>
      </c>
      <c r="D5">
        <v>824.42</v>
      </c>
      <c r="E5">
        <v>19549.33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617.33</v>
      </c>
      <c r="C6">
        <v>28861</v>
      </c>
      <c r="D6">
        <v>617.31</v>
      </c>
      <c r="E6">
        <v>20365.27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675.732</v>
      </c>
      <c r="B9" s="4">
        <f>IFERROR(AVERAGEIF($D$2:$D$6,"&lt;&gt; -1"),0)</f>
        <v>675.472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31991.4</v>
      </c>
      <c r="H9" s="4">
        <f>IFERROR(AVERAGEIFS($E$2:$E$6,$D$2:$D$6,"&lt;&gt; -1"),0)</f>
        <v>20028.44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825.83</v>
      </c>
      <c r="N9" s="4">
        <f>IFERROR(_xlfn.MAXIFS($D$2:$D$6,$D$2:$D$6,"&lt;&gt;-1"),0)</f>
        <v>824.42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583.5</v>
      </c>
      <c r="T9" s="4">
        <f>IFERROR(_xlfn.MINIFS($D$2:$D$6,$D$2:$D$6,"&lt;&gt;-1"),0)</f>
        <v>583.73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36884</v>
      </c>
      <c r="Z9" s="4">
        <f>IFERROR(_xlfn.MAXIFS($E$2:$E$6,$D$2:$D$6,"&lt;&gt; -1"),0)</f>
        <v>21107.36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28861</v>
      </c>
      <c r="AF9" s="4">
        <f>IFERROR(_xlfn.MINIFS($E$2:$E$6,$D$2:$D$6,"&lt;&gt; -1"),0)</f>
        <v>19064.17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N15" sqref="N15"/>
    </sheetView>
  </sheetViews>
  <sheetFormatPr defaultColWidth="8.72727272727273" defaultRowHeight="14" outlineLevelRow="6"/>
  <sheetData>
    <row r="1" spans="1:4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</row>
    <row r="2" spans="1:42">
      <c r="A2">
        <v>414.104</v>
      </c>
      <c r="B2">
        <v>415.186</v>
      </c>
      <c r="C2">
        <v>551.842</v>
      </c>
      <c r="D2">
        <v>540.89</v>
      </c>
      <c r="E2">
        <v>440.785</v>
      </c>
      <c r="F2">
        <v>672.153333333333</v>
      </c>
      <c r="G2">
        <v>21990.4</v>
      </c>
      <c r="H2">
        <v>19251.862</v>
      </c>
      <c r="I2">
        <v>21392.8</v>
      </c>
      <c r="J2">
        <v>23570.17</v>
      </c>
      <c r="K2">
        <v>20821</v>
      </c>
      <c r="L2">
        <v>19279.57</v>
      </c>
      <c r="M2">
        <v>448.96</v>
      </c>
      <c r="N2">
        <v>449.77</v>
      </c>
      <c r="O2">
        <v>964.93</v>
      </c>
      <c r="P2">
        <v>590.51</v>
      </c>
      <c r="Q2">
        <v>505.41</v>
      </c>
      <c r="R2">
        <v>807.87</v>
      </c>
      <c r="S2">
        <v>325.19</v>
      </c>
      <c r="T2">
        <v>326.17</v>
      </c>
      <c r="U2">
        <v>355.14</v>
      </c>
      <c r="V2">
        <v>491.27</v>
      </c>
      <c r="W2">
        <v>376.16</v>
      </c>
      <c r="X2">
        <v>499.58</v>
      </c>
      <c r="Y2">
        <v>22856</v>
      </c>
      <c r="Z2">
        <v>19905.07</v>
      </c>
      <c r="AA2">
        <v>22114</v>
      </c>
      <c r="AB2">
        <v>24175.18</v>
      </c>
      <c r="AC2">
        <v>21517</v>
      </c>
      <c r="AD2">
        <v>19968.36</v>
      </c>
      <c r="AE2">
        <v>20181</v>
      </c>
      <c r="AF2">
        <v>18111.93</v>
      </c>
      <c r="AG2">
        <v>20125</v>
      </c>
      <c r="AH2">
        <v>22965.16</v>
      </c>
      <c r="AI2">
        <v>20125</v>
      </c>
      <c r="AJ2">
        <v>18139.43</v>
      </c>
      <c r="AK2">
        <v>1</v>
      </c>
      <c r="AL2">
        <v>1</v>
      </c>
      <c r="AM2">
        <v>1</v>
      </c>
      <c r="AN2">
        <v>0.4</v>
      </c>
      <c r="AO2">
        <v>0.4</v>
      </c>
      <c r="AP2">
        <v>0.6</v>
      </c>
    </row>
    <row r="3" spans="1:42">
      <c r="A3">
        <v>394.574</v>
      </c>
      <c r="B3">
        <v>395.16</v>
      </c>
      <c r="C3">
        <v>0</v>
      </c>
      <c r="D3">
        <v>0</v>
      </c>
      <c r="E3">
        <v>0</v>
      </c>
      <c r="F3">
        <v>0</v>
      </c>
      <c r="G3">
        <v>26594</v>
      </c>
      <c r="H3">
        <v>19914.702</v>
      </c>
      <c r="I3">
        <v>0</v>
      </c>
      <c r="J3">
        <v>0</v>
      </c>
      <c r="K3">
        <v>0</v>
      </c>
      <c r="L3">
        <v>0</v>
      </c>
      <c r="M3">
        <v>416.66</v>
      </c>
      <c r="N3">
        <v>417.34</v>
      </c>
      <c r="O3">
        <v>0</v>
      </c>
      <c r="P3">
        <v>0</v>
      </c>
      <c r="Q3">
        <v>0</v>
      </c>
      <c r="R3">
        <v>0</v>
      </c>
      <c r="S3">
        <v>376.33</v>
      </c>
      <c r="T3">
        <v>377.01</v>
      </c>
      <c r="U3">
        <v>0</v>
      </c>
      <c r="V3">
        <v>0</v>
      </c>
      <c r="W3">
        <v>0</v>
      </c>
      <c r="X3">
        <v>0</v>
      </c>
      <c r="Y3">
        <v>31504</v>
      </c>
      <c r="Z3">
        <v>21143.69</v>
      </c>
      <c r="AA3">
        <v>0</v>
      </c>
      <c r="AB3">
        <v>0</v>
      </c>
      <c r="AC3">
        <v>0</v>
      </c>
      <c r="AD3">
        <v>0</v>
      </c>
      <c r="AE3">
        <v>21812</v>
      </c>
      <c r="AF3">
        <v>18407.01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</row>
    <row r="4" spans="1:42">
      <c r="A4">
        <v>427.806</v>
      </c>
      <c r="B4">
        <v>428.068</v>
      </c>
      <c r="C4">
        <v>0</v>
      </c>
      <c r="D4">
        <v>0</v>
      </c>
      <c r="E4">
        <v>0</v>
      </c>
      <c r="F4">
        <v>0</v>
      </c>
      <c r="G4">
        <v>27780</v>
      </c>
      <c r="H4">
        <v>19681.882</v>
      </c>
      <c r="I4">
        <v>0</v>
      </c>
      <c r="J4">
        <v>0</v>
      </c>
      <c r="K4">
        <v>0</v>
      </c>
      <c r="L4">
        <v>0</v>
      </c>
      <c r="M4">
        <v>457.64</v>
      </c>
      <c r="N4">
        <v>458.02</v>
      </c>
      <c r="O4">
        <v>0</v>
      </c>
      <c r="P4">
        <v>0</v>
      </c>
      <c r="Q4">
        <v>0</v>
      </c>
      <c r="R4">
        <v>0</v>
      </c>
      <c r="S4">
        <v>414.11</v>
      </c>
      <c r="T4">
        <v>414.68</v>
      </c>
      <c r="U4">
        <v>0</v>
      </c>
      <c r="V4">
        <v>0</v>
      </c>
      <c r="W4">
        <v>0</v>
      </c>
      <c r="X4">
        <v>0</v>
      </c>
      <c r="Y4">
        <v>34011</v>
      </c>
      <c r="Z4">
        <v>20686.54</v>
      </c>
      <c r="AA4">
        <v>0</v>
      </c>
      <c r="AB4">
        <v>0</v>
      </c>
      <c r="AC4">
        <v>0</v>
      </c>
      <c r="AD4">
        <v>0</v>
      </c>
      <c r="AE4">
        <v>22464</v>
      </c>
      <c r="AF4">
        <v>18962.88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480.354</v>
      </c>
      <c r="B5">
        <v>478.356</v>
      </c>
      <c r="C5">
        <v>0</v>
      </c>
      <c r="D5">
        <v>0</v>
      </c>
      <c r="E5">
        <v>0</v>
      </c>
      <c r="F5">
        <v>0</v>
      </c>
      <c r="G5">
        <v>32441.2</v>
      </c>
      <c r="H5">
        <v>20148.954</v>
      </c>
      <c r="I5">
        <v>0</v>
      </c>
      <c r="J5">
        <v>0</v>
      </c>
      <c r="K5">
        <v>0</v>
      </c>
      <c r="L5">
        <v>0</v>
      </c>
      <c r="M5">
        <v>512.94</v>
      </c>
      <c r="N5">
        <v>502.36</v>
      </c>
      <c r="O5">
        <v>0</v>
      </c>
      <c r="P5">
        <v>0</v>
      </c>
      <c r="Q5">
        <v>0</v>
      </c>
      <c r="R5">
        <v>0</v>
      </c>
      <c r="S5">
        <v>456.77</v>
      </c>
      <c r="T5">
        <v>457.19</v>
      </c>
      <c r="U5">
        <v>0</v>
      </c>
      <c r="V5">
        <v>0</v>
      </c>
      <c r="W5">
        <v>0</v>
      </c>
      <c r="X5">
        <v>0</v>
      </c>
      <c r="Y5">
        <v>48177</v>
      </c>
      <c r="Z5">
        <v>20859.03</v>
      </c>
      <c r="AA5">
        <v>0</v>
      </c>
      <c r="AB5">
        <v>0</v>
      </c>
      <c r="AC5">
        <v>0</v>
      </c>
      <c r="AD5">
        <v>0</v>
      </c>
      <c r="AE5">
        <v>23789</v>
      </c>
      <c r="AF5">
        <v>19244.22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667.2975</v>
      </c>
      <c r="B6">
        <v>683.298</v>
      </c>
      <c r="C6">
        <v>0</v>
      </c>
      <c r="D6">
        <v>0</v>
      </c>
      <c r="E6">
        <v>0</v>
      </c>
      <c r="F6">
        <v>0</v>
      </c>
      <c r="G6">
        <v>32546.25</v>
      </c>
      <c r="H6">
        <v>19997.084</v>
      </c>
      <c r="I6">
        <v>0</v>
      </c>
      <c r="J6">
        <v>0</v>
      </c>
      <c r="K6">
        <v>0</v>
      </c>
      <c r="L6">
        <v>0</v>
      </c>
      <c r="M6">
        <v>725.87</v>
      </c>
      <c r="N6">
        <v>746.42</v>
      </c>
      <c r="O6">
        <v>0</v>
      </c>
      <c r="P6">
        <v>0</v>
      </c>
      <c r="Q6">
        <v>0</v>
      </c>
      <c r="R6">
        <v>0</v>
      </c>
      <c r="S6">
        <v>617.67</v>
      </c>
      <c r="T6">
        <v>617.38</v>
      </c>
      <c r="U6">
        <v>0</v>
      </c>
      <c r="V6">
        <v>0</v>
      </c>
      <c r="W6">
        <v>0</v>
      </c>
      <c r="X6">
        <v>0</v>
      </c>
      <c r="Y6">
        <v>34909</v>
      </c>
      <c r="Z6">
        <v>20890.24</v>
      </c>
      <c r="AA6">
        <v>0</v>
      </c>
      <c r="AB6">
        <v>0</v>
      </c>
      <c r="AC6">
        <v>0</v>
      </c>
      <c r="AD6">
        <v>0</v>
      </c>
      <c r="AE6">
        <v>29193</v>
      </c>
      <c r="AF6">
        <v>19040.78</v>
      </c>
      <c r="AG6">
        <v>0</v>
      </c>
      <c r="AH6">
        <v>0</v>
      </c>
      <c r="AI6">
        <v>0</v>
      </c>
      <c r="AJ6">
        <v>0</v>
      </c>
      <c r="AK6">
        <v>0.8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675.732</v>
      </c>
      <c r="B7">
        <v>675.472</v>
      </c>
      <c r="C7">
        <v>0</v>
      </c>
      <c r="D7">
        <v>0</v>
      </c>
      <c r="E7">
        <v>0</v>
      </c>
      <c r="F7">
        <v>0</v>
      </c>
      <c r="G7">
        <v>31991.4</v>
      </c>
      <c r="H7">
        <v>20028.44</v>
      </c>
      <c r="I7">
        <v>0</v>
      </c>
      <c r="J7">
        <v>0</v>
      </c>
      <c r="K7">
        <v>0</v>
      </c>
      <c r="L7">
        <v>0</v>
      </c>
      <c r="M7">
        <v>825.83</v>
      </c>
      <c r="N7">
        <v>824.42</v>
      </c>
      <c r="O7">
        <v>0</v>
      </c>
      <c r="P7">
        <v>0</v>
      </c>
      <c r="Q7">
        <v>0</v>
      </c>
      <c r="R7">
        <v>0</v>
      </c>
      <c r="S7">
        <v>583.5</v>
      </c>
      <c r="T7">
        <v>583.73</v>
      </c>
      <c r="U7">
        <v>0</v>
      </c>
      <c r="V7">
        <v>0</v>
      </c>
      <c r="W7">
        <v>0</v>
      </c>
      <c r="X7">
        <v>0</v>
      </c>
      <c r="Y7">
        <v>36884</v>
      </c>
      <c r="Z7">
        <v>21107.36</v>
      </c>
      <c r="AA7">
        <v>0</v>
      </c>
      <c r="AB7">
        <v>0</v>
      </c>
      <c r="AC7">
        <v>0</v>
      </c>
      <c r="AD7">
        <v>0</v>
      </c>
      <c r="AE7">
        <v>28861</v>
      </c>
      <c r="AF7">
        <v>19064.17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2024-08-29T09:18:00Z</dcterms:created>
  <dcterms:modified xsi:type="dcterms:W3CDTF">2024-08-29T15:25:31Z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A928EB8B16964D498C6E49BB0F86B5C7_12</vt:lpwstr>
  </property>
  <property fmtid="{D5CDD505-2E9C-101B-9397-08002B2CF9AE}" pid="3" name="KSOProductBuildVer">
    <vt:lpwstr>2052-12.1.0.17827</vt:lpwstr>
  </property>
</Properties>
</file>