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 activeTab="6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<sst xmlns="http://schemas.openxmlformats.org/spreadsheetml/2006/main" count="402" uniqueCount="60">
  <si>
    <t>scen</t>
  </si>
  <si>
    <t>LC4_T</t>
  </si>
  <si>
    <t>LC4_C</t>
  </si>
  <si>
    <t>LC8_T</t>
  </si>
  <si>
    <t>LC8_C</t>
  </si>
  <si>
    <t>ML4_T</t>
  </si>
  <si>
    <t>ML4_C</t>
  </si>
  <si>
    <t>ML8_T</t>
  </si>
  <si>
    <t>ML8_C</t>
  </si>
  <si>
    <t>MA4_T</t>
  </si>
  <si>
    <t>MA4_C</t>
  </si>
  <si>
    <t>MA8_T</t>
  </si>
  <si>
    <t>MA8_C</t>
  </si>
  <si>
    <t>random-1</t>
  </si>
  <si>
    <t>random-2</t>
  </si>
  <si>
    <t>random-3</t>
  </si>
  <si>
    <t>random-4</t>
  </si>
  <si>
    <t>random-5</t>
  </si>
  <si>
    <t>LC1_T_A</t>
  </si>
  <si>
    <t>LC2_T_A</t>
  </si>
  <si>
    <t>ML1_T_A</t>
  </si>
  <si>
    <t>ML2_T_A</t>
  </si>
  <si>
    <t>MA1_T_A</t>
  </si>
  <si>
    <t>MA2_T_A</t>
  </si>
  <si>
    <t>LC1_C_A</t>
  </si>
  <si>
    <t>LC2_C_A</t>
  </si>
  <si>
    <t>ML1_C_A</t>
  </si>
  <si>
    <t>ML2_C_A</t>
  </si>
  <si>
    <t>MA1_C_A</t>
  </si>
  <si>
    <t>MA2_C_A</t>
  </si>
  <si>
    <t>LC1_T_MX</t>
  </si>
  <si>
    <t>LC2_T_MX</t>
  </si>
  <si>
    <t>ML1_T_MX</t>
  </si>
  <si>
    <t>ML2_T_MX</t>
  </si>
  <si>
    <t>MA1_T_MX</t>
  </si>
  <si>
    <t>MA2_T_MX</t>
  </si>
  <si>
    <t>LC1_T_MN</t>
  </si>
  <si>
    <t>LC2_T_MN</t>
  </si>
  <si>
    <t>ML1_T_MN</t>
  </si>
  <si>
    <t>ML2_T_MN</t>
  </si>
  <si>
    <t>MA1_T_MN</t>
  </si>
  <si>
    <t>MA2_T_MN</t>
  </si>
  <si>
    <t>LC1_C_MX</t>
  </si>
  <si>
    <t>LC2_C_MX</t>
  </si>
  <si>
    <t>ML1_C_MX</t>
  </si>
  <si>
    <t>ML2_C_MX</t>
  </si>
  <si>
    <t>MA1_C_MX</t>
  </si>
  <si>
    <t>MA2_C_MX</t>
  </si>
  <si>
    <t>LC1_C_MN</t>
  </si>
  <si>
    <t>LC2_C_MN</t>
  </si>
  <si>
    <t>ML1_C_MN</t>
  </si>
  <si>
    <t>ML2_C_MN</t>
  </si>
  <si>
    <t>MA1_C_MN</t>
  </si>
  <si>
    <t>MA2_C_MN</t>
  </si>
  <si>
    <t>LC1_S</t>
  </si>
  <si>
    <t>LC2_S</t>
  </si>
  <si>
    <t>ML1_S</t>
  </si>
  <si>
    <t>ML2_S</t>
  </si>
  <si>
    <t>MA1_S</t>
  </si>
  <si>
    <t>MA2_S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</si>
</sst>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76" fontId="2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A8:AP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460.19</v>
      </c>
      <c r="C2">
        <v>31563</v>
      </c>
      <c r="D2">
        <v>460.9</v>
      </c>
      <c r="E2">
        <v>25785.17</v>
      </c>
      <c r="F2">
        <v>-1</v>
      </c>
      <c r="G2">
        <v>0</v>
      </c>
      <c r="H2">
        <v>-1</v>
      </c>
      <c r="I2">
        <v>21003.57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594.02</v>
      </c>
      <c r="C3">
        <v>31880</v>
      </c>
      <c r="D3">
        <v>595.41</v>
      </c>
      <c r="E3">
        <v>26073.41</v>
      </c>
      <c r="F3">
        <v>-1</v>
      </c>
      <c r="G3">
        <v>28223</v>
      </c>
      <c r="H3">
        <v>932.72</v>
      </c>
      <c r="I3">
        <v>29355.32</v>
      </c>
      <c r="J3">
        <v>-1</v>
      </c>
      <c r="K3">
        <v>1681</v>
      </c>
      <c r="L3">
        <v>-1</v>
      </c>
      <c r="M3">
        <v>23519.43</v>
      </c>
    </row>
    <row r="4" spans="1:13">
      <c r="A4" t="s">
        <v>15</v>
      </c>
      <c r="B4">
        <v>613.28</v>
      </c>
      <c r="C4">
        <v>29569</v>
      </c>
      <c r="D4">
        <v>614.07</v>
      </c>
      <c r="E4">
        <v>24095.77</v>
      </c>
      <c r="F4">
        <v>-1</v>
      </c>
      <c r="G4">
        <v>6155</v>
      </c>
      <c r="H4">
        <v>-1</v>
      </c>
      <c r="I4">
        <v>1513.11</v>
      </c>
      <c r="J4">
        <v>-1</v>
      </c>
      <c r="K4">
        <v>6155</v>
      </c>
      <c r="L4">
        <v>645.56</v>
      </c>
      <c r="M4">
        <v>24246.41</v>
      </c>
    </row>
    <row r="5" spans="1:13">
      <c r="A5" t="s">
        <v>16</v>
      </c>
      <c r="B5">
        <v>455.92</v>
      </c>
      <c r="C5">
        <v>29590</v>
      </c>
      <c r="D5">
        <v>456.71</v>
      </c>
      <c r="E5">
        <v>24124.33</v>
      </c>
      <c r="F5">
        <v>504.34</v>
      </c>
      <c r="G5">
        <v>29472</v>
      </c>
      <c r="H5">
        <v>525.5</v>
      </c>
      <c r="I5">
        <v>27171.54</v>
      </c>
      <c r="J5">
        <v>590.62</v>
      </c>
      <c r="K5">
        <v>29472</v>
      </c>
      <c r="L5">
        <v>-1</v>
      </c>
      <c r="M5">
        <v>5781.27</v>
      </c>
    </row>
    <row r="6" spans="1:13">
      <c r="A6" t="s">
        <v>17</v>
      </c>
      <c r="B6">
        <v>450.96</v>
      </c>
      <c r="C6">
        <v>31084</v>
      </c>
      <c r="D6">
        <v>451.71</v>
      </c>
      <c r="E6">
        <v>25177.91</v>
      </c>
      <c r="F6">
        <v>564.58</v>
      </c>
      <c r="G6">
        <v>31042</v>
      </c>
      <c r="H6">
        <v>551.94</v>
      </c>
      <c r="I6">
        <v>28270.48</v>
      </c>
      <c r="J6">
        <v>-1</v>
      </c>
      <c r="K6">
        <v>22828</v>
      </c>
      <c r="L6">
        <v>526.66</v>
      </c>
      <c r="M6">
        <v>25271.42</v>
      </c>
    </row>
    <row r="8" spans="1:42">
      <c r="A8" s="2" t="s">
        <v>18</v>
      </c>
      <c r="B8" s="2" t="s">
        <v>19</v>
      </c>
      <c r="C8" s="2" t="s">
        <v>20</v>
      </c>
      <c r="D8" s="3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3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3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3" t="s">
        <v>39</v>
      </c>
      <c r="W8" s="2" t="s">
        <v>40</v>
      </c>
      <c r="X8" s="2" t="s">
        <v>41</v>
      </c>
      <c r="Y8" s="2" t="s">
        <v>42</v>
      </c>
      <c r="Z8" s="2" t="s">
        <v>43</v>
      </c>
      <c r="AA8" s="2" t="s">
        <v>44</v>
      </c>
      <c r="AB8" s="3" t="s">
        <v>45</v>
      </c>
      <c r="AC8" s="2" t="s">
        <v>46</v>
      </c>
      <c r="AD8" s="2" t="s">
        <v>47</v>
      </c>
      <c r="AE8" s="2" t="s">
        <v>48</v>
      </c>
      <c r="AF8" s="2" t="s">
        <v>49</v>
      </c>
      <c r="AG8" s="2" t="s">
        <v>50</v>
      </c>
      <c r="AH8" s="3" t="s">
        <v>51</v>
      </c>
      <c r="AI8" s="2" t="s">
        <v>52</v>
      </c>
      <c r="AJ8" s="2" t="s">
        <v>53</v>
      </c>
      <c r="AK8" s="2" t="s">
        <v>54</v>
      </c>
      <c r="AL8" s="2" t="s">
        <v>55</v>
      </c>
      <c r="AM8" s="2" t="s">
        <v>56</v>
      </c>
      <c r="AN8" s="3" t="s">
        <v>57</v>
      </c>
      <c r="AO8" s="2" t="s">
        <v>58</v>
      </c>
      <c r="AP8" s="2" t="s">
        <v>59</v>
      </c>
    </row>
    <row r="9" spans="1:42">
      <c r="A9" s="4">
        <f>IFERROR(AVERAGEIF($B$2:$B$6,"&lt;&gt; -1"),0)</f>
        <v>514.874</v>
      </c>
      <c r="B9" s="4">
        <f>IFERROR(AVERAGEIF($D$2:$D$6,"&lt;&gt; -1"),0)</f>
        <v>515.76</v>
      </c>
      <c r="C9" s="4">
        <f>IFERROR(AVERAGEIF($F$2:$F$6,"&lt;&gt; -1"),0)</f>
        <v>534.46</v>
      </c>
      <c r="D9" s="4">
        <f>IFERROR(AVERAGEIF($H$2:$H$6,"&lt;&gt; -1"),0)</f>
        <v>670.053333333333</v>
      </c>
      <c r="E9" s="4">
        <f>IFERROR(AVERAGEIF($J$2:$J$6,"&lt;&gt; -1"),0)</f>
        <v>590.62</v>
      </c>
      <c r="F9" s="4">
        <f>IFERROR(AVERAGEIF($L$2:$L$6,"&lt;&gt; -1"),0)</f>
        <v>586.11</v>
      </c>
      <c r="G9" s="4">
        <f>IFERROR(AVERAGEIFS($C$2:$C$6,$B$2:$B$6,"&lt;&gt; -1"),0)</f>
        <v>30737.2</v>
      </c>
      <c r="H9" s="4">
        <f>IFERROR(AVERAGEIFS($E$2:$E$6,$D$2:$D$6,"&lt;&gt; -1"),0)</f>
        <v>25051.318</v>
      </c>
      <c r="I9" s="4">
        <f>IFERROR(AVERAGEIFS($G$2:$G$6,$F$2:$F$6,"&lt;&gt; -1"),0)</f>
        <v>30257</v>
      </c>
      <c r="J9" s="4">
        <f>IFERROR(AVERAGEIFS($I$2:$I$6,$H$2:$H$6,"&lt;&gt; -1"),0)</f>
        <v>28265.78</v>
      </c>
      <c r="K9" s="4">
        <f>IFERROR(AVERAGEIFS($K$2:$K$6,$J$2:$J$6,"&lt;&gt; -1"),0)</f>
        <v>29472</v>
      </c>
      <c r="L9" s="4">
        <f>IFERROR(AVERAGEIFS($M$2:$M$6,$L$2:$L$6,"&lt;&gt; -1"),0)</f>
        <v>24758.915</v>
      </c>
      <c r="M9" s="4">
        <f>IFERROR(_xlfn.MAXIFS($B$2:$B$6,$B$2:$B$6,"&lt;&gt; -1"),0)</f>
        <v>613.28</v>
      </c>
      <c r="N9" s="4">
        <f>IFERROR(_xlfn.MAXIFS($D$2:$D$6,$D$2:$D$6,"&lt;&gt;-1"),0)</f>
        <v>614.07</v>
      </c>
      <c r="O9" s="4">
        <f>IFERROR(_xlfn.MAXIFS($F$2:$F$6,$F$2:$F$6,"&lt;&gt; -1"),0)</f>
        <v>564.58</v>
      </c>
      <c r="P9" s="4">
        <f>IFERROR(_xlfn.MAXIFS($H$2:$H$6,$H$2:$H$6,"&lt;&gt; -1"),0)</f>
        <v>932.72</v>
      </c>
      <c r="Q9" s="4">
        <f>IFERROR(_xlfn.MAXIFS($J$2:$J$6,$J$2:$J$6,"&lt;&gt; -1"),0)</f>
        <v>590.62</v>
      </c>
      <c r="R9" s="4">
        <f>IFERROR(_xlfn.MAXIFS($L$2:$L$6,$L$2:$L$6,"&lt;&gt; -1"),0)</f>
        <v>645.56</v>
      </c>
      <c r="S9" s="4">
        <f>IFERROR(_xlfn.MINIFS($B$2:$B$6,$B$2:$B$6,"&lt;&gt; -1"),0)</f>
        <v>450.96</v>
      </c>
      <c r="T9" s="4">
        <f>IFERROR(_xlfn.MINIFS($D$2:$D$6,$D$2:$D$6,"&lt;&gt;-1"),0)</f>
        <v>451.71</v>
      </c>
      <c r="U9" s="4">
        <f>IFERROR(_xlfn.MINIFS($F$2:$F$6,$F$2:$F$6,"&lt;&gt; -1"),0)</f>
        <v>504.34</v>
      </c>
      <c r="V9" s="4">
        <f>IFERROR(_xlfn.MINIFS($H$2:$H$6,$H$2:$H$6,"&lt;&gt; -1"),0)</f>
        <v>525.5</v>
      </c>
      <c r="W9" s="4">
        <f>IFERROR(_xlfn.MINIFS($J$2:$J$6,$J$2:$J$6,"&lt;&gt; -1"),0)</f>
        <v>590.62</v>
      </c>
      <c r="X9" s="4">
        <f>IFERROR(_xlfn.MINIFS($L$2:$L$6,$L$2:$L$6,"&lt;&gt; -1"),0)</f>
        <v>526.66</v>
      </c>
      <c r="Y9" s="4">
        <f>IFERROR(_xlfn.MAXIFS($C$2:$C$6,$B$2:$B$6,"&lt;&gt; -1"),0)</f>
        <v>31880</v>
      </c>
      <c r="Z9" s="4">
        <f>IFERROR(_xlfn.MAXIFS($E$2:$E$6,$D$2:$D$6,"&lt;&gt; -1"),0)</f>
        <v>26073.41</v>
      </c>
      <c r="AA9" s="4">
        <f>IFERROR(_xlfn.MAXIFS($G$2:$G$6,$F$2:$F$6,"&lt;&gt; -1"),0)</f>
        <v>31042</v>
      </c>
      <c r="AB9" s="4">
        <f>IFERROR(_xlfn.MAXIFS($I$2:$I$6,$H$2:$H$6,"&lt;&gt; -1"),0)</f>
        <v>29355.32</v>
      </c>
      <c r="AC9" s="4">
        <f>IFERROR(_xlfn.MAXIFS($K$2:$K$6,$J$2:$J$6,"&lt;&gt; -1"),0)</f>
        <v>29472</v>
      </c>
      <c r="AD9" s="4">
        <f>IFERROR(_xlfn.MAXIFS($M$2:$M$6,$L$2:$L$6,"&lt;&gt; -1"),0)</f>
        <v>25271.42</v>
      </c>
      <c r="AE9" s="4">
        <f>IFERROR(_xlfn.MINIFS($C$2:$C$6,$B$2:$B$6,"&lt;&gt; -1"),0)</f>
        <v>29569</v>
      </c>
      <c r="AF9" s="4">
        <f>IFERROR(_xlfn.MINIFS($E$2:$E$6,$D$2:$D$6,"&lt;&gt; -1"),0)</f>
        <v>24095.77</v>
      </c>
      <c r="AG9" s="4">
        <f>IFERROR(_xlfn.MINIFS($G$2:$G$6,$F$2:$F$6,"&lt;&gt; -1"),0)</f>
        <v>29472</v>
      </c>
      <c r="AH9" s="4">
        <f>IFERROR(_xlfn.MINIFS($I$2:$I$6,$H$2:$H$6,"&lt;&gt; -1"),0)</f>
        <v>27171.54</v>
      </c>
      <c r="AI9" s="4">
        <f>IFERROR(_xlfn.MINIFS($K$2:$K$6,$J$2:$J$6,"&lt;&gt; -1"),0)</f>
        <v>29472</v>
      </c>
      <c r="AJ9" s="4">
        <f>IFERROR(_xlfn.MINIFS($M$2:$M$6,$L$2:$L$6,"&lt;&gt; -1"),0)</f>
        <v>24246.41</v>
      </c>
      <c r="AK9" s="4">
        <f>(COUNTIFS($B$2:$B$6,"&gt;0.0",$B$2:$B$6,"&lt;1000.0"))/5</f>
        <v>1</v>
      </c>
      <c r="AL9" s="4">
        <f>(COUNTIFS($D$2:$D$6,"&gt;0.0",$D$2:$D$6,"&lt;1000.0"))/5</f>
        <v>1</v>
      </c>
      <c r="AM9" s="4">
        <f>(COUNTIFS($F$2:$F$6,"&gt;0.0",$F$2:$F$6,"&lt;1000.0"))/5</f>
        <v>0.4</v>
      </c>
      <c r="AN9" s="4">
        <f>(COUNTIFS($H$2:$H$6,"&gt;0.0",$H$2:$H$6,"&lt;1000.0"))/5</f>
        <v>0.6</v>
      </c>
      <c r="AO9" s="4">
        <f>(COUNTIFS($J$2:$J$6,"&gt;0.0",$J$2:$J$6,"&lt;1000.0"))/5</f>
        <v>0.2</v>
      </c>
      <c r="AP9" s="4">
        <f>(COUNTIFS($L$2:$L$6,"&gt;0.0",$L$2:$L$6,"&lt;1000.0"))/5</f>
        <v>0.4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$A9:$XFD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549.86</v>
      </c>
      <c r="C2">
        <v>31209</v>
      </c>
      <c r="D2">
        <v>550.43</v>
      </c>
      <c r="E2">
        <v>25412.78</v>
      </c>
      <c r="F2">
        <v>-1</v>
      </c>
      <c r="G2">
        <v>3929</v>
      </c>
      <c r="H2">
        <v>-1</v>
      </c>
      <c r="I2">
        <v>3479.55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520.58</v>
      </c>
      <c r="C3">
        <v>32482</v>
      </c>
      <c r="D3">
        <v>520.73</v>
      </c>
      <c r="E3">
        <v>26311.4</v>
      </c>
      <c r="F3">
        <v>-1</v>
      </c>
      <c r="G3">
        <v>0</v>
      </c>
      <c r="H3">
        <v>-1</v>
      </c>
      <c r="I3">
        <v>4884.81</v>
      </c>
      <c r="J3">
        <v>-1</v>
      </c>
      <c r="K3">
        <v>0</v>
      </c>
      <c r="L3">
        <v>-1</v>
      </c>
      <c r="M3">
        <v>4481.53</v>
      </c>
    </row>
    <row r="4" spans="1:13">
      <c r="A4" t="s">
        <v>15</v>
      </c>
      <c r="B4">
        <v>507.31</v>
      </c>
      <c r="C4">
        <v>30002</v>
      </c>
      <c r="D4">
        <v>507.49</v>
      </c>
      <c r="E4">
        <v>24335.16</v>
      </c>
      <c r="F4">
        <v>-1</v>
      </c>
      <c r="G4">
        <v>4229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474.16</v>
      </c>
      <c r="C5">
        <v>29500</v>
      </c>
      <c r="D5">
        <v>474.59</v>
      </c>
      <c r="E5">
        <v>24034.25</v>
      </c>
      <c r="F5">
        <v>798.99</v>
      </c>
      <c r="G5">
        <v>29176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507.02</v>
      </c>
      <c r="C6">
        <v>31877</v>
      </c>
      <c r="D6">
        <v>506.92</v>
      </c>
      <c r="E6">
        <v>25258.39</v>
      </c>
      <c r="F6">
        <v>-1</v>
      </c>
      <c r="G6">
        <v>0</v>
      </c>
      <c r="H6">
        <v>-1</v>
      </c>
      <c r="I6">
        <v>4543.61</v>
      </c>
      <c r="J6">
        <v>-1</v>
      </c>
      <c r="K6">
        <v>0</v>
      </c>
      <c r="L6">
        <v>-1</v>
      </c>
      <c r="M6">
        <v>0</v>
      </c>
    </row>
    <row r="8" spans="1:42">
      <c r="A8" s="2" t="s">
        <v>18</v>
      </c>
      <c r="B8" s="2" t="s">
        <v>19</v>
      </c>
      <c r="C8" s="2" t="s">
        <v>20</v>
      </c>
      <c r="D8" s="3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3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3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3" t="s">
        <v>39</v>
      </c>
      <c r="W8" s="2" t="s">
        <v>40</v>
      </c>
      <c r="X8" s="2" t="s">
        <v>41</v>
      </c>
      <c r="Y8" s="2" t="s">
        <v>42</v>
      </c>
      <c r="Z8" s="2" t="s">
        <v>43</v>
      </c>
      <c r="AA8" s="2" t="s">
        <v>44</v>
      </c>
      <c r="AB8" s="3" t="s">
        <v>45</v>
      </c>
      <c r="AC8" s="2" t="s">
        <v>46</v>
      </c>
      <c r="AD8" s="2" t="s">
        <v>47</v>
      </c>
      <c r="AE8" s="2" t="s">
        <v>48</v>
      </c>
      <c r="AF8" s="2" t="s">
        <v>49</v>
      </c>
      <c r="AG8" s="2" t="s">
        <v>50</v>
      </c>
      <c r="AH8" s="3" t="s">
        <v>51</v>
      </c>
      <c r="AI8" s="2" t="s">
        <v>52</v>
      </c>
      <c r="AJ8" s="2" t="s">
        <v>53</v>
      </c>
      <c r="AK8" s="2" t="s">
        <v>54</v>
      </c>
      <c r="AL8" s="2" t="s">
        <v>55</v>
      </c>
      <c r="AM8" s="2" t="s">
        <v>56</v>
      </c>
      <c r="AN8" s="3" t="s">
        <v>57</v>
      </c>
      <c r="AO8" s="2" t="s">
        <v>58</v>
      </c>
      <c r="AP8" s="2" t="s">
        <v>59</v>
      </c>
    </row>
    <row r="9" spans="1:42">
      <c r="A9" s="4">
        <f>IFERROR(AVERAGEIF($B$2:$B$6,"&lt;&gt; -1"),0)</f>
        <v>511.786</v>
      </c>
      <c r="B9" s="4">
        <f>IFERROR(AVERAGEIF($D$2:$D$6,"&lt;&gt; -1"),0)</f>
        <v>512.032</v>
      </c>
      <c r="C9" s="4">
        <f>IFERROR(AVERAGEIF($F$2:$F$6,"&lt;&gt; -1"),0)</f>
        <v>798.99</v>
      </c>
      <c r="D9" s="4">
        <f>IFERROR(AVERAGEIF($H$2:$H$6,"&lt;&gt; -1"),0)</f>
        <v>0</v>
      </c>
      <c r="E9" s="4">
        <f>IFERROR(AVERAGEIF($J$2:$J$6,"&lt;&gt; -1"),0)</f>
        <v>0</v>
      </c>
      <c r="F9" s="4">
        <f>IFERROR(AVERAGEIF($L$2:$L$6,"&lt;&gt; -1"),0)</f>
        <v>0</v>
      </c>
      <c r="G9" s="4">
        <f>IFERROR(AVERAGEIFS($C$2:$C$6,$B$2:$B$6,"&lt;&gt; -1"),0)</f>
        <v>31014</v>
      </c>
      <c r="H9" s="4">
        <f>IFERROR(AVERAGEIFS($E$2:$E$6,$D$2:$D$6,"&lt;&gt; -1"),0)</f>
        <v>25070.396</v>
      </c>
      <c r="I9" s="4">
        <f>IFERROR(AVERAGEIFS($G$2:$G$6,$F$2:$F$6,"&lt;&gt; -1"),0)</f>
        <v>29176</v>
      </c>
      <c r="J9" s="4">
        <f>IFERROR(AVERAGEIFS($I$2:$I$6,$H$2:$H$6,"&lt;&gt; -1"),0)</f>
        <v>0</v>
      </c>
      <c r="K9" s="4">
        <f>IFERROR(AVERAGEIFS($K$2:$K$6,$J$2:$J$6,"&lt;&gt; -1"),0)</f>
        <v>0</v>
      </c>
      <c r="L9" s="4">
        <f>IFERROR(AVERAGEIFS($M$2:$M$6,$L$2:$L$6,"&lt;&gt; -1"),0)</f>
        <v>0</v>
      </c>
      <c r="M9" s="4">
        <f>IFERROR(_xlfn.MAXIFS($B$2:$B$6,$B$2:$B$6,"&lt;&gt; -1"),0)</f>
        <v>549.86</v>
      </c>
      <c r="N9" s="4">
        <f>IFERROR(_xlfn.MAXIFS($D$2:$D$6,$D$2:$D$6,"&lt;&gt;-1"),0)</f>
        <v>550.43</v>
      </c>
      <c r="O9" s="4">
        <f>IFERROR(_xlfn.MAXIFS($F$2:$F$6,$F$2:$F$6,"&lt;&gt; -1"),0)</f>
        <v>798.99</v>
      </c>
      <c r="P9" s="4">
        <f>IFERROR(_xlfn.MAXIFS($H$2:$H$6,$H$2:$H$6,"&lt;&gt; -1"),0)</f>
        <v>0</v>
      </c>
      <c r="Q9" s="4">
        <f>IFERROR(_xlfn.MAXIFS($J$2:$J$6,$J$2:$J$6,"&lt;&gt; -1"),0)</f>
        <v>0</v>
      </c>
      <c r="R9" s="4">
        <f>IFERROR(_xlfn.MAXIFS($L$2:$L$6,$L$2:$L$6,"&lt;&gt; -1"),0)</f>
        <v>0</v>
      </c>
      <c r="S9" s="4">
        <f>IFERROR(_xlfn.MINIFS($B$2:$B$6,$B$2:$B$6,"&lt;&gt; -1"),0)</f>
        <v>474.16</v>
      </c>
      <c r="T9" s="4">
        <f>IFERROR(_xlfn.MINIFS($D$2:$D$6,$D$2:$D$6,"&lt;&gt;-1"),0)</f>
        <v>474.59</v>
      </c>
      <c r="U9" s="4">
        <f>IFERROR(_xlfn.MINIFS($F$2:$F$6,$F$2:$F$6,"&lt;&gt; -1"),0)</f>
        <v>798.99</v>
      </c>
      <c r="V9" s="4">
        <f>IFERROR(_xlfn.MINIFS($H$2:$H$6,$H$2:$H$6,"&lt;&gt; -1"),0)</f>
        <v>0</v>
      </c>
      <c r="W9" s="4">
        <f>IFERROR(_xlfn.MINIFS($J$2:$J$6,$J$2:$J$6,"&lt;&gt; -1"),0)</f>
        <v>0</v>
      </c>
      <c r="X9" s="4">
        <f>IFERROR(_xlfn.MINIFS($L$2:$L$6,$L$2:$L$6,"&lt;&gt; -1"),0)</f>
        <v>0</v>
      </c>
      <c r="Y9" s="4">
        <f>IFERROR(_xlfn.MAXIFS($C$2:$C$6,$B$2:$B$6,"&lt;&gt; -1"),0)</f>
        <v>32482</v>
      </c>
      <c r="Z9" s="4">
        <f>IFERROR(_xlfn.MAXIFS($E$2:$E$6,$D$2:$D$6,"&lt;&gt; -1"),0)</f>
        <v>26311.4</v>
      </c>
      <c r="AA9" s="4">
        <f>IFERROR(_xlfn.MAXIFS($G$2:$G$6,$F$2:$F$6,"&lt;&gt; -1"),0)</f>
        <v>29176</v>
      </c>
      <c r="AB9" s="4">
        <f>IFERROR(_xlfn.MAXIFS($I$2:$I$6,$H$2:$H$6,"&lt;&gt; -1"),0)</f>
        <v>0</v>
      </c>
      <c r="AC9" s="4">
        <f>IFERROR(_xlfn.MAXIFS($K$2:$K$6,$J$2:$J$6,"&lt;&gt; -1"),0)</f>
        <v>0</v>
      </c>
      <c r="AD9" s="4">
        <f>IFERROR(_xlfn.MAXIFS($M$2:$M$6,$L$2:$L$6,"&lt;&gt; -1"),0)</f>
        <v>0</v>
      </c>
      <c r="AE9" s="4">
        <f>IFERROR(_xlfn.MINIFS($C$2:$C$6,$B$2:$B$6,"&lt;&gt; -1"),0)</f>
        <v>29500</v>
      </c>
      <c r="AF9" s="4">
        <f>IFERROR(_xlfn.MINIFS($E$2:$E$6,$D$2:$D$6,"&lt;&gt; -1"),0)</f>
        <v>24034.25</v>
      </c>
      <c r="AG9" s="4">
        <f>IFERROR(_xlfn.MINIFS($G$2:$G$6,$F$2:$F$6,"&lt;&gt; -1"),0)</f>
        <v>29176</v>
      </c>
      <c r="AH9" s="4">
        <f>IFERROR(_xlfn.MINIFS($I$2:$I$6,$H$2:$H$6,"&lt;&gt; -1"),0)</f>
        <v>0</v>
      </c>
      <c r="AI9" s="4">
        <f>IFERROR(_xlfn.MINIFS($K$2:$K$6,$J$2:$J$6,"&lt;&gt; -1"),0)</f>
        <v>0</v>
      </c>
      <c r="AJ9" s="4">
        <f>IFERROR(_xlfn.MINIFS($M$2:$M$6,$L$2:$L$6,"&lt;&gt; -1"),0)</f>
        <v>0</v>
      </c>
      <c r="AK9" s="4">
        <f>(COUNTIFS($B$2:$B$6,"&gt;0.0",$B$2:$B$6,"&lt;1000.0"))/5</f>
        <v>1</v>
      </c>
      <c r="AL9" s="4">
        <f>(COUNTIFS($D$2:$D$6,"&gt;0.0",$D$2:$D$6,"&lt;1000.0"))/5</f>
        <v>1</v>
      </c>
      <c r="AM9" s="4">
        <f>(COUNTIFS($F$2:$F$6,"&gt;0.0",$F$2:$F$6,"&lt;1000.0"))/5</f>
        <v>0.2</v>
      </c>
      <c r="AN9" s="4">
        <f>(COUNTIFS($H$2:$H$6,"&gt;0.0",$H$2:$H$6,"&lt;1000.0"))/5</f>
        <v>0</v>
      </c>
      <c r="AO9" s="4">
        <f>(COUNTIFS($J$2:$J$6,"&gt;0.0",$J$2:$J$6,"&lt;1000.0"))/5</f>
        <v>0</v>
      </c>
      <c r="AP9" s="4">
        <f>(COUNTIFS($L$2:$L$6,"&gt;0.0",$L$2:$L$6,"&lt;1000.0"))/5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$A9:$XFD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594.1</v>
      </c>
      <c r="C2">
        <v>32406</v>
      </c>
      <c r="D2">
        <v>594.4</v>
      </c>
      <c r="E2">
        <v>25977.61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573.77</v>
      </c>
      <c r="C3">
        <v>35069</v>
      </c>
      <c r="D3">
        <v>574.21</v>
      </c>
      <c r="E3">
        <v>28234.73</v>
      </c>
      <c r="F3">
        <v>-1</v>
      </c>
      <c r="G3">
        <v>5990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556.9</v>
      </c>
      <c r="C4">
        <v>31727</v>
      </c>
      <c r="D4">
        <v>556.49</v>
      </c>
      <c r="E4">
        <v>25294.54</v>
      </c>
      <c r="F4">
        <v>-1</v>
      </c>
      <c r="G4">
        <v>0</v>
      </c>
      <c r="H4">
        <v>-1</v>
      </c>
      <c r="I4">
        <v>6838.54</v>
      </c>
      <c r="J4">
        <v>-1</v>
      </c>
      <c r="K4">
        <v>7388</v>
      </c>
      <c r="L4">
        <v>-1</v>
      </c>
      <c r="M4">
        <v>6061.19</v>
      </c>
    </row>
    <row r="5" spans="1:13">
      <c r="A5" t="s">
        <v>16</v>
      </c>
      <c r="B5">
        <v>538.58</v>
      </c>
      <c r="C5">
        <v>29563</v>
      </c>
      <c r="D5">
        <v>538.92</v>
      </c>
      <c r="E5">
        <v>23936.31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568.69</v>
      </c>
      <c r="C6">
        <v>33059</v>
      </c>
      <c r="D6">
        <v>569.23</v>
      </c>
      <c r="E6">
        <v>26261.96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8" spans="1:42">
      <c r="A8" s="2" t="s">
        <v>18</v>
      </c>
      <c r="B8" s="2" t="s">
        <v>19</v>
      </c>
      <c r="C8" s="2" t="s">
        <v>20</v>
      </c>
      <c r="D8" s="3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3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3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3" t="s">
        <v>39</v>
      </c>
      <c r="W8" s="2" t="s">
        <v>40</v>
      </c>
      <c r="X8" s="2" t="s">
        <v>41</v>
      </c>
      <c r="Y8" s="2" t="s">
        <v>42</v>
      </c>
      <c r="Z8" s="2" t="s">
        <v>43</v>
      </c>
      <c r="AA8" s="2" t="s">
        <v>44</v>
      </c>
      <c r="AB8" s="3" t="s">
        <v>45</v>
      </c>
      <c r="AC8" s="2" t="s">
        <v>46</v>
      </c>
      <c r="AD8" s="2" t="s">
        <v>47</v>
      </c>
      <c r="AE8" s="2" t="s">
        <v>48</v>
      </c>
      <c r="AF8" s="2" t="s">
        <v>49</v>
      </c>
      <c r="AG8" s="2" t="s">
        <v>50</v>
      </c>
      <c r="AH8" s="3" t="s">
        <v>51</v>
      </c>
      <c r="AI8" s="2" t="s">
        <v>52</v>
      </c>
      <c r="AJ8" s="2" t="s">
        <v>53</v>
      </c>
      <c r="AK8" s="2" t="s">
        <v>54</v>
      </c>
      <c r="AL8" s="2" t="s">
        <v>55</v>
      </c>
      <c r="AM8" s="2" t="s">
        <v>56</v>
      </c>
      <c r="AN8" s="3" t="s">
        <v>57</v>
      </c>
      <c r="AO8" s="2" t="s">
        <v>58</v>
      </c>
      <c r="AP8" s="2" t="s">
        <v>59</v>
      </c>
    </row>
    <row r="9" spans="1:42">
      <c r="A9" s="4">
        <f>IFERROR(AVERAGEIF($B$2:$B$6,"&lt;&gt; -1"),0)</f>
        <v>566.408</v>
      </c>
      <c r="B9" s="4">
        <f>IFERROR(AVERAGEIF($D$2:$D$6,"&lt;&gt; -1"),0)</f>
        <v>566.65</v>
      </c>
      <c r="C9" s="4">
        <f>IFERROR(AVERAGEIF($F$2:$F$6,"&lt;&gt; -1"),0)</f>
        <v>0</v>
      </c>
      <c r="D9" s="4">
        <f>IFERROR(AVERAGEIF($H$2:$H$6,"&lt;&gt; -1"),0)</f>
        <v>0</v>
      </c>
      <c r="E9" s="4">
        <f>IFERROR(AVERAGEIF($J$2:$J$6,"&lt;&gt; -1"),0)</f>
        <v>0</v>
      </c>
      <c r="F9" s="4">
        <f>IFERROR(AVERAGEIF($L$2:$L$6,"&lt;&gt; -1"),0)</f>
        <v>0</v>
      </c>
      <c r="G9" s="4">
        <f>IFERROR(AVERAGEIFS($C$2:$C$6,$B$2:$B$6,"&lt;&gt; -1"),0)</f>
        <v>32364.8</v>
      </c>
      <c r="H9" s="4">
        <f>IFERROR(AVERAGEIFS($E$2:$E$6,$D$2:$D$6,"&lt;&gt; -1"),0)</f>
        <v>25941.03</v>
      </c>
      <c r="I9" s="4">
        <f>IFERROR(AVERAGEIFS($G$2:$G$6,$F$2:$F$6,"&lt;&gt; -1"),0)</f>
        <v>0</v>
      </c>
      <c r="J9" s="4">
        <f>IFERROR(AVERAGEIFS($I$2:$I$6,$H$2:$H$6,"&lt;&gt; -1"),0)</f>
        <v>0</v>
      </c>
      <c r="K9" s="4">
        <f>IFERROR(AVERAGEIFS($K$2:$K$6,$J$2:$J$6,"&lt;&gt; -1"),0)</f>
        <v>0</v>
      </c>
      <c r="L9" s="4">
        <f>IFERROR(AVERAGEIFS($M$2:$M$6,$L$2:$L$6,"&lt;&gt; -1"),0)</f>
        <v>0</v>
      </c>
      <c r="M9" s="4">
        <f>IFERROR(_xlfn.MAXIFS($B$2:$B$6,$B$2:$B$6,"&lt;&gt; -1"),0)</f>
        <v>594.1</v>
      </c>
      <c r="N9" s="4">
        <f>IFERROR(_xlfn.MAXIFS($D$2:$D$6,$D$2:$D$6,"&lt;&gt;-1"),0)</f>
        <v>594.4</v>
      </c>
      <c r="O9" s="4">
        <f>IFERROR(_xlfn.MAXIFS($F$2:$F$6,$F$2:$F$6,"&lt;&gt; -1"),0)</f>
        <v>0</v>
      </c>
      <c r="P9" s="4">
        <f>IFERROR(_xlfn.MAXIFS($H$2:$H$6,$H$2:$H$6,"&lt;&gt; -1"),0)</f>
        <v>0</v>
      </c>
      <c r="Q9" s="4">
        <f>IFERROR(_xlfn.MAXIFS($J$2:$J$6,$J$2:$J$6,"&lt;&gt; -1"),0)</f>
        <v>0</v>
      </c>
      <c r="R9" s="4">
        <f>IFERROR(_xlfn.MAXIFS($L$2:$L$6,$L$2:$L$6,"&lt;&gt; -1"),0)</f>
        <v>0</v>
      </c>
      <c r="S9" s="4">
        <f>IFERROR(_xlfn.MINIFS($B$2:$B$6,$B$2:$B$6,"&lt;&gt; -1"),0)</f>
        <v>538.58</v>
      </c>
      <c r="T9" s="4">
        <f>IFERROR(_xlfn.MINIFS($D$2:$D$6,$D$2:$D$6,"&lt;&gt;-1"),0)</f>
        <v>538.92</v>
      </c>
      <c r="U9" s="4">
        <f>IFERROR(_xlfn.MINIFS($F$2:$F$6,$F$2:$F$6,"&lt;&gt; -1"),0)</f>
        <v>0</v>
      </c>
      <c r="V9" s="4">
        <f>IFERROR(_xlfn.MINIFS($H$2:$H$6,$H$2:$H$6,"&lt;&gt; -1"),0)</f>
        <v>0</v>
      </c>
      <c r="W9" s="4">
        <f>IFERROR(_xlfn.MINIFS($J$2:$J$6,$J$2:$J$6,"&lt;&gt; -1"),0)</f>
        <v>0</v>
      </c>
      <c r="X9" s="4">
        <f>IFERROR(_xlfn.MINIFS($L$2:$L$6,$L$2:$L$6,"&lt;&gt; -1"),0)</f>
        <v>0</v>
      </c>
      <c r="Y9" s="4">
        <f>IFERROR(_xlfn.MAXIFS($C$2:$C$6,$B$2:$B$6,"&lt;&gt; -1"),0)</f>
        <v>35069</v>
      </c>
      <c r="Z9" s="4">
        <f>IFERROR(_xlfn.MAXIFS($E$2:$E$6,$D$2:$D$6,"&lt;&gt; -1"),0)</f>
        <v>28234.73</v>
      </c>
      <c r="AA9" s="4">
        <f>IFERROR(_xlfn.MAXIFS($G$2:$G$6,$F$2:$F$6,"&lt;&gt; -1"),0)</f>
        <v>0</v>
      </c>
      <c r="AB9" s="4">
        <f>IFERROR(_xlfn.MAXIFS($I$2:$I$6,$H$2:$H$6,"&lt;&gt; -1"),0)</f>
        <v>0</v>
      </c>
      <c r="AC9" s="4">
        <f>IFERROR(_xlfn.MAXIFS($K$2:$K$6,$J$2:$J$6,"&lt;&gt; -1"),0)</f>
        <v>0</v>
      </c>
      <c r="AD9" s="4">
        <f>IFERROR(_xlfn.MAXIFS($M$2:$M$6,$L$2:$L$6,"&lt;&gt; -1"),0)</f>
        <v>0</v>
      </c>
      <c r="AE9" s="4">
        <f>IFERROR(_xlfn.MINIFS($C$2:$C$6,$B$2:$B$6,"&lt;&gt; -1"),0)</f>
        <v>29563</v>
      </c>
      <c r="AF9" s="4">
        <f>IFERROR(_xlfn.MINIFS($E$2:$E$6,$D$2:$D$6,"&lt;&gt; -1"),0)</f>
        <v>23936.31</v>
      </c>
      <c r="AG9" s="4">
        <f>IFERROR(_xlfn.MINIFS($G$2:$G$6,$F$2:$F$6,"&lt;&gt; -1"),0)</f>
        <v>0</v>
      </c>
      <c r="AH9" s="4">
        <f>IFERROR(_xlfn.MINIFS($I$2:$I$6,$H$2:$H$6,"&lt;&gt; -1"),0)</f>
        <v>0</v>
      </c>
      <c r="AI9" s="4">
        <f>IFERROR(_xlfn.MINIFS($K$2:$K$6,$J$2:$J$6,"&lt;&gt; -1"),0)</f>
        <v>0</v>
      </c>
      <c r="AJ9" s="4">
        <f>IFERROR(_xlfn.MINIFS($M$2:$M$6,$L$2:$L$6,"&lt;&gt; -1"),0)</f>
        <v>0</v>
      </c>
      <c r="AK9" s="4">
        <f>(COUNTIFS($B$2:$B$6,"&gt;0.0",$B$2:$B$6,"&lt;1000.0"))/5</f>
        <v>1</v>
      </c>
      <c r="AL9" s="4">
        <f>(COUNTIFS($D$2:$D$6,"&gt;0.0",$D$2:$D$6,"&lt;1000.0"))/5</f>
        <v>1</v>
      </c>
      <c r="AM9" s="4">
        <f>(COUNTIFS($F$2:$F$6,"&gt;0.0",$F$2:$F$6,"&lt;1000.0"))/5</f>
        <v>0</v>
      </c>
      <c r="AN9" s="4">
        <f>(COUNTIFS($H$2:$H$6,"&gt;0.0",$H$2:$H$6,"&lt;1000.0"))/5</f>
        <v>0</v>
      </c>
      <c r="AO9" s="4">
        <f>(COUNTIFS($J$2:$J$6,"&gt;0.0",$J$2:$J$6,"&lt;1000.0"))/5</f>
        <v>0</v>
      </c>
      <c r="AP9" s="4">
        <f>(COUNTIFS($L$2:$L$6,"&gt;0.0",$L$2:$L$6,"&lt;1000.0"))/5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workbookViewId="0">
      <selection activeCell="A9" sqref="$A9:$XFD9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665.09</v>
      </c>
      <c r="C2">
        <v>31902</v>
      </c>
      <c r="D2">
        <v>665.62</v>
      </c>
      <c r="E2">
        <v>25874.91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831.18</v>
      </c>
      <c r="C3">
        <v>32555</v>
      </c>
      <c r="D3">
        <v>834.27</v>
      </c>
      <c r="E3">
        <v>25981.13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827.35</v>
      </c>
      <c r="C4">
        <v>31886</v>
      </c>
      <c r="D4">
        <v>826.3</v>
      </c>
      <c r="E4">
        <v>25444.55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826.72</v>
      </c>
      <c r="C5">
        <v>30136</v>
      </c>
      <c r="D5">
        <v>827.09</v>
      </c>
      <c r="E5">
        <v>24227.89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665.13</v>
      </c>
      <c r="C6">
        <v>30964</v>
      </c>
      <c r="D6">
        <v>665.56</v>
      </c>
      <c r="E6">
        <v>25000.41</v>
      </c>
      <c r="F6">
        <v>-1</v>
      </c>
      <c r="G6">
        <v>4495</v>
      </c>
      <c r="H6">
        <v>-1</v>
      </c>
      <c r="I6">
        <v>4057.36</v>
      </c>
      <c r="J6">
        <v>-1</v>
      </c>
      <c r="K6">
        <v>0</v>
      </c>
      <c r="L6">
        <v>-1</v>
      </c>
      <c r="M6">
        <v>3771.31</v>
      </c>
    </row>
    <row r="8" spans="1:42">
      <c r="A8" s="2" t="s">
        <v>18</v>
      </c>
      <c r="B8" s="2" t="s">
        <v>19</v>
      </c>
      <c r="C8" s="2" t="s">
        <v>20</v>
      </c>
      <c r="D8" s="3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3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3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  <c r="V8" s="3" t="s">
        <v>39</v>
      </c>
      <c r="W8" s="2" t="s">
        <v>40</v>
      </c>
      <c r="X8" s="2" t="s">
        <v>41</v>
      </c>
      <c r="Y8" s="2" t="s">
        <v>42</v>
      </c>
      <c r="Z8" s="2" t="s">
        <v>43</v>
      </c>
      <c r="AA8" s="2" t="s">
        <v>44</v>
      </c>
      <c r="AB8" s="3" t="s">
        <v>45</v>
      </c>
      <c r="AC8" s="2" t="s">
        <v>46</v>
      </c>
      <c r="AD8" s="2" t="s">
        <v>47</v>
      </c>
      <c r="AE8" s="2" t="s">
        <v>48</v>
      </c>
      <c r="AF8" s="2" t="s">
        <v>49</v>
      </c>
      <c r="AG8" s="2" t="s">
        <v>50</v>
      </c>
      <c r="AH8" s="3" t="s">
        <v>51</v>
      </c>
      <c r="AI8" s="2" t="s">
        <v>52</v>
      </c>
      <c r="AJ8" s="2" t="s">
        <v>53</v>
      </c>
      <c r="AK8" s="2" t="s">
        <v>54</v>
      </c>
      <c r="AL8" s="2" t="s">
        <v>55</v>
      </c>
      <c r="AM8" s="2" t="s">
        <v>56</v>
      </c>
      <c r="AN8" s="3" t="s">
        <v>57</v>
      </c>
      <c r="AO8" s="2" t="s">
        <v>58</v>
      </c>
      <c r="AP8" s="2" t="s">
        <v>59</v>
      </c>
    </row>
    <row r="9" spans="1:42">
      <c r="A9" s="4">
        <f>IFERROR(AVERAGEIF($B$2:$B$6,"&lt;&gt; -1"),0)</f>
        <v>763.094</v>
      </c>
      <c r="B9" s="4">
        <f>IFERROR(AVERAGEIF($D$2:$D$6,"&lt;&gt; -1"),0)</f>
        <v>763.768</v>
      </c>
      <c r="C9" s="4">
        <f>IFERROR(AVERAGEIF($F$2:$F$6,"&lt;&gt; -1"),0)</f>
        <v>0</v>
      </c>
      <c r="D9" s="4">
        <f>IFERROR(AVERAGEIF($H$2:$H$6,"&lt;&gt; -1"),0)</f>
        <v>0</v>
      </c>
      <c r="E9" s="4">
        <f>IFERROR(AVERAGEIF($J$2:$J$6,"&lt;&gt; -1"),0)</f>
        <v>0</v>
      </c>
      <c r="F9" s="4">
        <f>IFERROR(AVERAGEIF($L$2:$L$6,"&lt;&gt; -1"),0)</f>
        <v>0</v>
      </c>
      <c r="G9" s="4">
        <f>IFERROR(AVERAGEIFS($C$2:$C$6,$B$2:$B$6,"&lt;&gt; -1"),0)</f>
        <v>31488.6</v>
      </c>
      <c r="H9" s="4">
        <f>IFERROR(AVERAGEIFS($E$2:$E$6,$D$2:$D$6,"&lt;&gt; -1"),0)</f>
        <v>25305.778</v>
      </c>
      <c r="I9" s="4">
        <f>IFERROR(AVERAGEIFS($G$2:$G$6,$F$2:$F$6,"&lt;&gt; -1"),0)</f>
        <v>0</v>
      </c>
      <c r="J9" s="4">
        <f>IFERROR(AVERAGEIFS($I$2:$I$6,$H$2:$H$6,"&lt;&gt; -1"),0)</f>
        <v>0</v>
      </c>
      <c r="K9" s="4">
        <f>IFERROR(AVERAGEIFS($K$2:$K$6,$J$2:$J$6,"&lt;&gt; -1"),0)</f>
        <v>0</v>
      </c>
      <c r="L9" s="4">
        <f>IFERROR(AVERAGEIFS($M$2:$M$6,$L$2:$L$6,"&lt;&gt; -1"),0)</f>
        <v>0</v>
      </c>
      <c r="M9" s="4">
        <f>IFERROR(_xlfn.MAXIFS($B$2:$B$6,$B$2:$B$6,"&lt;&gt; -1"),0)</f>
        <v>831.18</v>
      </c>
      <c r="N9" s="4">
        <f>IFERROR(_xlfn.MAXIFS($D$2:$D$6,$D$2:$D$6,"&lt;&gt;-1"),0)</f>
        <v>834.27</v>
      </c>
      <c r="O9" s="4">
        <f>IFERROR(_xlfn.MAXIFS($F$2:$F$6,$F$2:$F$6,"&lt;&gt; -1"),0)</f>
        <v>0</v>
      </c>
      <c r="P9" s="4">
        <f>IFERROR(_xlfn.MAXIFS($H$2:$H$6,$H$2:$H$6,"&lt;&gt; -1"),0)</f>
        <v>0</v>
      </c>
      <c r="Q9" s="4">
        <f>IFERROR(_xlfn.MAXIFS($J$2:$J$6,$J$2:$J$6,"&lt;&gt; -1"),0)</f>
        <v>0</v>
      </c>
      <c r="R9" s="4">
        <f>IFERROR(_xlfn.MAXIFS($L$2:$L$6,$L$2:$L$6,"&lt;&gt; -1"),0)</f>
        <v>0</v>
      </c>
      <c r="S9" s="4">
        <f>IFERROR(_xlfn.MINIFS($B$2:$B$6,$B$2:$B$6,"&lt;&gt; -1"),0)</f>
        <v>665.09</v>
      </c>
      <c r="T9" s="4">
        <f>IFERROR(_xlfn.MINIFS($D$2:$D$6,$D$2:$D$6,"&lt;&gt;-1"),0)</f>
        <v>665.56</v>
      </c>
      <c r="U9" s="4">
        <f>IFERROR(_xlfn.MINIFS($F$2:$F$6,$F$2:$F$6,"&lt;&gt; -1"),0)</f>
        <v>0</v>
      </c>
      <c r="V9" s="4">
        <f>IFERROR(_xlfn.MINIFS($H$2:$H$6,$H$2:$H$6,"&lt;&gt; -1"),0)</f>
        <v>0</v>
      </c>
      <c r="W9" s="4">
        <f>IFERROR(_xlfn.MINIFS($J$2:$J$6,$J$2:$J$6,"&lt;&gt; -1"),0)</f>
        <v>0</v>
      </c>
      <c r="X9" s="4">
        <f>IFERROR(_xlfn.MINIFS($L$2:$L$6,$L$2:$L$6,"&lt;&gt; -1"),0)</f>
        <v>0</v>
      </c>
      <c r="Y9" s="4">
        <f>IFERROR(_xlfn.MAXIFS($C$2:$C$6,$B$2:$B$6,"&lt;&gt; -1"),0)</f>
        <v>32555</v>
      </c>
      <c r="Z9" s="4">
        <f>IFERROR(_xlfn.MAXIFS($E$2:$E$6,$D$2:$D$6,"&lt;&gt; -1"),0)</f>
        <v>25981.13</v>
      </c>
      <c r="AA9" s="4">
        <f>IFERROR(_xlfn.MAXIFS($G$2:$G$6,$F$2:$F$6,"&lt;&gt; -1"),0)</f>
        <v>0</v>
      </c>
      <c r="AB9" s="4">
        <f>IFERROR(_xlfn.MAXIFS($I$2:$I$6,$H$2:$H$6,"&lt;&gt; -1"),0)</f>
        <v>0</v>
      </c>
      <c r="AC9" s="4">
        <f>IFERROR(_xlfn.MAXIFS($K$2:$K$6,$J$2:$J$6,"&lt;&gt; -1"),0)</f>
        <v>0</v>
      </c>
      <c r="AD9" s="4">
        <f>IFERROR(_xlfn.MAXIFS($M$2:$M$6,$L$2:$L$6,"&lt;&gt; -1"),0)</f>
        <v>0</v>
      </c>
      <c r="AE9" s="4">
        <f>IFERROR(_xlfn.MINIFS($C$2:$C$6,$B$2:$B$6,"&lt;&gt; -1"),0)</f>
        <v>30136</v>
      </c>
      <c r="AF9" s="4">
        <f>IFERROR(_xlfn.MINIFS($E$2:$E$6,$D$2:$D$6,"&lt;&gt; -1"),0)</f>
        <v>24227.89</v>
      </c>
      <c r="AG9" s="4">
        <f>IFERROR(_xlfn.MINIFS($G$2:$G$6,$F$2:$F$6,"&lt;&gt; -1"),0)</f>
        <v>0</v>
      </c>
      <c r="AH9" s="4">
        <f>IFERROR(_xlfn.MINIFS($I$2:$I$6,$H$2:$H$6,"&lt;&gt; -1"),0)</f>
        <v>0</v>
      </c>
      <c r="AI9" s="4">
        <f>IFERROR(_xlfn.MINIFS($K$2:$K$6,$J$2:$J$6,"&lt;&gt; -1"),0)</f>
        <v>0</v>
      </c>
      <c r="AJ9" s="4">
        <f>IFERROR(_xlfn.MINIFS($M$2:$M$6,$L$2:$L$6,"&lt;&gt; -1"),0)</f>
        <v>0</v>
      </c>
      <c r="AK9" s="4">
        <f>(COUNTIFS($B$2:$B$6,"&gt;0.0",$B$2:$B$6,"&lt;1000.0"))/5</f>
        <v>1</v>
      </c>
      <c r="AL9" s="4">
        <f>(COUNTIFS($D$2:$D$6,"&gt;0.0",$D$2:$D$6,"&lt;1000.0"))/5</f>
        <v>1</v>
      </c>
      <c r="AM9" s="4">
        <f>(COUNTIFS($F$2:$F$6,"&gt;0.0",$F$2:$F$6,"&lt;1000.0"))/5</f>
        <v>0</v>
      </c>
      <c r="AN9" s="4">
        <f>(COUNTIFS($H$2:$H$6,"&gt;0.0",$H$2:$H$6,"&lt;1000.0"))/5</f>
        <v>0</v>
      </c>
      <c r="AO9" s="4">
        <f>(COUNTIFS($J$2:$J$6,"&gt;0.0",$J$2:$J$6,"&lt;1000.0"))/5</f>
        <v>0</v>
      </c>
      <c r="AP9" s="4">
        <f>(COUNTIFS($L$2:$L$6,"&gt;0.0",$L$2:$L$6,"&lt;1000.0"))/5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0"/>
  <sheetViews>
    <sheetView workbookViewId="0">
      <selection activeCell="A10" sqref="$A10:$XFD10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-1</v>
      </c>
      <c r="C2">
        <v>0</v>
      </c>
      <c r="D2">
        <v>915.38</v>
      </c>
      <c r="E2">
        <v>27273.65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893.72</v>
      </c>
      <c r="C3">
        <v>33414</v>
      </c>
      <c r="D3">
        <v>894.01</v>
      </c>
      <c r="E3">
        <v>26737.41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846.04</v>
      </c>
      <c r="C4">
        <v>32086</v>
      </c>
      <c r="D4">
        <v>844.5</v>
      </c>
      <c r="E4">
        <v>25477.31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989.26</v>
      </c>
      <c r="C5">
        <v>31089</v>
      </c>
      <c r="D5">
        <v>989.87</v>
      </c>
      <c r="E5">
        <v>24447.6</v>
      </c>
      <c r="F5">
        <v>-1</v>
      </c>
      <c r="G5">
        <v>0</v>
      </c>
      <c r="H5">
        <v>-1</v>
      </c>
      <c r="I5">
        <v>5238.33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740.26</v>
      </c>
      <c r="C6">
        <v>29978</v>
      </c>
      <c r="D6">
        <v>740.75</v>
      </c>
      <c r="E6">
        <v>24430.74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4422.98</v>
      </c>
    </row>
    <row r="9" spans="1:42">
      <c r="A9" s="2" t="s">
        <v>18</v>
      </c>
      <c r="B9" s="2" t="s">
        <v>19</v>
      </c>
      <c r="C9" s="2" t="s">
        <v>20</v>
      </c>
      <c r="D9" s="3" t="s">
        <v>21</v>
      </c>
      <c r="E9" s="2" t="s">
        <v>22</v>
      </c>
      <c r="F9" s="2" t="s">
        <v>23</v>
      </c>
      <c r="G9" s="2" t="s">
        <v>24</v>
      </c>
      <c r="H9" s="2" t="s">
        <v>25</v>
      </c>
      <c r="I9" s="2" t="s">
        <v>26</v>
      </c>
      <c r="J9" s="3" t="s">
        <v>27</v>
      </c>
      <c r="K9" s="2" t="s">
        <v>28</v>
      </c>
      <c r="L9" s="2" t="s">
        <v>29</v>
      </c>
      <c r="M9" s="2" t="s">
        <v>30</v>
      </c>
      <c r="N9" s="2" t="s">
        <v>31</v>
      </c>
      <c r="O9" s="2" t="s">
        <v>32</v>
      </c>
      <c r="P9" s="3" t="s">
        <v>33</v>
      </c>
      <c r="Q9" s="2" t="s">
        <v>34</v>
      </c>
      <c r="R9" s="2" t="s">
        <v>35</v>
      </c>
      <c r="S9" s="2" t="s">
        <v>36</v>
      </c>
      <c r="T9" s="2" t="s">
        <v>37</v>
      </c>
      <c r="U9" s="2" t="s">
        <v>38</v>
      </c>
      <c r="V9" s="3" t="s">
        <v>39</v>
      </c>
      <c r="W9" s="2" t="s">
        <v>40</v>
      </c>
      <c r="X9" s="2" t="s">
        <v>41</v>
      </c>
      <c r="Y9" s="2" t="s">
        <v>42</v>
      </c>
      <c r="Z9" s="2" t="s">
        <v>43</v>
      </c>
      <c r="AA9" s="2" t="s">
        <v>44</v>
      </c>
      <c r="AB9" s="3" t="s">
        <v>45</v>
      </c>
      <c r="AC9" s="2" t="s">
        <v>46</v>
      </c>
      <c r="AD9" s="2" t="s">
        <v>47</v>
      </c>
      <c r="AE9" s="2" t="s">
        <v>48</v>
      </c>
      <c r="AF9" s="2" t="s">
        <v>49</v>
      </c>
      <c r="AG9" s="2" t="s">
        <v>50</v>
      </c>
      <c r="AH9" s="3" t="s">
        <v>51</v>
      </c>
      <c r="AI9" s="2" t="s">
        <v>52</v>
      </c>
      <c r="AJ9" s="2" t="s">
        <v>53</v>
      </c>
      <c r="AK9" s="2" t="s">
        <v>54</v>
      </c>
      <c r="AL9" s="2" t="s">
        <v>55</v>
      </c>
      <c r="AM9" s="2" t="s">
        <v>56</v>
      </c>
      <c r="AN9" s="3" t="s">
        <v>57</v>
      </c>
      <c r="AO9" s="2" t="s">
        <v>58</v>
      </c>
      <c r="AP9" s="2" t="s">
        <v>59</v>
      </c>
    </row>
    <row r="10" spans="1:42">
      <c r="A10" s="4">
        <f>IFERROR(AVERAGEIF($B$2:$B$6,"&lt;&gt; -1"),0)</f>
        <v>867.32</v>
      </c>
      <c r="B10" s="4">
        <f>IFERROR(AVERAGEIF($D$2:$D$6,"&lt;&gt; -1"),0)</f>
        <v>876.902</v>
      </c>
      <c r="C10" s="4">
        <f>IFERROR(AVERAGEIF($F$2:$F$6,"&lt;&gt; -1"),0)</f>
        <v>0</v>
      </c>
      <c r="D10" s="4">
        <f>IFERROR(AVERAGEIF($H$2:$H$6,"&lt;&gt; -1"),0)</f>
        <v>0</v>
      </c>
      <c r="E10" s="4">
        <f>IFERROR(AVERAGEIF($J$2:$J$6,"&lt;&gt; -1"),0)</f>
        <v>0</v>
      </c>
      <c r="F10" s="4">
        <f>IFERROR(AVERAGEIF($L$2:$L$6,"&lt;&gt; -1"),0)</f>
        <v>0</v>
      </c>
      <c r="G10" s="4">
        <f>IFERROR(AVERAGEIFS($C$2:$C$6,$B$2:$B$6,"&lt;&gt; -1"),0)</f>
        <v>31641.75</v>
      </c>
      <c r="H10" s="4">
        <f>IFERROR(AVERAGEIFS($E$2:$E$6,$D$2:$D$6,"&lt;&gt; -1"),0)</f>
        <v>25673.342</v>
      </c>
      <c r="I10" s="4">
        <f>IFERROR(AVERAGEIFS($G$2:$G$6,$F$2:$F$6,"&lt;&gt; -1"),0)</f>
        <v>0</v>
      </c>
      <c r="J10" s="4">
        <f>IFERROR(AVERAGEIFS($I$2:$I$6,$H$2:$H$6,"&lt;&gt; -1"),0)</f>
        <v>0</v>
      </c>
      <c r="K10" s="4">
        <f>IFERROR(AVERAGEIFS($K$2:$K$6,$J$2:$J$6,"&lt;&gt; -1"),0)</f>
        <v>0</v>
      </c>
      <c r="L10" s="4">
        <f>IFERROR(AVERAGEIFS($M$2:$M$6,$L$2:$L$6,"&lt;&gt; -1"),0)</f>
        <v>0</v>
      </c>
      <c r="M10" s="4">
        <f>IFERROR(_xlfn.MAXIFS($B$2:$B$6,$B$2:$B$6,"&lt;&gt; -1"),0)</f>
        <v>989.26</v>
      </c>
      <c r="N10" s="4">
        <f>IFERROR(_xlfn.MAXIFS($D$2:$D$6,$D$2:$D$6,"&lt;&gt;-1"),0)</f>
        <v>989.87</v>
      </c>
      <c r="O10" s="4">
        <f>IFERROR(_xlfn.MAXIFS($F$2:$F$6,$F$2:$F$6,"&lt;&gt; -1"),0)</f>
        <v>0</v>
      </c>
      <c r="P10" s="4">
        <f>IFERROR(_xlfn.MAXIFS($H$2:$H$6,$H$2:$H$6,"&lt;&gt; -1"),0)</f>
        <v>0</v>
      </c>
      <c r="Q10" s="4">
        <f>IFERROR(_xlfn.MAXIFS($J$2:$J$6,$J$2:$J$6,"&lt;&gt; -1"),0)</f>
        <v>0</v>
      </c>
      <c r="R10" s="4">
        <f>IFERROR(_xlfn.MAXIFS($L$2:$L$6,$L$2:$L$6,"&lt;&gt; -1"),0)</f>
        <v>0</v>
      </c>
      <c r="S10" s="4">
        <f>IFERROR(_xlfn.MINIFS($B$2:$B$6,$B$2:$B$6,"&lt;&gt; -1"),0)</f>
        <v>740.26</v>
      </c>
      <c r="T10" s="4">
        <f>IFERROR(_xlfn.MINIFS($D$2:$D$6,$D$2:$D$6,"&lt;&gt;-1"),0)</f>
        <v>740.75</v>
      </c>
      <c r="U10" s="4">
        <f>IFERROR(_xlfn.MINIFS($F$2:$F$6,$F$2:$F$6,"&lt;&gt; -1"),0)</f>
        <v>0</v>
      </c>
      <c r="V10" s="4">
        <f>IFERROR(_xlfn.MINIFS($H$2:$H$6,$H$2:$H$6,"&lt;&gt; -1"),0)</f>
        <v>0</v>
      </c>
      <c r="W10" s="4">
        <f>IFERROR(_xlfn.MINIFS($J$2:$J$6,$J$2:$J$6,"&lt;&gt; -1"),0)</f>
        <v>0</v>
      </c>
      <c r="X10" s="4">
        <f>IFERROR(_xlfn.MINIFS($L$2:$L$6,$L$2:$L$6,"&lt;&gt; -1"),0)</f>
        <v>0</v>
      </c>
      <c r="Y10" s="4">
        <f>IFERROR(_xlfn.MAXIFS($C$2:$C$6,$B$2:$B$6,"&lt;&gt; -1"),0)</f>
        <v>33414</v>
      </c>
      <c r="Z10" s="4">
        <f>IFERROR(_xlfn.MAXIFS($E$2:$E$6,$D$2:$D$6,"&lt;&gt; -1"),0)</f>
        <v>27273.65</v>
      </c>
      <c r="AA10" s="4">
        <f>IFERROR(_xlfn.MAXIFS($G$2:$G$6,$F$2:$F$6,"&lt;&gt; -1"),0)</f>
        <v>0</v>
      </c>
      <c r="AB10" s="4">
        <f>IFERROR(_xlfn.MAXIFS($I$2:$I$6,$H$2:$H$6,"&lt;&gt; -1"),0)</f>
        <v>0</v>
      </c>
      <c r="AC10" s="4">
        <f>IFERROR(_xlfn.MAXIFS($K$2:$K$6,$J$2:$J$6,"&lt;&gt; -1"),0)</f>
        <v>0</v>
      </c>
      <c r="AD10" s="4">
        <f>IFERROR(_xlfn.MAXIFS($M$2:$M$6,$L$2:$L$6,"&lt;&gt; -1"),0)</f>
        <v>0</v>
      </c>
      <c r="AE10" s="4">
        <f>IFERROR(_xlfn.MINIFS($C$2:$C$6,$B$2:$B$6,"&lt;&gt; -1"),0)</f>
        <v>29978</v>
      </c>
      <c r="AF10" s="4">
        <f>IFERROR(_xlfn.MINIFS($E$2:$E$6,$D$2:$D$6,"&lt;&gt; -1"),0)</f>
        <v>24430.74</v>
      </c>
      <c r="AG10" s="4">
        <f>IFERROR(_xlfn.MINIFS($G$2:$G$6,$F$2:$F$6,"&lt;&gt; -1"),0)</f>
        <v>0</v>
      </c>
      <c r="AH10" s="4">
        <f>IFERROR(_xlfn.MINIFS($I$2:$I$6,$H$2:$H$6,"&lt;&gt; -1"),0)</f>
        <v>0</v>
      </c>
      <c r="AI10" s="4">
        <f>IFERROR(_xlfn.MINIFS($K$2:$K$6,$J$2:$J$6,"&lt;&gt; -1"),0)</f>
        <v>0</v>
      </c>
      <c r="AJ10" s="4">
        <f>IFERROR(_xlfn.MINIFS($M$2:$M$6,$L$2:$L$6,"&lt;&gt; -1"),0)</f>
        <v>0</v>
      </c>
      <c r="AK10" s="4">
        <f>(COUNTIFS($B$2:$B$6,"&gt;0.0",$B$2:$B$6,"&lt;1000.0"))/5</f>
        <v>0.8</v>
      </c>
      <c r="AL10" s="4">
        <f>(COUNTIFS($D$2:$D$6,"&gt;0.0",$D$2:$D$6,"&lt;1000.0"))/5</f>
        <v>1</v>
      </c>
      <c r="AM10" s="4">
        <f>(COUNTIFS($F$2:$F$6,"&gt;0.0",$F$2:$F$6,"&lt;1000.0"))/5</f>
        <v>0</v>
      </c>
      <c r="AN10" s="4">
        <f>(COUNTIFS($H$2:$H$6,"&gt;0.0",$H$2:$H$6,"&lt;1000.0"))/5</f>
        <v>0</v>
      </c>
      <c r="AO10" s="4">
        <f>(COUNTIFS($J$2:$J$6,"&gt;0.0",$J$2:$J$6,"&lt;1000.0"))/5</f>
        <v>0</v>
      </c>
      <c r="AP10" s="4">
        <f>(COUNTIFS($L$2:$L$6,"&gt;0.0",$L$2:$L$6,"&lt;1000.0"))/5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1"/>
  <sheetViews>
    <sheetView workbookViewId="0">
      <selection activeCell="A11" sqref="$A11:$XFD11"/>
    </sheetView>
  </sheetViews>
  <sheetFormatPr defaultColWidth="9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746.29</v>
      </c>
      <c r="C2">
        <v>33600</v>
      </c>
      <c r="D2">
        <v>746.56</v>
      </c>
      <c r="E2">
        <v>26900.48</v>
      </c>
      <c r="F2">
        <v>-1</v>
      </c>
      <c r="G2">
        <v>0</v>
      </c>
      <c r="H2">
        <v>-1</v>
      </c>
      <c r="I2">
        <v>0</v>
      </c>
      <c r="J2">
        <v>-1</v>
      </c>
      <c r="K2">
        <v>0</v>
      </c>
      <c r="L2">
        <v>-1</v>
      </c>
      <c r="M2">
        <v>0</v>
      </c>
    </row>
    <row r="3" spans="1:13">
      <c r="A3" t="s">
        <v>14</v>
      </c>
      <c r="B3">
        <v>-1</v>
      </c>
      <c r="C3">
        <v>12635</v>
      </c>
      <c r="D3">
        <v>796.96</v>
      </c>
      <c r="E3">
        <v>27010.88</v>
      </c>
      <c r="F3">
        <v>-1</v>
      </c>
      <c r="G3">
        <v>0</v>
      </c>
      <c r="H3">
        <v>-1</v>
      </c>
      <c r="I3">
        <v>0</v>
      </c>
      <c r="J3">
        <v>-1</v>
      </c>
      <c r="K3">
        <v>0</v>
      </c>
      <c r="L3">
        <v>-1</v>
      </c>
      <c r="M3">
        <v>0</v>
      </c>
    </row>
    <row r="4" spans="1:13">
      <c r="A4" t="s">
        <v>15</v>
      </c>
      <c r="B4">
        <v>797.09</v>
      </c>
      <c r="C4">
        <v>33438</v>
      </c>
      <c r="D4">
        <v>797.05</v>
      </c>
      <c r="E4">
        <v>26278.47</v>
      </c>
      <c r="F4">
        <v>-1</v>
      </c>
      <c r="G4">
        <v>0</v>
      </c>
      <c r="H4">
        <v>-1</v>
      </c>
      <c r="I4">
        <v>0</v>
      </c>
      <c r="J4">
        <v>-1</v>
      </c>
      <c r="K4">
        <v>0</v>
      </c>
      <c r="L4">
        <v>-1</v>
      </c>
      <c r="M4">
        <v>0</v>
      </c>
    </row>
    <row r="5" spans="1:13">
      <c r="A5" t="s">
        <v>16</v>
      </c>
      <c r="B5">
        <v>764.63</v>
      </c>
      <c r="C5">
        <v>31956</v>
      </c>
      <c r="D5">
        <v>764.57</v>
      </c>
      <c r="E5">
        <v>25318.56</v>
      </c>
      <c r="F5">
        <v>-1</v>
      </c>
      <c r="G5">
        <v>0</v>
      </c>
      <c r="H5">
        <v>-1</v>
      </c>
      <c r="I5">
        <v>0</v>
      </c>
      <c r="J5">
        <v>-1</v>
      </c>
      <c r="K5">
        <v>0</v>
      </c>
      <c r="L5">
        <v>-1</v>
      </c>
      <c r="M5">
        <v>0</v>
      </c>
    </row>
    <row r="6" spans="1:13">
      <c r="A6" t="s">
        <v>17</v>
      </c>
      <c r="B6">
        <v>777.24</v>
      </c>
      <c r="C6">
        <v>30514</v>
      </c>
      <c r="D6">
        <v>777.39</v>
      </c>
      <c r="E6">
        <v>24955.77</v>
      </c>
      <c r="F6">
        <v>-1</v>
      </c>
      <c r="G6">
        <v>0</v>
      </c>
      <c r="H6">
        <v>-1</v>
      </c>
      <c r="I6">
        <v>0</v>
      </c>
      <c r="J6">
        <v>-1</v>
      </c>
      <c r="K6">
        <v>0</v>
      </c>
      <c r="L6">
        <v>-1</v>
      </c>
      <c r="M6">
        <v>0</v>
      </c>
    </row>
    <row r="10" spans="1:42">
      <c r="A10" s="2" t="s">
        <v>18</v>
      </c>
      <c r="B10" s="2" t="s">
        <v>19</v>
      </c>
      <c r="C10" s="2" t="s">
        <v>20</v>
      </c>
      <c r="D10" s="3" t="s">
        <v>21</v>
      </c>
      <c r="E10" s="2" t="s">
        <v>22</v>
      </c>
      <c r="F10" s="2" t="s">
        <v>23</v>
      </c>
      <c r="G10" s="2" t="s">
        <v>24</v>
      </c>
      <c r="H10" s="2" t="s">
        <v>25</v>
      </c>
      <c r="I10" s="2" t="s">
        <v>26</v>
      </c>
      <c r="J10" s="3" t="s">
        <v>27</v>
      </c>
      <c r="K10" s="2" t="s">
        <v>28</v>
      </c>
      <c r="L10" s="2" t="s">
        <v>29</v>
      </c>
      <c r="M10" s="2" t="s">
        <v>30</v>
      </c>
      <c r="N10" s="2" t="s">
        <v>31</v>
      </c>
      <c r="O10" s="2" t="s">
        <v>32</v>
      </c>
      <c r="P10" s="3" t="s">
        <v>33</v>
      </c>
      <c r="Q10" s="2" t="s">
        <v>34</v>
      </c>
      <c r="R10" s="2" t="s">
        <v>35</v>
      </c>
      <c r="S10" s="2" t="s">
        <v>36</v>
      </c>
      <c r="T10" s="2" t="s">
        <v>37</v>
      </c>
      <c r="U10" s="2" t="s">
        <v>38</v>
      </c>
      <c r="V10" s="3" t="s">
        <v>39</v>
      </c>
      <c r="W10" s="2" t="s">
        <v>40</v>
      </c>
      <c r="X10" s="2" t="s">
        <v>41</v>
      </c>
      <c r="Y10" s="2" t="s">
        <v>42</v>
      </c>
      <c r="Z10" s="2" t="s">
        <v>43</v>
      </c>
      <c r="AA10" s="2" t="s">
        <v>44</v>
      </c>
      <c r="AB10" s="3" t="s">
        <v>45</v>
      </c>
      <c r="AC10" s="2" t="s">
        <v>46</v>
      </c>
      <c r="AD10" s="2" t="s">
        <v>47</v>
      </c>
      <c r="AE10" s="2" t="s">
        <v>48</v>
      </c>
      <c r="AF10" s="2" t="s">
        <v>49</v>
      </c>
      <c r="AG10" s="2" t="s">
        <v>50</v>
      </c>
      <c r="AH10" s="3" t="s">
        <v>51</v>
      </c>
      <c r="AI10" s="2" t="s">
        <v>52</v>
      </c>
      <c r="AJ10" s="2" t="s">
        <v>53</v>
      </c>
      <c r="AK10" s="2" t="s">
        <v>54</v>
      </c>
      <c r="AL10" s="2" t="s">
        <v>55</v>
      </c>
      <c r="AM10" s="2" t="s">
        <v>56</v>
      </c>
      <c r="AN10" s="3" t="s">
        <v>57</v>
      </c>
      <c r="AO10" s="2" t="s">
        <v>58</v>
      </c>
      <c r="AP10" s="2" t="s">
        <v>59</v>
      </c>
    </row>
    <row r="11" spans="1:42">
      <c r="A11" s="4">
        <f>IFERROR(AVERAGEIF($B$2:$B$6,"&lt;&gt; -1"),0)</f>
        <v>771.3125</v>
      </c>
      <c r="B11" s="4">
        <f>IFERROR(AVERAGEIF($D$2:$D$6,"&lt;&gt; -1"),0)</f>
        <v>776.506</v>
      </c>
      <c r="C11" s="4">
        <f>IFERROR(AVERAGEIF($F$2:$F$6,"&lt;&gt; -1"),0)</f>
        <v>0</v>
      </c>
      <c r="D11" s="4">
        <f>IFERROR(AVERAGEIF($H$2:$H$6,"&lt;&gt; -1"),0)</f>
        <v>0</v>
      </c>
      <c r="E11" s="4">
        <f>IFERROR(AVERAGEIF($J$2:$J$6,"&lt;&gt; -1"),0)</f>
        <v>0</v>
      </c>
      <c r="F11" s="4">
        <f>IFERROR(AVERAGEIF($L$2:$L$6,"&lt;&gt; -1"),0)</f>
        <v>0</v>
      </c>
      <c r="G11" s="4">
        <f>IFERROR(AVERAGEIFS($C$2:$C$6,$B$2:$B$6,"&lt;&gt; -1"),0)</f>
        <v>32377</v>
      </c>
      <c r="H11" s="4">
        <f>IFERROR(AVERAGEIFS($E$2:$E$6,$D$2:$D$6,"&lt;&gt; -1"),0)</f>
        <v>26092.832</v>
      </c>
      <c r="I11" s="4">
        <f>IFERROR(AVERAGEIFS($G$2:$G$6,$F$2:$F$6,"&lt;&gt; -1"),0)</f>
        <v>0</v>
      </c>
      <c r="J11" s="4">
        <f>IFERROR(AVERAGEIFS($I$2:$I$6,$H$2:$H$6,"&lt;&gt; -1"),0)</f>
        <v>0</v>
      </c>
      <c r="K11" s="4">
        <f>IFERROR(AVERAGEIFS($K$2:$K$6,$J$2:$J$6,"&lt;&gt; -1"),0)</f>
        <v>0</v>
      </c>
      <c r="L11" s="4">
        <f>IFERROR(AVERAGEIFS($M$2:$M$6,$L$2:$L$6,"&lt;&gt; -1"),0)</f>
        <v>0</v>
      </c>
      <c r="M11" s="4">
        <f>IFERROR(_xlfn.MAXIFS($B$2:$B$6,$B$2:$B$6,"&lt;&gt; -1"),0)</f>
        <v>797.09</v>
      </c>
      <c r="N11" s="4">
        <f>IFERROR(_xlfn.MAXIFS($D$2:$D$6,$D$2:$D$6,"&lt;&gt;-1"),0)</f>
        <v>797.05</v>
      </c>
      <c r="O11" s="4">
        <f>IFERROR(_xlfn.MAXIFS($F$2:$F$6,$F$2:$F$6,"&lt;&gt; -1"),0)</f>
        <v>0</v>
      </c>
      <c r="P11" s="4">
        <f>IFERROR(_xlfn.MAXIFS($H$2:$H$6,$H$2:$H$6,"&lt;&gt; -1"),0)</f>
        <v>0</v>
      </c>
      <c r="Q11" s="4">
        <f>IFERROR(_xlfn.MAXIFS($J$2:$J$6,$J$2:$J$6,"&lt;&gt; -1"),0)</f>
        <v>0</v>
      </c>
      <c r="R11" s="4">
        <f>IFERROR(_xlfn.MAXIFS($L$2:$L$6,$L$2:$L$6,"&lt;&gt; -1"),0)</f>
        <v>0</v>
      </c>
      <c r="S11" s="4">
        <f>IFERROR(_xlfn.MINIFS($B$2:$B$6,$B$2:$B$6,"&lt;&gt; -1"),0)</f>
        <v>746.29</v>
      </c>
      <c r="T11" s="4">
        <f>IFERROR(_xlfn.MINIFS($D$2:$D$6,$D$2:$D$6,"&lt;&gt;-1"),0)</f>
        <v>746.56</v>
      </c>
      <c r="U11" s="4">
        <f>IFERROR(_xlfn.MINIFS($F$2:$F$6,$F$2:$F$6,"&lt;&gt; -1"),0)</f>
        <v>0</v>
      </c>
      <c r="V11" s="4">
        <f>IFERROR(_xlfn.MINIFS($H$2:$H$6,$H$2:$H$6,"&lt;&gt; -1"),0)</f>
        <v>0</v>
      </c>
      <c r="W11" s="4">
        <f>IFERROR(_xlfn.MINIFS($J$2:$J$6,$J$2:$J$6,"&lt;&gt; -1"),0)</f>
        <v>0</v>
      </c>
      <c r="X11" s="4">
        <f>IFERROR(_xlfn.MINIFS($L$2:$L$6,$L$2:$L$6,"&lt;&gt; -1"),0)</f>
        <v>0</v>
      </c>
      <c r="Y11" s="4">
        <f>IFERROR(_xlfn.MAXIFS($C$2:$C$6,$B$2:$B$6,"&lt;&gt; -1"),0)</f>
        <v>33600</v>
      </c>
      <c r="Z11" s="4">
        <f>IFERROR(_xlfn.MAXIFS($E$2:$E$6,$D$2:$D$6,"&lt;&gt; -1"),0)</f>
        <v>27010.88</v>
      </c>
      <c r="AA11" s="4">
        <f>IFERROR(_xlfn.MAXIFS($G$2:$G$6,$F$2:$F$6,"&lt;&gt; -1"),0)</f>
        <v>0</v>
      </c>
      <c r="AB11" s="4">
        <f>IFERROR(_xlfn.MAXIFS($I$2:$I$6,$H$2:$H$6,"&lt;&gt; -1"),0)</f>
        <v>0</v>
      </c>
      <c r="AC11" s="4">
        <f>IFERROR(_xlfn.MAXIFS($K$2:$K$6,$J$2:$J$6,"&lt;&gt; -1"),0)</f>
        <v>0</v>
      </c>
      <c r="AD11" s="4">
        <f>IFERROR(_xlfn.MAXIFS($M$2:$M$6,$L$2:$L$6,"&lt;&gt; -1"),0)</f>
        <v>0</v>
      </c>
      <c r="AE11" s="4">
        <f>IFERROR(_xlfn.MINIFS($C$2:$C$6,$B$2:$B$6,"&lt;&gt; -1"),0)</f>
        <v>30514</v>
      </c>
      <c r="AF11" s="4">
        <f>IFERROR(_xlfn.MINIFS($E$2:$E$6,$D$2:$D$6,"&lt;&gt; -1"),0)</f>
        <v>24955.77</v>
      </c>
      <c r="AG11" s="4">
        <f>IFERROR(_xlfn.MINIFS($G$2:$G$6,$F$2:$F$6,"&lt;&gt; -1"),0)</f>
        <v>0</v>
      </c>
      <c r="AH11" s="4">
        <f>IFERROR(_xlfn.MINIFS($I$2:$I$6,$H$2:$H$6,"&lt;&gt; -1"),0)</f>
        <v>0</v>
      </c>
      <c r="AI11" s="4">
        <f>IFERROR(_xlfn.MINIFS($K$2:$K$6,$J$2:$J$6,"&lt;&gt; -1"),0)</f>
        <v>0</v>
      </c>
      <c r="AJ11" s="4">
        <f>IFERROR(_xlfn.MINIFS($M$2:$M$6,$L$2:$L$6,"&lt;&gt; -1"),0)</f>
        <v>0</v>
      </c>
      <c r="AK11" s="4">
        <f>(COUNTIFS($B$2:$B$6,"&gt;0.0",$B$2:$B$6,"&lt;1000.0"))/5</f>
        <v>0.8</v>
      </c>
      <c r="AL11" s="4">
        <f>(COUNTIFS($D$2:$D$6,"&gt;0.0",$D$2:$D$6,"&lt;1000.0"))/5</f>
        <v>1</v>
      </c>
      <c r="AM11" s="4">
        <f>(COUNTIFS($F$2:$F$6,"&gt;0.0",$F$2:$F$6,"&lt;1000.0"))/5</f>
        <v>0</v>
      </c>
      <c r="AN11" s="4">
        <f>(COUNTIFS($H$2:$H$6,"&gt;0.0",$H$2:$H$6,"&lt;1000.0"))/5</f>
        <v>0</v>
      </c>
      <c r="AO11" s="4">
        <f>(COUNTIFS($J$2:$J$6,"&gt;0.0",$J$2:$J$6,"&lt;1000.0"))/5</f>
        <v>0</v>
      </c>
      <c r="AP11" s="4">
        <f>(COUNTIFS($L$2:$L$6,"&gt;0.0",$L$2:$L$6,"&lt;1000.0"))/5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7"/>
  <sheetViews>
    <sheetView tabSelected="1" workbookViewId="0">
      <selection activeCell="D12" sqref="D12"/>
    </sheetView>
  </sheetViews>
  <sheetFormatPr defaultColWidth="8.72727272727273" defaultRowHeight="14" outlineLevelRow="6"/>
  <sheetData>
    <row r="1" spans="1:42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</row>
    <row r="2" spans="1:42">
      <c r="A2">
        <v>514.874</v>
      </c>
      <c r="B2">
        <v>515.76</v>
      </c>
      <c r="C2">
        <v>534.46</v>
      </c>
      <c r="D2">
        <v>670.053333333333</v>
      </c>
      <c r="E2">
        <v>590.62</v>
      </c>
      <c r="F2">
        <v>586.11</v>
      </c>
      <c r="G2">
        <v>30737.2</v>
      </c>
      <c r="H2">
        <v>25051.318</v>
      </c>
      <c r="I2">
        <v>30257</v>
      </c>
      <c r="J2">
        <v>28265.78</v>
      </c>
      <c r="K2">
        <v>29472</v>
      </c>
      <c r="L2">
        <v>24758.915</v>
      </c>
      <c r="M2">
        <v>613.28</v>
      </c>
      <c r="N2">
        <v>614.07</v>
      </c>
      <c r="O2">
        <v>564.58</v>
      </c>
      <c r="P2">
        <v>932.72</v>
      </c>
      <c r="Q2">
        <v>590.62</v>
      </c>
      <c r="R2">
        <v>645.56</v>
      </c>
      <c r="S2">
        <v>450.96</v>
      </c>
      <c r="T2">
        <v>451.71</v>
      </c>
      <c r="U2">
        <v>504.34</v>
      </c>
      <c r="V2">
        <v>525.5</v>
      </c>
      <c r="W2">
        <v>590.62</v>
      </c>
      <c r="X2">
        <v>526.66</v>
      </c>
      <c r="Y2">
        <v>31880</v>
      </c>
      <c r="Z2">
        <v>26073.41</v>
      </c>
      <c r="AA2">
        <v>31042</v>
      </c>
      <c r="AB2">
        <v>29355.32</v>
      </c>
      <c r="AC2">
        <v>29472</v>
      </c>
      <c r="AD2">
        <v>25271.42</v>
      </c>
      <c r="AE2">
        <v>29569</v>
      </c>
      <c r="AF2">
        <v>24095.77</v>
      </c>
      <c r="AG2">
        <v>29472</v>
      </c>
      <c r="AH2">
        <v>27171.54</v>
      </c>
      <c r="AI2">
        <v>29472</v>
      </c>
      <c r="AJ2">
        <v>24246.41</v>
      </c>
      <c r="AK2">
        <v>1</v>
      </c>
      <c r="AL2">
        <v>1</v>
      </c>
      <c r="AM2">
        <v>0.4</v>
      </c>
      <c r="AN2">
        <v>0.6</v>
      </c>
      <c r="AO2">
        <v>0.2</v>
      </c>
      <c r="AP2">
        <v>0.4</v>
      </c>
    </row>
    <row r="3" spans="1:42">
      <c r="A3">
        <v>511.786</v>
      </c>
      <c r="B3">
        <v>512.032</v>
      </c>
      <c r="C3">
        <v>798.99</v>
      </c>
      <c r="D3">
        <v>0</v>
      </c>
      <c r="E3">
        <v>0</v>
      </c>
      <c r="F3">
        <v>0</v>
      </c>
      <c r="G3">
        <v>31014</v>
      </c>
      <c r="H3">
        <v>25070.396</v>
      </c>
      <c r="I3">
        <v>29176</v>
      </c>
      <c r="J3">
        <v>0</v>
      </c>
      <c r="K3">
        <v>0</v>
      </c>
      <c r="L3">
        <v>0</v>
      </c>
      <c r="M3">
        <v>549.86</v>
      </c>
      <c r="N3">
        <v>550.43</v>
      </c>
      <c r="O3">
        <v>798.99</v>
      </c>
      <c r="P3">
        <v>0</v>
      </c>
      <c r="Q3">
        <v>0</v>
      </c>
      <c r="R3">
        <v>0</v>
      </c>
      <c r="S3">
        <v>474.16</v>
      </c>
      <c r="T3">
        <v>474.59</v>
      </c>
      <c r="U3">
        <v>798.99</v>
      </c>
      <c r="V3">
        <v>0</v>
      </c>
      <c r="W3">
        <v>0</v>
      </c>
      <c r="X3">
        <v>0</v>
      </c>
      <c r="Y3">
        <v>32482</v>
      </c>
      <c r="Z3">
        <v>26311.4</v>
      </c>
      <c r="AA3">
        <v>29176</v>
      </c>
      <c r="AB3">
        <v>0</v>
      </c>
      <c r="AC3">
        <v>0</v>
      </c>
      <c r="AD3">
        <v>0</v>
      </c>
      <c r="AE3">
        <v>29500</v>
      </c>
      <c r="AF3">
        <v>24034.25</v>
      </c>
      <c r="AG3">
        <v>29176</v>
      </c>
      <c r="AH3">
        <v>0</v>
      </c>
      <c r="AI3">
        <v>0</v>
      </c>
      <c r="AJ3">
        <v>0</v>
      </c>
      <c r="AK3">
        <v>1</v>
      </c>
      <c r="AL3">
        <v>1</v>
      </c>
      <c r="AM3">
        <v>0.2</v>
      </c>
      <c r="AN3">
        <v>0</v>
      </c>
      <c r="AO3">
        <v>0</v>
      </c>
      <c r="AP3">
        <v>0</v>
      </c>
    </row>
    <row r="4" spans="1:42">
      <c r="A4">
        <v>566.408</v>
      </c>
      <c r="B4">
        <v>566.65</v>
      </c>
      <c r="C4">
        <v>0</v>
      </c>
      <c r="D4">
        <v>0</v>
      </c>
      <c r="E4">
        <v>0</v>
      </c>
      <c r="F4">
        <v>0</v>
      </c>
      <c r="G4">
        <v>32364.8</v>
      </c>
      <c r="H4">
        <v>25941.03</v>
      </c>
      <c r="I4">
        <v>0</v>
      </c>
      <c r="J4">
        <v>0</v>
      </c>
      <c r="K4">
        <v>0</v>
      </c>
      <c r="L4">
        <v>0</v>
      </c>
      <c r="M4">
        <v>594.1</v>
      </c>
      <c r="N4">
        <v>594.4</v>
      </c>
      <c r="O4">
        <v>0</v>
      </c>
      <c r="P4">
        <v>0</v>
      </c>
      <c r="Q4">
        <v>0</v>
      </c>
      <c r="R4">
        <v>0</v>
      </c>
      <c r="S4">
        <v>538.58</v>
      </c>
      <c r="T4">
        <v>538.92</v>
      </c>
      <c r="U4">
        <v>0</v>
      </c>
      <c r="V4">
        <v>0</v>
      </c>
      <c r="W4">
        <v>0</v>
      </c>
      <c r="X4">
        <v>0</v>
      </c>
      <c r="Y4">
        <v>35069</v>
      </c>
      <c r="Z4">
        <v>28234.73</v>
      </c>
      <c r="AA4">
        <v>0</v>
      </c>
      <c r="AB4">
        <v>0</v>
      </c>
      <c r="AC4">
        <v>0</v>
      </c>
      <c r="AD4">
        <v>0</v>
      </c>
      <c r="AE4">
        <v>29563</v>
      </c>
      <c r="AF4">
        <v>23936.31</v>
      </c>
      <c r="AG4">
        <v>0</v>
      </c>
      <c r="AH4">
        <v>0</v>
      </c>
      <c r="AI4">
        <v>0</v>
      </c>
      <c r="AJ4">
        <v>0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</row>
    <row r="5" spans="1:42">
      <c r="A5">
        <v>763.094</v>
      </c>
      <c r="B5">
        <v>763.768</v>
      </c>
      <c r="C5">
        <v>0</v>
      </c>
      <c r="D5">
        <v>0</v>
      </c>
      <c r="E5">
        <v>0</v>
      </c>
      <c r="F5">
        <v>0</v>
      </c>
      <c r="G5">
        <v>31488.6</v>
      </c>
      <c r="H5">
        <v>25305.778</v>
      </c>
      <c r="I5">
        <v>0</v>
      </c>
      <c r="J5">
        <v>0</v>
      </c>
      <c r="K5">
        <v>0</v>
      </c>
      <c r="L5">
        <v>0</v>
      </c>
      <c r="M5">
        <v>831.18</v>
      </c>
      <c r="N5">
        <v>834.27</v>
      </c>
      <c r="O5">
        <v>0</v>
      </c>
      <c r="P5">
        <v>0</v>
      </c>
      <c r="Q5">
        <v>0</v>
      </c>
      <c r="R5">
        <v>0</v>
      </c>
      <c r="S5">
        <v>665.09</v>
      </c>
      <c r="T5">
        <v>665.56</v>
      </c>
      <c r="U5">
        <v>0</v>
      </c>
      <c r="V5">
        <v>0</v>
      </c>
      <c r="W5">
        <v>0</v>
      </c>
      <c r="X5">
        <v>0</v>
      </c>
      <c r="Y5">
        <v>32555</v>
      </c>
      <c r="Z5">
        <v>25981.13</v>
      </c>
      <c r="AA5">
        <v>0</v>
      </c>
      <c r="AB5">
        <v>0</v>
      </c>
      <c r="AC5">
        <v>0</v>
      </c>
      <c r="AD5">
        <v>0</v>
      </c>
      <c r="AE5">
        <v>30136</v>
      </c>
      <c r="AF5">
        <v>24227.89</v>
      </c>
      <c r="AG5">
        <v>0</v>
      </c>
      <c r="AH5">
        <v>0</v>
      </c>
      <c r="AI5">
        <v>0</v>
      </c>
      <c r="AJ5">
        <v>0</v>
      </c>
      <c r="AK5">
        <v>1</v>
      </c>
      <c r="AL5">
        <v>1</v>
      </c>
      <c r="AM5">
        <v>0</v>
      </c>
      <c r="AN5">
        <v>0</v>
      </c>
      <c r="AO5">
        <v>0</v>
      </c>
      <c r="AP5">
        <v>0</v>
      </c>
    </row>
    <row r="6" spans="1:42">
      <c r="A6">
        <v>867.32</v>
      </c>
      <c r="B6">
        <v>876.902</v>
      </c>
      <c r="C6">
        <v>0</v>
      </c>
      <c r="D6">
        <v>0</v>
      </c>
      <c r="E6">
        <v>0</v>
      </c>
      <c r="F6">
        <v>0</v>
      </c>
      <c r="G6">
        <v>31641.75</v>
      </c>
      <c r="H6">
        <v>25673.342</v>
      </c>
      <c r="I6">
        <v>0</v>
      </c>
      <c r="J6">
        <v>0</v>
      </c>
      <c r="K6">
        <v>0</v>
      </c>
      <c r="L6">
        <v>0</v>
      </c>
      <c r="M6">
        <v>989.26</v>
      </c>
      <c r="N6">
        <v>989.87</v>
      </c>
      <c r="O6">
        <v>0</v>
      </c>
      <c r="P6">
        <v>0</v>
      </c>
      <c r="Q6">
        <v>0</v>
      </c>
      <c r="R6">
        <v>0</v>
      </c>
      <c r="S6">
        <v>740.26</v>
      </c>
      <c r="T6">
        <v>740.75</v>
      </c>
      <c r="U6">
        <v>0</v>
      </c>
      <c r="V6">
        <v>0</v>
      </c>
      <c r="W6">
        <v>0</v>
      </c>
      <c r="X6">
        <v>0</v>
      </c>
      <c r="Y6">
        <v>33414</v>
      </c>
      <c r="Z6">
        <v>27273.65</v>
      </c>
      <c r="AA6">
        <v>0</v>
      </c>
      <c r="AB6">
        <v>0</v>
      </c>
      <c r="AC6">
        <v>0</v>
      </c>
      <c r="AD6">
        <v>0</v>
      </c>
      <c r="AE6">
        <v>29978</v>
      </c>
      <c r="AF6">
        <v>24430.74</v>
      </c>
      <c r="AG6">
        <v>0</v>
      </c>
      <c r="AH6">
        <v>0</v>
      </c>
      <c r="AI6">
        <v>0</v>
      </c>
      <c r="AJ6">
        <v>0</v>
      </c>
      <c r="AK6">
        <v>0.8</v>
      </c>
      <c r="AL6">
        <v>1</v>
      </c>
      <c r="AM6">
        <v>0</v>
      </c>
      <c r="AN6">
        <v>0</v>
      </c>
      <c r="AO6">
        <v>0</v>
      </c>
      <c r="AP6">
        <v>0</v>
      </c>
    </row>
    <row r="7" spans="1:42">
      <c r="A7">
        <v>771.3125</v>
      </c>
      <c r="B7">
        <v>776.506</v>
      </c>
      <c r="C7">
        <v>0</v>
      </c>
      <c r="D7">
        <v>0</v>
      </c>
      <c r="E7">
        <v>0</v>
      </c>
      <c r="F7">
        <v>0</v>
      </c>
      <c r="G7">
        <v>32377</v>
      </c>
      <c r="H7">
        <v>26092.832</v>
      </c>
      <c r="I7">
        <v>0</v>
      </c>
      <c r="J7">
        <v>0</v>
      </c>
      <c r="K7">
        <v>0</v>
      </c>
      <c r="L7">
        <v>0</v>
      </c>
      <c r="M7">
        <v>797.09</v>
      </c>
      <c r="N7">
        <v>797.05</v>
      </c>
      <c r="O7">
        <v>0</v>
      </c>
      <c r="P7">
        <v>0</v>
      </c>
      <c r="Q7">
        <v>0</v>
      </c>
      <c r="R7">
        <v>0</v>
      </c>
      <c r="S7">
        <v>746.29</v>
      </c>
      <c r="T7">
        <v>746.56</v>
      </c>
      <c r="U7">
        <v>0</v>
      </c>
      <c r="V7">
        <v>0</v>
      </c>
      <c r="W7">
        <v>0</v>
      </c>
      <c r="X7">
        <v>0</v>
      </c>
      <c r="Y7">
        <v>33600</v>
      </c>
      <c r="Z7">
        <v>27010.88</v>
      </c>
      <c r="AA7">
        <v>0</v>
      </c>
      <c r="AB7">
        <v>0</v>
      </c>
      <c r="AC7">
        <v>0</v>
      </c>
      <c r="AD7">
        <v>0</v>
      </c>
      <c r="AE7">
        <v>30514</v>
      </c>
      <c r="AF7">
        <v>24955.77</v>
      </c>
      <c r="AG7">
        <v>0</v>
      </c>
      <c r="AH7">
        <v>0</v>
      </c>
      <c r="AI7">
        <v>0</v>
      </c>
      <c r="AJ7">
        <v>0</v>
      </c>
      <c r="AK7">
        <v>0.8</v>
      </c>
      <c r="AL7">
        <v>1</v>
      </c>
      <c r="AM7">
        <v>0</v>
      </c>
      <c r="AN7">
        <v>0</v>
      </c>
      <c r="AO7">
        <v>0</v>
      </c>
      <c r="AP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2024-08-29T13:50:00Z</dcterms:created>
  <dcterms:modified xsi:type="dcterms:W3CDTF">2024-08-29T15:27:13Z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D6FCDE1A200D4AAEB62DFFCE018F2624_12</vt:lpwstr>
  </property>
  <property fmtid="{D5CDD505-2E9C-101B-9397-08002B2CF9AE}" pid="3" name="KSOProductBuildVer">
    <vt:lpwstr>2052-12.1.0.17827</vt:lpwstr>
  </property>
</Properties>
</file>