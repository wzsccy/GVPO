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<sst xmlns="http://schemas.openxmlformats.org/spreadsheetml/2006/main" count="492" uniqueCount="75">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</sst>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B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33.37</v>
      </c>
      <c r="C2">
        <v>4757</v>
      </c>
      <c r="D2">
        <v>33.39</v>
      </c>
      <c r="E2">
        <v>3803.75</v>
      </c>
      <c r="F2">
        <v>36.94</v>
      </c>
      <c r="G2">
        <v>4497</v>
      </c>
      <c r="H2">
        <v>38.65</v>
      </c>
      <c r="I2">
        <v>4293.88</v>
      </c>
      <c r="J2">
        <v>43.93</v>
      </c>
      <c r="K2">
        <v>4497</v>
      </c>
      <c r="L2">
        <v>36.24</v>
      </c>
      <c r="M2">
        <v>3759.54</v>
      </c>
    </row>
    <row r="3" spans="1:13">
      <c r="A3" t="s">
        <v>14</v>
      </c>
      <c r="B3">
        <v>33.07</v>
      </c>
      <c r="C3">
        <v>4735</v>
      </c>
      <c r="D3">
        <v>32.99</v>
      </c>
      <c r="E3">
        <v>3674.4</v>
      </c>
      <c r="F3">
        <v>37.58</v>
      </c>
      <c r="G3">
        <v>4355</v>
      </c>
      <c r="H3">
        <v>37.75</v>
      </c>
      <c r="I3">
        <v>4053.92</v>
      </c>
      <c r="J3">
        <v>47.07</v>
      </c>
      <c r="K3">
        <v>4353</v>
      </c>
      <c r="L3">
        <v>42.4</v>
      </c>
      <c r="M3">
        <v>3618.41</v>
      </c>
    </row>
    <row r="4" spans="1:13">
      <c r="A4" t="s">
        <v>15</v>
      </c>
      <c r="B4">
        <v>47.64</v>
      </c>
      <c r="C4">
        <v>4852</v>
      </c>
      <c r="D4">
        <v>47.65</v>
      </c>
      <c r="E4">
        <v>3949.84</v>
      </c>
      <c r="F4">
        <v>53.17</v>
      </c>
      <c r="G4">
        <v>4552</v>
      </c>
      <c r="H4">
        <v>55.95</v>
      </c>
      <c r="I4">
        <v>4332.89</v>
      </c>
      <c r="J4">
        <v>-1</v>
      </c>
      <c r="K4">
        <v>0</v>
      </c>
      <c r="L4">
        <v>59.34</v>
      </c>
      <c r="M4">
        <v>3873.88</v>
      </c>
    </row>
    <row r="5" spans="1:13">
      <c r="A5" t="s">
        <v>16</v>
      </c>
      <c r="B5">
        <v>43.56</v>
      </c>
      <c r="C5">
        <v>4359</v>
      </c>
      <c r="D5">
        <v>43.49</v>
      </c>
      <c r="E5">
        <v>3582.75</v>
      </c>
      <c r="F5">
        <v>49.72</v>
      </c>
      <c r="G5">
        <v>4157</v>
      </c>
      <c r="H5">
        <v>51.67</v>
      </c>
      <c r="I5">
        <v>4013.98</v>
      </c>
      <c r="J5">
        <v>58.16</v>
      </c>
      <c r="K5">
        <v>4157</v>
      </c>
      <c r="L5">
        <v>55.16</v>
      </c>
      <c r="M5">
        <v>3546.41</v>
      </c>
    </row>
    <row r="6" spans="1:13">
      <c r="A6" t="s">
        <v>17</v>
      </c>
      <c r="B6">
        <v>48.37</v>
      </c>
      <c r="C6">
        <v>4987</v>
      </c>
      <c r="D6">
        <v>48.38</v>
      </c>
      <c r="E6">
        <v>3938.6</v>
      </c>
      <c r="F6">
        <v>50.13</v>
      </c>
      <c r="G6">
        <v>4611</v>
      </c>
      <c r="H6">
        <v>52.88</v>
      </c>
      <c r="I6">
        <v>4315.13</v>
      </c>
      <c r="J6">
        <v>52.03</v>
      </c>
      <c r="K6">
        <v>4611</v>
      </c>
      <c r="L6">
        <v>52.22</v>
      </c>
      <c r="M6">
        <v>3878.21</v>
      </c>
    </row>
    <row r="7" spans="1:13">
      <c r="A7" t="s">
        <v>18</v>
      </c>
      <c r="B7">
        <v>46.69</v>
      </c>
      <c r="C7">
        <v>4765</v>
      </c>
      <c r="D7">
        <v>46.65</v>
      </c>
      <c r="E7">
        <v>3801.37</v>
      </c>
      <c r="F7">
        <v>50.27</v>
      </c>
      <c r="G7">
        <v>4485</v>
      </c>
      <c r="H7">
        <v>53.93</v>
      </c>
      <c r="I7">
        <v>4215.2</v>
      </c>
      <c r="J7">
        <v>54.48</v>
      </c>
      <c r="K7">
        <v>4485</v>
      </c>
      <c r="L7">
        <v>50.95</v>
      </c>
      <c r="M7">
        <v>3764.18</v>
      </c>
    </row>
    <row r="8" spans="1:13">
      <c r="A8" t="s">
        <v>19</v>
      </c>
      <c r="B8">
        <v>44.78</v>
      </c>
      <c r="C8">
        <v>4521</v>
      </c>
      <c r="D8">
        <v>44.76</v>
      </c>
      <c r="E8">
        <v>3666.76</v>
      </c>
      <c r="F8">
        <v>48.65</v>
      </c>
      <c r="G8">
        <v>4317</v>
      </c>
      <c r="H8">
        <v>53.19</v>
      </c>
      <c r="I8">
        <v>4087.04</v>
      </c>
      <c r="J8">
        <v>52.59</v>
      </c>
      <c r="K8">
        <v>4317</v>
      </c>
      <c r="L8">
        <v>53.67</v>
      </c>
      <c r="M8">
        <v>3667.81</v>
      </c>
    </row>
    <row r="9" spans="1:13">
      <c r="A9" t="s">
        <v>20</v>
      </c>
      <c r="B9">
        <v>42.33</v>
      </c>
      <c r="C9">
        <v>4632</v>
      </c>
      <c r="D9">
        <v>42.49</v>
      </c>
      <c r="E9">
        <v>3625.37</v>
      </c>
      <c r="F9">
        <v>45.1</v>
      </c>
      <c r="G9">
        <v>4258</v>
      </c>
      <c r="H9">
        <v>48.19</v>
      </c>
      <c r="I9">
        <v>4033.17</v>
      </c>
      <c r="J9">
        <v>50.57</v>
      </c>
      <c r="K9">
        <v>4258</v>
      </c>
      <c r="L9">
        <v>43.45</v>
      </c>
      <c r="M9">
        <v>3553.93</v>
      </c>
    </row>
    <row r="10" spans="1:13">
      <c r="A10" t="s">
        <v>21</v>
      </c>
      <c r="B10">
        <v>45.82</v>
      </c>
      <c r="C10">
        <v>4726</v>
      </c>
      <c r="D10">
        <v>45.88</v>
      </c>
      <c r="E10">
        <v>3800.79</v>
      </c>
      <c r="F10">
        <v>50.07</v>
      </c>
      <c r="G10">
        <v>4508</v>
      </c>
      <c r="H10">
        <v>54.44</v>
      </c>
      <c r="I10">
        <v>4215.33</v>
      </c>
      <c r="J10">
        <v>55.85</v>
      </c>
      <c r="K10">
        <v>4508</v>
      </c>
      <c r="L10">
        <v>51.07</v>
      </c>
      <c r="M10">
        <v>3772.68</v>
      </c>
    </row>
    <row r="11" spans="1:13">
      <c r="A11" t="s">
        <v>22</v>
      </c>
      <c r="B11">
        <v>48.3</v>
      </c>
      <c r="C11">
        <v>4729</v>
      </c>
      <c r="D11">
        <v>48.21</v>
      </c>
      <c r="E11">
        <v>3845.89</v>
      </c>
      <c r="F11">
        <v>53.04</v>
      </c>
      <c r="G11">
        <v>4529</v>
      </c>
      <c r="H11">
        <v>57.6</v>
      </c>
      <c r="I11">
        <v>4254.88</v>
      </c>
      <c r="J11">
        <v>71.41</v>
      </c>
      <c r="K11">
        <v>4527</v>
      </c>
      <c r="L11">
        <v>55.96</v>
      </c>
      <c r="M11">
        <v>3798.67</v>
      </c>
    </row>
    <row r="12" spans="1:13">
      <c r="A12" t="s">
        <v>23</v>
      </c>
      <c r="B12">
        <v>47.1</v>
      </c>
      <c r="C12">
        <v>4414</v>
      </c>
      <c r="D12">
        <v>47.09</v>
      </c>
      <c r="E12">
        <v>3622.04</v>
      </c>
      <c r="F12">
        <v>54.19</v>
      </c>
      <c r="G12">
        <v>4316</v>
      </c>
      <c r="H12">
        <v>56.78</v>
      </c>
      <c r="I12">
        <v>4031.91</v>
      </c>
      <c r="J12">
        <v>76.42</v>
      </c>
      <c r="K12">
        <v>4316</v>
      </c>
      <c r="L12">
        <v>52.28</v>
      </c>
      <c r="M12">
        <v>3637.2</v>
      </c>
    </row>
    <row r="13" spans="1:13">
      <c r="A13" t="s">
        <v>24</v>
      </c>
      <c r="B13">
        <v>45.37</v>
      </c>
      <c r="C13">
        <v>4497</v>
      </c>
      <c r="D13">
        <v>45.38</v>
      </c>
      <c r="E13">
        <v>3634.41</v>
      </c>
      <c r="F13">
        <v>48.99</v>
      </c>
      <c r="G13">
        <v>4321</v>
      </c>
      <c r="H13">
        <v>52.49</v>
      </c>
      <c r="I13">
        <v>4013.33</v>
      </c>
      <c r="J13">
        <v>58.04</v>
      </c>
      <c r="K13">
        <v>4321</v>
      </c>
      <c r="L13">
        <v>50.14</v>
      </c>
      <c r="M13">
        <v>3624</v>
      </c>
    </row>
    <row r="14" spans="1:13">
      <c r="A14" t="s">
        <v>25</v>
      </c>
      <c r="B14">
        <v>46.21</v>
      </c>
      <c r="C14">
        <v>4351</v>
      </c>
      <c r="D14">
        <v>46.16</v>
      </c>
      <c r="E14">
        <v>3544.21</v>
      </c>
      <c r="F14">
        <v>49.57</v>
      </c>
      <c r="G14">
        <v>4289</v>
      </c>
      <c r="H14">
        <v>53.03</v>
      </c>
      <c r="I14">
        <v>3984.97</v>
      </c>
      <c r="J14">
        <v>53.26</v>
      </c>
      <c r="K14">
        <v>4289</v>
      </c>
      <c r="L14">
        <v>54.31</v>
      </c>
      <c r="M14">
        <v>3567.55</v>
      </c>
    </row>
    <row r="15" spans="1:13">
      <c r="A15" t="s">
        <v>26</v>
      </c>
      <c r="B15">
        <v>46.94</v>
      </c>
      <c r="C15">
        <v>4691</v>
      </c>
      <c r="D15">
        <v>46.96</v>
      </c>
      <c r="E15">
        <v>3867.73</v>
      </c>
      <c r="F15">
        <v>52.08</v>
      </c>
      <c r="G15">
        <v>4619</v>
      </c>
      <c r="H15">
        <v>54.54</v>
      </c>
      <c r="I15">
        <v>4340.24</v>
      </c>
      <c r="J15">
        <v>63.27</v>
      </c>
      <c r="K15">
        <v>4619</v>
      </c>
      <c r="L15">
        <v>50.13</v>
      </c>
      <c r="M15">
        <v>3859.13</v>
      </c>
    </row>
    <row r="16" spans="1:13">
      <c r="A16" t="s">
        <v>27</v>
      </c>
      <c r="B16">
        <v>47.02</v>
      </c>
      <c r="C16">
        <v>4491</v>
      </c>
      <c r="D16">
        <v>46.93</v>
      </c>
      <c r="E16">
        <v>3477.89</v>
      </c>
      <c r="F16">
        <v>52.13</v>
      </c>
      <c r="G16">
        <v>4189</v>
      </c>
      <c r="H16">
        <v>54.96</v>
      </c>
      <c r="I16">
        <v>3810.26</v>
      </c>
      <c r="J16">
        <v>59.07</v>
      </c>
      <c r="K16">
        <v>4190</v>
      </c>
      <c r="L16">
        <v>48.91</v>
      </c>
      <c r="M16">
        <v>3436</v>
      </c>
    </row>
    <row r="17" spans="1:13">
      <c r="A17" t="s">
        <v>28</v>
      </c>
      <c r="B17">
        <v>44.66</v>
      </c>
      <c r="C17">
        <v>4598</v>
      </c>
      <c r="D17">
        <v>44.66</v>
      </c>
      <c r="E17">
        <v>3717.76</v>
      </c>
      <c r="F17">
        <v>47.22</v>
      </c>
      <c r="G17">
        <v>4390</v>
      </c>
      <c r="H17">
        <v>51.56</v>
      </c>
      <c r="I17">
        <v>4173.23</v>
      </c>
      <c r="J17">
        <v>47.8</v>
      </c>
      <c r="K17">
        <v>4390</v>
      </c>
      <c r="L17">
        <v>48.4</v>
      </c>
      <c r="M17">
        <v>3682.07</v>
      </c>
    </row>
    <row r="18" spans="1:13">
      <c r="A18" t="s">
        <v>29</v>
      </c>
      <c r="B18">
        <v>31.62</v>
      </c>
      <c r="C18">
        <v>4685</v>
      </c>
      <c r="D18">
        <v>31.64</v>
      </c>
      <c r="E18">
        <v>3741.08</v>
      </c>
      <c r="F18">
        <v>34.56</v>
      </c>
      <c r="G18">
        <v>4375</v>
      </c>
      <c r="H18">
        <v>37.47</v>
      </c>
      <c r="I18">
        <v>4094.91</v>
      </c>
      <c r="J18">
        <v>38.26</v>
      </c>
      <c r="K18">
        <v>4375</v>
      </c>
      <c r="L18">
        <v>33.7</v>
      </c>
      <c r="M18">
        <v>3658.52</v>
      </c>
    </row>
    <row r="19" spans="1:13">
      <c r="A19" t="s">
        <v>30</v>
      </c>
      <c r="B19">
        <v>33.9</v>
      </c>
      <c r="C19">
        <v>4760</v>
      </c>
      <c r="D19">
        <v>34.16</v>
      </c>
      <c r="E19">
        <v>3890.37</v>
      </c>
      <c r="F19">
        <v>37.64</v>
      </c>
      <c r="G19">
        <v>4588</v>
      </c>
      <c r="H19">
        <v>41.44</v>
      </c>
      <c r="I19">
        <v>4375.21</v>
      </c>
      <c r="J19">
        <v>46.73</v>
      </c>
      <c r="K19">
        <v>4582</v>
      </c>
      <c r="L19">
        <v>38.99</v>
      </c>
      <c r="M19">
        <v>3834.48</v>
      </c>
    </row>
    <row r="20" spans="1:13">
      <c r="A20" t="s">
        <v>31</v>
      </c>
      <c r="B20">
        <v>46.85</v>
      </c>
      <c r="C20">
        <v>4718</v>
      </c>
      <c r="D20">
        <v>46.84</v>
      </c>
      <c r="E20">
        <v>3731.94</v>
      </c>
      <c r="F20">
        <v>50.32</v>
      </c>
      <c r="G20">
        <v>4404</v>
      </c>
      <c r="H20">
        <v>52.67</v>
      </c>
      <c r="I20">
        <v>4193.8</v>
      </c>
      <c r="J20">
        <v>-1</v>
      </c>
      <c r="K20">
        <v>285</v>
      </c>
      <c r="L20">
        <v>58.08</v>
      </c>
      <c r="M20">
        <v>3707.68</v>
      </c>
    </row>
    <row r="21" spans="1:13">
      <c r="A21" t="s">
        <v>32</v>
      </c>
      <c r="B21">
        <v>32.57</v>
      </c>
      <c r="C21">
        <v>4610</v>
      </c>
      <c r="D21">
        <v>32.6</v>
      </c>
      <c r="E21">
        <v>3613.98</v>
      </c>
      <c r="F21">
        <v>35.84</v>
      </c>
      <c r="G21">
        <v>4316</v>
      </c>
      <c r="H21">
        <v>36.86</v>
      </c>
      <c r="I21">
        <v>3970.09</v>
      </c>
      <c r="J21">
        <v>41.47</v>
      </c>
      <c r="K21">
        <v>4316</v>
      </c>
      <c r="L21">
        <v>36.09</v>
      </c>
      <c r="M21">
        <v>3606.45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42.8085</v>
      </c>
      <c r="B24" s="4">
        <f>IFERROR(AVERAGEIF($D$2:$D$21,"&lt;&gt; -1"),0)</f>
        <v>42.8155</v>
      </c>
      <c r="C24" s="4">
        <f>IFERROR(AVERAGEIF($F$2:$F$21,"&lt;&gt; -1"),0)</f>
        <v>46.8605</v>
      </c>
      <c r="D24" s="4">
        <f>IFERROR(AVERAGEIF($H$2:$H$21,"&lt;&gt; -1"),0)</f>
        <v>49.8025</v>
      </c>
      <c r="E24" s="4">
        <f>IFERROR(AVERAGEIF($J$2:$J$21,"&lt;&gt; -1"),0)</f>
        <v>53.9116666666667</v>
      </c>
      <c r="F24" s="4">
        <f>IFERROR(AVERAGEIF($L$2:$L$21,"&lt;&gt; -1"),0)</f>
        <v>48.5745</v>
      </c>
      <c r="G24" s="4">
        <f>IFERROR(AVERAGEIFS($C$2:$C$21,$B$2:$B$21,"&lt;&gt; -1"),0)</f>
        <v>4643.9</v>
      </c>
      <c r="H24" s="4">
        <f>IFERROR(AVERAGEIFS($E$2:$E$21,$D$2:$D$21,"&lt;&gt; -1"),0)</f>
        <v>3726.5465</v>
      </c>
      <c r="I24" s="4">
        <f>IFERROR(AVERAGEIFS($G$2:$G$21,$F$2:$F$21,"&lt;&gt; -1"),0)</f>
        <v>4403.8</v>
      </c>
      <c r="J24" s="4">
        <f>IFERROR(AVERAGEIFS($I$2:$I$21,$H$2:$H$21,"&lt;&gt; -1"),0)</f>
        <v>4140.1685</v>
      </c>
      <c r="K24" s="4">
        <f>IFERROR(AVERAGEIFS($K$2:$K$21,$J$2:$J$21,"&lt;&gt; -1"),0)</f>
        <v>4395.05555555556</v>
      </c>
      <c r="L24" s="4">
        <f>IFERROR(AVERAGEIFS($M$2:$M$21,$L$2:$L$21,"&lt;&gt; -1"),0)</f>
        <v>3692.34</v>
      </c>
      <c r="M24" s="4">
        <f>IFERROR(_xlfn.MAXIFS($B$2:$B$21,$B$2:$B$21,"&lt;&gt; -1"),0)</f>
        <v>48.37</v>
      </c>
      <c r="N24" s="4">
        <f>IFERROR(_xlfn.MAXIFS($D$2:$D$21,$D$2:$D$21,"&lt;&gt;-1"),0)</f>
        <v>48.38</v>
      </c>
      <c r="O24" s="4">
        <f>IFERROR(_xlfn.MAXIFS($F$2:$F$21,$F$2:$F$21,"&lt;&gt; -1"),0)</f>
        <v>54.19</v>
      </c>
      <c r="P24" s="4">
        <f>IFERROR(_xlfn.MAXIFS($H$2:$H$21,$H$2:$H$21,"&lt;&gt; -1"),0)</f>
        <v>57.6</v>
      </c>
      <c r="Q24" s="4">
        <f>IFERROR(_xlfn.MAXIFS($J$2:$J$21,$J$2:$J$21,"&lt;&gt; -1"),0)</f>
        <v>76.42</v>
      </c>
      <c r="R24" s="4">
        <f>IFERROR(_xlfn.MAXIFS($L$2:$L$21,$L$2:$L$21,"&lt;&gt; -1"),0)</f>
        <v>59.34</v>
      </c>
      <c r="S24" s="4">
        <f>IFERROR(_xlfn.MINIFS($B$2:$B$21,$B$2:$B$21,"&lt;&gt; -1"),0)</f>
        <v>31.62</v>
      </c>
      <c r="T24" s="4">
        <f>IFERROR(_xlfn.MINIFS($D$2:$D$21,$D$2:$D$21,"&lt;&gt;-1"),0)</f>
        <v>31.64</v>
      </c>
      <c r="U24" s="4">
        <f>IFERROR(_xlfn.MINIFS($F$2:$F$21,$F$2:$F$21,"&lt;&gt; -1"),0)</f>
        <v>34.56</v>
      </c>
      <c r="V24" s="4">
        <f>IFERROR(_xlfn.MINIFS($H$2:$H$21,$H$2:$H$21,"&lt;&gt; -1"),0)</f>
        <v>36.86</v>
      </c>
      <c r="W24" s="4">
        <f>IFERROR(_xlfn.MINIFS($J$2:$J$21,$J$2:$J$21,"&lt;&gt; -1"),0)</f>
        <v>38.26</v>
      </c>
      <c r="X24" s="4">
        <f>IFERROR(_xlfn.MINIFS($L$2:$L$21,$L$2:$L$21,"&lt;&gt; -1"),0)</f>
        <v>33.7</v>
      </c>
      <c r="Y24" s="4">
        <f>IFERROR(_xlfn.MAXIFS($C$2:$C$21,$B$2:$B$21,"&lt;&gt; -1"),0)</f>
        <v>4987</v>
      </c>
      <c r="Z24" s="4">
        <f>IFERROR(_xlfn.MAXIFS($E$2:$E$21,$D$2:$D$21,"&lt;&gt; -1"),0)</f>
        <v>3949.84</v>
      </c>
      <c r="AA24" s="4">
        <f>IFERROR(_xlfn.MAXIFS($G$2:$G$21,$F$2:$F$21,"&lt;&gt; -1"),0)</f>
        <v>4619</v>
      </c>
      <c r="AB24" s="4">
        <f>IFERROR(_xlfn.MAXIFS($I$2:$I$21,$H$2:$H$21,"&lt;&gt; -1"),0)</f>
        <v>4375.21</v>
      </c>
      <c r="AC24" s="4">
        <f>IFERROR(_xlfn.MAXIFS($K$2:$K$21,$J$2:$J$21,"&lt;&gt; -1"),0)</f>
        <v>4619</v>
      </c>
      <c r="AD24" s="4">
        <f>IFERROR(_xlfn.MAXIFS($M$2:$M$21,$L$2:$L$21,"&lt;&gt; -1"),0)</f>
        <v>3878.21</v>
      </c>
      <c r="AE24" s="4">
        <f>IFERROR(_xlfn.MINIFS($C$2:$C$21,$B$2:$B$21,"&lt;&gt; -1"),0)</f>
        <v>4351</v>
      </c>
      <c r="AF24" s="4">
        <f>IFERROR(_xlfn.MINIFS($E$2:$E$21,$D$2:$D$21,"&lt;&gt; -1"),0)</f>
        <v>3477.89</v>
      </c>
      <c r="AG24" s="4">
        <f>IFERROR(_xlfn.MINIFS($G$2:$G$21,$F$2:$F$21,"&lt;&gt; -1"),0)</f>
        <v>4157</v>
      </c>
      <c r="AH24" s="4">
        <f>IFERROR(_xlfn.MINIFS($I$2:$I$21,$H$2:$H$21,"&lt;&gt; -1"),0)</f>
        <v>3810.26</v>
      </c>
      <c r="AI24" s="4">
        <f>IFERROR(_xlfn.MINIFS($K$2:$K$21,$J$2:$J$21,"&lt;&gt; -1"),0)</f>
        <v>4157</v>
      </c>
      <c r="AJ24" s="4">
        <f>IFERROR(_xlfn.MINIFS($M$2:$M$21,$L$2:$L$21,"&lt;&gt; -1"),0)</f>
        <v>3436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1</v>
      </c>
      <c r="AO24" s="4">
        <f>(COUNTIFS($J$2:$J$21,"&gt;0.0",$J$2:$J$21,"&lt;200.0"))/20</f>
        <v>0.9</v>
      </c>
      <c r="AP24" s="4">
        <f>(COUNTIFS($L$2:$L$21,"&gt;0.0",$L$2:$L$21,"&lt;200.0"))/20</f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39.54</v>
      </c>
      <c r="C2">
        <v>4976</v>
      </c>
      <c r="D2">
        <v>39.47</v>
      </c>
      <c r="E2">
        <v>3821.74</v>
      </c>
      <c r="F2">
        <v>47.5</v>
      </c>
      <c r="G2">
        <v>4406</v>
      </c>
      <c r="H2">
        <v>47.91</v>
      </c>
      <c r="I2">
        <v>4209.64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38.66</v>
      </c>
      <c r="C3">
        <v>5244</v>
      </c>
      <c r="D3">
        <v>38.58</v>
      </c>
      <c r="E3">
        <v>3799.06</v>
      </c>
      <c r="F3">
        <v>44.66</v>
      </c>
      <c r="G3">
        <v>4486</v>
      </c>
      <c r="H3">
        <v>47.57</v>
      </c>
      <c r="I3">
        <v>4132.65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49.42</v>
      </c>
      <c r="C4">
        <v>5244</v>
      </c>
      <c r="D4">
        <v>48.59</v>
      </c>
      <c r="E4">
        <v>3954.57</v>
      </c>
      <c r="F4">
        <v>54.34</v>
      </c>
      <c r="G4">
        <v>4524</v>
      </c>
      <c r="H4">
        <v>59.19</v>
      </c>
      <c r="I4">
        <v>4354.03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38.97</v>
      </c>
      <c r="C5">
        <v>5038</v>
      </c>
      <c r="D5">
        <v>38.81</v>
      </c>
      <c r="E5">
        <v>3803.03</v>
      </c>
      <c r="F5">
        <v>44.35</v>
      </c>
      <c r="G5">
        <v>4328</v>
      </c>
      <c r="H5">
        <v>48.23</v>
      </c>
      <c r="I5">
        <v>4137.11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47.91</v>
      </c>
      <c r="C6">
        <v>5179</v>
      </c>
      <c r="D6">
        <v>47.84</v>
      </c>
      <c r="E6">
        <v>3923.84</v>
      </c>
      <c r="F6">
        <v>54.37</v>
      </c>
      <c r="G6">
        <v>4547</v>
      </c>
      <c r="H6">
        <v>61.77</v>
      </c>
      <c r="I6">
        <v>4268.6</v>
      </c>
      <c r="J6">
        <v>-1</v>
      </c>
      <c r="K6">
        <v>605</v>
      </c>
      <c r="L6">
        <v>-1</v>
      </c>
      <c r="M6">
        <v>509.76</v>
      </c>
    </row>
    <row r="7" spans="1:13">
      <c r="A7" t="s">
        <v>18</v>
      </c>
      <c r="B7">
        <v>45.96</v>
      </c>
      <c r="C7">
        <v>4871</v>
      </c>
      <c r="D7">
        <v>45.93</v>
      </c>
      <c r="E7">
        <v>3650.49</v>
      </c>
      <c r="F7">
        <v>51.75</v>
      </c>
      <c r="G7">
        <v>4239</v>
      </c>
      <c r="H7">
        <v>51.59</v>
      </c>
      <c r="I7">
        <v>4019.25</v>
      </c>
      <c r="J7">
        <v>-1</v>
      </c>
      <c r="K7">
        <v>689</v>
      </c>
      <c r="L7">
        <v>-1</v>
      </c>
      <c r="M7">
        <v>0</v>
      </c>
    </row>
    <row r="8" spans="1:13">
      <c r="A8" t="s">
        <v>19</v>
      </c>
      <c r="B8">
        <v>37.2</v>
      </c>
      <c r="C8">
        <v>5071</v>
      </c>
      <c r="D8">
        <v>37.09</v>
      </c>
      <c r="E8">
        <v>3654.11</v>
      </c>
      <c r="F8">
        <v>43.75</v>
      </c>
      <c r="G8">
        <v>4259</v>
      </c>
      <c r="H8">
        <v>50.25</v>
      </c>
      <c r="I8">
        <v>3976.97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36.92</v>
      </c>
      <c r="C9">
        <v>4820</v>
      </c>
      <c r="D9">
        <v>36.87</v>
      </c>
      <c r="E9">
        <v>3658.34</v>
      </c>
      <c r="F9">
        <v>40.99</v>
      </c>
      <c r="G9">
        <v>4130</v>
      </c>
      <c r="H9">
        <v>46.04</v>
      </c>
      <c r="I9">
        <v>3968.23</v>
      </c>
      <c r="J9">
        <v>61.68</v>
      </c>
      <c r="K9">
        <v>4127</v>
      </c>
      <c r="L9">
        <v>-1</v>
      </c>
      <c r="M9">
        <v>0</v>
      </c>
    </row>
    <row r="10" spans="1:13">
      <c r="A10" t="s">
        <v>21</v>
      </c>
      <c r="B10">
        <v>39.74</v>
      </c>
      <c r="C10">
        <v>5013</v>
      </c>
      <c r="D10">
        <v>39.71</v>
      </c>
      <c r="E10">
        <v>3863.11</v>
      </c>
      <c r="F10">
        <v>44.59</v>
      </c>
      <c r="G10">
        <v>4481</v>
      </c>
      <c r="H10">
        <v>45.68</v>
      </c>
      <c r="I10">
        <v>4210.39</v>
      </c>
      <c r="J10">
        <v>-1</v>
      </c>
      <c r="K10">
        <v>677</v>
      </c>
      <c r="L10">
        <v>-1</v>
      </c>
      <c r="M10">
        <v>0</v>
      </c>
    </row>
    <row r="11" spans="1:13">
      <c r="A11" t="s">
        <v>22</v>
      </c>
      <c r="B11">
        <v>40.62</v>
      </c>
      <c r="C11">
        <v>5106</v>
      </c>
      <c r="D11">
        <v>40.56</v>
      </c>
      <c r="E11">
        <v>3918.11</v>
      </c>
      <c r="F11">
        <v>46.86</v>
      </c>
      <c r="G11">
        <v>4500</v>
      </c>
      <c r="H11">
        <v>47.98</v>
      </c>
      <c r="I11">
        <v>4202.97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39.07</v>
      </c>
      <c r="C12">
        <v>5222</v>
      </c>
      <c r="D12">
        <v>38.95</v>
      </c>
      <c r="E12">
        <v>4026.05</v>
      </c>
      <c r="F12">
        <v>47.86</v>
      </c>
      <c r="G12">
        <v>4608</v>
      </c>
      <c r="H12">
        <v>51.89</v>
      </c>
      <c r="I12">
        <v>4339.62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38.86</v>
      </c>
      <c r="C13">
        <v>5604</v>
      </c>
      <c r="D13">
        <v>38.79</v>
      </c>
      <c r="E13">
        <v>3843.34</v>
      </c>
      <c r="F13">
        <v>42.86</v>
      </c>
      <c r="G13">
        <v>4490</v>
      </c>
      <c r="H13">
        <v>51.09</v>
      </c>
      <c r="I13">
        <v>4211.25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41.35</v>
      </c>
      <c r="C14">
        <v>4786</v>
      </c>
      <c r="D14">
        <v>41.21</v>
      </c>
      <c r="E14">
        <v>3627.3</v>
      </c>
      <c r="F14">
        <v>52.07</v>
      </c>
      <c r="G14">
        <v>4294</v>
      </c>
      <c r="H14">
        <v>63.02</v>
      </c>
      <c r="I14">
        <v>3946.96</v>
      </c>
      <c r="J14">
        <v>-1</v>
      </c>
      <c r="K14">
        <v>739</v>
      </c>
      <c r="L14">
        <v>-1</v>
      </c>
      <c r="M14">
        <v>0</v>
      </c>
    </row>
    <row r="15" spans="1:13">
      <c r="A15" t="s">
        <v>26</v>
      </c>
      <c r="B15">
        <v>39.94</v>
      </c>
      <c r="C15">
        <v>5509</v>
      </c>
      <c r="D15">
        <v>39.9</v>
      </c>
      <c r="E15">
        <v>3925.75</v>
      </c>
      <c r="F15">
        <v>45.38</v>
      </c>
      <c r="G15">
        <v>4545</v>
      </c>
      <c r="H15">
        <v>46</v>
      </c>
      <c r="I15">
        <v>4291.8</v>
      </c>
      <c r="J15">
        <v>-1</v>
      </c>
      <c r="K15">
        <v>705</v>
      </c>
      <c r="L15">
        <v>-1</v>
      </c>
      <c r="M15">
        <v>0</v>
      </c>
    </row>
    <row r="16" spans="1:13">
      <c r="A16" t="s">
        <v>27</v>
      </c>
      <c r="B16">
        <v>37.88</v>
      </c>
      <c r="C16">
        <v>5123</v>
      </c>
      <c r="D16">
        <v>37.83</v>
      </c>
      <c r="E16">
        <v>3725.58</v>
      </c>
      <c r="F16">
        <v>44.83</v>
      </c>
      <c r="G16">
        <v>4441</v>
      </c>
      <c r="H16">
        <v>53.4</v>
      </c>
      <c r="I16">
        <v>4068.41</v>
      </c>
      <c r="J16">
        <v>-1</v>
      </c>
      <c r="K16">
        <v>697</v>
      </c>
      <c r="L16">
        <v>-1</v>
      </c>
      <c r="M16">
        <v>0</v>
      </c>
    </row>
    <row r="17" spans="1:13">
      <c r="A17" t="s">
        <v>28</v>
      </c>
      <c r="B17">
        <v>40.7</v>
      </c>
      <c r="C17">
        <v>4902</v>
      </c>
      <c r="D17">
        <v>40.61</v>
      </c>
      <c r="E17">
        <v>3772.93</v>
      </c>
      <c r="F17">
        <v>48</v>
      </c>
      <c r="G17">
        <v>4356</v>
      </c>
      <c r="H17">
        <v>50.84</v>
      </c>
      <c r="I17">
        <v>4150.08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42.2</v>
      </c>
      <c r="C18">
        <v>5003</v>
      </c>
      <c r="D18">
        <v>41.94</v>
      </c>
      <c r="E18">
        <v>3685.2</v>
      </c>
      <c r="F18">
        <v>46.53</v>
      </c>
      <c r="G18">
        <v>4287</v>
      </c>
      <c r="H18">
        <v>49.37</v>
      </c>
      <c r="I18">
        <v>4064.89</v>
      </c>
      <c r="J18">
        <v>-1</v>
      </c>
      <c r="K18">
        <v>0</v>
      </c>
      <c r="L18">
        <v>-1</v>
      </c>
      <c r="M18">
        <v>515.96</v>
      </c>
    </row>
    <row r="19" spans="1:13">
      <c r="A19" t="s">
        <v>30</v>
      </c>
      <c r="B19">
        <v>42.16</v>
      </c>
      <c r="C19">
        <v>5399</v>
      </c>
      <c r="D19">
        <v>42.06</v>
      </c>
      <c r="E19">
        <v>4005.27</v>
      </c>
      <c r="F19">
        <v>47.5</v>
      </c>
      <c r="G19">
        <v>4645</v>
      </c>
      <c r="H19">
        <v>53.74</v>
      </c>
      <c r="I19">
        <v>4365.58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39.59</v>
      </c>
      <c r="C20">
        <v>5529</v>
      </c>
      <c r="D20">
        <v>39.56</v>
      </c>
      <c r="E20">
        <v>3905.03</v>
      </c>
      <c r="F20">
        <v>44.04</v>
      </c>
      <c r="G20">
        <v>4583</v>
      </c>
      <c r="H20">
        <v>53.49</v>
      </c>
      <c r="I20">
        <v>4284.41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40.08</v>
      </c>
      <c r="C21">
        <v>4985</v>
      </c>
      <c r="D21">
        <v>40.05</v>
      </c>
      <c r="E21">
        <v>3825.88</v>
      </c>
      <c r="F21">
        <v>45.86</v>
      </c>
      <c r="G21">
        <v>4493</v>
      </c>
      <c r="H21">
        <v>48.15</v>
      </c>
      <c r="I21">
        <v>4156.05</v>
      </c>
      <c r="J21">
        <v>-1</v>
      </c>
      <c r="K21">
        <v>735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40.8385</v>
      </c>
      <c r="B24" s="4">
        <f>IFERROR(AVERAGEIF($D$2:$D$21,"&lt;&gt; -1"),0)</f>
        <v>40.7175</v>
      </c>
      <c r="C24" s="4">
        <f>IFERROR(AVERAGEIF($F$2:$F$21,"&lt;&gt; -1"),0)</f>
        <v>46.9045</v>
      </c>
      <c r="D24" s="4">
        <f>IFERROR(AVERAGEIF($H$2:$H$21,"&lt;&gt; -1"),0)</f>
        <v>51.36</v>
      </c>
      <c r="E24" s="4">
        <f>IFERROR(AVERAGEIF($J$2:$J$21,"&lt;&gt; -1"),0)</f>
        <v>61.68</v>
      </c>
      <c r="F24" s="4">
        <f>IFERROR(AVERAGEIF($L$2:$L$21,"&lt;&gt; -1"),0)</f>
        <v>0</v>
      </c>
      <c r="G24" s="4">
        <f>IFERROR(AVERAGEIFS($C$2:$C$21,$B$2:$B$21,"&lt;&gt; -1"),0)</f>
        <v>5131.2</v>
      </c>
      <c r="H24" s="4">
        <f>IFERROR(AVERAGEIFS($E$2:$E$21,$D$2:$D$21,"&lt;&gt; -1"),0)</f>
        <v>3819.4365</v>
      </c>
      <c r="I24" s="4">
        <f>IFERROR(AVERAGEIFS($G$2:$G$21,$F$2:$F$21,"&lt;&gt; -1"),0)</f>
        <v>4432.1</v>
      </c>
      <c r="J24" s="4">
        <f>IFERROR(AVERAGEIFS($I$2:$I$21,$H$2:$H$21,"&lt;&gt; -1"),0)</f>
        <v>4167.9445</v>
      </c>
      <c r="K24" s="4">
        <f>IFERROR(AVERAGEIFS($K$2:$K$21,$J$2:$J$21,"&lt;&gt; -1"),0)</f>
        <v>4127</v>
      </c>
      <c r="L24" s="4">
        <f>IFERROR(AVERAGEIFS($M$2:$M$21,$L$2:$L$21,"&lt;&gt; -1"),0)</f>
        <v>0</v>
      </c>
      <c r="M24" s="4">
        <f>IFERROR(_xlfn.MAXIFS($B$2:$B$21,$B$2:$B$21,"&lt;&gt; -1"),0)</f>
        <v>49.42</v>
      </c>
      <c r="N24" s="4">
        <f>IFERROR(_xlfn.MAXIFS($D$2:$D$21,$D$2:$D$21,"&lt;&gt;-1"),0)</f>
        <v>48.59</v>
      </c>
      <c r="O24" s="4">
        <f>IFERROR(_xlfn.MAXIFS($F$2:$F$21,$F$2:$F$21,"&lt;&gt; -1"),0)</f>
        <v>54.37</v>
      </c>
      <c r="P24" s="4">
        <f>IFERROR(_xlfn.MAXIFS($H$2:$H$21,$H$2:$H$21,"&lt;&gt; -1"),0)</f>
        <v>63.02</v>
      </c>
      <c r="Q24" s="4">
        <f>IFERROR(_xlfn.MAXIFS($J$2:$J$21,$J$2:$J$21,"&lt;&gt; -1"),0)</f>
        <v>61.68</v>
      </c>
      <c r="R24" s="4">
        <f>IFERROR(_xlfn.MAXIFS($L$2:$L$21,$L$2:$L$21,"&lt;&gt; -1"),0)</f>
        <v>0</v>
      </c>
      <c r="S24" s="4">
        <f>IFERROR(_xlfn.MINIFS($B$2:$B$21,$B$2:$B$21,"&lt;&gt; -1"),0)</f>
        <v>36.92</v>
      </c>
      <c r="T24" s="4">
        <f>IFERROR(_xlfn.MINIFS($D$2:$D$21,$D$2:$D$21,"&lt;&gt;-1"),0)</f>
        <v>36.87</v>
      </c>
      <c r="U24" s="4">
        <f>IFERROR(_xlfn.MINIFS($F$2:$F$21,$F$2:$F$21,"&lt;&gt; -1"),0)</f>
        <v>40.99</v>
      </c>
      <c r="V24" s="4">
        <f>IFERROR(_xlfn.MINIFS($H$2:$H$21,$H$2:$H$21,"&lt;&gt; -1"),0)</f>
        <v>45.68</v>
      </c>
      <c r="W24" s="4">
        <f>IFERROR(_xlfn.MINIFS($J$2:$J$21,$J$2:$J$21,"&lt;&gt; -1"),0)</f>
        <v>61.68</v>
      </c>
      <c r="X24" s="4">
        <f>IFERROR(_xlfn.MINIFS($L$2:$L$21,$L$2:$L$21,"&lt;&gt; -1"),0)</f>
        <v>0</v>
      </c>
      <c r="Y24" s="4">
        <f>IFERROR(_xlfn.MAXIFS($C$2:$C$21,$B$2:$B$21,"&lt;&gt; -1"),0)</f>
        <v>5604</v>
      </c>
      <c r="Z24" s="4">
        <f>IFERROR(_xlfn.MAXIFS($E$2:$E$21,$D$2:$D$21,"&lt;&gt; -1"),0)</f>
        <v>4026.05</v>
      </c>
      <c r="AA24" s="4">
        <f>IFERROR(_xlfn.MAXIFS($G$2:$G$21,$F$2:$F$21,"&lt;&gt; -1"),0)</f>
        <v>4645</v>
      </c>
      <c r="AB24" s="4">
        <f>IFERROR(_xlfn.MAXIFS($I$2:$I$21,$H$2:$H$21,"&lt;&gt; -1"),0)</f>
        <v>4365.58</v>
      </c>
      <c r="AC24" s="4">
        <f>IFERROR(_xlfn.MAXIFS($K$2:$K$21,$J$2:$J$21,"&lt;&gt; -1"),0)</f>
        <v>4127</v>
      </c>
      <c r="AD24" s="4">
        <f>IFERROR(_xlfn.MAXIFS($M$2:$M$21,$L$2:$L$21,"&lt;&gt; -1"),0)</f>
        <v>0</v>
      </c>
      <c r="AE24" s="4">
        <f>IFERROR(_xlfn.MINIFS($C$2:$C$21,$B$2:$B$21,"&lt;&gt; -1"),0)</f>
        <v>4786</v>
      </c>
      <c r="AF24" s="4">
        <f>IFERROR(_xlfn.MINIFS($E$2:$E$21,$D$2:$D$21,"&lt;&gt; -1"),0)</f>
        <v>3627.3</v>
      </c>
      <c r="AG24" s="4">
        <f>IFERROR(_xlfn.MINIFS($G$2:$G$21,$F$2:$F$21,"&lt;&gt; -1"),0)</f>
        <v>4130</v>
      </c>
      <c r="AH24" s="4">
        <f>IFERROR(_xlfn.MINIFS($I$2:$I$21,$H$2:$H$21,"&lt;&gt; -1"),0)</f>
        <v>3946.96</v>
      </c>
      <c r="AI24" s="4">
        <f>IFERROR(_xlfn.MINIFS($K$2:$K$21,$J$2:$J$21,"&lt;&gt; -1"),0)</f>
        <v>4127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1</v>
      </c>
      <c r="AN24" s="4">
        <f>(COUNTIFS($H$2:$H$21,"&gt;0.0",$H$2:$H$21,"&lt;200.0"))/20</f>
        <v>1</v>
      </c>
      <c r="AO24" s="4">
        <f>(COUNTIFS($J$2:$J$21,"&gt;0.0",$J$2:$J$21,"&lt;200.0"))/20</f>
        <v>0.05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46.17</v>
      </c>
      <c r="C2">
        <v>5043</v>
      </c>
      <c r="D2">
        <v>46.06</v>
      </c>
      <c r="E2">
        <v>3722.14</v>
      </c>
      <c r="F2">
        <v>57.12</v>
      </c>
      <c r="G2">
        <v>4357</v>
      </c>
      <c r="H2">
        <v>83.7</v>
      </c>
      <c r="I2">
        <v>4036.75</v>
      </c>
      <c r="J2">
        <v>-1</v>
      </c>
      <c r="K2">
        <v>1198</v>
      </c>
      <c r="L2">
        <v>-1</v>
      </c>
      <c r="M2">
        <v>0</v>
      </c>
    </row>
    <row r="3" spans="1:13">
      <c r="A3" t="s">
        <v>14</v>
      </c>
      <c r="B3">
        <v>45.71</v>
      </c>
      <c r="C3">
        <v>5023</v>
      </c>
      <c r="D3">
        <v>45.57</v>
      </c>
      <c r="E3">
        <v>3751.69</v>
      </c>
      <c r="F3">
        <v>51.69</v>
      </c>
      <c r="G3">
        <v>4313</v>
      </c>
      <c r="H3">
        <v>78.37</v>
      </c>
      <c r="I3">
        <v>4111.71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50.14</v>
      </c>
      <c r="C4">
        <v>5436</v>
      </c>
      <c r="D4">
        <v>49.36</v>
      </c>
      <c r="E4">
        <v>4005.85</v>
      </c>
      <c r="F4">
        <v>59.61</v>
      </c>
      <c r="G4">
        <v>4622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44.68</v>
      </c>
      <c r="C5">
        <v>5148</v>
      </c>
      <c r="D5">
        <v>44.62</v>
      </c>
      <c r="E5">
        <v>3842.67</v>
      </c>
      <c r="F5">
        <v>51.96</v>
      </c>
      <c r="G5">
        <v>4410</v>
      </c>
      <c r="H5">
        <v>78.16</v>
      </c>
      <c r="I5">
        <v>4199.27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50.19</v>
      </c>
      <c r="C6">
        <v>5212</v>
      </c>
      <c r="D6">
        <v>50.15</v>
      </c>
      <c r="E6">
        <v>3866.79</v>
      </c>
      <c r="F6">
        <v>59.04</v>
      </c>
      <c r="G6">
        <v>4480</v>
      </c>
      <c r="H6">
        <v>96.66</v>
      </c>
      <c r="I6">
        <v>4176.48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44.48</v>
      </c>
      <c r="C7">
        <v>4843</v>
      </c>
      <c r="D7">
        <v>44.42</v>
      </c>
      <c r="E7">
        <v>3659.56</v>
      </c>
      <c r="F7">
        <v>53.44</v>
      </c>
      <c r="G7">
        <v>4229</v>
      </c>
      <c r="H7">
        <v>66.35</v>
      </c>
      <c r="I7">
        <v>4050.59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43.16</v>
      </c>
      <c r="C8">
        <v>5055</v>
      </c>
      <c r="D8">
        <v>43.15</v>
      </c>
      <c r="E8">
        <v>3834.52</v>
      </c>
      <c r="F8">
        <v>51.39</v>
      </c>
      <c r="G8">
        <v>4495</v>
      </c>
      <c r="H8">
        <v>54.35</v>
      </c>
      <c r="I8">
        <v>4187.56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42.58</v>
      </c>
      <c r="C9">
        <v>5604</v>
      </c>
      <c r="D9">
        <v>42.43</v>
      </c>
      <c r="E9">
        <v>3894.49</v>
      </c>
      <c r="F9">
        <v>52.18</v>
      </c>
      <c r="G9">
        <v>4456</v>
      </c>
      <c r="H9">
        <v>-1</v>
      </c>
      <c r="I9">
        <v>1138.88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44.61</v>
      </c>
      <c r="C10">
        <v>5420</v>
      </c>
      <c r="D10">
        <v>44.53</v>
      </c>
      <c r="E10">
        <v>3918.65</v>
      </c>
      <c r="F10">
        <v>50.97</v>
      </c>
      <c r="G10">
        <v>4494</v>
      </c>
      <c r="H10">
        <v>57.63</v>
      </c>
      <c r="I10">
        <v>4245.43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44.59</v>
      </c>
      <c r="C11">
        <v>5162</v>
      </c>
      <c r="D11">
        <v>44.58</v>
      </c>
      <c r="E11">
        <v>3868.31</v>
      </c>
      <c r="F11">
        <v>50.95</v>
      </c>
      <c r="G11">
        <v>4480</v>
      </c>
      <c r="H11">
        <v>51.41</v>
      </c>
      <c r="I11">
        <v>4216.46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44.31</v>
      </c>
      <c r="C12">
        <v>4778</v>
      </c>
      <c r="D12">
        <v>44.29</v>
      </c>
      <c r="E12">
        <v>3695.6</v>
      </c>
      <c r="F12">
        <v>48.14</v>
      </c>
      <c r="G12">
        <v>4322</v>
      </c>
      <c r="H12">
        <v>53.01</v>
      </c>
      <c r="I12">
        <v>4037.28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47.97</v>
      </c>
      <c r="C13">
        <v>5725</v>
      </c>
      <c r="D13">
        <v>43.76</v>
      </c>
      <c r="E13">
        <v>3965.15</v>
      </c>
      <c r="F13">
        <v>54.8</v>
      </c>
      <c r="G13">
        <v>4559</v>
      </c>
      <c r="H13">
        <v>59.96</v>
      </c>
      <c r="I13">
        <v>4267.24</v>
      </c>
      <c r="J13">
        <v>-1</v>
      </c>
      <c r="K13">
        <v>1023</v>
      </c>
      <c r="L13">
        <v>-1</v>
      </c>
      <c r="M13">
        <v>0</v>
      </c>
    </row>
    <row r="14" spans="1:13">
      <c r="A14" t="s">
        <v>25</v>
      </c>
      <c r="B14">
        <v>42.21</v>
      </c>
      <c r="C14">
        <v>5102</v>
      </c>
      <c r="D14">
        <v>41.66</v>
      </c>
      <c r="E14">
        <v>3507.96</v>
      </c>
      <c r="F14">
        <v>49.1</v>
      </c>
      <c r="G14">
        <v>4122</v>
      </c>
      <c r="H14">
        <v>-1</v>
      </c>
      <c r="I14">
        <v>938.26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47.3</v>
      </c>
      <c r="C15">
        <v>5690</v>
      </c>
      <c r="D15">
        <v>44.16</v>
      </c>
      <c r="E15">
        <v>3881.14</v>
      </c>
      <c r="F15">
        <v>-1</v>
      </c>
      <c r="G15">
        <v>4285</v>
      </c>
      <c r="H15">
        <v>92.46</v>
      </c>
      <c r="I15">
        <v>4141.43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42.61</v>
      </c>
      <c r="C16">
        <v>5768</v>
      </c>
      <c r="D16">
        <v>42.42</v>
      </c>
      <c r="E16">
        <v>3947.37</v>
      </c>
      <c r="F16">
        <v>68.61</v>
      </c>
      <c r="G16">
        <v>4596</v>
      </c>
      <c r="H16">
        <v>-1</v>
      </c>
      <c r="I16">
        <v>1029.01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0</v>
      </c>
      <c r="D17">
        <v>44.35</v>
      </c>
      <c r="E17">
        <v>3891.76</v>
      </c>
      <c r="F17">
        <v>-1</v>
      </c>
      <c r="G17">
        <v>1050</v>
      </c>
      <c r="H17">
        <v>51.57</v>
      </c>
      <c r="I17">
        <v>4283.24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42.08</v>
      </c>
      <c r="C18">
        <v>4658</v>
      </c>
      <c r="D18">
        <v>42.06</v>
      </c>
      <c r="E18">
        <v>3548.9</v>
      </c>
      <c r="F18">
        <v>47.31</v>
      </c>
      <c r="G18">
        <v>4116</v>
      </c>
      <c r="H18">
        <v>77.29</v>
      </c>
      <c r="I18">
        <v>3924.31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45.69</v>
      </c>
      <c r="C19">
        <v>5210</v>
      </c>
      <c r="D19">
        <v>45.6</v>
      </c>
      <c r="E19">
        <v>4006.17</v>
      </c>
      <c r="F19">
        <v>55.78</v>
      </c>
      <c r="G19">
        <v>4608</v>
      </c>
      <c r="H19">
        <v>-1</v>
      </c>
      <c r="I19">
        <v>1180.78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67.4</v>
      </c>
      <c r="C20">
        <v>4914</v>
      </c>
      <c r="D20">
        <v>43.21</v>
      </c>
      <c r="E20">
        <v>3745.46</v>
      </c>
      <c r="F20">
        <v>49.46</v>
      </c>
      <c r="G20">
        <v>4272</v>
      </c>
      <c r="H20">
        <v>71.74</v>
      </c>
      <c r="I20">
        <v>4085.33</v>
      </c>
      <c r="J20">
        <v>-1</v>
      </c>
      <c r="K20">
        <v>822</v>
      </c>
      <c r="L20">
        <v>-1</v>
      </c>
      <c r="M20">
        <v>0</v>
      </c>
    </row>
    <row r="21" spans="1:13">
      <c r="A21" t="s">
        <v>32</v>
      </c>
      <c r="B21">
        <v>41.94</v>
      </c>
      <c r="C21">
        <v>4882</v>
      </c>
      <c r="D21">
        <v>41.89</v>
      </c>
      <c r="E21">
        <v>3701.32</v>
      </c>
      <c r="F21">
        <v>54.03</v>
      </c>
      <c r="G21">
        <v>4380</v>
      </c>
      <c r="H21">
        <v>73.79</v>
      </c>
      <c r="I21">
        <v>4021.17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46.2010526315789</v>
      </c>
      <c r="B24" s="4">
        <f>IFERROR(AVERAGEIF($D$2:$D$21,"&lt;&gt; -1"),0)</f>
        <v>44.4135</v>
      </c>
      <c r="C24" s="4">
        <f>IFERROR(AVERAGEIF($F$2:$F$21,"&lt;&gt; -1"),0)</f>
        <v>53.6433333333333</v>
      </c>
      <c r="D24" s="4">
        <f>IFERROR(AVERAGEIF($H$2:$H$21,"&lt;&gt; -1"),0)</f>
        <v>69.7633333333333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5193.31578947368</v>
      </c>
      <c r="H24" s="4">
        <f>IFERROR(AVERAGEIFS($E$2:$E$21,$D$2:$D$21,"&lt;&gt; -1"),0)</f>
        <v>3812.775</v>
      </c>
      <c r="I24" s="4">
        <f>IFERROR(AVERAGEIFS($G$2:$G$21,$F$2:$F$21,"&lt;&gt; -1"),0)</f>
        <v>4406.16666666667</v>
      </c>
      <c r="J24" s="4">
        <f>IFERROR(AVERAGEIFS($I$2:$I$21,$H$2:$H$21,"&lt;&gt; -1"),0)</f>
        <v>4132.28333333333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67.4</v>
      </c>
      <c r="N24" s="4">
        <f>IFERROR(_xlfn.MAXIFS($D$2:$D$21,$D$2:$D$21,"&lt;&gt;-1"),0)</f>
        <v>50.15</v>
      </c>
      <c r="O24" s="4">
        <f>IFERROR(_xlfn.MAXIFS($F$2:$F$21,$F$2:$F$21,"&lt;&gt; -1"),0)</f>
        <v>68.61</v>
      </c>
      <c r="P24" s="4">
        <f>IFERROR(_xlfn.MAXIFS($H$2:$H$21,$H$2:$H$21,"&lt;&gt; -1"),0)</f>
        <v>96.66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41.94</v>
      </c>
      <c r="T24" s="4">
        <f>IFERROR(_xlfn.MINIFS($D$2:$D$21,$D$2:$D$21,"&lt;&gt;-1"),0)</f>
        <v>41.66</v>
      </c>
      <c r="U24" s="4">
        <f>IFERROR(_xlfn.MINIFS($F$2:$F$21,$F$2:$F$21,"&lt;&gt; -1"),0)</f>
        <v>47.31</v>
      </c>
      <c r="V24" s="4">
        <f>IFERROR(_xlfn.MINIFS($H$2:$H$21,$H$2:$H$21,"&lt;&gt; -1"),0)</f>
        <v>51.41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5768</v>
      </c>
      <c r="Z24" s="4">
        <f>IFERROR(_xlfn.MAXIFS($E$2:$E$21,$D$2:$D$21,"&lt;&gt; -1"),0)</f>
        <v>4006.17</v>
      </c>
      <c r="AA24" s="4">
        <f>IFERROR(_xlfn.MAXIFS($G$2:$G$21,$F$2:$F$21,"&lt;&gt; -1"),0)</f>
        <v>4622</v>
      </c>
      <c r="AB24" s="4">
        <f>IFERROR(_xlfn.MAXIFS($I$2:$I$21,$H$2:$H$21,"&lt;&gt; -1"),0)</f>
        <v>4283.24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4658</v>
      </c>
      <c r="AF24" s="4">
        <f>IFERROR(_xlfn.MINIFS($E$2:$E$21,$D$2:$D$21,"&lt;&gt; -1"),0)</f>
        <v>3507.96</v>
      </c>
      <c r="AG24" s="4">
        <f>IFERROR(_xlfn.MINIFS($G$2:$G$21,$F$2:$F$21,"&lt;&gt; -1"),0)</f>
        <v>4116</v>
      </c>
      <c r="AH24" s="4">
        <f>IFERROR(_xlfn.MINIFS($I$2:$I$21,$H$2:$H$21,"&lt;&gt; -1"),0)</f>
        <v>3924.31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0.95</v>
      </c>
      <c r="AL24" s="4">
        <f>(COUNTIFS($D$2:$D$21,"&gt;0.0",$D$2:$D$21,"&lt;200.0"))/20</f>
        <v>1</v>
      </c>
      <c r="AM24" s="4">
        <f>(COUNTIFS($F$2:$F$21,"&gt;0.0",$F$2:$F$21,"&lt;200.0"))/20</f>
        <v>0.9</v>
      </c>
      <c r="AN24" s="4">
        <f>(COUNTIFS($H$2:$H$21,"&gt;0.0",$H$2:$H$21,"&lt;200.0"))/20</f>
        <v>0.75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50.51</v>
      </c>
      <c r="C2">
        <v>5096</v>
      </c>
      <c r="D2">
        <v>49.42</v>
      </c>
      <c r="E2">
        <v>3895.04</v>
      </c>
      <c r="F2">
        <v>60.27</v>
      </c>
      <c r="G2">
        <v>4510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48.04</v>
      </c>
      <c r="C3">
        <v>5448</v>
      </c>
      <c r="D3">
        <v>48.05</v>
      </c>
      <c r="E3">
        <v>3841.06</v>
      </c>
      <c r="F3">
        <v>60.96</v>
      </c>
      <c r="G3">
        <v>4516</v>
      </c>
      <c r="H3">
        <v>74.98</v>
      </c>
      <c r="I3">
        <v>4187.16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49.99</v>
      </c>
      <c r="C4">
        <v>5316</v>
      </c>
      <c r="D4">
        <v>49.92</v>
      </c>
      <c r="E4">
        <v>3898.47</v>
      </c>
      <c r="F4">
        <v>57.92</v>
      </c>
      <c r="G4">
        <v>4510</v>
      </c>
      <c r="H4">
        <v>77.69</v>
      </c>
      <c r="I4">
        <v>4235.73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49.55</v>
      </c>
      <c r="C5">
        <v>5204</v>
      </c>
      <c r="D5">
        <v>49.5</v>
      </c>
      <c r="E5">
        <v>3812.73</v>
      </c>
      <c r="F5">
        <v>-1</v>
      </c>
      <c r="G5">
        <v>3657</v>
      </c>
      <c r="H5">
        <v>56.78</v>
      </c>
      <c r="I5">
        <v>4110.86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49.64</v>
      </c>
      <c r="C6">
        <v>4793</v>
      </c>
      <c r="D6">
        <v>49.62</v>
      </c>
      <c r="E6">
        <v>3621.33</v>
      </c>
      <c r="F6">
        <v>52.74</v>
      </c>
      <c r="G6">
        <v>4291</v>
      </c>
      <c r="H6">
        <v>59.43</v>
      </c>
      <c r="I6">
        <v>3966.3</v>
      </c>
      <c r="J6">
        <v>58.51</v>
      </c>
      <c r="K6">
        <v>4282</v>
      </c>
      <c r="L6">
        <v>-1</v>
      </c>
      <c r="M6">
        <v>524.56</v>
      </c>
    </row>
    <row r="7" spans="1:13">
      <c r="A7" t="s">
        <v>18</v>
      </c>
      <c r="B7">
        <v>50.64</v>
      </c>
      <c r="C7">
        <v>5431</v>
      </c>
      <c r="D7">
        <v>50.5</v>
      </c>
      <c r="E7">
        <v>3931.41</v>
      </c>
      <c r="F7">
        <v>60.21</v>
      </c>
      <c r="G7">
        <v>4473</v>
      </c>
      <c r="H7">
        <v>-1</v>
      </c>
      <c r="I7">
        <v>1040.1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47.47</v>
      </c>
      <c r="C8">
        <v>5313</v>
      </c>
      <c r="D8">
        <v>47.43</v>
      </c>
      <c r="E8">
        <v>3816.12</v>
      </c>
      <c r="F8">
        <v>56.37</v>
      </c>
      <c r="G8">
        <v>4457</v>
      </c>
      <c r="H8">
        <v>-1</v>
      </c>
      <c r="I8">
        <v>1079.31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47.1</v>
      </c>
      <c r="C9">
        <v>4936</v>
      </c>
      <c r="D9">
        <v>47.06</v>
      </c>
      <c r="E9">
        <v>3796.35</v>
      </c>
      <c r="F9">
        <v>53.36</v>
      </c>
      <c r="G9">
        <v>4478</v>
      </c>
      <c r="H9">
        <v>61.32</v>
      </c>
      <c r="I9">
        <v>4161.63</v>
      </c>
      <c r="J9">
        <v>-1</v>
      </c>
      <c r="K9">
        <v>905</v>
      </c>
      <c r="L9">
        <v>-1</v>
      </c>
      <c r="M9">
        <v>0</v>
      </c>
    </row>
    <row r="10" spans="1:13">
      <c r="A10" t="s">
        <v>21</v>
      </c>
      <c r="B10">
        <v>48.85</v>
      </c>
      <c r="C10">
        <v>5233</v>
      </c>
      <c r="D10">
        <v>48.82</v>
      </c>
      <c r="E10">
        <v>3764.25</v>
      </c>
      <c r="F10">
        <v>57.66</v>
      </c>
      <c r="G10">
        <v>4391</v>
      </c>
      <c r="H10">
        <v>63.12</v>
      </c>
      <c r="I10">
        <v>4095.46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48.17</v>
      </c>
      <c r="C11">
        <v>5031</v>
      </c>
      <c r="D11">
        <v>48.09</v>
      </c>
      <c r="E11">
        <v>3806.09</v>
      </c>
      <c r="F11">
        <v>71.35</v>
      </c>
      <c r="G11">
        <v>4391</v>
      </c>
      <c r="H11">
        <v>-1</v>
      </c>
      <c r="I11">
        <v>1230.58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-1</v>
      </c>
      <c r="C12">
        <v>0</v>
      </c>
      <c r="D12">
        <v>48.47</v>
      </c>
      <c r="E12">
        <v>3883.52</v>
      </c>
      <c r="F12">
        <v>60.18</v>
      </c>
      <c r="G12">
        <v>4508</v>
      </c>
      <c r="H12">
        <v>-1</v>
      </c>
      <c r="I12">
        <v>0</v>
      </c>
      <c r="J12">
        <v>-1</v>
      </c>
      <c r="K12">
        <v>1176</v>
      </c>
      <c r="L12">
        <v>-1</v>
      </c>
      <c r="M12">
        <v>0</v>
      </c>
    </row>
    <row r="13" spans="1:13">
      <c r="A13" t="s">
        <v>24</v>
      </c>
      <c r="B13">
        <v>48.76</v>
      </c>
      <c r="C13">
        <v>4919</v>
      </c>
      <c r="D13">
        <v>48.77</v>
      </c>
      <c r="E13">
        <v>3844.27</v>
      </c>
      <c r="F13">
        <v>56.2</v>
      </c>
      <c r="G13">
        <v>4405</v>
      </c>
      <c r="H13">
        <v>-1</v>
      </c>
      <c r="I13">
        <v>812.07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47.16</v>
      </c>
      <c r="C14">
        <v>5036</v>
      </c>
      <c r="D14">
        <v>46.71</v>
      </c>
      <c r="E14">
        <v>3720.19</v>
      </c>
      <c r="F14">
        <v>54.2</v>
      </c>
      <c r="G14">
        <v>4384</v>
      </c>
      <c r="H14">
        <v>-1</v>
      </c>
      <c r="I14">
        <v>0</v>
      </c>
      <c r="J14">
        <v>-1</v>
      </c>
      <c r="K14">
        <v>1019</v>
      </c>
      <c r="L14">
        <v>-1</v>
      </c>
      <c r="M14">
        <v>0</v>
      </c>
    </row>
    <row r="15" spans="1:13">
      <c r="A15" t="s">
        <v>26</v>
      </c>
      <c r="B15">
        <v>-1</v>
      </c>
      <c r="C15">
        <v>0</v>
      </c>
      <c r="D15">
        <v>49.65</v>
      </c>
      <c r="E15">
        <v>3879.98</v>
      </c>
      <c r="F15">
        <v>67.6</v>
      </c>
      <c r="G15">
        <v>4529</v>
      </c>
      <c r="H15">
        <v>-1</v>
      </c>
      <c r="I15">
        <v>985.52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48.1</v>
      </c>
      <c r="C16">
        <v>4965</v>
      </c>
      <c r="D16">
        <v>48.07</v>
      </c>
      <c r="E16">
        <v>3812.89</v>
      </c>
      <c r="F16">
        <v>59.23</v>
      </c>
      <c r="G16">
        <v>4515</v>
      </c>
      <c r="H16">
        <v>57.8</v>
      </c>
      <c r="I16">
        <v>4154.37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47.98</v>
      </c>
      <c r="C17">
        <v>5169</v>
      </c>
      <c r="D17">
        <v>47.93</v>
      </c>
      <c r="E17">
        <v>3752.74</v>
      </c>
      <c r="F17">
        <v>60.36</v>
      </c>
      <c r="G17">
        <v>4345</v>
      </c>
      <c r="H17">
        <v>-1</v>
      </c>
      <c r="I17">
        <v>0</v>
      </c>
      <c r="J17">
        <v>-1</v>
      </c>
      <c r="K17">
        <v>853</v>
      </c>
      <c r="L17">
        <v>-1</v>
      </c>
      <c r="M17">
        <v>0</v>
      </c>
    </row>
    <row r="18" spans="1:13">
      <c r="A18" t="s">
        <v>29</v>
      </c>
      <c r="B18">
        <v>47.94</v>
      </c>
      <c r="C18">
        <v>5002</v>
      </c>
      <c r="D18">
        <v>47.9</v>
      </c>
      <c r="E18">
        <v>3710.86</v>
      </c>
      <c r="F18">
        <v>56</v>
      </c>
      <c r="G18">
        <v>4194</v>
      </c>
      <c r="H18">
        <v>-1</v>
      </c>
      <c r="I18">
        <v>968.27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50.32</v>
      </c>
      <c r="C19">
        <v>5352</v>
      </c>
      <c r="D19">
        <v>50.28</v>
      </c>
      <c r="E19">
        <v>3943.06</v>
      </c>
      <c r="F19">
        <v>56.99</v>
      </c>
      <c r="G19">
        <v>4616</v>
      </c>
      <c r="H19">
        <v>-1</v>
      </c>
      <c r="I19">
        <v>1214.99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68.3</v>
      </c>
      <c r="C20">
        <v>4783</v>
      </c>
      <c r="D20">
        <v>47.15</v>
      </c>
      <c r="E20">
        <v>3611.54</v>
      </c>
      <c r="F20">
        <v>56.36</v>
      </c>
      <c r="G20">
        <v>4163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46.69</v>
      </c>
      <c r="C21">
        <v>5041</v>
      </c>
      <c r="D21">
        <v>46.66</v>
      </c>
      <c r="E21">
        <v>3731.69</v>
      </c>
      <c r="F21">
        <v>55.88</v>
      </c>
      <c r="G21">
        <v>4367</v>
      </c>
      <c r="H21">
        <v>-1</v>
      </c>
      <c r="I21">
        <v>911.34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49.7338888888889</v>
      </c>
      <c r="B25" s="4">
        <f>IFERROR(AVERAGEIF($D$2:$D$21,"&lt;&gt; -1"),0)</f>
        <v>48.5</v>
      </c>
      <c r="C25" s="4">
        <f>IFERROR(AVERAGEIF($F$2:$F$21,"&lt;&gt; -1"),0)</f>
        <v>58.6231578947368</v>
      </c>
      <c r="D25" s="4">
        <f>IFERROR(AVERAGEIF($H$2:$H$21,"&lt;&gt; -1"),0)</f>
        <v>64.4457142857143</v>
      </c>
      <c r="E25" s="4">
        <f>IFERROR(AVERAGEIF($J$2:$J$21,"&lt;&gt; -1"),0)</f>
        <v>58.51</v>
      </c>
      <c r="F25" s="4">
        <f>IFERROR(AVERAGEIF($L$2:$L$21,"&lt;&gt; -1"),0)</f>
        <v>0</v>
      </c>
      <c r="G25" s="4">
        <f>IFERROR(AVERAGEIFS($C$2:$C$21,$B$2:$B$21,"&lt;&gt; -1"),0)</f>
        <v>5114.88888888889</v>
      </c>
      <c r="H25" s="4">
        <f>IFERROR(AVERAGEIFS($E$2:$E$21,$D$2:$D$21,"&lt;&gt; -1"),0)</f>
        <v>3803.6795</v>
      </c>
      <c r="I25" s="4">
        <f>IFERROR(AVERAGEIFS($G$2:$G$21,$F$2:$F$21,"&lt;&gt; -1"),0)</f>
        <v>4423.31578947368</v>
      </c>
      <c r="J25" s="4">
        <f>IFERROR(AVERAGEIFS($I$2:$I$21,$H$2:$H$21,"&lt;&gt; -1"),0)</f>
        <v>4130.21571428571</v>
      </c>
      <c r="K25" s="4">
        <f>IFERROR(AVERAGEIFS($K$2:$K$21,$J$2:$J$21,"&lt;&gt; -1"),0)</f>
        <v>4282</v>
      </c>
      <c r="L25" s="4">
        <f>IFERROR(AVERAGEIFS($M$2:$M$21,$L$2:$L$21,"&lt;&gt; -1"),0)</f>
        <v>0</v>
      </c>
      <c r="M25" s="4">
        <f>IFERROR(_xlfn.MAXIFS($B$2:$B$21,$B$2:$B$21,"&lt;&gt; -1"),0)</f>
        <v>68.3</v>
      </c>
      <c r="N25" s="4">
        <f>IFERROR(_xlfn.MAXIFS($D$2:$D$21,$D$2:$D$21,"&lt;&gt;-1"),0)</f>
        <v>50.5</v>
      </c>
      <c r="O25" s="4">
        <f>IFERROR(_xlfn.MAXIFS($F$2:$F$21,$F$2:$F$21,"&lt;&gt; -1"),0)</f>
        <v>71.35</v>
      </c>
      <c r="P25" s="4">
        <f>IFERROR(_xlfn.MAXIFS($H$2:$H$21,$H$2:$H$21,"&lt;&gt; -1"),0)</f>
        <v>77.69</v>
      </c>
      <c r="Q25" s="4">
        <f>IFERROR(_xlfn.MAXIFS($J$2:$J$21,$J$2:$J$21,"&lt;&gt; -1"),0)</f>
        <v>58.51</v>
      </c>
      <c r="R25" s="4">
        <f>IFERROR(_xlfn.MAXIFS($L$2:$L$21,$L$2:$L$21,"&lt;&gt; -1"),0)</f>
        <v>0</v>
      </c>
      <c r="S25" s="4">
        <f>IFERROR(_xlfn.MINIFS($B$2:$B$21,$B$2:$B$21,"&lt;&gt; -1"),0)</f>
        <v>46.69</v>
      </c>
      <c r="T25" s="4">
        <f>IFERROR(_xlfn.MINIFS($D$2:$D$21,$D$2:$D$21,"&lt;&gt;-1"),0)</f>
        <v>46.66</v>
      </c>
      <c r="U25" s="4">
        <f>IFERROR(_xlfn.MINIFS($F$2:$F$21,$F$2:$F$21,"&lt;&gt; -1"),0)</f>
        <v>52.74</v>
      </c>
      <c r="V25" s="4">
        <f>IFERROR(_xlfn.MINIFS($H$2:$H$21,$H$2:$H$21,"&lt;&gt; -1"),0)</f>
        <v>56.78</v>
      </c>
      <c r="W25" s="4">
        <f>IFERROR(_xlfn.MINIFS($J$2:$J$21,$J$2:$J$21,"&lt;&gt; -1"),0)</f>
        <v>58.51</v>
      </c>
      <c r="X25" s="4">
        <f>IFERROR(_xlfn.MINIFS($L$2:$L$21,$L$2:$L$21,"&lt;&gt; -1"),0)</f>
        <v>0</v>
      </c>
      <c r="Y25" s="4">
        <f>IFERROR(_xlfn.MAXIFS($C$2:$C$21,$B$2:$B$21,"&lt;&gt; -1"),0)</f>
        <v>5448</v>
      </c>
      <c r="Z25" s="4">
        <f>IFERROR(_xlfn.MAXIFS($E$2:$E$21,$D$2:$D$21,"&lt;&gt; -1"),0)</f>
        <v>3943.06</v>
      </c>
      <c r="AA25" s="4">
        <f>IFERROR(_xlfn.MAXIFS($G$2:$G$21,$F$2:$F$21,"&lt;&gt; -1"),0)</f>
        <v>4616</v>
      </c>
      <c r="AB25" s="4">
        <f>IFERROR(_xlfn.MAXIFS($I$2:$I$21,$H$2:$H$21,"&lt;&gt; -1"),0)</f>
        <v>4235.73</v>
      </c>
      <c r="AC25" s="4">
        <f>IFERROR(_xlfn.MAXIFS($K$2:$K$21,$J$2:$J$21,"&lt;&gt; -1"),0)</f>
        <v>4282</v>
      </c>
      <c r="AD25" s="4">
        <f>IFERROR(_xlfn.MAXIFS($M$2:$M$21,$L$2:$L$21,"&lt;&gt; -1"),0)</f>
        <v>0</v>
      </c>
      <c r="AE25" s="4">
        <f>IFERROR(_xlfn.MINIFS($C$2:$C$21,$B$2:$B$21,"&lt;&gt; -1"),0)</f>
        <v>4783</v>
      </c>
      <c r="AF25" s="4">
        <f>IFERROR(_xlfn.MINIFS($E$2:$E$21,$D$2:$D$21,"&lt;&gt; -1"),0)</f>
        <v>3611.54</v>
      </c>
      <c r="AG25" s="4">
        <f>IFERROR(_xlfn.MINIFS($G$2:$G$21,$F$2:$F$21,"&lt;&gt; -1"),0)</f>
        <v>4163</v>
      </c>
      <c r="AH25" s="4">
        <f>IFERROR(_xlfn.MINIFS($I$2:$I$21,$H$2:$H$21,"&lt;&gt; -1"),0)</f>
        <v>3966.3</v>
      </c>
      <c r="AI25" s="4">
        <f>IFERROR(_xlfn.MINIFS($K$2:$K$21,$J$2:$J$21,"&lt;&gt; -1"),0)</f>
        <v>4282</v>
      </c>
      <c r="AJ25" s="4">
        <f>IFERROR(_xlfn.MINIFS($M$2:$M$21,$L$2:$L$21,"&lt;&gt; -1"),0)</f>
        <v>0</v>
      </c>
      <c r="AK25" s="4">
        <f>(COUNTIFS($B$2:$B$21,"&gt;0.0",$B$2:$B$21,"&lt;200.0"))/20</f>
        <v>0.9</v>
      </c>
      <c r="AL25" s="4">
        <f>(COUNTIFS($D$2:$D$21,"&gt;0.0",$D$2:$D$21,"&lt;200.0"))/20</f>
        <v>1</v>
      </c>
      <c r="AM25" s="4">
        <f>(COUNTIFS($F$2:$F$21,"&gt;0.0",$F$2:$F$21,"&lt;200.0"))/20</f>
        <v>0.95</v>
      </c>
      <c r="AN25" s="4">
        <f>(COUNTIFS($H$2:$H$21,"&gt;0.0",$H$2:$H$21,"&lt;200.0"))/20</f>
        <v>0.35</v>
      </c>
      <c r="AO25" s="4">
        <f>(COUNTIFS($J$2:$J$21,"&gt;0.0",$J$2:$J$21,"&lt;200.0"))/20</f>
        <v>0.05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workbookViewId="0">
      <selection activeCell="A26" sqref="$A26:$XFD2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55.29</v>
      </c>
      <c r="C2">
        <v>5039</v>
      </c>
      <c r="D2">
        <v>55.13</v>
      </c>
      <c r="E2">
        <v>3735.12</v>
      </c>
      <c r="F2">
        <v>66.24</v>
      </c>
      <c r="G2">
        <v>4365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52.63</v>
      </c>
      <c r="C3">
        <v>4837</v>
      </c>
      <c r="D3">
        <v>52.6</v>
      </c>
      <c r="E3">
        <v>3780.92</v>
      </c>
      <c r="F3">
        <v>58.79</v>
      </c>
      <c r="G3">
        <v>4397</v>
      </c>
      <c r="H3">
        <v>59.04</v>
      </c>
      <c r="I3">
        <v>4124.09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54.86</v>
      </c>
      <c r="C4">
        <v>5315</v>
      </c>
      <c r="D4">
        <v>54.81</v>
      </c>
      <c r="E4">
        <v>3863.08</v>
      </c>
      <c r="F4">
        <v>61.03</v>
      </c>
      <c r="G4">
        <v>4421</v>
      </c>
      <c r="H4">
        <v>67.34</v>
      </c>
      <c r="I4">
        <v>4151.92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54.99</v>
      </c>
      <c r="C5">
        <v>5303</v>
      </c>
      <c r="D5">
        <v>54.9</v>
      </c>
      <c r="E5">
        <v>3681.28</v>
      </c>
      <c r="F5">
        <v>71.52</v>
      </c>
      <c r="G5">
        <v>4211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53.89</v>
      </c>
      <c r="C6">
        <v>4757</v>
      </c>
      <c r="D6">
        <v>53.91</v>
      </c>
      <c r="E6">
        <v>3740.43</v>
      </c>
      <c r="F6">
        <v>57.27</v>
      </c>
      <c r="G6">
        <v>4319</v>
      </c>
      <c r="H6">
        <v>59.18</v>
      </c>
      <c r="I6">
        <v>4066.12</v>
      </c>
      <c r="J6">
        <v>-1</v>
      </c>
      <c r="K6">
        <v>552</v>
      </c>
      <c r="L6">
        <v>-1</v>
      </c>
      <c r="M6">
        <v>0</v>
      </c>
    </row>
    <row r="7" spans="1:13">
      <c r="A7" t="s">
        <v>18</v>
      </c>
      <c r="B7">
        <v>56.02</v>
      </c>
      <c r="C7">
        <v>5538</v>
      </c>
      <c r="D7">
        <v>55.95</v>
      </c>
      <c r="E7">
        <v>3878.47</v>
      </c>
      <c r="F7">
        <v>63.68</v>
      </c>
      <c r="G7">
        <v>4452</v>
      </c>
      <c r="H7">
        <v>-1</v>
      </c>
      <c r="I7">
        <v>1010.6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53.69</v>
      </c>
      <c r="C8">
        <v>5778</v>
      </c>
      <c r="D8">
        <v>53.69</v>
      </c>
      <c r="E8">
        <v>4136.6</v>
      </c>
      <c r="F8">
        <v>82.76</v>
      </c>
      <c r="G8">
        <v>4746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52.92</v>
      </c>
      <c r="C9">
        <v>4915</v>
      </c>
      <c r="D9">
        <v>52.85</v>
      </c>
      <c r="E9">
        <v>3621.28</v>
      </c>
      <c r="F9">
        <v>69.47</v>
      </c>
      <c r="G9">
        <v>4231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54.13</v>
      </c>
      <c r="C10">
        <v>5004</v>
      </c>
      <c r="D10">
        <v>54.08</v>
      </c>
      <c r="E10">
        <v>3784.75</v>
      </c>
      <c r="F10">
        <v>64.1</v>
      </c>
      <c r="G10">
        <v>4402</v>
      </c>
      <c r="H10">
        <v>78.68</v>
      </c>
      <c r="I10">
        <v>4105.91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54.25</v>
      </c>
      <c r="C11">
        <v>4892</v>
      </c>
      <c r="D11">
        <v>54.21</v>
      </c>
      <c r="E11">
        <v>3721.4</v>
      </c>
      <c r="F11">
        <v>58.94</v>
      </c>
      <c r="G11">
        <v>4316</v>
      </c>
      <c r="H11">
        <v>68.48</v>
      </c>
      <c r="I11">
        <v>4076.34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-1</v>
      </c>
      <c r="C12">
        <v>1167</v>
      </c>
      <c r="D12">
        <v>53.65</v>
      </c>
      <c r="E12">
        <v>3721.7</v>
      </c>
      <c r="F12">
        <v>60.5</v>
      </c>
      <c r="G12">
        <v>4328</v>
      </c>
      <c r="H12">
        <v>-1</v>
      </c>
      <c r="I12">
        <v>1074.44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53.57</v>
      </c>
      <c r="C13">
        <v>4689</v>
      </c>
      <c r="D13">
        <v>53.55</v>
      </c>
      <c r="E13">
        <v>3706.87</v>
      </c>
      <c r="F13">
        <v>59.02</v>
      </c>
      <c r="G13">
        <v>4275</v>
      </c>
      <c r="H13">
        <v>60.79</v>
      </c>
      <c r="I13">
        <v>4052.26</v>
      </c>
      <c r="J13">
        <v>-1</v>
      </c>
      <c r="K13">
        <v>874</v>
      </c>
      <c r="L13">
        <v>-1</v>
      </c>
      <c r="M13">
        <v>0</v>
      </c>
    </row>
    <row r="14" spans="1:13">
      <c r="A14" t="s">
        <v>25</v>
      </c>
      <c r="B14">
        <v>52.41</v>
      </c>
      <c r="C14">
        <v>4995</v>
      </c>
      <c r="D14">
        <v>52.32</v>
      </c>
      <c r="E14">
        <v>3701.61</v>
      </c>
      <c r="F14">
        <v>60.52</v>
      </c>
      <c r="G14">
        <v>4279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56.79</v>
      </c>
      <c r="C15">
        <v>5456</v>
      </c>
      <c r="D15">
        <v>56.67</v>
      </c>
      <c r="E15">
        <v>3808.59</v>
      </c>
      <c r="F15">
        <v>63.81</v>
      </c>
      <c r="G15">
        <v>4448</v>
      </c>
      <c r="H15">
        <v>80.53</v>
      </c>
      <c r="I15">
        <v>4155.82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53.25</v>
      </c>
      <c r="C16">
        <v>5463</v>
      </c>
      <c r="D16">
        <v>53.13</v>
      </c>
      <c r="E16">
        <v>3799.05</v>
      </c>
      <c r="F16">
        <v>71.91</v>
      </c>
      <c r="G16">
        <v>4483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51.97</v>
      </c>
      <c r="C17">
        <v>5073</v>
      </c>
      <c r="D17">
        <v>51.9</v>
      </c>
      <c r="E17">
        <v>3713.97</v>
      </c>
      <c r="F17">
        <v>58.4</v>
      </c>
      <c r="G17">
        <v>4245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53.15</v>
      </c>
      <c r="C18">
        <v>4800</v>
      </c>
      <c r="D18">
        <v>53.12</v>
      </c>
      <c r="E18">
        <v>3790.83</v>
      </c>
      <c r="F18">
        <v>58.85</v>
      </c>
      <c r="G18">
        <v>4292</v>
      </c>
      <c r="H18">
        <v>99.48</v>
      </c>
      <c r="I18">
        <v>4077.91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55.52</v>
      </c>
      <c r="C19">
        <v>5107</v>
      </c>
      <c r="D19">
        <v>55.51</v>
      </c>
      <c r="E19">
        <v>3936.28</v>
      </c>
      <c r="F19">
        <v>60.81</v>
      </c>
      <c r="G19">
        <v>4569</v>
      </c>
      <c r="H19">
        <v>-1</v>
      </c>
      <c r="I19">
        <v>1008.71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51.98</v>
      </c>
      <c r="C20">
        <v>4988</v>
      </c>
      <c r="D20">
        <v>51.72</v>
      </c>
      <c r="E20">
        <v>3659.61</v>
      </c>
      <c r="F20">
        <v>56.1</v>
      </c>
      <c r="G20">
        <v>4256</v>
      </c>
      <c r="H20">
        <v>56.1</v>
      </c>
      <c r="I20">
        <v>4026.08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50.74</v>
      </c>
      <c r="C21">
        <v>5182</v>
      </c>
      <c r="D21">
        <v>50.6</v>
      </c>
      <c r="E21">
        <v>3758.43</v>
      </c>
      <c r="F21">
        <v>64.49</v>
      </c>
      <c r="G21">
        <v>4430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5" spans="1:42">
      <c r="A25" s="2" t="s">
        <v>33</v>
      </c>
      <c r="B25" s="2" t="s">
        <v>34</v>
      </c>
      <c r="C25" s="2" t="s">
        <v>35</v>
      </c>
      <c r="D25" s="3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3" t="s">
        <v>42</v>
      </c>
      <c r="K25" s="2" t="s">
        <v>43</v>
      </c>
      <c r="L25" s="2" t="s">
        <v>44</v>
      </c>
      <c r="M25" s="2" t="s">
        <v>45</v>
      </c>
      <c r="N25" s="2" t="s">
        <v>46</v>
      </c>
      <c r="O25" s="2" t="s">
        <v>47</v>
      </c>
      <c r="P25" s="3" t="s">
        <v>48</v>
      </c>
      <c r="Q25" s="2" t="s">
        <v>49</v>
      </c>
      <c r="R25" s="2" t="s">
        <v>50</v>
      </c>
      <c r="S25" s="2" t="s">
        <v>51</v>
      </c>
      <c r="T25" s="2" t="s">
        <v>52</v>
      </c>
      <c r="U25" s="2" t="s">
        <v>53</v>
      </c>
      <c r="V25" s="3" t="s">
        <v>54</v>
      </c>
      <c r="W25" s="2" t="s">
        <v>55</v>
      </c>
      <c r="X25" s="2" t="s">
        <v>56</v>
      </c>
      <c r="Y25" s="2" t="s">
        <v>57</v>
      </c>
      <c r="Z25" s="2" t="s">
        <v>58</v>
      </c>
      <c r="AA25" s="2" t="s">
        <v>59</v>
      </c>
      <c r="AB25" s="3" t="s">
        <v>60</v>
      </c>
      <c r="AC25" s="2" t="s">
        <v>61</v>
      </c>
      <c r="AD25" s="2" t="s">
        <v>62</v>
      </c>
      <c r="AE25" s="2" t="s">
        <v>63</v>
      </c>
      <c r="AF25" s="2" t="s">
        <v>64</v>
      </c>
      <c r="AG25" s="2" t="s">
        <v>65</v>
      </c>
      <c r="AH25" s="3" t="s">
        <v>66</v>
      </c>
      <c r="AI25" s="2" t="s">
        <v>67</v>
      </c>
      <c r="AJ25" s="2" t="s">
        <v>68</v>
      </c>
      <c r="AK25" s="2" t="s">
        <v>69</v>
      </c>
      <c r="AL25" s="2" t="s">
        <v>70</v>
      </c>
      <c r="AM25" s="2" t="s">
        <v>71</v>
      </c>
      <c r="AN25" s="3" t="s">
        <v>72</v>
      </c>
      <c r="AO25" s="2" t="s">
        <v>73</v>
      </c>
      <c r="AP25" s="2" t="s">
        <v>74</v>
      </c>
    </row>
    <row r="26" spans="1:42">
      <c r="A26" s="4">
        <f>IFERROR(AVERAGEIF($B$2:$B$21,"&lt;&gt; -1"),0)</f>
        <v>53.7921052631579</v>
      </c>
      <c r="B26" s="4">
        <f>IFERROR(AVERAGEIF($D$2:$D$21,"&lt;&gt; -1"),0)</f>
        <v>53.715</v>
      </c>
      <c r="C26" s="4">
        <f>IFERROR(AVERAGEIF($F$2:$F$21,"&lt;&gt; -1"),0)</f>
        <v>63.4105</v>
      </c>
      <c r="D26" s="4">
        <f>IFERROR(AVERAGEIF($H$2:$H$21,"&lt;&gt; -1"),0)</f>
        <v>69.9577777777778</v>
      </c>
      <c r="E26" s="4">
        <f>IFERROR(AVERAGEIF($J$2:$J$21,"&lt;&gt; -1"),0)</f>
        <v>0</v>
      </c>
      <c r="F26" s="4">
        <f>IFERROR(AVERAGEIF($L$2:$L$21,"&lt;&gt; -1"),0)</f>
        <v>0</v>
      </c>
      <c r="G26" s="4">
        <f>IFERROR(AVERAGEIFS($C$2:$C$21,$B$2:$B$21,"&lt;&gt; -1"),0)</f>
        <v>5112.15789473684</v>
      </c>
      <c r="H26" s="4">
        <f>IFERROR(AVERAGEIFS($E$2:$E$21,$D$2:$D$21,"&lt;&gt; -1"),0)</f>
        <v>3777.0135</v>
      </c>
      <c r="I26" s="4">
        <f>IFERROR(AVERAGEIFS($G$2:$G$21,$F$2:$F$21,"&lt;&gt; -1"),0)</f>
        <v>4373.25</v>
      </c>
      <c r="J26" s="4">
        <f>IFERROR(AVERAGEIFS($I$2:$I$21,$H$2:$H$21,"&lt;&gt; -1"),0)</f>
        <v>4092.93888888889</v>
      </c>
      <c r="K26" s="4">
        <f>IFERROR(AVERAGEIFS($K$2:$K$21,$J$2:$J$21,"&lt;&gt; -1"),0)</f>
        <v>0</v>
      </c>
      <c r="L26" s="4">
        <f>IFERROR(AVERAGEIFS($M$2:$M$21,$L$2:$L$21,"&lt;&gt; -1"),0)</f>
        <v>0</v>
      </c>
      <c r="M26" s="4">
        <f>IFERROR(_xlfn.MAXIFS($B$2:$B$21,$B$2:$B$21,"&lt;&gt; -1"),0)</f>
        <v>56.79</v>
      </c>
      <c r="N26" s="4">
        <f>IFERROR(_xlfn.MAXIFS($D$2:$D$21,$D$2:$D$21,"&lt;&gt;-1"),0)</f>
        <v>56.67</v>
      </c>
      <c r="O26" s="4">
        <f>IFERROR(_xlfn.MAXIFS($F$2:$F$21,$F$2:$F$21,"&lt;&gt; -1"),0)</f>
        <v>82.76</v>
      </c>
      <c r="P26" s="4">
        <f>IFERROR(_xlfn.MAXIFS($H$2:$H$21,$H$2:$H$21,"&lt;&gt; -1"),0)</f>
        <v>99.48</v>
      </c>
      <c r="Q26" s="4">
        <f>IFERROR(_xlfn.MAXIFS($J$2:$J$21,$J$2:$J$21,"&lt;&gt; -1"),0)</f>
        <v>0</v>
      </c>
      <c r="R26" s="4">
        <f>IFERROR(_xlfn.MAXIFS($L$2:$L$21,$L$2:$L$21,"&lt;&gt; -1"),0)</f>
        <v>0</v>
      </c>
      <c r="S26" s="4">
        <f>IFERROR(_xlfn.MINIFS($B$2:$B$21,$B$2:$B$21,"&lt;&gt; -1"),0)</f>
        <v>50.74</v>
      </c>
      <c r="T26" s="4">
        <f>IFERROR(_xlfn.MINIFS($D$2:$D$21,$D$2:$D$21,"&lt;&gt;-1"),0)</f>
        <v>50.6</v>
      </c>
      <c r="U26" s="4">
        <f>IFERROR(_xlfn.MINIFS($F$2:$F$21,$F$2:$F$21,"&lt;&gt; -1"),0)</f>
        <v>56.1</v>
      </c>
      <c r="V26" s="4">
        <f>IFERROR(_xlfn.MINIFS($H$2:$H$21,$H$2:$H$21,"&lt;&gt; -1"),0)</f>
        <v>56.1</v>
      </c>
      <c r="W26" s="4">
        <f>IFERROR(_xlfn.MINIFS($J$2:$J$21,$J$2:$J$21,"&lt;&gt; -1"),0)</f>
        <v>0</v>
      </c>
      <c r="X26" s="4">
        <f>IFERROR(_xlfn.MINIFS($L$2:$L$21,$L$2:$L$21,"&lt;&gt; -1"),0)</f>
        <v>0</v>
      </c>
      <c r="Y26" s="4">
        <f>IFERROR(_xlfn.MAXIFS($C$2:$C$21,$B$2:$B$21,"&lt;&gt; -1"),0)</f>
        <v>5778</v>
      </c>
      <c r="Z26" s="4">
        <f>IFERROR(_xlfn.MAXIFS($E$2:$E$21,$D$2:$D$21,"&lt;&gt; -1"),0)</f>
        <v>4136.6</v>
      </c>
      <c r="AA26" s="4">
        <f>IFERROR(_xlfn.MAXIFS($G$2:$G$21,$F$2:$F$21,"&lt;&gt; -1"),0)</f>
        <v>4746</v>
      </c>
      <c r="AB26" s="4">
        <f>IFERROR(_xlfn.MAXIFS($I$2:$I$21,$H$2:$H$21,"&lt;&gt; -1"),0)</f>
        <v>4155.82</v>
      </c>
      <c r="AC26" s="4">
        <f>IFERROR(_xlfn.MAXIFS($K$2:$K$21,$J$2:$J$21,"&lt;&gt; -1"),0)</f>
        <v>0</v>
      </c>
      <c r="AD26" s="4">
        <f>IFERROR(_xlfn.MAXIFS($M$2:$M$21,$L$2:$L$21,"&lt;&gt; -1"),0)</f>
        <v>0</v>
      </c>
      <c r="AE26" s="4">
        <f>IFERROR(_xlfn.MINIFS($C$2:$C$21,$B$2:$B$21,"&lt;&gt; -1"),0)</f>
        <v>4689</v>
      </c>
      <c r="AF26" s="4">
        <f>IFERROR(_xlfn.MINIFS($E$2:$E$21,$D$2:$D$21,"&lt;&gt; -1"),0)</f>
        <v>3621.28</v>
      </c>
      <c r="AG26" s="4">
        <f>IFERROR(_xlfn.MINIFS($G$2:$G$21,$F$2:$F$21,"&lt;&gt; -1"),0)</f>
        <v>4211</v>
      </c>
      <c r="AH26" s="4">
        <f>IFERROR(_xlfn.MINIFS($I$2:$I$21,$H$2:$H$21,"&lt;&gt; -1"),0)</f>
        <v>4026.08</v>
      </c>
      <c r="AI26" s="4">
        <f>IFERROR(_xlfn.MINIFS($K$2:$K$21,$J$2:$J$21,"&lt;&gt; -1"),0)</f>
        <v>0</v>
      </c>
      <c r="AJ26" s="4">
        <f>IFERROR(_xlfn.MINIFS($M$2:$M$21,$L$2:$L$21,"&lt;&gt; -1"),0)</f>
        <v>0</v>
      </c>
      <c r="AK26" s="4">
        <f>(COUNTIFS($B$2:$B$21,"&gt;0.0",$B$2:$B$21,"&lt;200.0"))/20</f>
        <v>0.95</v>
      </c>
      <c r="AL26" s="4">
        <f>(COUNTIFS($D$2:$D$21,"&gt;0.0",$D$2:$D$21,"&lt;200.0"))/20</f>
        <v>1</v>
      </c>
      <c r="AM26" s="4">
        <f>(COUNTIFS($F$2:$F$21,"&gt;0.0",$F$2:$F$21,"&lt;200.0"))/20</f>
        <v>1</v>
      </c>
      <c r="AN26" s="4">
        <f>(COUNTIFS($H$2:$H$21,"&gt;0.0",$H$2:$H$21,"&lt;200.0"))/20</f>
        <v>0.45</v>
      </c>
      <c r="AO26" s="4">
        <f>(COUNTIFS($J$2:$J$21,"&gt;0.0",$J$2:$J$21,"&lt;200.0"))/20</f>
        <v>0</v>
      </c>
      <c r="AP26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workbookViewId="0">
      <selection activeCell="A26" sqref="$A26:$XFD2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60.22</v>
      </c>
      <c r="C2">
        <v>5374</v>
      </c>
      <c r="D2">
        <v>60.15</v>
      </c>
      <c r="E2">
        <v>4033.73</v>
      </c>
      <c r="F2">
        <v>83.03</v>
      </c>
      <c r="G2">
        <v>4694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57.29</v>
      </c>
      <c r="C3">
        <v>5635</v>
      </c>
      <c r="D3">
        <v>57.16</v>
      </c>
      <c r="E3">
        <v>3899.53</v>
      </c>
      <c r="F3">
        <v>67.77</v>
      </c>
      <c r="G3">
        <v>4503</v>
      </c>
      <c r="H3">
        <v>-1</v>
      </c>
      <c r="I3">
        <v>1387.97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59.24</v>
      </c>
      <c r="C4">
        <v>5228</v>
      </c>
      <c r="D4">
        <v>59.17</v>
      </c>
      <c r="E4">
        <v>3974.68</v>
      </c>
      <c r="F4">
        <v>74.02</v>
      </c>
      <c r="G4">
        <v>4550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60.99</v>
      </c>
      <c r="C5">
        <v>5398</v>
      </c>
      <c r="D5">
        <v>60.86</v>
      </c>
      <c r="E5">
        <v>3919.25</v>
      </c>
      <c r="F5">
        <v>69.35</v>
      </c>
      <c r="G5">
        <v>4458</v>
      </c>
      <c r="H5">
        <v>88.56</v>
      </c>
      <c r="I5">
        <v>4238.63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58.13</v>
      </c>
      <c r="C6">
        <v>5496</v>
      </c>
      <c r="D6">
        <v>58.04</v>
      </c>
      <c r="E6">
        <v>3981.34</v>
      </c>
      <c r="F6">
        <v>66.4</v>
      </c>
      <c r="G6">
        <v>4514</v>
      </c>
      <c r="H6">
        <v>-1</v>
      </c>
      <c r="I6">
        <v>1240.61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60.49</v>
      </c>
      <c r="C7">
        <v>5993</v>
      </c>
      <c r="D7">
        <v>60.33</v>
      </c>
      <c r="E7">
        <v>4094.2</v>
      </c>
      <c r="F7">
        <v>77.97</v>
      </c>
      <c r="G7">
        <v>4731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1765</v>
      </c>
      <c r="D8">
        <v>58.08</v>
      </c>
      <c r="E8">
        <v>3877.58</v>
      </c>
      <c r="F8">
        <v>80.74</v>
      </c>
      <c r="G8">
        <v>4511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57.04</v>
      </c>
      <c r="C9">
        <v>4929</v>
      </c>
      <c r="D9">
        <v>56.31</v>
      </c>
      <c r="E9">
        <v>3670.13</v>
      </c>
      <c r="F9">
        <v>68.74</v>
      </c>
      <c r="G9">
        <v>4207</v>
      </c>
      <c r="H9">
        <v>-1</v>
      </c>
      <c r="I9">
        <v>1142.64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-1</v>
      </c>
      <c r="C10">
        <v>1313</v>
      </c>
      <c r="D10">
        <v>58.57</v>
      </c>
      <c r="E10">
        <v>3734.5</v>
      </c>
      <c r="F10">
        <v>69.57</v>
      </c>
      <c r="G10">
        <v>4343</v>
      </c>
      <c r="H10">
        <v>-1</v>
      </c>
      <c r="I10">
        <v>1201.11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1183</v>
      </c>
      <c r="D11">
        <v>57.7</v>
      </c>
      <c r="E11">
        <v>3790.07</v>
      </c>
      <c r="F11">
        <v>67.09</v>
      </c>
      <c r="G11">
        <v>4382</v>
      </c>
      <c r="H11">
        <v>83.61</v>
      </c>
      <c r="I11">
        <v>4078.64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57.73</v>
      </c>
      <c r="C12">
        <v>4983</v>
      </c>
      <c r="D12">
        <v>57.62</v>
      </c>
      <c r="E12">
        <v>3709.83</v>
      </c>
      <c r="F12">
        <v>66.13</v>
      </c>
      <c r="G12">
        <v>4301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-1</v>
      </c>
      <c r="C13">
        <v>0</v>
      </c>
      <c r="D13">
        <v>57.91</v>
      </c>
      <c r="E13">
        <v>3892.8</v>
      </c>
      <c r="F13">
        <v>68.26</v>
      </c>
      <c r="G13">
        <v>4395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56.16</v>
      </c>
      <c r="C14">
        <v>4872</v>
      </c>
      <c r="D14">
        <v>56.09</v>
      </c>
      <c r="E14">
        <v>3611.11</v>
      </c>
      <c r="F14">
        <v>64.79</v>
      </c>
      <c r="G14">
        <v>4228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61.1</v>
      </c>
      <c r="C15">
        <v>5340</v>
      </c>
      <c r="D15">
        <v>58.9</v>
      </c>
      <c r="E15">
        <v>3908.32</v>
      </c>
      <c r="F15">
        <v>71.91</v>
      </c>
      <c r="G15">
        <v>4578</v>
      </c>
      <c r="H15">
        <v>-1</v>
      </c>
      <c r="I15">
        <v>1077.9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-1</v>
      </c>
      <c r="C16">
        <v>0</v>
      </c>
      <c r="D16">
        <v>58.5</v>
      </c>
      <c r="E16">
        <v>3842.08</v>
      </c>
      <c r="F16">
        <v>-1</v>
      </c>
      <c r="G16">
        <v>1459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2093</v>
      </c>
      <c r="D17">
        <v>57.57</v>
      </c>
      <c r="E17">
        <v>3854.01</v>
      </c>
      <c r="F17">
        <v>79.77</v>
      </c>
      <c r="G17">
        <v>4468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1511</v>
      </c>
      <c r="D18">
        <v>58.18</v>
      </c>
      <c r="E18">
        <v>3764.8</v>
      </c>
      <c r="F18">
        <v>70.92</v>
      </c>
      <c r="G18">
        <v>4293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61.19</v>
      </c>
      <c r="C19">
        <v>5724</v>
      </c>
      <c r="D19">
        <v>61.03</v>
      </c>
      <c r="E19">
        <v>3971.51</v>
      </c>
      <c r="F19">
        <v>76.14</v>
      </c>
      <c r="G19">
        <v>4698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-1</v>
      </c>
      <c r="C20">
        <v>0</v>
      </c>
      <c r="D20">
        <v>56.97</v>
      </c>
      <c r="E20">
        <v>3655.96</v>
      </c>
      <c r="F20">
        <v>68.35</v>
      </c>
      <c r="G20">
        <v>4180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-1</v>
      </c>
      <c r="C21">
        <v>827</v>
      </c>
      <c r="D21">
        <v>58.54</v>
      </c>
      <c r="E21">
        <v>3672.21</v>
      </c>
      <c r="F21">
        <v>63.22</v>
      </c>
      <c r="G21">
        <v>4235</v>
      </c>
      <c r="H21">
        <v>65.22</v>
      </c>
      <c r="I21">
        <v>3977.05</v>
      </c>
      <c r="J21">
        <v>-1</v>
      </c>
      <c r="K21">
        <v>0</v>
      </c>
      <c r="L21">
        <v>-1</v>
      </c>
      <c r="M21">
        <v>0</v>
      </c>
    </row>
    <row r="25" spans="1:42">
      <c r="A25" s="2" t="s">
        <v>33</v>
      </c>
      <c r="B25" s="2" t="s">
        <v>34</v>
      </c>
      <c r="C25" s="2" t="s">
        <v>35</v>
      </c>
      <c r="D25" s="3" t="s">
        <v>36</v>
      </c>
      <c r="E25" s="2" t="s">
        <v>37</v>
      </c>
      <c r="F25" s="2" t="s">
        <v>38</v>
      </c>
      <c r="G25" s="2" t="s">
        <v>39</v>
      </c>
      <c r="H25" s="2" t="s">
        <v>40</v>
      </c>
      <c r="I25" s="2" t="s">
        <v>41</v>
      </c>
      <c r="J25" s="3" t="s">
        <v>42</v>
      </c>
      <c r="K25" s="2" t="s">
        <v>43</v>
      </c>
      <c r="L25" s="2" t="s">
        <v>44</v>
      </c>
      <c r="M25" s="2" t="s">
        <v>45</v>
      </c>
      <c r="N25" s="2" t="s">
        <v>46</v>
      </c>
      <c r="O25" s="2" t="s">
        <v>47</v>
      </c>
      <c r="P25" s="3" t="s">
        <v>48</v>
      </c>
      <c r="Q25" s="2" t="s">
        <v>49</v>
      </c>
      <c r="R25" s="2" t="s">
        <v>50</v>
      </c>
      <c r="S25" s="2" t="s">
        <v>51</v>
      </c>
      <c r="T25" s="2" t="s">
        <v>52</v>
      </c>
      <c r="U25" s="2" t="s">
        <v>53</v>
      </c>
      <c r="V25" s="3" t="s">
        <v>54</v>
      </c>
      <c r="W25" s="2" t="s">
        <v>55</v>
      </c>
      <c r="X25" s="2" t="s">
        <v>56</v>
      </c>
      <c r="Y25" s="2" t="s">
        <v>57</v>
      </c>
      <c r="Z25" s="2" t="s">
        <v>58</v>
      </c>
      <c r="AA25" s="2" t="s">
        <v>59</v>
      </c>
      <c r="AB25" s="3" t="s">
        <v>60</v>
      </c>
      <c r="AC25" s="2" t="s">
        <v>61</v>
      </c>
      <c r="AD25" s="2" t="s">
        <v>62</v>
      </c>
      <c r="AE25" s="2" t="s">
        <v>63</v>
      </c>
      <c r="AF25" s="2" t="s">
        <v>64</v>
      </c>
      <c r="AG25" s="2" t="s">
        <v>65</v>
      </c>
      <c r="AH25" s="3" t="s">
        <v>66</v>
      </c>
      <c r="AI25" s="2" t="s">
        <v>67</v>
      </c>
      <c r="AJ25" s="2" t="s">
        <v>68</v>
      </c>
      <c r="AK25" s="2" t="s">
        <v>69</v>
      </c>
      <c r="AL25" s="2" t="s">
        <v>70</v>
      </c>
      <c r="AM25" s="2" t="s">
        <v>71</v>
      </c>
      <c r="AN25" s="3" t="s">
        <v>72</v>
      </c>
      <c r="AO25" s="2" t="s">
        <v>73</v>
      </c>
      <c r="AP25" s="2" t="s">
        <v>74</v>
      </c>
    </row>
    <row r="26" spans="1:42">
      <c r="A26" s="4">
        <f>IFERROR(AVERAGEIF($B$2:$B$21,"&lt;&gt; -1"),0)</f>
        <v>59.0527272727273</v>
      </c>
      <c r="B26" s="4">
        <f>IFERROR(AVERAGEIF($D$2:$D$21,"&lt;&gt; -1"),0)</f>
        <v>58.384</v>
      </c>
      <c r="C26" s="4">
        <f>IFERROR(AVERAGEIF($F$2:$F$21,"&lt;&gt; -1"),0)</f>
        <v>71.2721052631579</v>
      </c>
      <c r="D26" s="4">
        <f>IFERROR(AVERAGEIF($H$2:$H$21,"&lt;&gt; -1"),0)</f>
        <v>79.13</v>
      </c>
      <c r="E26" s="4">
        <f>IFERROR(AVERAGEIF($J$2:$J$21,"&lt;&gt; -1"),0)</f>
        <v>0</v>
      </c>
      <c r="F26" s="4">
        <f>IFERROR(AVERAGEIF($L$2:$L$21,"&lt;&gt; -1"),0)</f>
        <v>0</v>
      </c>
      <c r="G26" s="4">
        <f>IFERROR(AVERAGEIFS($C$2:$C$21,$B$2:$B$21,"&lt;&gt; -1"),0)</f>
        <v>5361.09090909091</v>
      </c>
      <c r="H26" s="4">
        <f>IFERROR(AVERAGEIFS($E$2:$E$21,$D$2:$D$21,"&lt;&gt; -1"),0)</f>
        <v>3842.882</v>
      </c>
      <c r="I26" s="4">
        <f>IFERROR(AVERAGEIFS($G$2:$G$21,$F$2:$F$21,"&lt;&gt; -1"),0)</f>
        <v>4435.21052631579</v>
      </c>
      <c r="J26" s="4">
        <f>IFERROR(AVERAGEIFS($I$2:$I$21,$H$2:$H$21,"&lt;&gt; -1"),0)</f>
        <v>4098.10666666667</v>
      </c>
      <c r="K26" s="4">
        <f>IFERROR(AVERAGEIFS($K$2:$K$21,$J$2:$J$21,"&lt;&gt; -1"),0)</f>
        <v>0</v>
      </c>
      <c r="L26" s="4">
        <f>IFERROR(AVERAGEIFS($M$2:$M$21,$L$2:$L$21,"&lt;&gt; -1"),0)</f>
        <v>0</v>
      </c>
      <c r="M26" s="4">
        <f>IFERROR(_xlfn.MAXIFS($B$2:$B$21,$B$2:$B$21,"&lt;&gt; -1"),0)</f>
        <v>61.19</v>
      </c>
      <c r="N26" s="4">
        <f>IFERROR(_xlfn.MAXIFS($D$2:$D$21,$D$2:$D$21,"&lt;&gt;-1"),0)</f>
        <v>61.03</v>
      </c>
      <c r="O26" s="4">
        <f>IFERROR(_xlfn.MAXIFS($F$2:$F$21,$F$2:$F$21,"&lt;&gt; -1"),0)</f>
        <v>83.03</v>
      </c>
      <c r="P26" s="4">
        <f>IFERROR(_xlfn.MAXIFS($H$2:$H$21,$H$2:$H$21,"&lt;&gt; -1"),0)</f>
        <v>88.56</v>
      </c>
      <c r="Q26" s="4">
        <f>IFERROR(_xlfn.MAXIFS($J$2:$J$21,$J$2:$J$21,"&lt;&gt; -1"),0)</f>
        <v>0</v>
      </c>
      <c r="R26" s="4">
        <f>IFERROR(_xlfn.MAXIFS($L$2:$L$21,$L$2:$L$21,"&lt;&gt; -1"),0)</f>
        <v>0</v>
      </c>
      <c r="S26" s="4">
        <f>IFERROR(_xlfn.MINIFS($B$2:$B$21,$B$2:$B$21,"&lt;&gt; -1"),0)</f>
        <v>56.16</v>
      </c>
      <c r="T26" s="4">
        <f>IFERROR(_xlfn.MINIFS($D$2:$D$21,$D$2:$D$21,"&lt;&gt;-1"),0)</f>
        <v>56.09</v>
      </c>
      <c r="U26" s="4">
        <f>IFERROR(_xlfn.MINIFS($F$2:$F$21,$F$2:$F$21,"&lt;&gt; -1"),0)</f>
        <v>63.22</v>
      </c>
      <c r="V26" s="4">
        <f>IFERROR(_xlfn.MINIFS($H$2:$H$21,$H$2:$H$21,"&lt;&gt; -1"),0)</f>
        <v>65.22</v>
      </c>
      <c r="W26" s="4">
        <f>IFERROR(_xlfn.MINIFS($J$2:$J$21,$J$2:$J$21,"&lt;&gt; -1"),0)</f>
        <v>0</v>
      </c>
      <c r="X26" s="4">
        <f>IFERROR(_xlfn.MINIFS($L$2:$L$21,$L$2:$L$21,"&lt;&gt; -1"),0)</f>
        <v>0</v>
      </c>
      <c r="Y26" s="4">
        <f>IFERROR(_xlfn.MAXIFS($C$2:$C$21,$B$2:$B$21,"&lt;&gt; -1"),0)</f>
        <v>5993</v>
      </c>
      <c r="Z26" s="4">
        <f>IFERROR(_xlfn.MAXIFS($E$2:$E$21,$D$2:$D$21,"&lt;&gt; -1"),0)</f>
        <v>4094.2</v>
      </c>
      <c r="AA26" s="4">
        <f>IFERROR(_xlfn.MAXIFS($G$2:$G$21,$F$2:$F$21,"&lt;&gt; -1"),0)</f>
        <v>4731</v>
      </c>
      <c r="AB26" s="4">
        <f>IFERROR(_xlfn.MAXIFS($I$2:$I$21,$H$2:$H$21,"&lt;&gt; -1"),0)</f>
        <v>4238.63</v>
      </c>
      <c r="AC26" s="4">
        <f>IFERROR(_xlfn.MAXIFS($K$2:$K$21,$J$2:$J$21,"&lt;&gt; -1"),0)</f>
        <v>0</v>
      </c>
      <c r="AD26" s="4">
        <f>IFERROR(_xlfn.MAXIFS($M$2:$M$21,$L$2:$L$21,"&lt;&gt; -1"),0)</f>
        <v>0</v>
      </c>
      <c r="AE26" s="4">
        <f>IFERROR(_xlfn.MINIFS($C$2:$C$21,$B$2:$B$21,"&lt;&gt; -1"),0)</f>
        <v>4872</v>
      </c>
      <c r="AF26" s="4">
        <f>IFERROR(_xlfn.MINIFS($E$2:$E$21,$D$2:$D$21,"&lt;&gt; -1"),0)</f>
        <v>3611.11</v>
      </c>
      <c r="AG26" s="4">
        <f>IFERROR(_xlfn.MINIFS($G$2:$G$21,$F$2:$F$21,"&lt;&gt; -1"),0)</f>
        <v>4180</v>
      </c>
      <c r="AH26" s="4">
        <f>IFERROR(_xlfn.MINIFS($I$2:$I$21,$H$2:$H$21,"&lt;&gt; -1"),0)</f>
        <v>3977.05</v>
      </c>
      <c r="AI26" s="4">
        <f>IFERROR(_xlfn.MINIFS($K$2:$K$21,$J$2:$J$21,"&lt;&gt; -1"),0)</f>
        <v>0</v>
      </c>
      <c r="AJ26" s="4">
        <f>IFERROR(_xlfn.MINIFS($M$2:$M$21,$L$2:$L$21,"&lt;&gt; -1"),0)</f>
        <v>0</v>
      </c>
      <c r="AK26" s="4">
        <f>(COUNTIFS($B$2:$B$21,"&gt;0.0",$B$2:$B$21,"&lt;200.0"))/20</f>
        <v>0.55</v>
      </c>
      <c r="AL26" s="4">
        <f>(COUNTIFS($D$2:$D$21,"&gt;0.0",$D$2:$D$21,"&lt;200.0"))/20</f>
        <v>1</v>
      </c>
      <c r="AM26" s="4">
        <f>(COUNTIFS($F$2:$F$21,"&gt;0.0",$F$2:$F$21,"&lt;200.0"))/20</f>
        <v>0.95</v>
      </c>
      <c r="AN26" s="4">
        <f>(COUNTIFS($H$2:$H$21,"&gt;0.0",$H$2:$H$21,"&lt;200.0"))/20</f>
        <v>0.15</v>
      </c>
      <c r="AO26" s="4">
        <f>(COUNTIFS($J$2:$J$21,"&gt;0.0",$J$2:$J$21,"&lt;200.0"))/20</f>
        <v>0</v>
      </c>
      <c r="AP26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10" sqref="D10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42.8085</v>
      </c>
      <c r="B2">
        <v>42.8155</v>
      </c>
      <c r="C2">
        <v>46.8605</v>
      </c>
      <c r="D2">
        <v>49.8025</v>
      </c>
      <c r="E2">
        <v>53.9116666666667</v>
      </c>
      <c r="F2">
        <v>48.5745</v>
      </c>
      <c r="G2">
        <v>4643.9</v>
      </c>
      <c r="H2">
        <v>3726.5465</v>
      </c>
      <c r="I2">
        <v>4403.8</v>
      </c>
      <c r="J2">
        <v>4140.1685</v>
      </c>
      <c r="K2">
        <v>4395.05555555556</v>
      </c>
      <c r="L2">
        <v>3692.34</v>
      </c>
      <c r="M2">
        <v>48.37</v>
      </c>
      <c r="N2">
        <v>48.38</v>
      </c>
      <c r="O2">
        <v>54.19</v>
      </c>
      <c r="P2">
        <v>57.6</v>
      </c>
      <c r="Q2">
        <v>76.42</v>
      </c>
      <c r="R2">
        <v>59.34</v>
      </c>
      <c r="S2">
        <v>31.62</v>
      </c>
      <c r="T2">
        <v>31.64</v>
      </c>
      <c r="U2">
        <v>34.56</v>
      </c>
      <c r="V2">
        <v>36.86</v>
      </c>
      <c r="W2">
        <v>38.26</v>
      </c>
      <c r="X2">
        <v>33.7</v>
      </c>
      <c r="Y2">
        <v>4987</v>
      </c>
      <c r="Z2">
        <v>3949.84</v>
      </c>
      <c r="AA2">
        <v>4619</v>
      </c>
      <c r="AB2">
        <v>4375.21</v>
      </c>
      <c r="AC2">
        <v>4619</v>
      </c>
      <c r="AD2">
        <v>3878.21</v>
      </c>
      <c r="AE2">
        <v>4351</v>
      </c>
      <c r="AF2">
        <v>3477.89</v>
      </c>
      <c r="AG2">
        <v>4157</v>
      </c>
      <c r="AH2">
        <v>3810.26</v>
      </c>
      <c r="AI2">
        <v>4157</v>
      </c>
      <c r="AJ2">
        <v>3436</v>
      </c>
      <c r="AK2">
        <v>1</v>
      </c>
      <c r="AL2">
        <v>1</v>
      </c>
      <c r="AM2">
        <v>1</v>
      </c>
      <c r="AN2">
        <v>1</v>
      </c>
      <c r="AO2">
        <v>0.9</v>
      </c>
      <c r="AP2">
        <v>1</v>
      </c>
    </row>
    <row r="3" spans="1:42">
      <c r="A3">
        <v>40.8385</v>
      </c>
      <c r="B3">
        <v>40.7175</v>
      </c>
      <c r="C3">
        <v>46.9045</v>
      </c>
      <c r="D3">
        <v>51.36</v>
      </c>
      <c r="E3">
        <v>61.68</v>
      </c>
      <c r="F3">
        <v>0</v>
      </c>
      <c r="G3">
        <v>5131.2</v>
      </c>
      <c r="H3">
        <v>3819.4365</v>
      </c>
      <c r="I3">
        <v>4432.1</v>
      </c>
      <c r="J3">
        <v>4167.9445</v>
      </c>
      <c r="K3">
        <v>4127</v>
      </c>
      <c r="L3">
        <v>0</v>
      </c>
      <c r="M3">
        <v>49.42</v>
      </c>
      <c r="N3">
        <v>48.59</v>
      </c>
      <c r="O3">
        <v>54.37</v>
      </c>
      <c r="P3">
        <v>63.02</v>
      </c>
      <c r="Q3">
        <v>61.68</v>
      </c>
      <c r="R3">
        <v>0</v>
      </c>
      <c r="S3">
        <v>36.92</v>
      </c>
      <c r="T3">
        <v>36.87</v>
      </c>
      <c r="U3">
        <v>40.99</v>
      </c>
      <c r="V3">
        <v>45.68</v>
      </c>
      <c r="W3">
        <v>61.68</v>
      </c>
      <c r="X3">
        <v>0</v>
      </c>
      <c r="Y3">
        <v>5604</v>
      </c>
      <c r="Z3">
        <v>4026.05</v>
      </c>
      <c r="AA3">
        <v>4645</v>
      </c>
      <c r="AB3">
        <v>4365.58</v>
      </c>
      <c r="AC3">
        <v>4127</v>
      </c>
      <c r="AD3">
        <v>0</v>
      </c>
      <c r="AE3">
        <v>4786</v>
      </c>
      <c r="AF3">
        <v>3627.3</v>
      </c>
      <c r="AG3">
        <v>4130</v>
      </c>
      <c r="AH3">
        <v>3946.96</v>
      </c>
      <c r="AI3">
        <v>4127</v>
      </c>
      <c r="AJ3">
        <v>0</v>
      </c>
      <c r="AK3">
        <v>1</v>
      </c>
      <c r="AL3">
        <v>1</v>
      </c>
      <c r="AM3">
        <v>1</v>
      </c>
      <c r="AN3">
        <v>1</v>
      </c>
      <c r="AO3">
        <v>0.05</v>
      </c>
      <c r="AP3">
        <v>0</v>
      </c>
    </row>
    <row r="4" spans="1:42">
      <c r="A4">
        <v>46.2010526315789</v>
      </c>
      <c r="B4">
        <v>44.4135</v>
      </c>
      <c r="C4">
        <v>53.6433333333333</v>
      </c>
      <c r="D4">
        <v>69.7633333333333</v>
      </c>
      <c r="E4">
        <v>0</v>
      </c>
      <c r="F4">
        <v>0</v>
      </c>
      <c r="G4">
        <v>5193.31578947368</v>
      </c>
      <c r="H4">
        <v>3812.775</v>
      </c>
      <c r="I4">
        <v>4406.16666666667</v>
      </c>
      <c r="J4">
        <v>4132.28333333333</v>
      </c>
      <c r="K4">
        <v>0</v>
      </c>
      <c r="L4">
        <v>0</v>
      </c>
      <c r="M4">
        <v>67.4</v>
      </c>
      <c r="N4">
        <v>50.15</v>
      </c>
      <c r="O4">
        <v>68.61</v>
      </c>
      <c r="P4">
        <v>96.66</v>
      </c>
      <c r="Q4">
        <v>0</v>
      </c>
      <c r="R4">
        <v>0</v>
      </c>
      <c r="S4">
        <v>41.94</v>
      </c>
      <c r="T4">
        <v>41.66</v>
      </c>
      <c r="U4">
        <v>47.31</v>
      </c>
      <c r="V4">
        <v>51.41</v>
      </c>
      <c r="W4">
        <v>0</v>
      </c>
      <c r="X4">
        <v>0</v>
      </c>
      <c r="Y4">
        <v>5768</v>
      </c>
      <c r="Z4">
        <v>4006.17</v>
      </c>
      <c r="AA4">
        <v>4622</v>
      </c>
      <c r="AB4">
        <v>4283.24</v>
      </c>
      <c r="AC4">
        <v>0</v>
      </c>
      <c r="AD4">
        <v>0</v>
      </c>
      <c r="AE4">
        <v>4658</v>
      </c>
      <c r="AF4">
        <v>3507.96</v>
      </c>
      <c r="AG4">
        <v>4116</v>
      </c>
      <c r="AH4">
        <v>3924.31</v>
      </c>
      <c r="AI4">
        <v>0</v>
      </c>
      <c r="AJ4">
        <v>0</v>
      </c>
      <c r="AK4">
        <v>0.95</v>
      </c>
      <c r="AL4">
        <v>1</v>
      </c>
      <c r="AM4">
        <v>0.9</v>
      </c>
      <c r="AN4">
        <v>0.75</v>
      </c>
      <c r="AO4">
        <v>0</v>
      </c>
      <c r="AP4">
        <v>0</v>
      </c>
    </row>
    <row r="5" spans="1:42">
      <c r="A5">
        <v>49.7338888888889</v>
      </c>
      <c r="B5">
        <v>48.5</v>
      </c>
      <c r="C5">
        <v>58.6231578947368</v>
      </c>
      <c r="D5">
        <v>64.4457142857143</v>
      </c>
      <c r="E5">
        <v>58.51</v>
      </c>
      <c r="F5">
        <v>0</v>
      </c>
      <c r="G5">
        <v>5114.88888888889</v>
      </c>
      <c r="H5">
        <v>3803.6795</v>
      </c>
      <c r="I5">
        <v>4423.31578947368</v>
      </c>
      <c r="J5">
        <v>4130.21571428571</v>
      </c>
      <c r="K5">
        <v>4282</v>
      </c>
      <c r="L5">
        <v>0</v>
      </c>
      <c r="M5">
        <v>68.3</v>
      </c>
      <c r="N5">
        <v>50.5</v>
      </c>
      <c r="O5">
        <v>71.35</v>
      </c>
      <c r="P5">
        <v>77.69</v>
      </c>
      <c r="Q5">
        <v>58.51</v>
      </c>
      <c r="R5">
        <v>0</v>
      </c>
      <c r="S5">
        <v>46.69</v>
      </c>
      <c r="T5">
        <v>46.66</v>
      </c>
      <c r="U5">
        <v>52.74</v>
      </c>
      <c r="V5">
        <v>56.78</v>
      </c>
      <c r="W5">
        <v>58.51</v>
      </c>
      <c r="X5">
        <v>0</v>
      </c>
      <c r="Y5">
        <v>5448</v>
      </c>
      <c r="Z5">
        <v>3943.06</v>
      </c>
      <c r="AA5">
        <v>4616</v>
      </c>
      <c r="AB5">
        <v>4235.73</v>
      </c>
      <c r="AC5">
        <v>4282</v>
      </c>
      <c r="AD5">
        <v>0</v>
      </c>
      <c r="AE5">
        <v>4783</v>
      </c>
      <c r="AF5">
        <v>3611.54</v>
      </c>
      <c r="AG5">
        <v>4163</v>
      </c>
      <c r="AH5">
        <v>3966.3</v>
      </c>
      <c r="AI5">
        <v>4282</v>
      </c>
      <c r="AJ5">
        <v>0</v>
      </c>
      <c r="AK5">
        <v>0.9</v>
      </c>
      <c r="AL5">
        <v>1</v>
      </c>
      <c r="AM5">
        <v>0.95</v>
      </c>
      <c r="AN5">
        <v>0.35</v>
      </c>
      <c r="AO5">
        <v>0.05</v>
      </c>
      <c r="AP5">
        <v>0</v>
      </c>
    </row>
    <row r="6" spans="1:42">
      <c r="A6">
        <v>53.7921052631579</v>
      </c>
      <c r="B6">
        <v>53.715</v>
      </c>
      <c r="C6">
        <v>63.4105</v>
      </c>
      <c r="D6">
        <v>69.9577777777778</v>
      </c>
      <c r="E6">
        <v>0</v>
      </c>
      <c r="F6">
        <v>0</v>
      </c>
      <c r="G6">
        <v>5112.15789473684</v>
      </c>
      <c r="H6">
        <v>3777.0135</v>
      </c>
      <c r="I6">
        <v>4373.25</v>
      </c>
      <c r="J6">
        <v>4092.93888888889</v>
      </c>
      <c r="K6">
        <v>0</v>
      </c>
      <c r="L6">
        <v>0</v>
      </c>
      <c r="M6">
        <v>56.79</v>
      </c>
      <c r="N6">
        <v>56.67</v>
      </c>
      <c r="O6">
        <v>82.76</v>
      </c>
      <c r="P6">
        <v>99.48</v>
      </c>
      <c r="Q6">
        <v>0</v>
      </c>
      <c r="R6">
        <v>0</v>
      </c>
      <c r="S6">
        <v>50.74</v>
      </c>
      <c r="T6">
        <v>50.6</v>
      </c>
      <c r="U6">
        <v>56.1</v>
      </c>
      <c r="V6">
        <v>56.1</v>
      </c>
      <c r="W6">
        <v>0</v>
      </c>
      <c r="X6">
        <v>0</v>
      </c>
      <c r="Y6">
        <v>5778</v>
      </c>
      <c r="Z6">
        <v>4136.6</v>
      </c>
      <c r="AA6">
        <v>4746</v>
      </c>
      <c r="AB6">
        <v>4155.82</v>
      </c>
      <c r="AC6">
        <v>0</v>
      </c>
      <c r="AD6">
        <v>0</v>
      </c>
      <c r="AE6">
        <v>4689</v>
      </c>
      <c r="AF6">
        <v>3621.28</v>
      </c>
      <c r="AG6">
        <v>4211</v>
      </c>
      <c r="AH6">
        <v>4026.08</v>
      </c>
      <c r="AI6">
        <v>0</v>
      </c>
      <c r="AJ6">
        <v>0</v>
      </c>
      <c r="AK6">
        <v>0.95</v>
      </c>
      <c r="AL6">
        <v>1</v>
      </c>
      <c r="AM6">
        <v>1</v>
      </c>
      <c r="AN6">
        <v>0.45</v>
      </c>
      <c r="AO6">
        <v>0</v>
      </c>
      <c r="AP6">
        <v>0</v>
      </c>
    </row>
    <row r="7" spans="1:42">
      <c r="A7">
        <v>59.0527272727273</v>
      </c>
      <c r="B7">
        <v>58.384</v>
      </c>
      <c r="C7">
        <v>71.2721052631579</v>
      </c>
      <c r="D7">
        <v>79.13</v>
      </c>
      <c r="E7">
        <v>0</v>
      </c>
      <c r="F7">
        <v>0</v>
      </c>
      <c r="G7">
        <v>5361.09090909091</v>
      </c>
      <c r="H7">
        <v>3842.882</v>
      </c>
      <c r="I7">
        <v>4435.21052631579</v>
      </c>
      <c r="J7">
        <v>4098.10666666667</v>
      </c>
      <c r="K7">
        <v>0</v>
      </c>
      <c r="L7">
        <v>0</v>
      </c>
      <c r="M7">
        <v>61.19</v>
      </c>
      <c r="N7">
        <v>61.03</v>
      </c>
      <c r="O7">
        <v>83.03</v>
      </c>
      <c r="P7">
        <v>88.56</v>
      </c>
      <c r="Q7">
        <v>0</v>
      </c>
      <c r="R7">
        <v>0</v>
      </c>
      <c r="S7">
        <v>56.16</v>
      </c>
      <c r="T7">
        <v>56.09</v>
      </c>
      <c r="U7">
        <v>63.22</v>
      </c>
      <c r="V7">
        <v>65.22</v>
      </c>
      <c r="W7">
        <v>0</v>
      </c>
      <c r="X7">
        <v>0</v>
      </c>
      <c r="Y7">
        <v>5993</v>
      </c>
      <c r="Z7">
        <v>4094.2</v>
      </c>
      <c r="AA7">
        <v>4731</v>
      </c>
      <c r="AB7">
        <v>4238.63</v>
      </c>
      <c r="AC7">
        <v>0</v>
      </c>
      <c r="AD7">
        <v>0</v>
      </c>
      <c r="AE7">
        <v>4872</v>
      </c>
      <c r="AF7">
        <v>3611.11</v>
      </c>
      <c r="AG7">
        <v>4180</v>
      </c>
      <c r="AH7">
        <v>3977.05</v>
      </c>
      <c r="AI7">
        <v>0</v>
      </c>
      <c r="AJ7">
        <v>0</v>
      </c>
      <c r="AK7">
        <v>0.55</v>
      </c>
      <c r="AL7">
        <v>1</v>
      </c>
      <c r="AM7">
        <v>0.95</v>
      </c>
      <c r="AN7">
        <v>0.15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2024-08-28T20:04:00Z</dcterms:created>
  <dcterms:modified xsi:type="dcterms:W3CDTF">2024-08-29T14:48:56Z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81B84315C6F24F23B4107B684FFD4F87_12</vt:lpwstr>
  </property>
  <property fmtid="{D5CDD505-2E9C-101B-9397-08002B2CF9AE}" pid="3" name="KSOProductBuildVer">
    <vt:lpwstr>2052-12.1.0.17827</vt:lpwstr>
  </property>
</Properties>
</file>