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<sst xmlns="http://schemas.openxmlformats.org/spreadsheetml/2006/main" count="492" uniqueCount="75">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</sst>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111.63</v>
      </c>
      <c r="C2">
        <v>14366</v>
      </c>
      <c r="D2">
        <v>111.86</v>
      </c>
      <c r="E2">
        <v>11298.27</v>
      </c>
      <c r="F2">
        <v>-1</v>
      </c>
      <c r="G2">
        <v>0</v>
      </c>
      <c r="H2">
        <v>-1</v>
      </c>
      <c r="I2">
        <v>571.92</v>
      </c>
      <c r="J2">
        <v>-1</v>
      </c>
      <c r="K2">
        <v>0</v>
      </c>
      <c r="L2">
        <v>-1</v>
      </c>
      <c r="M2">
        <v>1064.21</v>
      </c>
    </row>
    <row r="3" spans="1:13">
      <c r="A3" t="s">
        <v>14</v>
      </c>
      <c r="B3">
        <v>119.16</v>
      </c>
      <c r="C3">
        <v>14957</v>
      </c>
      <c r="D3">
        <v>119.34</v>
      </c>
      <c r="E3">
        <v>11845.33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119.77</v>
      </c>
      <c r="C4">
        <v>13089</v>
      </c>
      <c r="D4">
        <v>119.92</v>
      </c>
      <c r="E4">
        <v>10937.87</v>
      </c>
      <c r="F4">
        <v>-1</v>
      </c>
      <c r="G4">
        <v>815</v>
      </c>
      <c r="H4">
        <v>137.16</v>
      </c>
      <c r="I4">
        <v>12453.83</v>
      </c>
      <c r="J4">
        <v>-1</v>
      </c>
      <c r="K4">
        <v>815</v>
      </c>
      <c r="L4">
        <v>-1</v>
      </c>
      <c r="M4">
        <v>691.64</v>
      </c>
    </row>
    <row r="5" spans="1:13">
      <c r="A5" t="s">
        <v>16</v>
      </c>
      <c r="B5">
        <v>120.46</v>
      </c>
      <c r="C5">
        <v>13813</v>
      </c>
      <c r="D5">
        <v>120.7</v>
      </c>
      <c r="E5">
        <v>11460.69</v>
      </c>
      <c r="F5">
        <v>-1</v>
      </c>
      <c r="G5">
        <v>1007</v>
      </c>
      <c r="H5">
        <v>-1</v>
      </c>
      <c r="I5">
        <v>8516.71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116.42</v>
      </c>
      <c r="C6">
        <v>13740</v>
      </c>
      <c r="D6">
        <v>116.55</v>
      </c>
      <c r="E6">
        <v>10905.55</v>
      </c>
      <c r="F6">
        <v>-1</v>
      </c>
      <c r="G6">
        <v>1494</v>
      </c>
      <c r="H6">
        <v>-1</v>
      </c>
      <c r="I6">
        <v>9377.8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118.35</v>
      </c>
      <c r="C7">
        <v>12896</v>
      </c>
      <c r="D7">
        <v>118.48</v>
      </c>
      <c r="E7">
        <v>10710.45</v>
      </c>
      <c r="F7">
        <v>128.12</v>
      </c>
      <c r="G7">
        <v>12836</v>
      </c>
      <c r="H7">
        <v>137.62</v>
      </c>
      <c r="I7">
        <v>12292.23</v>
      </c>
      <c r="J7">
        <v>-1</v>
      </c>
      <c r="K7">
        <v>5233</v>
      </c>
      <c r="L7">
        <v>-1</v>
      </c>
      <c r="M7">
        <v>8770.1</v>
      </c>
    </row>
    <row r="8" spans="1:13">
      <c r="A8" t="s">
        <v>19</v>
      </c>
      <c r="B8">
        <v>120.25</v>
      </c>
      <c r="C8">
        <v>13188</v>
      </c>
      <c r="D8">
        <v>120.51</v>
      </c>
      <c r="E8">
        <v>10937.22</v>
      </c>
      <c r="F8">
        <v>140.57</v>
      </c>
      <c r="G8">
        <v>13054</v>
      </c>
      <c r="H8">
        <v>-1</v>
      </c>
      <c r="I8">
        <v>12457.06</v>
      </c>
      <c r="J8">
        <v>-1</v>
      </c>
      <c r="K8">
        <v>0</v>
      </c>
      <c r="L8">
        <v>131.76</v>
      </c>
      <c r="M8">
        <v>10949.41</v>
      </c>
    </row>
    <row r="9" spans="1:13">
      <c r="A9" t="s">
        <v>20</v>
      </c>
      <c r="B9">
        <v>122.24</v>
      </c>
      <c r="C9">
        <v>13924</v>
      </c>
      <c r="D9">
        <v>122.46</v>
      </c>
      <c r="E9">
        <v>11266.46</v>
      </c>
      <c r="F9">
        <v>-1</v>
      </c>
      <c r="G9">
        <v>674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116.1</v>
      </c>
      <c r="C10">
        <v>13566</v>
      </c>
      <c r="D10">
        <v>116.24</v>
      </c>
      <c r="E10">
        <v>11234.34</v>
      </c>
      <c r="F10">
        <v>-1</v>
      </c>
      <c r="G10">
        <v>0</v>
      </c>
      <c r="H10">
        <v>135.55</v>
      </c>
      <c r="I10">
        <v>12901.85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115.93</v>
      </c>
      <c r="C11">
        <v>13595</v>
      </c>
      <c r="D11">
        <v>116.12</v>
      </c>
      <c r="E11">
        <v>11300.98</v>
      </c>
      <c r="F11">
        <v>-1</v>
      </c>
      <c r="G11">
        <v>9423</v>
      </c>
      <c r="H11">
        <v>-1</v>
      </c>
      <c r="I11">
        <v>686.66</v>
      </c>
      <c r="J11">
        <v>-1</v>
      </c>
      <c r="K11">
        <v>4074</v>
      </c>
      <c r="L11">
        <v>160.03</v>
      </c>
      <c r="M11">
        <v>11289.96</v>
      </c>
    </row>
    <row r="12" spans="1:13">
      <c r="A12" t="s">
        <v>23</v>
      </c>
      <c r="B12">
        <v>123.34</v>
      </c>
      <c r="C12">
        <v>13603</v>
      </c>
      <c r="D12">
        <v>123.55</v>
      </c>
      <c r="E12">
        <v>11293.78</v>
      </c>
      <c r="F12">
        <v>136.48</v>
      </c>
      <c r="G12">
        <v>13473</v>
      </c>
      <c r="H12">
        <v>-1</v>
      </c>
      <c r="I12">
        <v>2191.41</v>
      </c>
      <c r="J12">
        <v>-1</v>
      </c>
      <c r="K12">
        <v>5914</v>
      </c>
      <c r="L12">
        <v>-1</v>
      </c>
      <c r="M12">
        <v>4885.14</v>
      </c>
    </row>
    <row r="13" spans="1:13">
      <c r="A13" t="s">
        <v>24</v>
      </c>
      <c r="B13">
        <v>119.48</v>
      </c>
      <c r="C13">
        <v>13210</v>
      </c>
      <c r="D13">
        <v>119.62</v>
      </c>
      <c r="E13">
        <v>11003.74</v>
      </c>
      <c r="F13">
        <v>-1</v>
      </c>
      <c r="G13">
        <v>10507</v>
      </c>
      <c r="H13">
        <v>148.44</v>
      </c>
      <c r="I13">
        <v>12609.49</v>
      </c>
      <c r="J13">
        <v>-1</v>
      </c>
      <c r="K13">
        <v>0</v>
      </c>
      <c r="L13">
        <v>145.4</v>
      </c>
      <c r="M13">
        <v>11010.12</v>
      </c>
    </row>
    <row r="14" spans="1:13">
      <c r="A14" t="s">
        <v>25</v>
      </c>
      <c r="B14">
        <v>116.13</v>
      </c>
      <c r="C14">
        <v>12994</v>
      </c>
      <c r="D14">
        <v>116.27</v>
      </c>
      <c r="E14">
        <v>10855.24</v>
      </c>
      <c r="F14">
        <v>-1</v>
      </c>
      <c r="G14">
        <v>9402</v>
      </c>
      <c r="H14">
        <v>-1</v>
      </c>
      <c r="I14">
        <v>829.95</v>
      </c>
      <c r="J14">
        <v>-1</v>
      </c>
      <c r="K14">
        <v>2675</v>
      </c>
      <c r="L14">
        <v>130.32</v>
      </c>
      <c r="M14">
        <v>10808.22</v>
      </c>
    </row>
    <row r="15" spans="1:13">
      <c r="A15" t="s">
        <v>26</v>
      </c>
      <c r="B15">
        <v>115.96</v>
      </c>
      <c r="C15">
        <v>14991</v>
      </c>
      <c r="D15">
        <v>116.07</v>
      </c>
      <c r="E15">
        <v>11721.81</v>
      </c>
      <c r="F15">
        <v>-1</v>
      </c>
      <c r="G15">
        <v>6138</v>
      </c>
      <c r="H15">
        <v>-1</v>
      </c>
      <c r="I15">
        <v>4718.1</v>
      </c>
      <c r="J15">
        <v>-1</v>
      </c>
      <c r="K15">
        <v>1776</v>
      </c>
      <c r="L15">
        <v>-1</v>
      </c>
      <c r="M15">
        <v>667.04</v>
      </c>
    </row>
    <row r="16" spans="1:13">
      <c r="A16" t="s">
        <v>27</v>
      </c>
      <c r="B16">
        <v>121.33</v>
      </c>
      <c r="C16">
        <v>13288</v>
      </c>
      <c r="D16">
        <v>121.54</v>
      </c>
      <c r="E16">
        <v>10995.92</v>
      </c>
      <c r="F16">
        <v>141.73</v>
      </c>
      <c r="G16">
        <v>13226</v>
      </c>
      <c r="H16">
        <v>-1</v>
      </c>
      <c r="I16">
        <v>3831.19</v>
      </c>
      <c r="J16">
        <v>-1</v>
      </c>
      <c r="K16">
        <v>8840</v>
      </c>
      <c r="L16">
        <v>126.41</v>
      </c>
      <c r="M16">
        <v>11037.89</v>
      </c>
    </row>
    <row r="17" spans="1:13">
      <c r="A17" t="s">
        <v>28</v>
      </c>
      <c r="B17">
        <v>115.6</v>
      </c>
      <c r="C17">
        <v>12229</v>
      </c>
      <c r="D17">
        <v>115.8</v>
      </c>
      <c r="E17">
        <v>10152.9</v>
      </c>
      <c r="F17">
        <v>122.2</v>
      </c>
      <c r="G17">
        <v>12043</v>
      </c>
      <c r="H17">
        <v>-1</v>
      </c>
      <c r="I17">
        <v>10285.49</v>
      </c>
      <c r="J17">
        <v>134.34</v>
      </c>
      <c r="K17">
        <v>12043</v>
      </c>
      <c r="L17">
        <v>120.8</v>
      </c>
      <c r="M17">
        <v>10136.37</v>
      </c>
    </row>
    <row r="18" spans="1:13">
      <c r="A18" t="s">
        <v>29</v>
      </c>
      <c r="B18">
        <v>122.38</v>
      </c>
      <c r="C18">
        <v>14852</v>
      </c>
      <c r="D18">
        <v>122.44</v>
      </c>
      <c r="E18">
        <v>11702.22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640.63</v>
      </c>
    </row>
    <row r="19" spans="1:13">
      <c r="A19" t="s">
        <v>30</v>
      </c>
      <c r="B19">
        <v>123.63</v>
      </c>
      <c r="C19">
        <v>13247</v>
      </c>
      <c r="D19">
        <v>123.79</v>
      </c>
      <c r="E19">
        <v>10948.42</v>
      </c>
      <c r="F19">
        <v>-1</v>
      </c>
      <c r="G19">
        <v>4799</v>
      </c>
      <c r="H19">
        <v>-1</v>
      </c>
      <c r="I19">
        <v>3907.85</v>
      </c>
      <c r="J19">
        <v>-1</v>
      </c>
      <c r="K19">
        <v>861</v>
      </c>
      <c r="L19">
        <v>131.75</v>
      </c>
      <c r="M19">
        <v>10977.46</v>
      </c>
    </row>
    <row r="20" spans="1:13">
      <c r="A20" t="s">
        <v>31</v>
      </c>
      <c r="B20">
        <v>137.64</v>
      </c>
      <c r="C20">
        <v>13512</v>
      </c>
      <c r="D20">
        <v>138.04</v>
      </c>
      <c r="E20">
        <v>11214.85</v>
      </c>
      <c r="F20">
        <v>156.08</v>
      </c>
      <c r="G20">
        <v>13454</v>
      </c>
      <c r="H20">
        <v>154.3</v>
      </c>
      <c r="I20">
        <v>12814.95</v>
      </c>
      <c r="J20">
        <v>141.54</v>
      </c>
      <c r="K20">
        <v>13455</v>
      </c>
      <c r="L20">
        <v>160.96</v>
      </c>
      <c r="M20">
        <v>11244.6</v>
      </c>
    </row>
    <row r="21" spans="1:13">
      <c r="A21" t="s">
        <v>32</v>
      </c>
      <c r="B21">
        <v>123.64</v>
      </c>
      <c r="C21">
        <v>13436</v>
      </c>
      <c r="D21">
        <v>123.89</v>
      </c>
      <c r="E21">
        <v>11135.95</v>
      </c>
      <c r="F21">
        <v>-1</v>
      </c>
      <c r="G21">
        <v>11089</v>
      </c>
      <c r="H21">
        <v>156.07</v>
      </c>
      <c r="I21">
        <v>12789.64</v>
      </c>
      <c r="J21">
        <v>-1</v>
      </c>
      <c r="K21">
        <v>0</v>
      </c>
      <c r="L21">
        <v>-1</v>
      </c>
      <c r="M21">
        <v>5542.79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119.972</v>
      </c>
      <c r="B24" s="4">
        <f>IFERROR(AVERAGEIF($D$2:$D$21,"&lt;&gt; -1"),0)</f>
        <v>120.1595</v>
      </c>
      <c r="C24" s="4">
        <f>IFERROR(AVERAGEIF($F$2:$F$21,"&lt;&gt; -1"),0)</f>
        <v>137.53</v>
      </c>
      <c r="D24" s="4">
        <f>IFERROR(AVERAGEIF($H$2:$H$21,"&lt;&gt; -1"),0)</f>
        <v>144.856666666667</v>
      </c>
      <c r="E24" s="4">
        <f>IFERROR(AVERAGEIF($J$2:$J$21,"&lt;&gt; -1"),0)</f>
        <v>137.94</v>
      </c>
      <c r="F24" s="4">
        <f>IFERROR(AVERAGEIF($L$2:$L$21,"&lt;&gt; -1"),0)</f>
        <v>138.42875</v>
      </c>
      <c r="G24" s="4">
        <f>IFERROR(AVERAGEIFS($C$2:$C$21,$B$2:$B$21,"&lt;&gt; -1"),0)</f>
        <v>13624.8</v>
      </c>
      <c r="H24" s="4">
        <f>IFERROR(AVERAGEIFS($E$2:$E$21,$D$2:$D$21,"&lt;&gt; -1"),0)</f>
        <v>11146.0995</v>
      </c>
      <c r="I24" s="4">
        <f>IFERROR(AVERAGEIFS($G$2:$G$21,$F$2:$F$21,"&lt;&gt; -1"),0)</f>
        <v>13014.3333333333</v>
      </c>
      <c r="J24" s="4">
        <f>IFERROR(AVERAGEIFS($I$2:$I$21,$H$2:$H$21,"&lt;&gt; -1"),0)</f>
        <v>12643.665</v>
      </c>
      <c r="K24" s="4">
        <f>IFERROR(AVERAGEIFS($K$2:$K$21,$J$2:$J$21,"&lt;&gt; -1"),0)</f>
        <v>12749</v>
      </c>
      <c r="L24" s="4">
        <f>IFERROR(AVERAGEIFS($M$2:$M$21,$L$2:$L$21,"&lt;&gt; -1"),0)</f>
        <v>10931.75375</v>
      </c>
      <c r="M24" s="4">
        <f>IFERROR(_xlfn.MAXIFS($B$2:$B$21,$B$2:$B$21,"&lt;&gt; -1"),0)</f>
        <v>137.64</v>
      </c>
      <c r="N24" s="4">
        <f>IFERROR(_xlfn.MAXIFS($D$2:$D$21,$D$2:$D$21,"&lt;&gt;-1"),0)</f>
        <v>138.04</v>
      </c>
      <c r="O24" s="4">
        <f>IFERROR(_xlfn.MAXIFS($F$2:$F$21,$F$2:$F$21,"&lt;&gt; -1"),0)</f>
        <v>156.08</v>
      </c>
      <c r="P24" s="4">
        <f>IFERROR(_xlfn.MAXIFS($H$2:$H$21,$H$2:$H$21,"&lt;&gt; -1"),0)</f>
        <v>156.07</v>
      </c>
      <c r="Q24" s="4">
        <f>IFERROR(_xlfn.MAXIFS($J$2:$J$21,$J$2:$J$21,"&lt;&gt; -1"),0)</f>
        <v>141.54</v>
      </c>
      <c r="R24" s="4">
        <f>IFERROR(_xlfn.MAXIFS($L$2:$L$21,$L$2:$L$21,"&lt;&gt; -1"),0)</f>
        <v>160.96</v>
      </c>
      <c r="S24" s="4">
        <f>IFERROR(_xlfn.MINIFS($B$2:$B$21,$B$2:$B$21,"&lt;&gt; -1"),0)</f>
        <v>111.63</v>
      </c>
      <c r="T24" s="4">
        <f>IFERROR(_xlfn.MINIFS($D$2:$D$21,$D$2:$D$21,"&lt;&gt;-1"),0)</f>
        <v>111.86</v>
      </c>
      <c r="U24" s="4">
        <f>IFERROR(_xlfn.MINIFS($F$2:$F$21,$F$2:$F$21,"&lt;&gt; -1"),0)</f>
        <v>122.2</v>
      </c>
      <c r="V24" s="4">
        <f>IFERROR(_xlfn.MINIFS($H$2:$H$21,$H$2:$H$21,"&lt;&gt; -1"),0)</f>
        <v>135.55</v>
      </c>
      <c r="W24" s="4">
        <f>IFERROR(_xlfn.MINIFS($J$2:$J$21,$J$2:$J$21,"&lt;&gt; -1"),0)</f>
        <v>134.34</v>
      </c>
      <c r="X24" s="4">
        <f>IFERROR(_xlfn.MINIFS($L$2:$L$21,$L$2:$L$21,"&lt;&gt; -1"),0)</f>
        <v>120.8</v>
      </c>
      <c r="Y24" s="4">
        <f>IFERROR(_xlfn.MAXIFS($C$2:$C$21,$B$2:$B$21,"&lt;&gt; -1"),0)</f>
        <v>14991</v>
      </c>
      <c r="Z24" s="4">
        <f>IFERROR(_xlfn.MAXIFS($E$2:$E$21,$D$2:$D$21,"&lt;&gt; -1"),0)</f>
        <v>11845.33</v>
      </c>
      <c r="AA24" s="4">
        <f>IFERROR(_xlfn.MAXIFS($G$2:$G$21,$F$2:$F$21,"&lt;&gt; -1"),0)</f>
        <v>13473</v>
      </c>
      <c r="AB24" s="4">
        <f>IFERROR(_xlfn.MAXIFS($I$2:$I$21,$H$2:$H$21,"&lt;&gt; -1"),0)</f>
        <v>12901.85</v>
      </c>
      <c r="AC24" s="4">
        <f>IFERROR(_xlfn.MAXIFS($K$2:$K$21,$J$2:$J$21,"&lt;&gt; -1"),0)</f>
        <v>13455</v>
      </c>
      <c r="AD24" s="4">
        <f>IFERROR(_xlfn.MAXIFS($M$2:$M$21,$L$2:$L$21,"&lt;&gt; -1"),0)</f>
        <v>11289.96</v>
      </c>
      <c r="AE24" s="4">
        <f>IFERROR(_xlfn.MINIFS($C$2:$C$21,$B$2:$B$21,"&lt;&gt; -1"),0)</f>
        <v>12229</v>
      </c>
      <c r="AF24" s="4">
        <f>IFERROR(_xlfn.MINIFS($E$2:$E$21,$D$2:$D$21,"&lt;&gt; -1"),0)</f>
        <v>10152.9</v>
      </c>
      <c r="AG24" s="4">
        <f>IFERROR(_xlfn.MINIFS($G$2:$G$21,$F$2:$F$21,"&lt;&gt; -1"),0)</f>
        <v>12043</v>
      </c>
      <c r="AH24" s="4">
        <f>IFERROR(_xlfn.MINIFS($I$2:$I$21,$H$2:$H$21,"&lt;&gt; -1"),0)</f>
        <v>12292.23</v>
      </c>
      <c r="AI24" s="4">
        <f>IFERROR(_xlfn.MINIFS($K$2:$K$21,$J$2:$J$21,"&lt;&gt; -1"),0)</f>
        <v>12043</v>
      </c>
      <c r="AJ24" s="4">
        <f>IFERROR(_xlfn.MINIFS($M$2:$M$21,$L$2:$L$21,"&lt;&gt; -1"),0)</f>
        <v>10136.37</v>
      </c>
      <c r="AK24" s="4">
        <f>(COUNTIFS($B$2:$B$21,"&gt;0.0",$B$2:$B$21,"&lt;400.0"))/20</f>
        <v>1</v>
      </c>
      <c r="AL24" s="4">
        <f>(COUNTIFS($D$2:$D$21,"&gt;0.0",$D$2:$D$21,"&lt;400.0"))/20</f>
        <v>1</v>
      </c>
      <c r="AM24" s="4">
        <f>(COUNTIFS($F$2:$F$21,"&gt;0.0",$F$2:$F$21,"&lt;400.0"))/20</f>
        <v>0.3</v>
      </c>
      <c r="AN24" s="4">
        <f>(COUNTIFS($H$2:$H$21,"&gt;0.0",$H$2:$H$21,"&lt;400.0"))/20</f>
        <v>0.3</v>
      </c>
      <c r="AO24" s="4">
        <f>(COUNTIFS($J$2:$J$21,"&gt;0.0",$J$2:$J$21,"&lt;400.0"))/20</f>
        <v>0.1</v>
      </c>
      <c r="AP24" s="4">
        <f>(COUNTIFS($L$2:$L$21,"&gt;0.0",$L$2:$L$21,"&lt;400.0"))/20</f>
        <v>0.4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0</v>
      </c>
      <c r="D2">
        <v>135.51</v>
      </c>
      <c r="E2">
        <v>9992.13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140.69</v>
      </c>
      <c r="C3">
        <v>15942</v>
      </c>
      <c r="D3">
        <v>140.8</v>
      </c>
      <c r="E3">
        <v>12085.35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143.75</v>
      </c>
      <c r="C4">
        <v>15264</v>
      </c>
      <c r="D4">
        <v>143.72</v>
      </c>
      <c r="E4">
        <v>11493.43</v>
      </c>
      <c r="F4">
        <v>-1</v>
      </c>
      <c r="G4">
        <v>2106</v>
      </c>
      <c r="H4">
        <v>-1</v>
      </c>
      <c r="I4">
        <v>2031.88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144.61</v>
      </c>
      <c r="C5">
        <v>14490</v>
      </c>
      <c r="D5">
        <v>144.66</v>
      </c>
      <c r="E5">
        <v>11282.34</v>
      </c>
      <c r="F5">
        <v>-1</v>
      </c>
      <c r="G5">
        <v>1751</v>
      </c>
      <c r="H5">
        <v>-1</v>
      </c>
      <c r="I5">
        <v>4604.53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3057</v>
      </c>
      <c r="D6">
        <v>138.34</v>
      </c>
      <c r="E6">
        <v>10848.57</v>
      </c>
      <c r="F6">
        <v>-1</v>
      </c>
      <c r="G6">
        <v>2275</v>
      </c>
      <c r="H6">
        <v>-1</v>
      </c>
      <c r="I6">
        <v>2213.66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188.53</v>
      </c>
      <c r="C7">
        <v>14005</v>
      </c>
      <c r="D7">
        <v>189.14</v>
      </c>
      <c r="E7">
        <v>11289.05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191.5</v>
      </c>
      <c r="C8">
        <v>14026</v>
      </c>
      <c r="D8">
        <v>191.45</v>
      </c>
      <c r="E8">
        <v>11292.44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175.3</v>
      </c>
      <c r="C9">
        <v>15118</v>
      </c>
      <c r="D9">
        <v>175.25</v>
      </c>
      <c r="E9">
        <v>11481.36</v>
      </c>
      <c r="F9">
        <v>-1</v>
      </c>
      <c r="G9">
        <v>0</v>
      </c>
      <c r="H9">
        <v>-1</v>
      </c>
      <c r="I9">
        <v>2241.48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193.74</v>
      </c>
      <c r="C10">
        <v>14272</v>
      </c>
      <c r="D10">
        <v>193.97</v>
      </c>
      <c r="E10">
        <v>11418.14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192.2</v>
      </c>
      <c r="C11">
        <v>15106</v>
      </c>
      <c r="D11">
        <v>192.81</v>
      </c>
      <c r="E11">
        <v>11667.94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192.77</v>
      </c>
      <c r="C12">
        <v>14387</v>
      </c>
      <c r="D12">
        <v>192.83</v>
      </c>
      <c r="E12">
        <v>11347.62</v>
      </c>
      <c r="F12">
        <v>-1</v>
      </c>
      <c r="G12">
        <v>4733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150.57</v>
      </c>
      <c r="C13">
        <v>15678</v>
      </c>
      <c r="D13">
        <v>150.58</v>
      </c>
      <c r="E13">
        <v>11650.22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183.97</v>
      </c>
      <c r="C14">
        <v>13657</v>
      </c>
      <c r="D14">
        <v>184.03</v>
      </c>
      <c r="E14">
        <v>11029.13</v>
      </c>
      <c r="F14">
        <v>-1</v>
      </c>
      <c r="G14">
        <v>0</v>
      </c>
      <c r="H14">
        <v>-1</v>
      </c>
      <c r="I14">
        <v>2120.87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140.25</v>
      </c>
      <c r="C15">
        <v>15213</v>
      </c>
      <c r="D15">
        <v>140.23</v>
      </c>
      <c r="E15">
        <v>11702.05</v>
      </c>
      <c r="F15">
        <v>-1</v>
      </c>
      <c r="G15">
        <v>8275</v>
      </c>
      <c r="H15">
        <v>-1</v>
      </c>
      <c r="I15">
        <v>1924.2</v>
      </c>
      <c r="J15">
        <v>-1</v>
      </c>
      <c r="K15">
        <v>0</v>
      </c>
      <c r="L15">
        <v>-1</v>
      </c>
      <c r="M15">
        <v>1712.38</v>
      </c>
    </row>
    <row r="16" spans="1:13">
      <c r="A16" t="s">
        <v>27</v>
      </c>
      <c r="B16">
        <v>146.19</v>
      </c>
      <c r="C16">
        <v>14157</v>
      </c>
      <c r="D16">
        <v>146.04</v>
      </c>
      <c r="E16">
        <v>11047.56</v>
      </c>
      <c r="F16">
        <v>-1</v>
      </c>
      <c r="G16">
        <v>2166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141.82</v>
      </c>
      <c r="C17">
        <v>13312</v>
      </c>
      <c r="D17">
        <v>141.98</v>
      </c>
      <c r="E17">
        <v>10650.63</v>
      </c>
      <c r="F17">
        <v>-1</v>
      </c>
      <c r="G17">
        <v>0</v>
      </c>
      <c r="H17">
        <v>-1</v>
      </c>
      <c r="I17">
        <v>0</v>
      </c>
      <c r="J17">
        <v>-1</v>
      </c>
      <c r="K17">
        <v>2265</v>
      </c>
      <c r="L17">
        <v>-1</v>
      </c>
      <c r="M17">
        <v>0</v>
      </c>
    </row>
    <row r="18" spans="1:13">
      <c r="A18" t="s">
        <v>29</v>
      </c>
      <c r="B18">
        <v>149.23</v>
      </c>
      <c r="C18">
        <v>13691</v>
      </c>
      <c r="D18">
        <v>149.15</v>
      </c>
      <c r="E18">
        <v>10938.55</v>
      </c>
      <c r="F18">
        <v>-1</v>
      </c>
      <c r="G18">
        <v>0</v>
      </c>
      <c r="H18">
        <v>-1</v>
      </c>
      <c r="I18">
        <v>1799.91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154.51</v>
      </c>
      <c r="C19">
        <v>14142</v>
      </c>
      <c r="D19">
        <v>154.42</v>
      </c>
      <c r="E19">
        <v>11116.54</v>
      </c>
      <c r="F19">
        <v>-1</v>
      </c>
      <c r="G19">
        <v>1941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142.86</v>
      </c>
      <c r="C20">
        <v>15013</v>
      </c>
      <c r="D20">
        <v>142.92</v>
      </c>
      <c r="E20">
        <v>10989.7</v>
      </c>
      <c r="F20">
        <v>-1</v>
      </c>
      <c r="G20">
        <v>0</v>
      </c>
      <c r="H20">
        <v>-1</v>
      </c>
      <c r="I20">
        <v>2275.69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143.94</v>
      </c>
      <c r="C21">
        <v>13651</v>
      </c>
      <c r="D21">
        <v>143.91</v>
      </c>
      <c r="E21">
        <v>11001.27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162.023888888889</v>
      </c>
      <c r="B24" s="4">
        <f>IFERROR(AVERAGEIF($D$2:$D$21,"&lt;&gt; -1"),0)</f>
        <v>159.587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14506.8888888889</v>
      </c>
      <c r="H24" s="4">
        <f>IFERROR(AVERAGEIFS($E$2:$E$21,$D$2:$D$21,"&lt;&gt; -1"),0)</f>
        <v>11216.201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193.74</v>
      </c>
      <c r="N24" s="4">
        <f>IFERROR(_xlfn.MAXIFS($D$2:$D$21,$D$2:$D$21,"&lt;&gt;-1"),0)</f>
        <v>193.97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140.25</v>
      </c>
      <c r="T24" s="4">
        <f>IFERROR(_xlfn.MINIFS($D$2:$D$21,$D$2:$D$21,"&lt;&gt;-1"),0)</f>
        <v>135.51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15942</v>
      </c>
      <c r="Z24" s="4">
        <f>IFERROR(_xlfn.MAXIFS($E$2:$E$21,$D$2:$D$21,"&lt;&gt; -1"),0)</f>
        <v>12085.35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13312</v>
      </c>
      <c r="AF24" s="4">
        <f>IFERROR(_xlfn.MINIFS($E$2:$E$21,$D$2:$D$21,"&lt;&gt; -1"),0)</f>
        <v>9992.13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(COUNTIFS($B$2:$B$21,"&gt;0.0",$B$2:$B$21,"&lt;400.0"))/20</f>
        <v>0.9</v>
      </c>
      <c r="AL24" s="4">
        <f>(COUNTIFS($D$2:$D$21,"&gt;0.0",$D$2:$D$21,"&lt;400.0"))/20</f>
        <v>1</v>
      </c>
      <c r="AM24" s="4">
        <f>(COUNTIFS($F$2:$F$21,"&gt;0.0",$F$2:$F$21,"&lt;400.0"))/20</f>
        <v>0</v>
      </c>
      <c r="AN24" s="4">
        <f>(COUNTIFS($H$2:$H$21,"&gt;0.0",$H$2:$H$21,"&lt;400.0"))/20</f>
        <v>0</v>
      </c>
      <c r="AO24" s="4">
        <f>(COUNTIFS($J$2:$J$21,"&gt;0.0",$J$2:$J$21,"&lt;400.0"))/20</f>
        <v>0</v>
      </c>
      <c r="AP24" s="4">
        <f>(COUNTIFS($L$2:$L$21,"&gt;0.0",$L$2:$L$21,"&lt;400.0"))/20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155.09</v>
      </c>
      <c r="C2">
        <v>13577</v>
      </c>
      <c r="D2">
        <v>155.14</v>
      </c>
      <c r="E2">
        <v>10565.93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167.12</v>
      </c>
      <c r="C3">
        <v>14339</v>
      </c>
      <c r="D3">
        <v>167.03</v>
      </c>
      <c r="E3">
        <v>11318.61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166.96</v>
      </c>
      <c r="C4">
        <v>14367</v>
      </c>
      <c r="D4">
        <v>166.94</v>
      </c>
      <c r="E4">
        <v>11261.46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167.3</v>
      </c>
      <c r="C5">
        <v>13973</v>
      </c>
      <c r="D5">
        <v>167.41</v>
      </c>
      <c r="E5">
        <v>11075.44</v>
      </c>
      <c r="F5">
        <v>-1</v>
      </c>
      <c r="G5">
        <v>0</v>
      </c>
      <c r="H5">
        <v>-1</v>
      </c>
      <c r="I5">
        <v>5658.95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3950</v>
      </c>
      <c r="D6">
        <v>164.94</v>
      </c>
      <c r="E6">
        <v>11204.22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-1</v>
      </c>
      <c r="C7">
        <v>0</v>
      </c>
      <c r="D7">
        <v>165.27</v>
      </c>
      <c r="E7">
        <v>10706.09</v>
      </c>
      <c r="F7">
        <v>-1</v>
      </c>
      <c r="G7">
        <v>0</v>
      </c>
      <c r="H7">
        <v>-1</v>
      </c>
      <c r="I7">
        <v>2669.63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2966</v>
      </c>
      <c r="D8">
        <v>215.66</v>
      </c>
      <c r="E8">
        <v>10621.36</v>
      </c>
      <c r="F8">
        <v>-1</v>
      </c>
      <c r="G8">
        <v>2752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-1</v>
      </c>
      <c r="C9">
        <v>3600</v>
      </c>
      <c r="D9">
        <v>164.91</v>
      </c>
      <c r="E9">
        <v>11182.91</v>
      </c>
      <c r="F9">
        <v>-1</v>
      </c>
      <c r="G9">
        <v>0</v>
      </c>
      <c r="H9">
        <v>-1</v>
      </c>
      <c r="I9">
        <v>3279.99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164.83</v>
      </c>
      <c r="C10">
        <v>14659</v>
      </c>
      <c r="D10">
        <v>164.82</v>
      </c>
      <c r="E10">
        <v>11381.53</v>
      </c>
      <c r="F10">
        <v>-1</v>
      </c>
      <c r="G10">
        <v>0</v>
      </c>
      <c r="H10">
        <v>-1</v>
      </c>
      <c r="I10">
        <v>5750.94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161.16</v>
      </c>
      <c r="C11">
        <v>14374</v>
      </c>
      <c r="D11">
        <v>161.03</v>
      </c>
      <c r="E11">
        <v>11086.4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2929</v>
      </c>
      <c r="D12">
        <v>172.99</v>
      </c>
      <c r="E12">
        <v>11896.79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166.31</v>
      </c>
      <c r="C13">
        <v>14643</v>
      </c>
      <c r="D13">
        <v>166.37</v>
      </c>
      <c r="E13">
        <v>11500.18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162.64</v>
      </c>
      <c r="C14">
        <v>13446</v>
      </c>
      <c r="D14">
        <v>162.58</v>
      </c>
      <c r="E14">
        <v>10599.49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161.8</v>
      </c>
      <c r="C15">
        <v>14468</v>
      </c>
      <c r="D15">
        <v>161.7</v>
      </c>
      <c r="E15">
        <v>11482.56</v>
      </c>
      <c r="F15">
        <v>-1</v>
      </c>
      <c r="G15">
        <v>3043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167.05</v>
      </c>
      <c r="C16">
        <v>14026</v>
      </c>
      <c r="D16">
        <v>166.92</v>
      </c>
      <c r="E16">
        <v>10860.9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3113</v>
      </c>
      <c r="D17">
        <v>161.66</v>
      </c>
      <c r="E17">
        <v>10728.19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3976</v>
      </c>
      <c r="D18">
        <v>170.36</v>
      </c>
      <c r="E18">
        <v>12104.95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166.23</v>
      </c>
      <c r="C19">
        <v>13931</v>
      </c>
      <c r="D19">
        <v>166.25</v>
      </c>
      <c r="E19">
        <v>11024.95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163.45</v>
      </c>
      <c r="C20">
        <v>15665</v>
      </c>
      <c r="D20">
        <v>162.89</v>
      </c>
      <c r="E20">
        <v>11473.58</v>
      </c>
      <c r="F20">
        <v>-1</v>
      </c>
      <c r="G20">
        <v>0</v>
      </c>
      <c r="H20">
        <v>-1</v>
      </c>
      <c r="I20">
        <v>2970.52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-1</v>
      </c>
      <c r="C21">
        <v>0</v>
      </c>
      <c r="D21">
        <v>166.83</v>
      </c>
      <c r="E21">
        <v>11114.28</v>
      </c>
      <c r="F21">
        <v>-1</v>
      </c>
      <c r="G21">
        <v>0</v>
      </c>
      <c r="H21">
        <v>-1</v>
      </c>
      <c r="I21">
        <v>0</v>
      </c>
      <c r="J21">
        <v>-1</v>
      </c>
      <c r="K21">
        <v>3658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164.161666666667</v>
      </c>
      <c r="B24" s="4">
        <f>IFERROR(AVERAGEIF($D$2:$D$21,"&lt;&gt; -1"),0)</f>
        <v>167.585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14289</v>
      </c>
      <c r="H24" s="4">
        <f>IFERROR(AVERAGEIFS($E$2:$E$21,$D$2:$D$21,"&lt;&gt; -1"),0)</f>
        <v>11159.491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167.3</v>
      </c>
      <c r="N24" s="4">
        <f>IFERROR(_xlfn.MAXIFS($D$2:$D$21,$D$2:$D$21,"&lt;&gt;-1"),0)</f>
        <v>215.66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155.09</v>
      </c>
      <c r="T24" s="4">
        <f>IFERROR(_xlfn.MINIFS($D$2:$D$21,$D$2:$D$21,"&lt;&gt;-1"),0)</f>
        <v>155.14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15665</v>
      </c>
      <c r="Z24" s="4">
        <f>IFERROR(_xlfn.MAXIFS($E$2:$E$21,$D$2:$D$21,"&lt;&gt; -1"),0)</f>
        <v>12104.95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13446</v>
      </c>
      <c r="AF24" s="4">
        <f>IFERROR(_xlfn.MINIFS($E$2:$E$21,$D$2:$D$21,"&lt;&gt; -1"),0)</f>
        <v>10565.93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(COUNTIFS($B$2:$B$21,"&gt;0.0",$B$2:$B$21,"&lt;400.0"))/20</f>
        <v>0.6</v>
      </c>
      <c r="AL24" s="4">
        <f>(COUNTIFS($D$2:$D$21,"&gt;0.0",$D$2:$D$21,"&lt;400.0"))/20</f>
        <v>1</v>
      </c>
      <c r="AM24" s="4">
        <f>(COUNTIFS($F$2:$F$21,"&gt;0.0",$F$2:$F$21,"&lt;400.0"))/20</f>
        <v>0</v>
      </c>
      <c r="AN24" s="4">
        <f>(COUNTIFS($H$2:$H$21,"&gt;0.0",$H$2:$H$21,"&lt;400.0"))/20</f>
        <v>0</v>
      </c>
      <c r="AO24" s="4">
        <f>(COUNTIFS($J$2:$J$21,"&gt;0.0",$J$2:$J$21,"&lt;400.0"))/20</f>
        <v>0</v>
      </c>
      <c r="AP24" s="4">
        <f>(COUNTIFS($L$2:$L$21,"&gt;0.0",$L$2:$L$21,"&lt;400.0"))/20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0</v>
      </c>
      <c r="D2">
        <v>177.63</v>
      </c>
      <c r="E2">
        <v>11574.64</v>
      </c>
      <c r="F2">
        <v>-1</v>
      </c>
      <c r="G2">
        <v>0</v>
      </c>
      <c r="H2">
        <v>-1</v>
      </c>
      <c r="I2">
        <v>0</v>
      </c>
      <c r="J2">
        <v>-1</v>
      </c>
      <c r="K2">
        <v>4553</v>
      </c>
      <c r="L2">
        <v>-1</v>
      </c>
      <c r="M2">
        <v>3836.58</v>
      </c>
    </row>
    <row r="3" spans="1:13">
      <c r="A3" t="s">
        <v>14</v>
      </c>
      <c r="B3">
        <v>192.21</v>
      </c>
      <c r="C3">
        <v>15584</v>
      </c>
      <c r="D3">
        <v>190.95</v>
      </c>
      <c r="E3">
        <v>11498.73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193.28</v>
      </c>
      <c r="C4">
        <v>14755</v>
      </c>
      <c r="D4">
        <v>193.05</v>
      </c>
      <c r="E4">
        <v>11290.99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215.17</v>
      </c>
      <c r="C5">
        <v>15275</v>
      </c>
      <c r="D5">
        <v>214.7</v>
      </c>
      <c r="E5">
        <v>11740.46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198.74</v>
      </c>
      <c r="C6">
        <v>16354</v>
      </c>
      <c r="D6">
        <v>198.71</v>
      </c>
      <c r="E6">
        <v>11883.88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257.68</v>
      </c>
      <c r="C7">
        <v>15275</v>
      </c>
      <c r="D7">
        <v>257.35</v>
      </c>
      <c r="E7">
        <v>11533.16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265.29</v>
      </c>
      <c r="C8">
        <v>15205</v>
      </c>
      <c r="D8">
        <v>264.96</v>
      </c>
      <c r="E8">
        <v>11448.19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237.66</v>
      </c>
      <c r="C9">
        <v>14782</v>
      </c>
      <c r="D9">
        <v>237.44</v>
      </c>
      <c r="E9">
        <v>11007.87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-1</v>
      </c>
      <c r="C10">
        <v>5394</v>
      </c>
      <c r="D10">
        <v>226.57</v>
      </c>
      <c r="E10">
        <v>11179.79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266.04</v>
      </c>
      <c r="C11">
        <v>14255</v>
      </c>
      <c r="D11">
        <v>266.53</v>
      </c>
      <c r="E11">
        <v>11229.82</v>
      </c>
      <c r="F11">
        <v>-1</v>
      </c>
      <c r="G11">
        <v>2524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4257</v>
      </c>
      <c r="D12">
        <v>189.34</v>
      </c>
      <c r="E12">
        <v>10843.09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-1</v>
      </c>
      <c r="C13">
        <v>4422</v>
      </c>
      <c r="D13">
        <v>193.6</v>
      </c>
      <c r="E13">
        <v>11268.08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187.99</v>
      </c>
      <c r="C14">
        <v>15189</v>
      </c>
      <c r="D14">
        <v>187.95</v>
      </c>
      <c r="E14">
        <v>11515.59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-1</v>
      </c>
      <c r="C15">
        <v>0</v>
      </c>
      <c r="D15">
        <v>212.14</v>
      </c>
      <c r="E15">
        <v>11703.06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197.57</v>
      </c>
      <c r="C16">
        <v>16047</v>
      </c>
      <c r="D16">
        <v>196.34</v>
      </c>
      <c r="E16">
        <v>11838.39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4605</v>
      </c>
      <c r="D17">
        <v>193.17</v>
      </c>
      <c r="E17">
        <v>11116.18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4076</v>
      </c>
      <c r="D18">
        <v>197.66</v>
      </c>
      <c r="E18">
        <v>12114.68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-1</v>
      </c>
      <c r="C19">
        <v>5281</v>
      </c>
      <c r="D19">
        <v>193.3</v>
      </c>
      <c r="E19">
        <v>11397.07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193.72</v>
      </c>
      <c r="C20">
        <v>14716</v>
      </c>
      <c r="D20">
        <v>193.54</v>
      </c>
      <c r="E20">
        <v>11093.27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237.69</v>
      </c>
      <c r="C21">
        <v>16237</v>
      </c>
      <c r="D21">
        <v>237.64</v>
      </c>
      <c r="E21">
        <v>11966.4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220.253333333333</v>
      </c>
      <c r="B24" s="4">
        <f>IFERROR(AVERAGEIF($D$2:$D$21,"&lt;&gt; -1"),0)</f>
        <v>211.1285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15306.1666666667</v>
      </c>
      <c r="H24" s="4">
        <f>IFERROR(AVERAGEIFS($E$2:$E$21,$D$2:$D$21,"&lt;&gt; -1"),0)</f>
        <v>11462.167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266.04</v>
      </c>
      <c r="N24" s="4">
        <f>IFERROR(_xlfn.MAXIFS($D$2:$D$21,$D$2:$D$21,"&lt;&gt;-1"),0)</f>
        <v>266.53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187.99</v>
      </c>
      <c r="T24" s="4">
        <f>IFERROR(_xlfn.MINIFS($D$2:$D$21,$D$2:$D$21,"&lt;&gt;-1"),0)</f>
        <v>177.63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16354</v>
      </c>
      <c r="Z24" s="4">
        <f>IFERROR(_xlfn.MAXIFS($E$2:$E$21,$D$2:$D$21,"&lt;&gt; -1"),0)</f>
        <v>12114.68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14255</v>
      </c>
      <c r="AF24" s="4">
        <f>IFERROR(_xlfn.MINIFS($E$2:$E$21,$D$2:$D$21,"&lt;&gt; -1"),0)</f>
        <v>10843.09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(COUNTIFS($B$2:$B$21,"&gt;0.0",$B$2:$B$21,"&lt;400.0"))/20</f>
        <v>0.6</v>
      </c>
      <c r="AL24" s="4">
        <f>(COUNTIFS($D$2:$D$21,"&gt;0.0",$D$2:$D$21,"&lt;400.0"))/20</f>
        <v>1</v>
      </c>
      <c r="AM24" s="4">
        <f>(COUNTIFS($F$2:$F$21,"&gt;0.0",$F$2:$F$21,"&lt;400.0"))/20</f>
        <v>0</v>
      </c>
      <c r="AN24" s="4">
        <f>(COUNTIFS($H$2:$H$21,"&gt;0.0",$H$2:$H$21,"&lt;400.0"))/20</f>
        <v>0</v>
      </c>
      <c r="AO24" s="4">
        <f>(COUNTIFS($J$2:$J$21,"&gt;0.0",$J$2:$J$21,"&lt;400.0"))/20</f>
        <v>0</v>
      </c>
      <c r="AP24" s="4">
        <f>(COUNTIFS($L$2:$L$21,"&gt;0.0",$L$2:$L$21,"&lt;400.0"))/20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0</v>
      </c>
      <c r="D2">
        <v>285.47</v>
      </c>
      <c r="E2">
        <v>11448.76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4423</v>
      </c>
      <c r="D3">
        <v>302.65</v>
      </c>
      <c r="E3">
        <v>11991.62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268.99</v>
      </c>
      <c r="C4">
        <v>16238</v>
      </c>
      <c r="D4">
        <v>268.01</v>
      </c>
      <c r="E4">
        <v>11757.72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-1</v>
      </c>
      <c r="C5">
        <v>5274</v>
      </c>
      <c r="D5">
        <v>296.5</v>
      </c>
      <c r="E5">
        <v>11945.19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289.38</v>
      </c>
      <c r="C6">
        <v>16262</v>
      </c>
      <c r="D6">
        <v>274.35</v>
      </c>
      <c r="E6">
        <v>11423.13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305.54</v>
      </c>
      <c r="C7">
        <v>17162</v>
      </c>
      <c r="D7">
        <v>301.2</v>
      </c>
      <c r="E7">
        <v>11572.35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5261</v>
      </c>
      <c r="D8">
        <v>213.82</v>
      </c>
      <c r="E8">
        <v>10972.66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-1</v>
      </c>
      <c r="C9">
        <v>5749</v>
      </c>
      <c r="D9">
        <v>304.94</v>
      </c>
      <c r="E9">
        <v>11243.52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-1</v>
      </c>
      <c r="C10">
        <v>0</v>
      </c>
      <c r="D10">
        <v>298.59</v>
      </c>
      <c r="E10">
        <v>11760.41</v>
      </c>
      <c r="F10">
        <v>-1</v>
      </c>
      <c r="G10">
        <v>0</v>
      </c>
      <c r="H10">
        <v>-1</v>
      </c>
      <c r="I10">
        <v>0</v>
      </c>
      <c r="J10">
        <v>-1</v>
      </c>
      <c r="K10">
        <v>4419</v>
      </c>
      <c r="L10">
        <v>-1</v>
      </c>
      <c r="M10">
        <v>0</v>
      </c>
    </row>
    <row r="11" spans="1:13">
      <c r="A11" t="s">
        <v>22</v>
      </c>
      <c r="B11">
        <v>-1</v>
      </c>
      <c r="C11">
        <v>5040</v>
      </c>
      <c r="D11">
        <v>243.63</v>
      </c>
      <c r="E11">
        <v>11844.11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0</v>
      </c>
      <c r="D12">
        <v>249.37</v>
      </c>
      <c r="E12">
        <v>12104.35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-1</v>
      </c>
      <c r="C13">
        <v>6162</v>
      </c>
      <c r="D13">
        <v>232.09</v>
      </c>
      <c r="E13">
        <v>11662.66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5098</v>
      </c>
      <c r="D14">
        <v>212.59</v>
      </c>
      <c r="E14">
        <v>11327.1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-1</v>
      </c>
      <c r="C15">
        <v>4363</v>
      </c>
      <c r="D15">
        <v>216.29</v>
      </c>
      <c r="E15">
        <v>11335.19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-1</v>
      </c>
      <c r="C16">
        <v>5129</v>
      </c>
      <c r="D16">
        <v>221.16</v>
      </c>
      <c r="E16">
        <v>12213.15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0</v>
      </c>
      <c r="D17">
        <v>226.86</v>
      </c>
      <c r="E17">
        <v>11683.09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5366</v>
      </c>
      <c r="D18">
        <v>227.44</v>
      </c>
      <c r="E18">
        <v>11864.17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-1</v>
      </c>
      <c r="C19">
        <v>3410</v>
      </c>
      <c r="D19">
        <v>223.81</v>
      </c>
      <c r="E19">
        <v>11686.64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-1</v>
      </c>
      <c r="C20">
        <v>5477</v>
      </c>
      <c r="D20">
        <v>219.04</v>
      </c>
      <c r="E20">
        <v>12219.27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216.66</v>
      </c>
      <c r="C21">
        <v>16412</v>
      </c>
      <c r="D21">
        <v>215.89</v>
      </c>
      <c r="E21">
        <v>11867.26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270.1425</v>
      </c>
      <c r="B24" s="4">
        <f>IFERROR(AVERAGEIF($D$2:$D$21,"&lt;&gt; -1"),0)</f>
        <v>251.685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16518.5</v>
      </c>
      <c r="H24" s="4">
        <f>IFERROR(AVERAGEIFS($E$2:$E$21,$D$2:$D$21,"&lt;&gt; -1"),0)</f>
        <v>11696.1175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305.54</v>
      </c>
      <c r="N24" s="4">
        <f>IFERROR(_xlfn.MAXIFS($D$2:$D$21,$D$2:$D$21,"&lt;&gt;-1"),0)</f>
        <v>304.94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216.66</v>
      </c>
      <c r="T24" s="4">
        <f>IFERROR(_xlfn.MINIFS($D$2:$D$21,$D$2:$D$21,"&lt;&gt;-1"),0)</f>
        <v>212.59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17162</v>
      </c>
      <c r="Z24" s="4">
        <f>IFERROR(_xlfn.MAXIFS($E$2:$E$21,$D$2:$D$21,"&lt;&gt; -1"),0)</f>
        <v>12219.27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16238</v>
      </c>
      <c r="AF24" s="4">
        <f>IFERROR(_xlfn.MINIFS($E$2:$E$21,$D$2:$D$21,"&lt;&gt; -1"),0)</f>
        <v>10972.66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(COUNTIFS($B$2:$B$21,"&gt;0.0",$B$2:$B$21,"&lt;400.0"))/20</f>
        <v>0.2</v>
      </c>
      <c r="AL24" s="4">
        <f>(COUNTIFS($D$2:$D$21,"&gt;0.0",$D$2:$D$21,"&lt;400.0"))/20</f>
        <v>1</v>
      </c>
      <c r="AM24" s="4">
        <f>(COUNTIFS($F$2:$F$21,"&gt;0.0",$F$2:$F$21,"&lt;400.0"))/20</f>
        <v>0</v>
      </c>
      <c r="AN24" s="4">
        <f>(COUNTIFS($H$2:$H$21,"&gt;0.0",$H$2:$H$21,"&lt;400.0"))/20</f>
        <v>0</v>
      </c>
      <c r="AO24" s="4">
        <f>(COUNTIFS($J$2:$J$21,"&gt;0.0",$J$2:$J$21,"&lt;400.0"))/20</f>
        <v>0</v>
      </c>
      <c r="AP24" s="4">
        <f>(COUNTIFS($L$2:$L$21,"&gt;0.0",$L$2:$L$21,"&lt;400.0"))/20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0</v>
      </c>
      <c r="D2">
        <v>234.23</v>
      </c>
      <c r="E2">
        <v>11880.84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244.16</v>
      </c>
      <c r="C3">
        <v>18689</v>
      </c>
      <c r="D3">
        <v>243.89</v>
      </c>
      <c r="E3">
        <v>12498.78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6504</v>
      </c>
      <c r="D4">
        <v>249.27</v>
      </c>
      <c r="E4">
        <v>12529.34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-1</v>
      </c>
      <c r="C5">
        <v>6256</v>
      </c>
      <c r="D5">
        <v>234.24</v>
      </c>
      <c r="E5">
        <v>12040.89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240.19</v>
      </c>
      <c r="C6">
        <v>16850</v>
      </c>
      <c r="D6">
        <v>240.08</v>
      </c>
      <c r="E6">
        <v>12308.19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236.94</v>
      </c>
      <c r="C7">
        <v>16763</v>
      </c>
      <c r="D7">
        <v>236.8</v>
      </c>
      <c r="E7">
        <v>12297.9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235.06</v>
      </c>
      <c r="C8">
        <v>15696</v>
      </c>
      <c r="D8">
        <v>235.05</v>
      </c>
      <c r="E8">
        <v>11764.94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238.54</v>
      </c>
      <c r="C9">
        <v>16668</v>
      </c>
      <c r="D9">
        <v>238.42</v>
      </c>
      <c r="E9">
        <v>12161.65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234.35</v>
      </c>
      <c r="C10">
        <v>17002</v>
      </c>
      <c r="D10">
        <v>234.3</v>
      </c>
      <c r="E10">
        <v>12151.33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5672</v>
      </c>
      <c r="D11">
        <v>233.89</v>
      </c>
      <c r="E11">
        <v>11880.23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5678</v>
      </c>
      <c r="D12">
        <v>241.4</v>
      </c>
      <c r="E12">
        <v>12350.25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241.92</v>
      </c>
      <c r="C13">
        <v>16208</v>
      </c>
      <c r="D13">
        <v>241.8</v>
      </c>
      <c r="E13">
        <v>11736.73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4029</v>
      </c>
      <c r="D14">
        <v>229.01</v>
      </c>
      <c r="E14">
        <v>10960.45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238.57</v>
      </c>
      <c r="C15">
        <v>16167</v>
      </c>
      <c r="D15">
        <v>238.44</v>
      </c>
      <c r="E15">
        <v>11845.11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-1</v>
      </c>
      <c r="C16">
        <v>5942</v>
      </c>
      <c r="D16">
        <v>239.02</v>
      </c>
      <c r="E16">
        <v>12280.88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5546</v>
      </c>
      <c r="D17">
        <v>233.96</v>
      </c>
      <c r="E17">
        <v>12031.85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5246</v>
      </c>
      <c r="D18">
        <v>239.36</v>
      </c>
      <c r="E18">
        <v>11853.17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-1</v>
      </c>
      <c r="C19">
        <v>5989</v>
      </c>
      <c r="D19">
        <v>243.77</v>
      </c>
      <c r="E19">
        <v>12442.62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234.42</v>
      </c>
      <c r="C20">
        <v>16850</v>
      </c>
      <c r="D20">
        <v>233.61</v>
      </c>
      <c r="E20">
        <v>11250.99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-1</v>
      </c>
      <c r="C21">
        <v>6123</v>
      </c>
      <c r="D21">
        <v>238.1</v>
      </c>
      <c r="E21">
        <v>11748.78</v>
      </c>
      <c r="F21">
        <v>-1</v>
      </c>
      <c r="G21">
        <v>0</v>
      </c>
      <c r="H21">
        <v>-1</v>
      </c>
      <c r="I21">
        <v>0</v>
      </c>
      <c r="J21">
        <v>-1</v>
      </c>
      <c r="K21">
        <v>5061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238.238888888889</v>
      </c>
      <c r="B25" s="4">
        <f>IFERROR(AVERAGEIF($D$2:$D$21,"&lt;&gt; -1"),0)</f>
        <v>237.932</v>
      </c>
      <c r="C25" s="4">
        <f>IFERROR(AVERAGEIF($F$2:$F$21,"&lt;&gt; -1"),0)</f>
        <v>0</v>
      </c>
      <c r="D25" s="4">
        <f>IFERROR(AVERAGEIF($H$2:$H$21,"&lt;&gt; -1"),0)</f>
        <v>0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16765.8888888889</v>
      </c>
      <c r="H25" s="4">
        <f>IFERROR(AVERAGEIFS($E$2:$E$21,$D$2:$D$21,"&lt;&gt; -1"),0)</f>
        <v>12000.746</v>
      </c>
      <c r="I25" s="4">
        <f>IFERROR(AVERAGEIFS($G$2:$G$21,$F$2:$F$21,"&lt;&gt; -1"),0)</f>
        <v>0</v>
      </c>
      <c r="J25" s="4">
        <f>IFERROR(AVERAGEIFS($I$2:$I$21,$H$2:$H$21,"&lt;&gt; -1"),0)</f>
        <v>0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244.16</v>
      </c>
      <c r="N25" s="4">
        <f>IFERROR(_xlfn.MAXIFS($D$2:$D$21,$D$2:$D$21,"&lt;&gt;-1"),0)</f>
        <v>249.27</v>
      </c>
      <c r="O25" s="4">
        <f>IFERROR(_xlfn.MAXIFS($F$2:$F$21,$F$2:$F$21,"&lt;&gt; -1"),0)</f>
        <v>0</v>
      </c>
      <c r="P25" s="4">
        <f>IFERROR(_xlfn.MAXIFS($H$2:$H$21,$H$2:$H$21,"&lt;&gt; -1"),0)</f>
        <v>0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234.35</v>
      </c>
      <c r="T25" s="4">
        <f>IFERROR(_xlfn.MINIFS($D$2:$D$21,$D$2:$D$21,"&lt;&gt;-1"),0)</f>
        <v>229.01</v>
      </c>
      <c r="U25" s="4">
        <f>IFERROR(_xlfn.MINIFS($F$2:$F$21,$F$2:$F$21,"&lt;&gt; -1"),0)</f>
        <v>0</v>
      </c>
      <c r="V25" s="4">
        <f>IFERROR(_xlfn.MINIFS($H$2:$H$21,$H$2:$H$21,"&lt;&gt; -1"),0)</f>
        <v>0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18689</v>
      </c>
      <c r="Z25" s="4">
        <f>IFERROR(_xlfn.MAXIFS($E$2:$E$21,$D$2:$D$21,"&lt;&gt; -1"),0)</f>
        <v>12529.34</v>
      </c>
      <c r="AA25" s="4">
        <f>IFERROR(_xlfn.MAXIFS($G$2:$G$21,$F$2:$F$21,"&lt;&gt; -1"),0)</f>
        <v>0</v>
      </c>
      <c r="AB25" s="4">
        <f>IFERROR(_xlfn.MAXIFS($I$2:$I$21,$H$2:$H$21,"&lt;&gt; -1"),0)</f>
        <v>0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15696</v>
      </c>
      <c r="AF25" s="4">
        <f>IFERROR(_xlfn.MINIFS($E$2:$E$21,$D$2:$D$21,"&lt;&gt; -1"),0)</f>
        <v>10960.45</v>
      </c>
      <c r="AG25" s="4">
        <f>IFERROR(_xlfn.MINIFS($G$2:$G$21,$F$2:$F$21,"&lt;&gt; -1"),0)</f>
        <v>0</v>
      </c>
      <c r="AH25" s="4">
        <f>IFERROR(_xlfn.MINIFS($I$2:$I$21,$H$2:$H$21,"&lt;&gt; -1"),0)</f>
        <v>0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(COUNTIFS($B$2:$B$21,"&gt;0.0",$B$2:$B$21,"&lt;400.0"))/20</f>
        <v>0.45</v>
      </c>
      <c r="AL25" s="4">
        <f>(COUNTIFS($D$2:$D$21,"&gt;0.0",$D$2:$D$21,"&lt;400.0"))/20</f>
        <v>1</v>
      </c>
      <c r="AM25" s="4">
        <f>(COUNTIFS($F$2:$F$21,"&gt;0.0",$F$2:$F$21,"&lt;400.0"))/20</f>
        <v>0</v>
      </c>
      <c r="AN25" s="4">
        <f>(COUNTIFS($H$2:$H$21,"&gt;0.0",$H$2:$H$21,"&lt;400.0"))/20</f>
        <v>0</v>
      </c>
      <c r="AO25" s="4">
        <f>(COUNTIFS($J$2:$J$21,"&gt;0.0",$J$2:$J$21,"&lt;400.0"))/20</f>
        <v>0</v>
      </c>
      <c r="AP25" s="4">
        <f>(COUNTIFS($L$2:$L$21,"&gt;0.0",$L$2:$L$21,"&lt;400.0"))/20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15" sqref="E15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119.972</v>
      </c>
      <c r="B2">
        <v>120.1595</v>
      </c>
      <c r="C2">
        <v>137.53</v>
      </c>
      <c r="D2">
        <v>144.856666666667</v>
      </c>
      <c r="E2">
        <v>137.94</v>
      </c>
      <c r="F2">
        <v>138.42875</v>
      </c>
      <c r="G2">
        <v>13624.8</v>
      </c>
      <c r="H2">
        <v>11146.0995</v>
      </c>
      <c r="I2">
        <v>13014.3333333333</v>
      </c>
      <c r="J2">
        <v>12643.665</v>
      </c>
      <c r="K2">
        <v>12749</v>
      </c>
      <c r="L2">
        <v>10931.75375</v>
      </c>
      <c r="M2">
        <v>137.64</v>
      </c>
      <c r="N2">
        <v>138.04</v>
      </c>
      <c r="O2">
        <v>156.08</v>
      </c>
      <c r="P2">
        <v>156.07</v>
      </c>
      <c r="Q2">
        <v>141.54</v>
      </c>
      <c r="R2">
        <v>160.96</v>
      </c>
      <c r="S2">
        <v>111.63</v>
      </c>
      <c r="T2">
        <v>111.86</v>
      </c>
      <c r="U2">
        <v>122.2</v>
      </c>
      <c r="V2">
        <v>135.55</v>
      </c>
      <c r="W2">
        <v>134.34</v>
      </c>
      <c r="X2">
        <v>120.8</v>
      </c>
      <c r="Y2">
        <v>14991</v>
      </c>
      <c r="Z2">
        <v>11845.33</v>
      </c>
      <c r="AA2">
        <v>13473</v>
      </c>
      <c r="AB2">
        <v>12901.85</v>
      </c>
      <c r="AC2">
        <v>13455</v>
      </c>
      <c r="AD2">
        <v>11289.96</v>
      </c>
      <c r="AE2">
        <v>12229</v>
      </c>
      <c r="AF2">
        <v>10152.9</v>
      </c>
      <c r="AG2">
        <v>12043</v>
      </c>
      <c r="AH2">
        <v>12292.23</v>
      </c>
      <c r="AI2">
        <v>12043</v>
      </c>
      <c r="AJ2">
        <v>10136.37</v>
      </c>
      <c r="AK2">
        <v>1</v>
      </c>
      <c r="AL2">
        <v>1</v>
      </c>
      <c r="AM2">
        <v>0.3</v>
      </c>
      <c r="AN2">
        <v>0.3</v>
      </c>
      <c r="AO2">
        <v>0.1</v>
      </c>
      <c r="AP2">
        <v>0.4</v>
      </c>
    </row>
    <row r="3" spans="1:42">
      <c r="A3">
        <v>162.023888888889</v>
      </c>
      <c r="B3">
        <v>159.587</v>
      </c>
      <c r="C3">
        <v>0</v>
      </c>
      <c r="D3">
        <v>0</v>
      </c>
      <c r="E3">
        <v>0</v>
      </c>
      <c r="F3">
        <v>0</v>
      </c>
      <c r="G3">
        <v>14506.8888888889</v>
      </c>
      <c r="H3">
        <v>11216.201</v>
      </c>
      <c r="I3">
        <v>0</v>
      </c>
      <c r="J3">
        <v>0</v>
      </c>
      <c r="K3">
        <v>0</v>
      </c>
      <c r="L3">
        <v>0</v>
      </c>
      <c r="M3">
        <v>193.74</v>
      </c>
      <c r="N3">
        <v>193.97</v>
      </c>
      <c r="O3">
        <v>0</v>
      </c>
      <c r="P3">
        <v>0</v>
      </c>
      <c r="Q3">
        <v>0</v>
      </c>
      <c r="R3">
        <v>0</v>
      </c>
      <c r="S3">
        <v>140.25</v>
      </c>
      <c r="T3">
        <v>135.51</v>
      </c>
      <c r="U3">
        <v>0</v>
      </c>
      <c r="V3">
        <v>0</v>
      </c>
      <c r="W3">
        <v>0</v>
      </c>
      <c r="X3">
        <v>0</v>
      </c>
      <c r="Y3">
        <v>15942</v>
      </c>
      <c r="Z3">
        <v>12085.35</v>
      </c>
      <c r="AA3">
        <v>0</v>
      </c>
      <c r="AB3">
        <v>0</v>
      </c>
      <c r="AC3">
        <v>0</v>
      </c>
      <c r="AD3">
        <v>0</v>
      </c>
      <c r="AE3">
        <v>13312</v>
      </c>
      <c r="AF3">
        <v>9992.13</v>
      </c>
      <c r="AG3">
        <v>0</v>
      </c>
      <c r="AH3">
        <v>0</v>
      </c>
      <c r="AI3">
        <v>0</v>
      </c>
      <c r="AJ3">
        <v>0</v>
      </c>
      <c r="AK3">
        <v>0.9</v>
      </c>
      <c r="AL3">
        <v>1</v>
      </c>
      <c r="AM3">
        <v>0</v>
      </c>
      <c r="AN3">
        <v>0</v>
      </c>
      <c r="AO3">
        <v>0</v>
      </c>
      <c r="AP3">
        <v>0</v>
      </c>
    </row>
    <row r="4" spans="1:42">
      <c r="A4">
        <v>164.161666666667</v>
      </c>
      <c r="B4">
        <v>167.585</v>
      </c>
      <c r="C4">
        <v>0</v>
      </c>
      <c r="D4">
        <v>0</v>
      </c>
      <c r="E4">
        <v>0</v>
      </c>
      <c r="F4">
        <v>0</v>
      </c>
      <c r="G4">
        <v>14289</v>
      </c>
      <c r="H4">
        <v>11159.491</v>
      </c>
      <c r="I4">
        <v>0</v>
      </c>
      <c r="J4">
        <v>0</v>
      </c>
      <c r="K4">
        <v>0</v>
      </c>
      <c r="L4">
        <v>0</v>
      </c>
      <c r="M4">
        <v>167.3</v>
      </c>
      <c r="N4">
        <v>215.66</v>
      </c>
      <c r="O4">
        <v>0</v>
      </c>
      <c r="P4">
        <v>0</v>
      </c>
      <c r="Q4">
        <v>0</v>
      </c>
      <c r="R4">
        <v>0</v>
      </c>
      <c r="S4">
        <v>155.09</v>
      </c>
      <c r="T4">
        <v>155.14</v>
      </c>
      <c r="U4">
        <v>0</v>
      </c>
      <c r="V4">
        <v>0</v>
      </c>
      <c r="W4">
        <v>0</v>
      </c>
      <c r="X4">
        <v>0</v>
      </c>
      <c r="Y4">
        <v>15665</v>
      </c>
      <c r="Z4">
        <v>12104.95</v>
      </c>
      <c r="AA4">
        <v>0</v>
      </c>
      <c r="AB4">
        <v>0</v>
      </c>
      <c r="AC4">
        <v>0</v>
      </c>
      <c r="AD4">
        <v>0</v>
      </c>
      <c r="AE4">
        <v>13446</v>
      </c>
      <c r="AF4">
        <v>10565.93</v>
      </c>
      <c r="AG4">
        <v>0</v>
      </c>
      <c r="AH4">
        <v>0</v>
      </c>
      <c r="AI4">
        <v>0</v>
      </c>
      <c r="AJ4">
        <v>0</v>
      </c>
      <c r="AK4">
        <v>0.6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220.253333333333</v>
      </c>
      <c r="B5">
        <v>211.1285</v>
      </c>
      <c r="C5">
        <v>0</v>
      </c>
      <c r="D5">
        <v>0</v>
      </c>
      <c r="E5">
        <v>0</v>
      </c>
      <c r="F5">
        <v>0</v>
      </c>
      <c r="G5">
        <v>15306.1666666667</v>
      </c>
      <c r="H5">
        <v>11462.167</v>
      </c>
      <c r="I5">
        <v>0</v>
      </c>
      <c r="J5">
        <v>0</v>
      </c>
      <c r="K5">
        <v>0</v>
      </c>
      <c r="L5">
        <v>0</v>
      </c>
      <c r="M5">
        <v>266.04</v>
      </c>
      <c r="N5">
        <v>266.53</v>
      </c>
      <c r="O5">
        <v>0</v>
      </c>
      <c r="P5">
        <v>0</v>
      </c>
      <c r="Q5">
        <v>0</v>
      </c>
      <c r="R5">
        <v>0</v>
      </c>
      <c r="S5">
        <v>187.99</v>
      </c>
      <c r="T5">
        <v>177.63</v>
      </c>
      <c r="U5">
        <v>0</v>
      </c>
      <c r="V5">
        <v>0</v>
      </c>
      <c r="W5">
        <v>0</v>
      </c>
      <c r="X5">
        <v>0</v>
      </c>
      <c r="Y5">
        <v>16354</v>
      </c>
      <c r="Z5">
        <v>12114.68</v>
      </c>
      <c r="AA5">
        <v>0</v>
      </c>
      <c r="AB5">
        <v>0</v>
      </c>
      <c r="AC5">
        <v>0</v>
      </c>
      <c r="AD5">
        <v>0</v>
      </c>
      <c r="AE5">
        <v>14255</v>
      </c>
      <c r="AF5">
        <v>10843.09</v>
      </c>
      <c r="AG5">
        <v>0</v>
      </c>
      <c r="AH5">
        <v>0</v>
      </c>
      <c r="AI5">
        <v>0</v>
      </c>
      <c r="AJ5">
        <v>0</v>
      </c>
      <c r="AK5">
        <v>0.6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270.1425</v>
      </c>
      <c r="B6">
        <v>251.685</v>
      </c>
      <c r="C6">
        <v>0</v>
      </c>
      <c r="D6">
        <v>0</v>
      </c>
      <c r="E6">
        <v>0</v>
      </c>
      <c r="F6">
        <v>0</v>
      </c>
      <c r="G6">
        <v>16518.5</v>
      </c>
      <c r="H6">
        <v>11696.1175</v>
      </c>
      <c r="I6">
        <v>0</v>
      </c>
      <c r="J6">
        <v>0</v>
      </c>
      <c r="K6">
        <v>0</v>
      </c>
      <c r="L6">
        <v>0</v>
      </c>
      <c r="M6">
        <v>305.54</v>
      </c>
      <c r="N6">
        <v>304.94</v>
      </c>
      <c r="O6">
        <v>0</v>
      </c>
      <c r="P6">
        <v>0</v>
      </c>
      <c r="Q6">
        <v>0</v>
      </c>
      <c r="R6">
        <v>0</v>
      </c>
      <c r="S6">
        <v>216.66</v>
      </c>
      <c r="T6">
        <v>212.59</v>
      </c>
      <c r="U6">
        <v>0</v>
      </c>
      <c r="V6">
        <v>0</v>
      </c>
      <c r="W6">
        <v>0</v>
      </c>
      <c r="X6">
        <v>0</v>
      </c>
      <c r="Y6">
        <v>17162</v>
      </c>
      <c r="Z6">
        <v>12219.27</v>
      </c>
      <c r="AA6">
        <v>0</v>
      </c>
      <c r="AB6">
        <v>0</v>
      </c>
      <c r="AC6">
        <v>0</v>
      </c>
      <c r="AD6">
        <v>0</v>
      </c>
      <c r="AE6">
        <v>16238</v>
      </c>
      <c r="AF6">
        <v>10972.66</v>
      </c>
      <c r="AG6">
        <v>0</v>
      </c>
      <c r="AH6">
        <v>0</v>
      </c>
      <c r="AI6">
        <v>0</v>
      </c>
      <c r="AJ6">
        <v>0</v>
      </c>
      <c r="AK6">
        <v>0.2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238.238888888889</v>
      </c>
      <c r="B7">
        <v>237.932</v>
      </c>
      <c r="C7">
        <v>0</v>
      </c>
      <c r="D7">
        <v>0</v>
      </c>
      <c r="E7">
        <v>0</v>
      </c>
      <c r="F7">
        <v>0</v>
      </c>
      <c r="G7">
        <v>16765.8888888889</v>
      </c>
      <c r="H7">
        <v>12000.746</v>
      </c>
      <c r="I7">
        <v>0</v>
      </c>
      <c r="J7">
        <v>0</v>
      </c>
      <c r="K7">
        <v>0</v>
      </c>
      <c r="L7">
        <v>0</v>
      </c>
      <c r="M7">
        <v>244.16</v>
      </c>
      <c r="N7">
        <v>249.27</v>
      </c>
      <c r="O7">
        <v>0</v>
      </c>
      <c r="P7">
        <v>0</v>
      </c>
      <c r="Q7">
        <v>0</v>
      </c>
      <c r="R7">
        <v>0</v>
      </c>
      <c r="S7">
        <v>234.35</v>
      </c>
      <c r="T7">
        <v>229.01</v>
      </c>
      <c r="U7">
        <v>0</v>
      </c>
      <c r="V7">
        <v>0</v>
      </c>
      <c r="W7">
        <v>0</v>
      </c>
      <c r="X7">
        <v>0</v>
      </c>
      <c r="Y7">
        <v>18689</v>
      </c>
      <c r="Z7">
        <v>12529.34</v>
      </c>
      <c r="AA7">
        <v>0</v>
      </c>
      <c r="AB7">
        <v>0</v>
      </c>
      <c r="AC7">
        <v>0</v>
      </c>
      <c r="AD7">
        <v>0</v>
      </c>
      <c r="AE7">
        <v>15696</v>
      </c>
      <c r="AF7">
        <v>10960.45</v>
      </c>
      <c r="AG7">
        <v>0</v>
      </c>
      <c r="AH7">
        <v>0</v>
      </c>
      <c r="AI7">
        <v>0</v>
      </c>
      <c r="AJ7">
        <v>0</v>
      </c>
      <c r="AK7">
        <v>0.45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2024-08-28T18:38:00Z</dcterms:created>
  <dcterms:modified xsi:type="dcterms:W3CDTF">2024-08-29T15:10:30Z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98E4227EA3A74577B16CA4FAEE8E91B6_12</vt:lpwstr>
  </property>
  <property fmtid="{D5CDD505-2E9C-101B-9397-08002B2CF9AE}" pid="3" name="KSOProductBuildVer">
    <vt:lpwstr>2052-12.1.0.17827</vt:lpwstr>
  </property>
</Properties>
</file>