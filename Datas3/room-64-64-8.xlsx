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<sst xmlns="http://schemas.openxmlformats.org/spreadsheetml/2006/main" count="492" uniqueCount="75">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</sst>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A23:AP24"/>
    </sheetView>
  </sheetViews>
  <sheetFormatPr defaultColWidth="9" defaultRowHeight="14"/>
  <cols>
    <col min="7" max="7" width="11.909090909090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103.64</v>
      </c>
      <c r="C2">
        <v>11926</v>
      </c>
      <c r="D2">
        <v>103.81</v>
      </c>
      <c r="E2">
        <v>9886.43</v>
      </c>
      <c r="F2">
        <v>115.11</v>
      </c>
      <c r="G2">
        <v>11752</v>
      </c>
      <c r="H2">
        <v>141.5</v>
      </c>
      <c r="I2">
        <v>11305.04</v>
      </c>
      <c r="J2">
        <v>-1</v>
      </c>
      <c r="K2">
        <v>0</v>
      </c>
      <c r="L2">
        <v>147.19</v>
      </c>
      <c r="M2">
        <v>9857.16</v>
      </c>
    </row>
    <row r="3" spans="1:13">
      <c r="A3" t="s">
        <v>14</v>
      </c>
      <c r="B3">
        <v>111.17</v>
      </c>
      <c r="C3">
        <v>12611</v>
      </c>
      <c r="D3">
        <v>111.39</v>
      </c>
      <c r="E3">
        <v>10483.45</v>
      </c>
      <c r="F3">
        <v>129.64</v>
      </c>
      <c r="G3">
        <v>12545</v>
      </c>
      <c r="H3">
        <v>140.96</v>
      </c>
      <c r="I3">
        <v>11993.01</v>
      </c>
      <c r="J3">
        <v>-1</v>
      </c>
      <c r="K3">
        <v>0</v>
      </c>
      <c r="L3">
        <v>-1</v>
      </c>
      <c r="M3">
        <v>8540.31</v>
      </c>
    </row>
    <row r="4" spans="1:13">
      <c r="A4" t="s">
        <v>15</v>
      </c>
      <c r="B4">
        <v>107.54</v>
      </c>
      <c r="C4">
        <v>12009</v>
      </c>
      <c r="D4">
        <v>107.66</v>
      </c>
      <c r="E4">
        <v>9780.98</v>
      </c>
      <c r="F4">
        <v>135.78</v>
      </c>
      <c r="G4">
        <v>11649</v>
      </c>
      <c r="H4">
        <v>128.75</v>
      </c>
      <c r="I4">
        <v>11184.15</v>
      </c>
      <c r="J4">
        <v>-1</v>
      </c>
      <c r="K4">
        <v>734</v>
      </c>
      <c r="L4">
        <v>-1</v>
      </c>
      <c r="M4">
        <v>655.09</v>
      </c>
    </row>
    <row r="5" spans="1:13">
      <c r="A5" t="s">
        <v>16</v>
      </c>
      <c r="B5">
        <v>107.42</v>
      </c>
      <c r="C5">
        <v>11881</v>
      </c>
      <c r="D5">
        <v>107.53</v>
      </c>
      <c r="E5">
        <v>9914.33</v>
      </c>
      <c r="F5">
        <v>115.53</v>
      </c>
      <c r="G5">
        <v>11695</v>
      </c>
      <c r="H5">
        <v>126.2</v>
      </c>
      <c r="I5">
        <v>11337.76</v>
      </c>
      <c r="J5">
        <v>114.87</v>
      </c>
      <c r="K5">
        <v>11688</v>
      </c>
      <c r="L5">
        <v>-1</v>
      </c>
      <c r="M5">
        <v>431.75</v>
      </c>
    </row>
    <row r="6" spans="1:13">
      <c r="A6" t="s">
        <v>17</v>
      </c>
      <c r="B6">
        <v>109.8</v>
      </c>
      <c r="C6">
        <v>12110</v>
      </c>
      <c r="D6">
        <v>110.03</v>
      </c>
      <c r="E6">
        <v>10041.5</v>
      </c>
      <c r="F6">
        <v>-1</v>
      </c>
      <c r="G6">
        <v>4081</v>
      </c>
      <c r="H6">
        <v>135.51</v>
      </c>
      <c r="I6">
        <v>11508.24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106.44</v>
      </c>
      <c r="C7">
        <v>11649</v>
      </c>
      <c r="D7">
        <v>106.26</v>
      </c>
      <c r="E7">
        <v>9759.95</v>
      </c>
      <c r="F7">
        <v>118.08</v>
      </c>
      <c r="G7">
        <v>11563</v>
      </c>
      <c r="H7">
        <v>131.11</v>
      </c>
      <c r="I7">
        <v>11255.57</v>
      </c>
      <c r="J7">
        <v>-1</v>
      </c>
      <c r="K7">
        <v>5043</v>
      </c>
      <c r="L7">
        <v>-1</v>
      </c>
      <c r="M7">
        <v>657.88</v>
      </c>
    </row>
    <row r="8" spans="1:13">
      <c r="A8" t="s">
        <v>19</v>
      </c>
      <c r="B8">
        <v>105.72</v>
      </c>
      <c r="C8">
        <v>11090</v>
      </c>
      <c r="D8">
        <v>106.31</v>
      </c>
      <c r="E8">
        <v>9065.56</v>
      </c>
      <c r="F8">
        <v>116.02</v>
      </c>
      <c r="G8">
        <v>10850</v>
      </c>
      <c r="H8">
        <v>138.57</v>
      </c>
      <c r="I8">
        <v>10483.05</v>
      </c>
      <c r="J8">
        <v>117.76</v>
      </c>
      <c r="K8">
        <v>10844</v>
      </c>
      <c r="L8">
        <v>116.44</v>
      </c>
      <c r="M8">
        <v>9128.23</v>
      </c>
    </row>
    <row r="9" spans="1:13">
      <c r="A9" t="s">
        <v>20</v>
      </c>
      <c r="B9">
        <v>154.28</v>
      </c>
      <c r="C9">
        <v>12870</v>
      </c>
      <c r="D9">
        <v>154.49</v>
      </c>
      <c r="E9">
        <v>10616.07</v>
      </c>
      <c r="F9">
        <v>-1</v>
      </c>
      <c r="G9">
        <v>10974</v>
      </c>
      <c r="H9">
        <v>-1</v>
      </c>
      <c r="I9">
        <v>6619.56</v>
      </c>
      <c r="J9">
        <v>-1</v>
      </c>
      <c r="K9">
        <v>0</v>
      </c>
      <c r="L9">
        <v>-1</v>
      </c>
      <c r="M9">
        <v>694.84</v>
      </c>
    </row>
    <row r="10" spans="1:13">
      <c r="A10" t="s">
        <v>21</v>
      </c>
      <c r="B10">
        <v>146.2</v>
      </c>
      <c r="C10">
        <v>12073</v>
      </c>
      <c r="D10">
        <v>146.21</v>
      </c>
      <c r="E10">
        <v>10036.81</v>
      </c>
      <c r="F10">
        <v>159.23</v>
      </c>
      <c r="G10">
        <v>11977</v>
      </c>
      <c r="H10">
        <v>168.46</v>
      </c>
      <c r="I10">
        <v>11511.54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147.18</v>
      </c>
      <c r="C11">
        <v>12364</v>
      </c>
      <c r="D11">
        <v>147.48</v>
      </c>
      <c r="E11">
        <v>10011.64</v>
      </c>
      <c r="F11">
        <v>-1</v>
      </c>
      <c r="G11">
        <v>9177</v>
      </c>
      <c r="H11">
        <v>-1</v>
      </c>
      <c r="I11">
        <v>8649.78</v>
      </c>
      <c r="J11">
        <v>-1</v>
      </c>
      <c r="K11">
        <v>0</v>
      </c>
      <c r="L11">
        <v>-1</v>
      </c>
      <c r="M11">
        <v>4493.37</v>
      </c>
    </row>
    <row r="12" spans="1:13">
      <c r="A12" t="s">
        <v>23</v>
      </c>
      <c r="B12">
        <v>149.83</v>
      </c>
      <c r="C12">
        <v>11796</v>
      </c>
      <c r="D12">
        <v>149.79</v>
      </c>
      <c r="E12">
        <v>9794.43</v>
      </c>
      <c r="F12">
        <v>-1</v>
      </c>
      <c r="G12">
        <v>600</v>
      </c>
      <c r="H12">
        <v>193.8</v>
      </c>
      <c r="I12">
        <v>11161.61</v>
      </c>
      <c r="J12">
        <v>-1</v>
      </c>
      <c r="K12">
        <v>1261</v>
      </c>
      <c r="L12">
        <v>-1</v>
      </c>
      <c r="M12">
        <v>509.2</v>
      </c>
    </row>
    <row r="13" spans="1:13">
      <c r="A13" t="s">
        <v>24</v>
      </c>
      <c r="B13">
        <v>135.34</v>
      </c>
      <c r="C13">
        <v>11832</v>
      </c>
      <c r="D13">
        <v>135.5</v>
      </c>
      <c r="E13">
        <v>9903.88</v>
      </c>
      <c r="F13">
        <v>-1</v>
      </c>
      <c r="G13">
        <v>9468</v>
      </c>
      <c r="H13">
        <v>-1</v>
      </c>
      <c r="I13">
        <v>10996.62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143.65</v>
      </c>
      <c r="C14">
        <v>11224</v>
      </c>
      <c r="D14">
        <v>143.81</v>
      </c>
      <c r="E14">
        <v>9344.07</v>
      </c>
      <c r="F14">
        <v>-1</v>
      </c>
      <c r="G14">
        <v>7538</v>
      </c>
      <c r="H14">
        <v>-1</v>
      </c>
      <c r="I14">
        <v>9479.61</v>
      </c>
      <c r="J14">
        <v>-1</v>
      </c>
      <c r="K14">
        <v>3617</v>
      </c>
      <c r="L14">
        <v>-1</v>
      </c>
      <c r="M14">
        <v>4646</v>
      </c>
    </row>
    <row r="15" spans="1:13">
      <c r="A15" t="s">
        <v>26</v>
      </c>
      <c r="B15">
        <v>145.23</v>
      </c>
      <c r="C15">
        <v>11872</v>
      </c>
      <c r="D15">
        <v>145.2</v>
      </c>
      <c r="E15">
        <v>9826.83</v>
      </c>
      <c r="F15">
        <v>-1</v>
      </c>
      <c r="G15">
        <v>676</v>
      </c>
      <c r="H15">
        <v>174.32</v>
      </c>
      <c r="I15">
        <v>11301.87</v>
      </c>
      <c r="J15">
        <v>-1</v>
      </c>
      <c r="K15">
        <v>0</v>
      </c>
      <c r="L15">
        <v>-1</v>
      </c>
      <c r="M15">
        <v>8988.23</v>
      </c>
    </row>
    <row r="16" spans="1:13">
      <c r="A16" t="s">
        <v>27</v>
      </c>
      <c r="B16">
        <v>146.41</v>
      </c>
      <c r="C16">
        <v>11609</v>
      </c>
      <c r="D16">
        <v>146.56</v>
      </c>
      <c r="E16">
        <v>9696.15</v>
      </c>
      <c r="F16">
        <v>160.31</v>
      </c>
      <c r="G16">
        <v>11385</v>
      </c>
      <c r="H16">
        <v>176.26</v>
      </c>
      <c r="I16">
        <v>10969.88</v>
      </c>
      <c r="J16">
        <v>-1</v>
      </c>
      <c r="K16">
        <v>678</v>
      </c>
      <c r="L16">
        <v>-1</v>
      </c>
      <c r="M16">
        <v>571.39</v>
      </c>
    </row>
    <row r="17" spans="1:13">
      <c r="A17" t="s">
        <v>28</v>
      </c>
      <c r="B17">
        <v>157.61</v>
      </c>
      <c r="C17">
        <v>12562</v>
      </c>
      <c r="D17">
        <v>157.79</v>
      </c>
      <c r="E17">
        <v>10478.54</v>
      </c>
      <c r="F17">
        <v>170.17</v>
      </c>
      <c r="G17">
        <v>12442</v>
      </c>
      <c r="H17">
        <v>187.29</v>
      </c>
      <c r="I17">
        <v>12067.65</v>
      </c>
      <c r="J17">
        <v>-1</v>
      </c>
      <c r="K17">
        <v>0</v>
      </c>
      <c r="L17">
        <v>176.98</v>
      </c>
      <c r="M17">
        <v>10538.78</v>
      </c>
    </row>
    <row r="18" spans="1:13">
      <c r="A18" t="s">
        <v>29</v>
      </c>
      <c r="B18">
        <v>146.53</v>
      </c>
      <c r="C18">
        <v>11652</v>
      </c>
      <c r="D18">
        <v>146.63</v>
      </c>
      <c r="E18">
        <v>9531.12</v>
      </c>
      <c r="F18">
        <v>-1</v>
      </c>
      <c r="G18">
        <v>2029</v>
      </c>
      <c r="H18">
        <v>176.79</v>
      </c>
      <c r="I18">
        <v>10757.64</v>
      </c>
      <c r="J18">
        <v>-1</v>
      </c>
      <c r="K18">
        <v>0</v>
      </c>
      <c r="L18">
        <v>-1</v>
      </c>
      <c r="M18">
        <v>584.89</v>
      </c>
    </row>
    <row r="19" spans="1:13">
      <c r="A19" t="s">
        <v>30</v>
      </c>
      <c r="B19">
        <v>122.82</v>
      </c>
      <c r="C19">
        <v>12092</v>
      </c>
      <c r="D19">
        <v>123.03</v>
      </c>
      <c r="E19">
        <v>9921.17</v>
      </c>
      <c r="F19">
        <v>135.67</v>
      </c>
      <c r="G19">
        <v>11808</v>
      </c>
      <c r="H19">
        <v>135.82</v>
      </c>
      <c r="I19">
        <v>11451.85</v>
      </c>
      <c r="J19">
        <v>-1</v>
      </c>
      <c r="K19">
        <v>9435</v>
      </c>
      <c r="L19">
        <v>148.71</v>
      </c>
      <c r="M19">
        <v>9995.43</v>
      </c>
    </row>
    <row r="20" spans="1:13">
      <c r="A20" t="s">
        <v>31</v>
      </c>
      <c r="B20">
        <v>105.77</v>
      </c>
      <c r="C20">
        <v>12196</v>
      </c>
      <c r="D20">
        <v>105.77</v>
      </c>
      <c r="E20">
        <v>9848.3</v>
      </c>
      <c r="F20">
        <v>-1</v>
      </c>
      <c r="G20">
        <v>11579</v>
      </c>
      <c r="H20">
        <v>139.23</v>
      </c>
      <c r="I20">
        <v>11355.53</v>
      </c>
      <c r="J20">
        <v>-1</v>
      </c>
      <c r="K20">
        <v>594</v>
      </c>
      <c r="L20">
        <v>154.5</v>
      </c>
      <c r="M20">
        <v>9889.17</v>
      </c>
    </row>
    <row r="21" spans="1:13">
      <c r="A21" t="s">
        <v>32</v>
      </c>
      <c r="B21">
        <v>137.42</v>
      </c>
      <c r="C21">
        <v>11038</v>
      </c>
      <c r="D21">
        <v>137.81</v>
      </c>
      <c r="E21">
        <v>9064.83</v>
      </c>
      <c r="F21">
        <v>146.52</v>
      </c>
      <c r="G21">
        <v>10826</v>
      </c>
      <c r="H21">
        <v>177.3</v>
      </c>
      <c r="I21">
        <v>10471.82</v>
      </c>
      <c r="J21">
        <v>158.38</v>
      </c>
      <c r="K21">
        <v>10827</v>
      </c>
      <c r="L21">
        <v>182.64</v>
      </c>
      <c r="M21">
        <v>9082.7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129.5</v>
      </c>
      <c r="B24" s="4">
        <f>IFERROR(AVERAGEIF($D$2:$D$21,"&lt;&gt; -1"),0)</f>
        <v>129.653</v>
      </c>
      <c r="C24" s="4">
        <f>IFERROR(AVERAGEIF($F$2:$F$21,"&lt;&gt; -1"),0)</f>
        <v>136.550909090909</v>
      </c>
      <c r="D24" s="4">
        <f>IFERROR(AVERAGEIF($H$2:$H$21,"&lt;&gt; -1"),0)</f>
        <v>154.491875</v>
      </c>
      <c r="E24" s="4">
        <f>IFERROR(AVERAGEIF($J$2:$J$21,"&lt;&gt; -1"),0)</f>
        <v>130.336666666667</v>
      </c>
      <c r="F24" s="4">
        <f>IFERROR(AVERAGEIF($L$2:$L$21,"&lt;&gt; -1"),0)</f>
        <v>154.41</v>
      </c>
      <c r="G24" s="4">
        <f>IFERROR(AVERAGEIFS($C$2:$C$21,$B$2:$B$21,"&lt;&gt; -1"),0)</f>
        <v>11922.8</v>
      </c>
      <c r="H24" s="4">
        <f>IFERROR(AVERAGEIFS($E$2:$E$21,$D$2:$D$21,"&lt;&gt; -1"),0)</f>
        <v>9850.302</v>
      </c>
      <c r="I24" s="4">
        <f>IFERROR(AVERAGEIFS($G$2:$G$21,$F$2:$F$21,"&lt;&gt; -1"),0)</f>
        <v>11681.0909090909</v>
      </c>
      <c r="J24" s="4">
        <f>IFERROR(AVERAGEIFS($I$2:$I$21,$H$2:$H$21,"&lt;&gt; -1"),0)</f>
        <v>11257.263125</v>
      </c>
      <c r="K24" s="4">
        <f>IFERROR(AVERAGEIFS($K$2:$K$21,$J$2:$J$21,"&lt;&gt; -1"),0)</f>
        <v>11119.6666666667</v>
      </c>
      <c r="L24" s="4">
        <f>IFERROR(AVERAGEIFS($M$2:$M$21,$L$2:$L$21,"&lt;&gt; -1"),0)</f>
        <v>9748.57833333333</v>
      </c>
      <c r="M24" s="4">
        <f>IFERROR(_xlfn.MAXIFS($B$2:$B$21,$B$2:$B$21,"&lt;&gt; -1"),0)</f>
        <v>157.61</v>
      </c>
      <c r="N24" s="4">
        <f>IFERROR(_xlfn.MAXIFS($D$2:$D$21,$D$2:$D$21,"&lt;&gt;-1"),0)</f>
        <v>157.79</v>
      </c>
      <c r="O24" s="4">
        <f>IFERROR(_xlfn.MAXIFS($F$2:$F$21,$F$2:$F$21,"&lt;&gt; -1"),0)</f>
        <v>170.17</v>
      </c>
      <c r="P24" s="4">
        <f>IFERROR(_xlfn.MAXIFS($H$2:$H$21,$H$2:$H$21,"&lt;&gt; -1"),0)</f>
        <v>193.8</v>
      </c>
      <c r="Q24" s="4">
        <f>IFERROR(_xlfn.MAXIFS($J$2:$J$21,$J$2:$J$21,"&lt;&gt; -1"),0)</f>
        <v>158.38</v>
      </c>
      <c r="R24" s="4">
        <f>IFERROR(_xlfn.MAXIFS($L$2:$L$21,$L$2:$L$21,"&lt;&gt; -1"),0)</f>
        <v>182.64</v>
      </c>
      <c r="S24" s="4">
        <f>IFERROR(_xlfn.MINIFS($B$2:$B$21,$B$2:$B$21,"&lt;&gt; -1"),0)</f>
        <v>103.64</v>
      </c>
      <c r="T24" s="4">
        <f>IFERROR(_xlfn.MINIFS($D$2:$D$21,$D$2:$D$21,"&lt;&gt;-1"),0)</f>
        <v>103.81</v>
      </c>
      <c r="U24" s="4">
        <f>IFERROR(_xlfn.MINIFS($F$2:$F$21,$F$2:$F$21,"&lt;&gt; -1"),0)</f>
        <v>115.11</v>
      </c>
      <c r="V24" s="4">
        <f>IFERROR(_xlfn.MINIFS($H$2:$H$21,$H$2:$H$21,"&lt;&gt; -1"),0)</f>
        <v>126.2</v>
      </c>
      <c r="W24" s="4">
        <f>IFERROR(_xlfn.MINIFS($J$2:$J$21,$J$2:$J$21,"&lt;&gt; -1"),0)</f>
        <v>114.87</v>
      </c>
      <c r="X24" s="4">
        <f>IFERROR(_xlfn.MINIFS($L$2:$L$21,$L$2:$L$21,"&lt;&gt; -1"),0)</f>
        <v>116.44</v>
      </c>
      <c r="Y24" s="4">
        <f>IFERROR(_xlfn.MAXIFS($C$2:$C$21,$B$2:$B$21,"&lt;&gt; -1"),0)</f>
        <v>12870</v>
      </c>
      <c r="Z24" s="4">
        <f>IFERROR(_xlfn.MAXIFS($E$2:$E$21,$D$2:$D$21,"&lt;&gt; -1"),0)</f>
        <v>10616.07</v>
      </c>
      <c r="AA24" s="4">
        <f>IFERROR(_xlfn.MAXIFS($G$2:$G$21,$F$2:$F$21,"&lt;&gt; -1"),0)</f>
        <v>12545</v>
      </c>
      <c r="AB24" s="4">
        <f>IFERROR(_xlfn.MAXIFS($I$2:$I$21,$H$2:$H$21,"&lt;&gt; -1"),0)</f>
        <v>12067.65</v>
      </c>
      <c r="AC24" s="4">
        <f>IFERROR(_xlfn.MAXIFS($K$2:$K$21,$J$2:$J$21,"&lt;&gt; -1"),0)</f>
        <v>11688</v>
      </c>
      <c r="AD24" s="4">
        <f>IFERROR(_xlfn.MAXIFS($M$2:$M$21,$L$2:$L$21,"&lt;&gt; -1"),0)</f>
        <v>10538.78</v>
      </c>
      <c r="AE24" s="4">
        <f>IFERROR(_xlfn.MINIFS($C$2:$C$21,$B$2:$B$21,"&lt;&gt; -1"),0)</f>
        <v>11038</v>
      </c>
      <c r="AF24" s="4">
        <f>IFERROR(_xlfn.MINIFS($E$2:$E$21,$D$2:$D$21,"&lt;&gt; -1"),0)</f>
        <v>9064.83</v>
      </c>
      <c r="AG24" s="4">
        <f>IFERROR(_xlfn.MINIFS($G$2:$G$21,$F$2:$F$21,"&lt;&gt; -1"),0)</f>
        <v>10826</v>
      </c>
      <c r="AH24" s="4">
        <f>IFERROR(_xlfn.MINIFS($I$2:$I$21,$H$2:$H$21,"&lt;&gt; -1"),0)</f>
        <v>10471.82</v>
      </c>
      <c r="AI24" s="4">
        <f>IFERROR(_xlfn.MINIFS($K$2:$K$21,$J$2:$J$21,"&lt;&gt; -1"),0)</f>
        <v>10827</v>
      </c>
      <c r="AJ24" s="4">
        <f>IFERROR(_xlfn.MINIFS($M$2:$M$21,$L$2:$L$21,"&lt;&gt; -1"),0)</f>
        <v>9082.7</v>
      </c>
      <c r="AK24" s="4">
        <f>(COUNTIFS($B$2:$B$21,"&gt;0.0",$B$2:$B$21,"&lt;200.0"))/20</f>
        <v>1</v>
      </c>
      <c r="AL24" s="4">
        <f>(COUNTIFS($D$2:$D$21,"&gt;0.0",$D$2:$D$21,"&lt;200.0"))/20</f>
        <v>1</v>
      </c>
      <c r="AM24" s="4">
        <f>(COUNTIFS($F$2:$F$21,"&gt;0.0",$F$2:$F$21,"&lt;200.0"))/20</f>
        <v>0.55</v>
      </c>
      <c r="AN24" s="4">
        <f>(COUNTIFS($H$2:$H$21,"&gt;0.0",$H$2:$H$21,"&lt;200.0"))/20</f>
        <v>0.8</v>
      </c>
      <c r="AO24" s="4">
        <f>(COUNTIFS($J$2:$J$21,"&gt;0.0",$J$2:$J$21,"&lt;200.0"))/20</f>
        <v>0.15</v>
      </c>
      <c r="AP24" s="4">
        <f>(COUNTIFS($L$2:$L$21,"&gt;0.0",$L$2:$L$21,"&lt;200.0"))/20</f>
        <v>0.3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170.94</v>
      </c>
      <c r="C2">
        <v>12311</v>
      </c>
      <c r="D2">
        <v>170.88</v>
      </c>
      <c r="E2">
        <v>9850.98</v>
      </c>
      <c r="F2">
        <v>-1</v>
      </c>
      <c r="G2">
        <v>2178</v>
      </c>
      <c r="H2">
        <v>-1</v>
      </c>
      <c r="I2">
        <v>2013.53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179.57</v>
      </c>
      <c r="C3">
        <v>13511</v>
      </c>
      <c r="D3">
        <v>179.49</v>
      </c>
      <c r="E3">
        <v>10617.31</v>
      </c>
      <c r="F3">
        <v>-1</v>
      </c>
      <c r="G3">
        <v>1976</v>
      </c>
      <c r="H3">
        <v>-1</v>
      </c>
      <c r="I3">
        <v>1901.96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2355</v>
      </c>
      <c r="D4">
        <v>163.42</v>
      </c>
      <c r="E4">
        <v>9759.51</v>
      </c>
      <c r="F4">
        <v>-1</v>
      </c>
      <c r="G4">
        <v>2043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125.23</v>
      </c>
      <c r="C5">
        <v>12649</v>
      </c>
      <c r="D5">
        <v>125.07</v>
      </c>
      <c r="E5">
        <v>9699.9</v>
      </c>
      <c r="F5">
        <v>-1</v>
      </c>
      <c r="G5">
        <v>1633</v>
      </c>
      <c r="H5">
        <v>-1</v>
      </c>
      <c r="I5">
        <v>8344.49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0</v>
      </c>
      <c r="D6">
        <v>146.89</v>
      </c>
      <c r="E6">
        <v>9566.36</v>
      </c>
      <c r="F6">
        <v>-1</v>
      </c>
      <c r="G6">
        <v>0</v>
      </c>
      <c r="H6">
        <v>186.09</v>
      </c>
      <c r="I6">
        <v>10939.44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133.39</v>
      </c>
      <c r="C7">
        <v>13873</v>
      </c>
      <c r="D7">
        <v>133.38</v>
      </c>
      <c r="E7">
        <v>10221.82</v>
      </c>
      <c r="F7">
        <v>-1</v>
      </c>
      <c r="G7">
        <v>9228</v>
      </c>
      <c r="H7">
        <v>-1</v>
      </c>
      <c r="I7">
        <v>2117.48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2047</v>
      </c>
      <c r="D8">
        <v>117.27</v>
      </c>
      <c r="E8">
        <v>9448.2</v>
      </c>
      <c r="F8">
        <v>-1</v>
      </c>
      <c r="G8">
        <v>0</v>
      </c>
      <c r="H8">
        <v>-1</v>
      </c>
      <c r="I8">
        <v>7847.71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126.79</v>
      </c>
      <c r="C9">
        <v>12487</v>
      </c>
      <c r="D9">
        <v>126.66</v>
      </c>
      <c r="E9">
        <v>10134.89</v>
      </c>
      <c r="F9">
        <v>-1</v>
      </c>
      <c r="G9">
        <v>1957</v>
      </c>
      <c r="H9">
        <v>-1</v>
      </c>
      <c r="I9">
        <v>1865.81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124.22</v>
      </c>
      <c r="C10">
        <v>12659</v>
      </c>
      <c r="D10">
        <v>124.01</v>
      </c>
      <c r="E10">
        <v>9956.35</v>
      </c>
      <c r="F10">
        <v>-1</v>
      </c>
      <c r="G10">
        <v>9860</v>
      </c>
      <c r="H10">
        <v>-1</v>
      </c>
      <c r="I10">
        <v>1891.12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2608</v>
      </c>
      <c r="D11">
        <v>132.98</v>
      </c>
      <c r="E11">
        <v>9974.53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129.23</v>
      </c>
      <c r="C12">
        <v>14088</v>
      </c>
      <c r="D12">
        <v>129.13</v>
      </c>
      <c r="E12">
        <v>10160.55</v>
      </c>
      <c r="F12">
        <v>-1</v>
      </c>
      <c r="G12">
        <v>2225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134.04</v>
      </c>
      <c r="C13">
        <v>13196</v>
      </c>
      <c r="D13">
        <v>127.32</v>
      </c>
      <c r="E13">
        <v>9831.37</v>
      </c>
      <c r="F13">
        <v>-1</v>
      </c>
      <c r="G13">
        <v>1727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122.96</v>
      </c>
      <c r="C14">
        <v>12946</v>
      </c>
      <c r="D14">
        <v>122.8</v>
      </c>
      <c r="E14">
        <v>9704.26</v>
      </c>
      <c r="F14">
        <v>-1</v>
      </c>
      <c r="G14">
        <v>5934</v>
      </c>
      <c r="H14">
        <v>-1</v>
      </c>
      <c r="I14">
        <v>8701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128.14</v>
      </c>
      <c r="C15">
        <v>13154</v>
      </c>
      <c r="D15">
        <v>127.84</v>
      </c>
      <c r="E15">
        <v>9504.64</v>
      </c>
      <c r="F15">
        <v>-1</v>
      </c>
      <c r="G15">
        <v>1751</v>
      </c>
      <c r="H15">
        <v>-1</v>
      </c>
      <c r="I15">
        <v>1656.18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125.46</v>
      </c>
      <c r="C16">
        <v>12449</v>
      </c>
      <c r="D16">
        <v>121.33</v>
      </c>
      <c r="E16">
        <v>9783.71</v>
      </c>
      <c r="F16">
        <v>-1</v>
      </c>
      <c r="G16">
        <v>5731</v>
      </c>
      <c r="H16">
        <v>-1</v>
      </c>
      <c r="I16">
        <v>7186.42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129.57</v>
      </c>
      <c r="C17">
        <v>13921</v>
      </c>
      <c r="D17">
        <v>129.46</v>
      </c>
      <c r="E17">
        <v>10492.4</v>
      </c>
      <c r="F17">
        <v>-1</v>
      </c>
      <c r="G17">
        <v>1930</v>
      </c>
      <c r="H17">
        <v>-1</v>
      </c>
      <c r="I17">
        <v>1814.36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1561</v>
      </c>
      <c r="D18">
        <v>126.08</v>
      </c>
      <c r="E18">
        <v>9798.36</v>
      </c>
      <c r="F18">
        <v>-1</v>
      </c>
      <c r="G18">
        <v>1479</v>
      </c>
      <c r="H18">
        <v>167.87</v>
      </c>
      <c r="I18">
        <v>11162.35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122.63</v>
      </c>
      <c r="C19">
        <v>13849</v>
      </c>
      <c r="D19">
        <v>122.74</v>
      </c>
      <c r="E19">
        <v>10482.87</v>
      </c>
      <c r="F19">
        <v>-1</v>
      </c>
      <c r="G19">
        <v>2182</v>
      </c>
      <c r="H19">
        <v>-1</v>
      </c>
      <c r="I19">
        <v>2139.61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126.04</v>
      </c>
      <c r="C20">
        <v>12411</v>
      </c>
      <c r="D20">
        <v>125.89</v>
      </c>
      <c r="E20">
        <v>9728.45</v>
      </c>
      <c r="F20">
        <v>-1</v>
      </c>
      <c r="G20">
        <v>1878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116.01</v>
      </c>
      <c r="C21">
        <v>11722</v>
      </c>
      <c r="D21">
        <v>115.82</v>
      </c>
      <c r="E21">
        <v>9230.61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132.948</v>
      </c>
      <c r="B24" s="4">
        <f>IFERROR(AVERAGEIF($D$2:$D$21,"&lt;&gt; -1"),0)</f>
        <v>133.423</v>
      </c>
      <c r="C24" s="4">
        <f>IFERROR(AVERAGEIF($F$2:$F$21,"&lt;&gt; -1"),0)</f>
        <v>0</v>
      </c>
      <c r="D24" s="4">
        <f>IFERROR(AVERAGEIF($H$2:$H$21,"&lt;&gt; -1"),0)</f>
        <v>176.98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13015.0666666667</v>
      </c>
      <c r="H24" s="4">
        <f>IFERROR(AVERAGEIFS($E$2:$E$21,$D$2:$D$21,"&lt;&gt; -1"),0)</f>
        <v>9897.3535</v>
      </c>
      <c r="I24" s="4">
        <f>IFERROR(AVERAGEIFS($G$2:$G$21,$F$2:$F$21,"&lt;&gt; -1"),0)</f>
        <v>0</v>
      </c>
      <c r="J24" s="4">
        <f>IFERROR(AVERAGEIFS($I$2:$I$21,$H$2:$H$21,"&lt;&gt; -1"),0)</f>
        <v>11050.895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179.57</v>
      </c>
      <c r="N24" s="4">
        <f>IFERROR(_xlfn.MAXIFS($D$2:$D$21,$D$2:$D$21,"&lt;&gt;-1"),0)</f>
        <v>179.49</v>
      </c>
      <c r="O24" s="4">
        <f>IFERROR(_xlfn.MAXIFS($F$2:$F$21,$F$2:$F$21,"&lt;&gt; -1"),0)</f>
        <v>0</v>
      </c>
      <c r="P24" s="4">
        <f>IFERROR(_xlfn.MAXIFS($H$2:$H$21,$H$2:$H$21,"&lt;&gt; -1"),0)</f>
        <v>186.09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116.01</v>
      </c>
      <c r="T24" s="4">
        <f>IFERROR(_xlfn.MINIFS($D$2:$D$21,$D$2:$D$21,"&lt;&gt;-1"),0)</f>
        <v>115.82</v>
      </c>
      <c r="U24" s="4">
        <f>IFERROR(_xlfn.MINIFS($F$2:$F$21,$F$2:$F$21,"&lt;&gt; -1"),0)</f>
        <v>0</v>
      </c>
      <c r="V24" s="4">
        <f>IFERROR(_xlfn.MINIFS($H$2:$H$21,$H$2:$H$21,"&lt;&gt; -1"),0)</f>
        <v>167.87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14088</v>
      </c>
      <c r="Z24" s="4">
        <f>IFERROR(_xlfn.MAXIFS($E$2:$E$21,$D$2:$D$21,"&lt;&gt; -1"),0)</f>
        <v>10617.31</v>
      </c>
      <c r="AA24" s="4">
        <f>IFERROR(_xlfn.MAXIFS($G$2:$G$21,$F$2:$F$21,"&lt;&gt; -1"),0)</f>
        <v>0</v>
      </c>
      <c r="AB24" s="4">
        <f>IFERROR(_xlfn.MAXIFS($I$2:$I$21,$H$2:$H$21,"&lt;&gt; -1"),0)</f>
        <v>11162.35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11722</v>
      </c>
      <c r="AF24" s="4">
        <f>IFERROR(_xlfn.MINIFS($E$2:$E$21,$D$2:$D$21,"&lt;&gt; -1"),0)</f>
        <v>9230.61</v>
      </c>
      <c r="AG24" s="4">
        <f>IFERROR(_xlfn.MINIFS($G$2:$G$21,$F$2:$F$21,"&lt;&gt; -1"),0)</f>
        <v>0</v>
      </c>
      <c r="AH24" s="4">
        <f>IFERROR(_xlfn.MINIFS($I$2:$I$21,$H$2:$H$21,"&lt;&gt; -1"),0)</f>
        <v>10939.44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0.75</v>
      </c>
      <c r="AL24" s="4">
        <f>(COUNTIFS($D$2:$D$21,"&gt;0.0",$D$2:$D$21,"&lt;200.0"))/20</f>
        <v>1</v>
      </c>
      <c r="AM24" s="4">
        <f>(COUNTIFS($F$2:$F$21,"&gt;0.0",$F$2:$F$21,"&lt;200.0"))/20</f>
        <v>0</v>
      </c>
      <c r="AN24" s="4">
        <f>(COUNTIFS($H$2:$H$21,"&gt;0.0",$H$2:$H$21,"&lt;200.0"))/20</f>
        <v>0.1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154.37</v>
      </c>
      <c r="C2">
        <v>14007</v>
      </c>
      <c r="D2">
        <v>140.31</v>
      </c>
      <c r="E2">
        <v>9925.67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178.18</v>
      </c>
      <c r="C3">
        <v>17576</v>
      </c>
      <c r="D3">
        <v>150.03</v>
      </c>
      <c r="E3">
        <v>10812.83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3058</v>
      </c>
      <c r="D4">
        <v>141.11</v>
      </c>
      <c r="E4">
        <v>10223.46</v>
      </c>
      <c r="F4">
        <v>-1</v>
      </c>
      <c r="G4">
        <v>2764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143.75</v>
      </c>
      <c r="C5">
        <v>12670</v>
      </c>
      <c r="D5">
        <v>143.57</v>
      </c>
      <c r="E5">
        <v>10458.77</v>
      </c>
      <c r="F5">
        <v>-1</v>
      </c>
      <c r="G5">
        <v>3970</v>
      </c>
      <c r="H5">
        <v>180.74</v>
      </c>
      <c r="I5">
        <v>11904.84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3366</v>
      </c>
      <c r="D6">
        <v>138.47</v>
      </c>
      <c r="E6">
        <v>9656.88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135.97</v>
      </c>
      <c r="C7">
        <v>11318</v>
      </c>
      <c r="D7">
        <v>136.13</v>
      </c>
      <c r="E7">
        <v>9321.87</v>
      </c>
      <c r="F7">
        <v>-1</v>
      </c>
      <c r="G7">
        <v>0</v>
      </c>
      <c r="H7">
        <v>-1</v>
      </c>
      <c r="I7">
        <v>8556.2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132.79</v>
      </c>
      <c r="C8">
        <v>14781</v>
      </c>
      <c r="D8">
        <v>132.66</v>
      </c>
      <c r="E8">
        <v>9181.3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-1</v>
      </c>
      <c r="C9">
        <v>3744</v>
      </c>
      <c r="D9">
        <v>141.01</v>
      </c>
      <c r="E9">
        <v>10380.42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139.07</v>
      </c>
      <c r="C10">
        <v>16169</v>
      </c>
      <c r="D10">
        <v>136.81</v>
      </c>
      <c r="E10">
        <v>10143.22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139.14</v>
      </c>
      <c r="C11">
        <v>14278</v>
      </c>
      <c r="D11">
        <v>138.94</v>
      </c>
      <c r="E11">
        <v>9432.05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139.39</v>
      </c>
      <c r="C12">
        <v>13851</v>
      </c>
      <c r="D12">
        <v>139.15</v>
      </c>
      <c r="E12">
        <v>10026.3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138.38</v>
      </c>
      <c r="C13">
        <v>13257</v>
      </c>
      <c r="D13">
        <v>137.83</v>
      </c>
      <c r="E13">
        <v>9556.61</v>
      </c>
      <c r="F13">
        <v>-1</v>
      </c>
      <c r="G13">
        <v>2894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3906</v>
      </c>
      <c r="D14">
        <v>134.42</v>
      </c>
      <c r="E14">
        <v>9696.12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139.68</v>
      </c>
      <c r="C15">
        <v>13386</v>
      </c>
      <c r="D15">
        <v>137.44</v>
      </c>
      <c r="E15">
        <v>9859.6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-1</v>
      </c>
      <c r="C16">
        <v>4689</v>
      </c>
      <c r="D16">
        <v>140.15</v>
      </c>
      <c r="E16">
        <v>9988.87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142.78</v>
      </c>
      <c r="C17">
        <v>14964</v>
      </c>
      <c r="D17">
        <v>142.65</v>
      </c>
      <c r="E17">
        <v>10513.45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140.12</v>
      </c>
      <c r="C18">
        <v>13110</v>
      </c>
      <c r="D18">
        <v>140.03</v>
      </c>
      <c r="E18">
        <v>10221.55</v>
      </c>
      <c r="F18">
        <v>-1</v>
      </c>
      <c r="G18">
        <v>0</v>
      </c>
      <c r="H18">
        <v>-1</v>
      </c>
      <c r="I18">
        <v>2409.69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141.87</v>
      </c>
      <c r="C19">
        <v>13670</v>
      </c>
      <c r="D19">
        <v>141.8</v>
      </c>
      <c r="E19">
        <v>10466.29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-1</v>
      </c>
      <c r="C20">
        <v>0</v>
      </c>
      <c r="D20">
        <v>141.5</v>
      </c>
      <c r="E20">
        <v>10244.63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-1</v>
      </c>
      <c r="C21">
        <v>0</v>
      </c>
      <c r="D21">
        <v>130.57</v>
      </c>
      <c r="E21">
        <v>9239.65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143.499230769231</v>
      </c>
      <c r="B24" s="4">
        <f>IFERROR(AVERAGEIF($D$2:$D$21,"&lt;&gt; -1"),0)</f>
        <v>139.229</v>
      </c>
      <c r="C24" s="4">
        <f>IFERROR(AVERAGEIF($F$2:$F$21,"&lt;&gt; -1"),0)</f>
        <v>0</v>
      </c>
      <c r="D24" s="4">
        <f>IFERROR(AVERAGEIF($H$2:$H$21,"&lt;&gt; -1"),0)</f>
        <v>180.74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14079.7692307692</v>
      </c>
      <c r="H24" s="4">
        <f>IFERROR(AVERAGEIFS($E$2:$E$21,$D$2:$D$21,"&lt;&gt; -1"),0)</f>
        <v>9967.477</v>
      </c>
      <c r="I24" s="4">
        <f>IFERROR(AVERAGEIFS($G$2:$G$21,$F$2:$F$21,"&lt;&gt; -1"),0)</f>
        <v>0</v>
      </c>
      <c r="J24" s="4">
        <f>IFERROR(AVERAGEIFS($I$2:$I$21,$H$2:$H$21,"&lt;&gt; -1"),0)</f>
        <v>11904.84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178.18</v>
      </c>
      <c r="N24" s="4">
        <f>IFERROR(_xlfn.MAXIFS($D$2:$D$21,$D$2:$D$21,"&lt;&gt;-1"),0)</f>
        <v>150.03</v>
      </c>
      <c r="O24" s="4">
        <f>IFERROR(_xlfn.MAXIFS($F$2:$F$21,$F$2:$F$21,"&lt;&gt; -1"),0)</f>
        <v>0</v>
      </c>
      <c r="P24" s="4">
        <f>IFERROR(_xlfn.MAXIFS($H$2:$H$21,$H$2:$H$21,"&lt;&gt; -1"),0)</f>
        <v>180.74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132.79</v>
      </c>
      <c r="T24" s="4">
        <f>IFERROR(_xlfn.MINIFS($D$2:$D$21,$D$2:$D$21,"&lt;&gt;-1"),0)</f>
        <v>130.57</v>
      </c>
      <c r="U24" s="4">
        <f>IFERROR(_xlfn.MINIFS($F$2:$F$21,$F$2:$F$21,"&lt;&gt; -1"),0)</f>
        <v>0</v>
      </c>
      <c r="V24" s="4">
        <f>IFERROR(_xlfn.MINIFS($H$2:$H$21,$H$2:$H$21,"&lt;&gt; -1"),0)</f>
        <v>180.74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17576</v>
      </c>
      <c r="Z24" s="4">
        <f>IFERROR(_xlfn.MAXIFS($E$2:$E$21,$D$2:$D$21,"&lt;&gt; -1"),0)</f>
        <v>10812.83</v>
      </c>
      <c r="AA24" s="4">
        <f>IFERROR(_xlfn.MAXIFS($G$2:$G$21,$F$2:$F$21,"&lt;&gt; -1"),0)</f>
        <v>0</v>
      </c>
      <c r="AB24" s="4">
        <f>IFERROR(_xlfn.MAXIFS($I$2:$I$21,$H$2:$H$21,"&lt;&gt; -1"),0)</f>
        <v>11904.84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11318</v>
      </c>
      <c r="AF24" s="4">
        <f>IFERROR(_xlfn.MINIFS($E$2:$E$21,$D$2:$D$21,"&lt;&gt; -1"),0)</f>
        <v>9181.3</v>
      </c>
      <c r="AG24" s="4">
        <f>IFERROR(_xlfn.MINIFS($G$2:$G$21,$F$2:$F$21,"&lt;&gt; -1"),0)</f>
        <v>0</v>
      </c>
      <c r="AH24" s="4">
        <f>IFERROR(_xlfn.MINIFS($I$2:$I$21,$H$2:$H$21,"&lt;&gt; -1"),0)</f>
        <v>11904.84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0.65</v>
      </c>
      <c r="AL24" s="4">
        <f>(COUNTIFS($D$2:$D$21,"&gt;0.0",$D$2:$D$21,"&lt;200.0"))/20</f>
        <v>1</v>
      </c>
      <c r="AM24" s="4">
        <f>(COUNTIFS($F$2:$F$21,"&gt;0.0",$F$2:$F$21,"&lt;200.0"))/20</f>
        <v>0</v>
      </c>
      <c r="AN24" s="4">
        <f>(COUNTIFS($H$2:$H$21,"&gt;0.0",$H$2:$H$21,"&lt;200.0"))/20</f>
        <v>0.05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4"/>
  <sheetViews>
    <sheetView workbookViewId="0">
      <selection activeCell="A24" sqref="$A24:$XFD2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157.07</v>
      </c>
      <c r="C2">
        <v>14471</v>
      </c>
      <c r="D2">
        <v>156.84</v>
      </c>
      <c r="E2">
        <v>9747.85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0</v>
      </c>
      <c r="D3">
        <v>169.9</v>
      </c>
      <c r="E3">
        <v>10835.08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158.78</v>
      </c>
      <c r="C4">
        <v>13370</v>
      </c>
      <c r="D4">
        <v>156.75</v>
      </c>
      <c r="E4">
        <v>9773.98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-1</v>
      </c>
      <c r="C5">
        <v>0</v>
      </c>
      <c r="D5">
        <v>157.38</v>
      </c>
      <c r="E5">
        <v>9901.92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152.67</v>
      </c>
      <c r="C6">
        <v>12721</v>
      </c>
      <c r="D6">
        <v>152.57</v>
      </c>
      <c r="E6">
        <v>9766.5</v>
      </c>
      <c r="F6">
        <v>-1</v>
      </c>
      <c r="G6">
        <v>2266</v>
      </c>
      <c r="H6">
        <v>-1</v>
      </c>
      <c r="I6">
        <v>4964.44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162.97</v>
      </c>
      <c r="C7">
        <v>12680</v>
      </c>
      <c r="D7">
        <v>144.94</v>
      </c>
      <c r="E7">
        <v>9329.14</v>
      </c>
      <c r="F7">
        <v>-1</v>
      </c>
      <c r="G7">
        <v>6648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0</v>
      </c>
      <c r="D8">
        <v>144.49</v>
      </c>
      <c r="E8">
        <v>9573.53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158.94</v>
      </c>
      <c r="C9">
        <v>13689</v>
      </c>
      <c r="D9">
        <v>158.85</v>
      </c>
      <c r="E9">
        <v>10475.83</v>
      </c>
      <c r="F9">
        <v>-1</v>
      </c>
      <c r="G9">
        <v>2569</v>
      </c>
      <c r="H9">
        <v>-1</v>
      </c>
      <c r="I9">
        <v>2426.17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158.57</v>
      </c>
      <c r="C10">
        <v>14298</v>
      </c>
      <c r="D10">
        <v>158.4</v>
      </c>
      <c r="E10">
        <v>9879.38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0</v>
      </c>
      <c r="D11">
        <v>160.07</v>
      </c>
      <c r="E11">
        <v>10425.46</v>
      </c>
      <c r="F11">
        <v>-1</v>
      </c>
      <c r="G11">
        <v>0</v>
      </c>
      <c r="H11">
        <v>-1</v>
      </c>
      <c r="I11">
        <v>3213.55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151.74</v>
      </c>
      <c r="C12">
        <v>12411</v>
      </c>
      <c r="D12">
        <v>151.79</v>
      </c>
      <c r="E12">
        <v>9536.1</v>
      </c>
      <c r="F12">
        <v>-1</v>
      </c>
      <c r="G12">
        <v>1979</v>
      </c>
      <c r="H12">
        <v>182.34</v>
      </c>
      <c r="I12">
        <v>10837.98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153.86</v>
      </c>
      <c r="C13">
        <v>13699</v>
      </c>
      <c r="D13">
        <v>153.75</v>
      </c>
      <c r="E13">
        <v>10076.26</v>
      </c>
      <c r="F13">
        <v>-1</v>
      </c>
      <c r="G13">
        <v>1874</v>
      </c>
      <c r="H13">
        <v>-1</v>
      </c>
      <c r="I13">
        <v>5230.92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4901</v>
      </c>
      <c r="D14">
        <v>148.13</v>
      </c>
      <c r="E14">
        <v>9703.54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-1</v>
      </c>
      <c r="C15">
        <v>3935</v>
      </c>
      <c r="D15">
        <v>155</v>
      </c>
      <c r="E15">
        <v>10107.23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-1</v>
      </c>
      <c r="C16">
        <v>0</v>
      </c>
      <c r="D16">
        <v>153.84</v>
      </c>
      <c r="E16">
        <v>9985.01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14701</v>
      </c>
      <c r="D17">
        <v>151.59</v>
      </c>
      <c r="E17">
        <v>10413.75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0</v>
      </c>
      <c r="D18">
        <v>156.91</v>
      </c>
      <c r="E18">
        <v>9993.81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156.51</v>
      </c>
      <c r="C19">
        <v>13715</v>
      </c>
      <c r="D19">
        <v>156.36</v>
      </c>
      <c r="E19">
        <v>10032.47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157.82</v>
      </c>
      <c r="C20">
        <v>15224</v>
      </c>
      <c r="D20">
        <v>157.5</v>
      </c>
      <c r="E20">
        <v>10196.78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143.82</v>
      </c>
      <c r="C21">
        <v>14017</v>
      </c>
      <c r="D21">
        <v>143.52</v>
      </c>
      <c r="E21">
        <v>9679.08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3" spans="1:42">
      <c r="A23" s="2" t="s">
        <v>33</v>
      </c>
      <c r="B23" s="2" t="s">
        <v>34</v>
      </c>
      <c r="C23" s="2" t="s">
        <v>35</v>
      </c>
      <c r="D23" s="3" t="s">
        <v>36</v>
      </c>
      <c r="E23" s="2" t="s">
        <v>37</v>
      </c>
      <c r="F23" s="2" t="s">
        <v>38</v>
      </c>
      <c r="G23" s="2" t="s">
        <v>39</v>
      </c>
      <c r="H23" s="2" t="s">
        <v>40</v>
      </c>
      <c r="I23" s="2" t="s">
        <v>41</v>
      </c>
      <c r="J23" s="3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3" t="s">
        <v>48</v>
      </c>
      <c r="Q23" s="2" t="s">
        <v>49</v>
      </c>
      <c r="R23" s="2" t="s">
        <v>50</v>
      </c>
      <c r="S23" s="2" t="s">
        <v>51</v>
      </c>
      <c r="T23" s="2" t="s">
        <v>52</v>
      </c>
      <c r="U23" s="2" t="s">
        <v>53</v>
      </c>
      <c r="V23" s="3" t="s">
        <v>54</v>
      </c>
      <c r="W23" s="2" t="s">
        <v>55</v>
      </c>
      <c r="X23" s="2" t="s">
        <v>56</v>
      </c>
      <c r="Y23" s="2" t="s">
        <v>57</v>
      </c>
      <c r="Z23" s="2" t="s">
        <v>58</v>
      </c>
      <c r="AA23" s="2" t="s">
        <v>59</v>
      </c>
      <c r="AB23" s="3" t="s">
        <v>60</v>
      </c>
      <c r="AC23" s="2" t="s">
        <v>61</v>
      </c>
      <c r="AD23" s="2" t="s">
        <v>62</v>
      </c>
      <c r="AE23" s="2" t="s">
        <v>63</v>
      </c>
      <c r="AF23" s="2" t="s">
        <v>64</v>
      </c>
      <c r="AG23" s="2" t="s">
        <v>65</v>
      </c>
      <c r="AH23" s="3" t="s">
        <v>66</v>
      </c>
      <c r="AI23" s="2" t="s">
        <v>67</v>
      </c>
      <c r="AJ23" s="2" t="s">
        <v>68</v>
      </c>
      <c r="AK23" s="2" t="s">
        <v>69</v>
      </c>
      <c r="AL23" s="2" t="s">
        <v>70</v>
      </c>
      <c r="AM23" s="2" t="s">
        <v>71</v>
      </c>
      <c r="AN23" s="3" t="s">
        <v>72</v>
      </c>
      <c r="AO23" s="2" t="s">
        <v>73</v>
      </c>
      <c r="AP23" s="2" t="s">
        <v>74</v>
      </c>
    </row>
    <row r="24" spans="1:42">
      <c r="A24" s="4">
        <f>IFERROR(AVERAGEIF($B$2:$B$21,"&lt;&gt; -1"),0)</f>
        <v>155.704545454545</v>
      </c>
      <c r="B24" s="4">
        <f>IFERROR(AVERAGEIF($D$2:$D$21,"&lt;&gt; -1"),0)</f>
        <v>154.429</v>
      </c>
      <c r="C24" s="4">
        <f>IFERROR(AVERAGEIF($F$2:$F$21,"&lt;&gt; -1"),0)</f>
        <v>0</v>
      </c>
      <c r="D24" s="4">
        <f>IFERROR(AVERAGEIF($H$2:$H$21,"&lt;&gt; -1"),0)</f>
        <v>182.34</v>
      </c>
      <c r="E24" s="4">
        <f>IFERROR(AVERAGEIF($J$2:$J$21,"&lt;&gt; -1"),0)</f>
        <v>0</v>
      </c>
      <c r="F24" s="4">
        <f>IFERROR(AVERAGEIF($L$2:$L$21,"&lt;&gt; -1"),0)</f>
        <v>0</v>
      </c>
      <c r="G24" s="4">
        <f>IFERROR(AVERAGEIFS($C$2:$C$21,$B$2:$B$21,"&lt;&gt; -1"),0)</f>
        <v>13663.1818181818</v>
      </c>
      <c r="H24" s="4">
        <f>IFERROR(AVERAGEIFS($E$2:$E$21,$D$2:$D$21,"&lt;&gt; -1"),0)</f>
        <v>9971.635</v>
      </c>
      <c r="I24" s="4">
        <f>IFERROR(AVERAGEIFS($G$2:$G$21,$F$2:$F$21,"&lt;&gt; -1"),0)</f>
        <v>0</v>
      </c>
      <c r="J24" s="4">
        <f>IFERROR(AVERAGEIFS($I$2:$I$21,$H$2:$H$21,"&lt;&gt; -1"),0)</f>
        <v>10837.98</v>
      </c>
      <c r="K24" s="4">
        <f>IFERROR(AVERAGEIFS($K$2:$K$21,$J$2:$J$21,"&lt;&gt; -1"),0)</f>
        <v>0</v>
      </c>
      <c r="L24" s="4">
        <f>IFERROR(AVERAGEIFS($M$2:$M$21,$L$2:$L$21,"&lt;&gt; -1"),0)</f>
        <v>0</v>
      </c>
      <c r="M24" s="4">
        <f>IFERROR(_xlfn.MAXIFS($B$2:$B$21,$B$2:$B$21,"&lt;&gt; -1"),0)</f>
        <v>162.97</v>
      </c>
      <c r="N24" s="4">
        <f>IFERROR(_xlfn.MAXIFS($D$2:$D$21,$D$2:$D$21,"&lt;&gt;-1"),0)</f>
        <v>169.9</v>
      </c>
      <c r="O24" s="4">
        <f>IFERROR(_xlfn.MAXIFS($F$2:$F$21,$F$2:$F$21,"&lt;&gt; -1"),0)</f>
        <v>0</v>
      </c>
      <c r="P24" s="4">
        <f>IFERROR(_xlfn.MAXIFS($H$2:$H$21,$H$2:$H$21,"&lt;&gt; -1"),0)</f>
        <v>182.34</v>
      </c>
      <c r="Q24" s="4">
        <f>IFERROR(_xlfn.MAXIFS($J$2:$J$21,$J$2:$J$21,"&lt;&gt; -1"),0)</f>
        <v>0</v>
      </c>
      <c r="R24" s="4">
        <f>IFERROR(_xlfn.MAXIFS($L$2:$L$21,$L$2:$L$21,"&lt;&gt; -1"),0)</f>
        <v>0</v>
      </c>
      <c r="S24" s="4">
        <f>IFERROR(_xlfn.MINIFS($B$2:$B$21,$B$2:$B$21,"&lt;&gt; -1"),0)</f>
        <v>143.82</v>
      </c>
      <c r="T24" s="4">
        <f>IFERROR(_xlfn.MINIFS($D$2:$D$21,$D$2:$D$21,"&lt;&gt;-1"),0)</f>
        <v>143.52</v>
      </c>
      <c r="U24" s="4">
        <f>IFERROR(_xlfn.MINIFS($F$2:$F$21,$F$2:$F$21,"&lt;&gt; -1"),0)</f>
        <v>0</v>
      </c>
      <c r="V24" s="4">
        <f>IFERROR(_xlfn.MINIFS($H$2:$H$21,$H$2:$H$21,"&lt;&gt; -1"),0)</f>
        <v>182.34</v>
      </c>
      <c r="W24" s="4">
        <f>IFERROR(_xlfn.MINIFS($J$2:$J$21,$J$2:$J$21,"&lt;&gt; -1"),0)</f>
        <v>0</v>
      </c>
      <c r="X24" s="4">
        <f>IFERROR(_xlfn.MINIFS($L$2:$L$21,$L$2:$L$21,"&lt;&gt; -1"),0)</f>
        <v>0</v>
      </c>
      <c r="Y24" s="4">
        <f>IFERROR(_xlfn.MAXIFS($C$2:$C$21,$B$2:$B$21,"&lt;&gt; -1"),0)</f>
        <v>15224</v>
      </c>
      <c r="Z24" s="4">
        <f>IFERROR(_xlfn.MAXIFS($E$2:$E$21,$D$2:$D$21,"&lt;&gt; -1"),0)</f>
        <v>10835.08</v>
      </c>
      <c r="AA24" s="4">
        <f>IFERROR(_xlfn.MAXIFS($G$2:$G$21,$F$2:$F$21,"&lt;&gt; -1"),0)</f>
        <v>0</v>
      </c>
      <c r="AB24" s="4">
        <f>IFERROR(_xlfn.MAXIFS($I$2:$I$21,$H$2:$H$21,"&lt;&gt; -1"),0)</f>
        <v>10837.98</v>
      </c>
      <c r="AC24" s="4">
        <f>IFERROR(_xlfn.MAXIFS($K$2:$K$21,$J$2:$J$21,"&lt;&gt; -1"),0)</f>
        <v>0</v>
      </c>
      <c r="AD24" s="4">
        <f>IFERROR(_xlfn.MAXIFS($M$2:$M$21,$L$2:$L$21,"&lt;&gt; -1"),0)</f>
        <v>0</v>
      </c>
      <c r="AE24" s="4">
        <f>IFERROR(_xlfn.MINIFS($C$2:$C$21,$B$2:$B$21,"&lt;&gt; -1"),0)</f>
        <v>12411</v>
      </c>
      <c r="AF24" s="4">
        <f>IFERROR(_xlfn.MINIFS($E$2:$E$21,$D$2:$D$21,"&lt;&gt; -1"),0)</f>
        <v>9329.14</v>
      </c>
      <c r="AG24" s="4">
        <f>IFERROR(_xlfn.MINIFS($G$2:$G$21,$F$2:$F$21,"&lt;&gt; -1"),0)</f>
        <v>0</v>
      </c>
      <c r="AH24" s="4">
        <f>IFERROR(_xlfn.MINIFS($I$2:$I$21,$H$2:$H$21,"&lt;&gt; -1"),0)</f>
        <v>10837.98</v>
      </c>
      <c r="AI24" s="4">
        <f>IFERROR(_xlfn.MINIFS($K$2:$K$21,$J$2:$J$21,"&lt;&gt; -1"),0)</f>
        <v>0</v>
      </c>
      <c r="AJ24" s="4">
        <f>IFERROR(_xlfn.MINIFS($M$2:$M$21,$L$2:$L$21,"&lt;&gt; -1"),0)</f>
        <v>0</v>
      </c>
      <c r="AK24" s="4">
        <f>(COUNTIFS($B$2:$B$21,"&gt;0.0",$B$2:$B$21,"&lt;200.0"))/20</f>
        <v>0.55</v>
      </c>
      <c r="AL24" s="4">
        <f>(COUNTIFS($D$2:$D$21,"&gt;0.0",$D$2:$D$21,"&lt;200.0"))/20</f>
        <v>1</v>
      </c>
      <c r="AM24" s="4">
        <f>(COUNTIFS($F$2:$F$21,"&gt;0.0",$F$2:$F$21,"&lt;200.0"))/20</f>
        <v>0</v>
      </c>
      <c r="AN24" s="4">
        <f>(COUNTIFS($H$2:$H$21,"&gt;0.0",$H$2:$H$21,"&lt;200.0"))/20</f>
        <v>0.05</v>
      </c>
      <c r="AO24" s="4">
        <f>(COUNTIFS($J$2:$J$21,"&gt;0.0",$J$2:$J$21,"&lt;200.0"))/20</f>
        <v>0</v>
      </c>
      <c r="AP24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3033</v>
      </c>
      <c r="D2">
        <v>170.03</v>
      </c>
      <c r="E2">
        <v>10047.75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0</v>
      </c>
      <c r="D3">
        <v>178.74</v>
      </c>
      <c r="E3">
        <v>10850.7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0</v>
      </c>
      <c r="D4">
        <v>163.74</v>
      </c>
      <c r="E4">
        <v>9817.1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-1</v>
      </c>
      <c r="C5">
        <v>3520</v>
      </c>
      <c r="D5">
        <v>169.37</v>
      </c>
      <c r="E5">
        <v>9935.38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-1</v>
      </c>
      <c r="C6">
        <v>0</v>
      </c>
      <c r="D6">
        <v>164.93</v>
      </c>
      <c r="E6">
        <v>9583.27</v>
      </c>
      <c r="F6">
        <v>-1</v>
      </c>
      <c r="G6">
        <v>3474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157.34</v>
      </c>
      <c r="C7">
        <v>12293</v>
      </c>
      <c r="D7">
        <v>157.23</v>
      </c>
      <c r="E7">
        <v>9520.49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0</v>
      </c>
      <c r="D8">
        <v>159.91</v>
      </c>
      <c r="E8">
        <v>9861.27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174.76</v>
      </c>
      <c r="C9">
        <v>15557</v>
      </c>
      <c r="D9">
        <v>174.49</v>
      </c>
      <c r="E9">
        <v>10711.22</v>
      </c>
      <c r="F9">
        <v>-1</v>
      </c>
      <c r="G9">
        <v>0</v>
      </c>
      <c r="H9">
        <v>-1</v>
      </c>
      <c r="I9">
        <v>3082.24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168.67</v>
      </c>
      <c r="C10">
        <v>14955</v>
      </c>
      <c r="D10">
        <v>168.46</v>
      </c>
      <c r="E10">
        <v>10291.13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172.05</v>
      </c>
      <c r="C11">
        <v>12733</v>
      </c>
      <c r="D11">
        <v>171.97</v>
      </c>
      <c r="E11">
        <v>9734.7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161.23</v>
      </c>
      <c r="C12">
        <v>11780</v>
      </c>
      <c r="D12">
        <v>161.25</v>
      </c>
      <c r="E12">
        <v>9522.68</v>
      </c>
      <c r="F12">
        <v>-1</v>
      </c>
      <c r="G12">
        <v>0</v>
      </c>
      <c r="H12">
        <v>-1</v>
      </c>
      <c r="I12">
        <v>2169.44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-1</v>
      </c>
      <c r="C13">
        <v>3816</v>
      </c>
      <c r="D13">
        <v>163.05</v>
      </c>
      <c r="E13">
        <v>9585.96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4629</v>
      </c>
      <c r="D14">
        <v>162.33</v>
      </c>
      <c r="E14">
        <v>10203.59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-1</v>
      </c>
      <c r="C15">
        <v>0</v>
      </c>
      <c r="D15">
        <v>165.9</v>
      </c>
      <c r="E15">
        <v>10261.06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166.11</v>
      </c>
      <c r="C16">
        <v>13736</v>
      </c>
      <c r="D16">
        <v>166.09</v>
      </c>
      <c r="E16">
        <v>10025.88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0</v>
      </c>
      <c r="D17">
        <v>165.05</v>
      </c>
      <c r="E17">
        <v>9929.41</v>
      </c>
      <c r="F17">
        <v>-1</v>
      </c>
      <c r="G17">
        <v>2839</v>
      </c>
      <c r="H17">
        <v>-1</v>
      </c>
      <c r="I17">
        <v>2740.71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-1</v>
      </c>
      <c r="C18">
        <v>0</v>
      </c>
      <c r="D18">
        <v>168.57</v>
      </c>
      <c r="E18">
        <v>10203.59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167.53</v>
      </c>
      <c r="C19">
        <v>14835</v>
      </c>
      <c r="D19">
        <v>166.6</v>
      </c>
      <c r="E19">
        <v>10121.57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-1</v>
      </c>
      <c r="C20">
        <v>0</v>
      </c>
      <c r="D20">
        <v>169.1</v>
      </c>
      <c r="E20">
        <v>9709.75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-1</v>
      </c>
      <c r="C21">
        <v>0</v>
      </c>
      <c r="D21">
        <v>154.94</v>
      </c>
      <c r="E21">
        <v>9588.34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166.812857142857</v>
      </c>
      <c r="B25" s="4">
        <f>IFERROR(AVERAGEIF($D$2:$D$21,"&lt;&gt; -1"),0)</f>
        <v>166.0875</v>
      </c>
      <c r="C25" s="4">
        <f>IFERROR(AVERAGEIF($F$2:$F$21,"&lt;&gt; -1"),0)</f>
        <v>0</v>
      </c>
      <c r="D25" s="4">
        <f>IFERROR(AVERAGEIF($H$2:$H$21,"&lt;&gt; -1"),0)</f>
        <v>0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13698.4285714286</v>
      </c>
      <c r="H25" s="4">
        <f>IFERROR(AVERAGEIFS($E$2:$E$21,$D$2:$D$21,"&lt;&gt; -1"),0)</f>
        <v>9975.242</v>
      </c>
      <c r="I25" s="4">
        <f>IFERROR(AVERAGEIFS($G$2:$G$21,$F$2:$F$21,"&lt;&gt; -1"),0)</f>
        <v>0</v>
      </c>
      <c r="J25" s="4">
        <f>IFERROR(AVERAGEIFS($I$2:$I$21,$H$2:$H$21,"&lt;&gt; -1"),0)</f>
        <v>0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174.76</v>
      </c>
      <c r="N25" s="4">
        <f>IFERROR(_xlfn.MAXIFS($D$2:$D$21,$D$2:$D$21,"&lt;&gt;-1"),0)</f>
        <v>178.74</v>
      </c>
      <c r="O25" s="4">
        <f>IFERROR(_xlfn.MAXIFS($F$2:$F$21,$F$2:$F$21,"&lt;&gt; -1"),0)</f>
        <v>0</v>
      </c>
      <c r="P25" s="4">
        <f>IFERROR(_xlfn.MAXIFS($H$2:$H$21,$H$2:$H$21,"&lt;&gt; -1"),0)</f>
        <v>0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157.34</v>
      </c>
      <c r="T25" s="4">
        <f>IFERROR(_xlfn.MINIFS($D$2:$D$21,$D$2:$D$21,"&lt;&gt;-1"),0)</f>
        <v>154.94</v>
      </c>
      <c r="U25" s="4">
        <f>IFERROR(_xlfn.MINIFS($F$2:$F$21,$F$2:$F$21,"&lt;&gt; -1"),0)</f>
        <v>0</v>
      </c>
      <c r="V25" s="4">
        <f>IFERROR(_xlfn.MINIFS($H$2:$H$21,$H$2:$H$21,"&lt;&gt; -1"),0)</f>
        <v>0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15557</v>
      </c>
      <c r="Z25" s="4">
        <f>IFERROR(_xlfn.MAXIFS($E$2:$E$21,$D$2:$D$21,"&lt;&gt; -1"),0)</f>
        <v>10850.7</v>
      </c>
      <c r="AA25" s="4">
        <f>IFERROR(_xlfn.MAXIFS($G$2:$G$21,$F$2:$F$21,"&lt;&gt; -1"),0)</f>
        <v>0</v>
      </c>
      <c r="AB25" s="4">
        <f>IFERROR(_xlfn.MAXIFS($I$2:$I$21,$H$2:$H$21,"&lt;&gt; -1"),0)</f>
        <v>0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11780</v>
      </c>
      <c r="AF25" s="4">
        <f>IFERROR(_xlfn.MINIFS($E$2:$E$21,$D$2:$D$21,"&lt;&gt; -1"),0)</f>
        <v>9520.49</v>
      </c>
      <c r="AG25" s="4">
        <f>IFERROR(_xlfn.MINIFS($G$2:$G$21,$F$2:$F$21,"&lt;&gt; -1"),0)</f>
        <v>0</v>
      </c>
      <c r="AH25" s="4">
        <f>IFERROR(_xlfn.MINIFS($I$2:$I$21,$H$2:$H$21,"&lt;&gt; -1"),0)</f>
        <v>0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0.35</v>
      </c>
      <c r="AL25" s="4">
        <f>(COUNTIFS($D$2:$D$21,"&gt;0.0",$D$2:$D$21,"&lt;200.0"))/20</f>
        <v>1</v>
      </c>
      <c r="AM25" s="4">
        <f>(COUNTIFS($F$2:$F$21,"&gt;0.0",$F$2:$F$21,"&lt;200.0"))/20</f>
        <v>0</v>
      </c>
      <c r="AN25" s="4">
        <f>(COUNTIFS($H$2:$H$21,"&gt;0.0",$H$2:$H$21,"&lt;200.0"))/20</f>
        <v>0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5"/>
  <sheetViews>
    <sheetView workbookViewId="0">
      <selection activeCell="A25" sqref="$A25:$XFD2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5916</v>
      </c>
      <c r="D2">
        <v>186.17</v>
      </c>
      <c r="E2">
        <v>10591.3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0</v>
      </c>
      <c r="D3">
        <v>198.75</v>
      </c>
      <c r="E3">
        <v>11089.22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-1</v>
      </c>
      <c r="C4">
        <v>0</v>
      </c>
      <c r="D4">
        <v>181.13</v>
      </c>
      <c r="E4">
        <v>9766.41</v>
      </c>
      <c r="F4">
        <v>-1</v>
      </c>
      <c r="G4">
        <v>3743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188.14</v>
      </c>
      <c r="C5">
        <v>13180</v>
      </c>
      <c r="D5">
        <v>188.06</v>
      </c>
      <c r="E5">
        <v>9818.43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197.9</v>
      </c>
      <c r="C6">
        <v>15643</v>
      </c>
      <c r="D6">
        <v>184.09</v>
      </c>
      <c r="E6">
        <v>10373.24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-1</v>
      </c>
      <c r="C7">
        <v>4792</v>
      </c>
      <c r="D7">
        <v>174.34</v>
      </c>
      <c r="E7">
        <v>9467.16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-1</v>
      </c>
      <c r="C8">
        <v>3752</v>
      </c>
      <c r="D8">
        <v>181.51</v>
      </c>
      <c r="E8">
        <v>9841.46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-1</v>
      </c>
      <c r="C9">
        <v>0</v>
      </c>
      <c r="D9">
        <v>191.99</v>
      </c>
      <c r="E9">
        <v>10474.6</v>
      </c>
      <c r="F9">
        <v>-1</v>
      </c>
      <c r="G9">
        <v>0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183.01</v>
      </c>
      <c r="C10">
        <v>15729</v>
      </c>
      <c r="D10">
        <v>182.56</v>
      </c>
      <c r="E10">
        <v>9941.28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-1</v>
      </c>
      <c r="C11">
        <v>0</v>
      </c>
      <c r="D11">
        <v>184.64</v>
      </c>
      <c r="E11">
        <v>9811.15</v>
      </c>
      <c r="F11">
        <v>-1</v>
      </c>
      <c r="G11">
        <v>0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2" spans="1:13">
      <c r="A12" t="s">
        <v>23</v>
      </c>
      <c r="B12">
        <v>-1</v>
      </c>
      <c r="C12">
        <v>0</v>
      </c>
      <c r="D12">
        <v>176.96</v>
      </c>
      <c r="E12">
        <v>9778.8</v>
      </c>
      <c r="F12">
        <v>-1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0</v>
      </c>
    </row>
    <row r="13" spans="1:13">
      <c r="A13" t="s">
        <v>24</v>
      </c>
      <c r="B13">
        <v>-1</v>
      </c>
      <c r="C13">
        <v>0</v>
      </c>
      <c r="D13">
        <v>179.3</v>
      </c>
      <c r="E13">
        <v>9582.9</v>
      </c>
      <c r="F13">
        <v>-1</v>
      </c>
      <c r="G13">
        <v>0</v>
      </c>
      <c r="H13">
        <v>-1</v>
      </c>
      <c r="I13">
        <v>0</v>
      </c>
      <c r="J13">
        <v>-1</v>
      </c>
      <c r="K13">
        <v>0</v>
      </c>
      <c r="L13">
        <v>-1</v>
      </c>
      <c r="M13">
        <v>0</v>
      </c>
    </row>
    <row r="14" spans="1:13">
      <c r="A14" t="s">
        <v>25</v>
      </c>
      <c r="B14">
        <v>-1</v>
      </c>
      <c r="C14">
        <v>0</v>
      </c>
      <c r="D14">
        <v>184.18</v>
      </c>
      <c r="E14">
        <v>9981.04</v>
      </c>
      <c r="F14">
        <v>-1</v>
      </c>
      <c r="G14">
        <v>0</v>
      </c>
      <c r="H14">
        <v>-1</v>
      </c>
      <c r="I14">
        <v>0</v>
      </c>
      <c r="J14">
        <v>-1</v>
      </c>
      <c r="K14">
        <v>0</v>
      </c>
      <c r="L14">
        <v>-1</v>
      </c>
      <c r="M14">
        <v>0</v>
      </c>
    </row>
    <row r="15" spans="1:13">
      <c r="A15" t="s">
        <v>26</v>
      </c>
      <c r="B15">
        <v>-1</v>
      </c>
      <c r="C15">
        <v>5591</v>
      </c>
      <c r="D15">
        <v>182.97</v>
      </c>
      <c r="E15">
        <v>10256.35</v>
      </c>
      <c r="F15">
        <v>-1</v>
      </c>
      <c r="G15">
        <v>0</v>
      </c>
      <c r="H15">
        <v>-1</v>
      </c>
      <c r="I15">
        <v>0</v>
      </c>
      <c r="J15">
        <v>-1</v>
      </c>
      <c r="K15">
        <v>0</v>
      </c>
      <c r="L15">
        <v>-1</v>
      </c>
      <c r="M15">
        <v>0</v>
      </c>
    </row>
    <row r="16" spans="1:13">
      <c r="A16" t="s">
        <v>27</v>
      </c>
      <c r="B16">
        <v>-1</v>
      </c>
      <c r="C16">
        <v>0</v>
      </c>
      <c r="D16">
        <v>185.35</v>
      </c>
      <c r="E16">
        <v>10273.43</v>
      </c>
      <c r="F16">
        <v>-1</v>
      </c>
      <c r="G16">
        <v>0</v>
      </c>
      <c r="H16">
        <v>-1</v>
      </c>
      <c r="I16">
        <v>0</v>
      </c>
      <c r="J16">
        <v>-1</v>
      </c>
      <c r="K16">
        <v>0</v>
      </c>
      <c r="L16">
        <v>-1</v>
      </c>
      <c r="M16">
        <v>0</v>
      </c>
    </row>
    <row r="17" spans="1:13">
      <c r="A17" t="s">
        <v>28</v>
      </c>
      <c r="B17">
        <v>-1</v>
      </c>
      <c r="C17">
        <v>0</v>
      </c>
      <c r="D17">
        <v>182.97</v>
      </c>
      <c r="E17">
        <v>10024.51</v>
      </c>
      <c r="F17">
        <v>-1</v>
      </c>
      <c r="G17">
        <v>0</v>
      </c>
      <c r="H17">
        <v>-1</v>
      </c>
      <c r="I17">
        <v>0</v>
      </c>
      <c r="J17">
        <v>-1</v>
      </c>
      <c r="K17">
        <v>0</v>
      </c>
      <c r="L17">
        <v>-1</v>
      </c>
      <c r="M17">
        <v>0</v>
      </c>
    </row>
    <row r="18" spans="1:13">
      <c r="A18" t="s">
        <v>29</v>
      </c>
      <c r="B18">
        <v>189.59</v>
      </c>
      <c r="C18">
        <v>14691</v>
      </c>
      <c r="D18">
        <v>185.11</v>
      </c>
      <c r="E18">
        <v>10192.14</v>
      </c>
      <c r="F18">
        <v>-1</v>
      </c>
      <c r="G18">
        <v>0</v>
      </c>
      <c r="H18">
        <v>-1</v>
      </c>
      <c r="I18">
        <v>0</v>
      </c>
      <c r="J18">
        <v>-1</v>
      </c>
      <c r="K18">
        <v>0</v>
      </c>
      <c r="L18">
        <v>-1</v>
      </c>
      <c r="M18">
        <v>0</v>
      </c>
    </row>
    <row r="19" spans="1:13">
      <c r="A19" t="s">
        <v>30</v>
      </c>
      <c r="B19">
        <v>204.85</v>
      </c>
      <c r="C19">
        <v>13119</v>
      </c>
      <c r="D19">
        <v>186.92</v>
      </c>
      <c r="E19">
        <v>9789.52</v>
      </c>
      <c r="F19">
        <v>-1</v>
      </c>
      <c r="G19">
        <v>0</v>
      </c>
      <c r="H19">
        <v>-1</v>
      </c>
      <c r="I19">
        <v>0</v>
      </c>
      <c r="J19">
        <v>-1</v>
      </c>
      <c r="K19">
        <v>0</v>
      </c>
      <c r="L19">
        <v>-1</v>
      </c>
      <c r="M19">
        <v>0</v>
      </c>
    </row>
    <row r="20" spans="1:13">
      <c r="A20" t="s">
        <v>31</v>
      </c>
      <c r="B20">
        <v>-1</v>
      </c>
      <c r="C20">
        <v>0</v>
      </c>
      <c r="D20">
        <v>187.21</v>
      </c>
      <c r="E20">
        <v>9946.26</v>
      </c>
      <c r="F20">
        <v>-1</v>
      </c>
      <c r="G20">
        <v>0</v>
      </c>
      <c r="H20">
        <v>-1</v>
      </c>
      <c r="I20">
        <v>0</v>
      </c>
      <c r="J20">
        <v>-1</v>
      </c>
      <c r="K20">
        <v>0</v>
      </c>
      <c r="L20">
        <v>-1</v>
      </c>
      <c r="M20">
        <v>0</v>
      </c>
    </row>
    <row r="21" spans="1:13">
      <c r="A21" t="s">
        <v>32</v>
      </c>
      <c r="B21">
        <v>173.92</v>
      </c>
      <c r="C21">
        <v>14637</v>
      </c>
      <c r="D21">
        <v>171.39</v>
      </c>
      <c r="E21">
        <v>9629.42</v>
      </c>
      <c r="F21">
        <v>-1</v>
      </c>
      <c r="G21">
        <v>0</v>
      </c>
      <c r="H21">
        <v>-1</v>
      </c>
      <c r="I21">
        <v>0</v>
      </c>
      <c r="J21">
        <v>-1</v>
      </c>
      <c r="K21">
        <v>0</v>
      </c>
      <c r="L21">
        <v>-1</v>
      </c>
      <c r="M21">
        <v>0</v>
      </c>
    </row>
    <row r="24" spans="1:42">
      <c r="A24" s="2" t="s">
        <v>33</v>
      </c>
      <c r="B24" s="2" t="s">
        <v>34</v>
      </c>
      <c r="C24" s="2" t="s">
        <v>35</v>
      </c>
      <c r="D24" s="3" t="s">
        <v>36</v>
      </c>
      <c r="E24" s="2" t="s">
        <v>37</v>
      </c>
      <c r="F24" s="2" t="s">
        <v>38</v>
      </c>
      <c r="G24" s="2" t="s">
        <v>39</v>
      </c>
      <c r="H24" s="2" t="s">
        <v>40</v>
      </c>
      <c r="I24" s="2" t="s">
        <v>41</v>
      </c>
      <c r="J24" s="3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3" t="s">
        <v>48</v>
      </c>
      <c r="Q24" s="2" t="s">
        <v>49</v>
      </c>
      <c r="R24" s="2" t="s">
        <v>50</v>
      </c>
      <c r="S24" s="2" t="s">
        <v>51</v>
      </c>
      <c r="T24" s="2" t="s">
        <v>52</v>
      </c>
      <c r="U24" s="2" t="s">
        <v>53</v>
      </c>
      <c r="V24" s="3" t="s">
        <v>54</v>
      </c>
      <c r="W24" s="2" t="s">
        <v>55</v>
      </c>
      <c r="X24" s="2" t="s">
        <v>56</v>
      </c>
      <c r="Y24" s="2" t="s">
        <v>57</v>
      </c>
      <c r="Z24" s="2" t="s">
        <v>58</v>
      </c>
      <c r="AA24" s="2" t="s">
        <v>59</v>
      </c>
      <c r="AB24" s="3" t="s">
        <v>60</v>
      </c>
      <c r="AC24" s="2" t="s">
        <v>61</v>
      </c>
      <c r="AD24" s="2" t="s">
        <v>62</v>
      </c>
      <c r="AE24" s="2" t="s">
        <v>63</v>
      </c>
      <c r="AF24" s="2" t="s">
        <v>64</v>
      </c>
      <c r="AG24" s="2" t="s">
        <v>65</v>
      </c>
      <c r="AH24" s="3" t="s">
        <v>66</v>
      </c>
      <c r="AI24" s="2" t="s">
        <v>67</v>
      </c>
      <c r="AJ24" s="2" t="s">
        <v>68</v>
      </c>
      <c r="AK24" s="2" t="s">
        <v>69</v>
      </c>
      <c r="AL24" s="2" t="s">
        <v>70</v>
      </c>
      <c r="AM24" s="2" t="s">
        <v>71</v>
      </c>
      <c r="AN24" s="3" t="s">
        <v>72</v>
      </c>
      <c r="AO24" s="2" t="s">
        <v>73</v>
      </c>
      <c r="AP24" s="2" t="s">
        <v>74</v>
      </c>
    </row>
    <row r="25" spans="1:42">
      <c r="A25" s="4">
        <f>IFERROR(AVERAGEIF($B$2:$B$21,"&lt;&gt; -1"),0)</f>
        <v>189.568333333333</v>
      </c>
      <c r="B25" s="4">
        <f>IFERROR(AVERAGEIF($D$2:$D$21,"&lt;&gt; -1"),0)</f>
        <v>183.78</v>
      </c>
      <c r="C25" s="4">
        <f>IFERROR(AVERAGEIF($F$2:$F$21,"&lt;&gt; -1"),0)</f>
        <v>0</v>
      </c>
      <c r="D25" s="4">
        <f>IFERROR(AVERAGEIF($H$2:$H$21,"&lt;&gt; -1"),0)</f>
        <v>0</v>
      </c>
      <c r="E25" s="4">
        <f>IFERROR(AVERAGEIF($J$2:$J$21,"&lt;&gt; -1"),0)</f>
        <v>0</v>
      </c>
      <c r="F25" s="4">
        <f>IFERROR(AVERAGEIF($L$2:$L$21,"&lt;&gt; -1"),0)</f>
        <v>0</v>
      </c>
      <c r="G25" s="4">
        <f>IFERROR(AVERAGEIFS($C$2:$C$21,$B$2:$B$21,"&lt;&gt; -1"),0)</f>
        <v>14499.8333333333</v>
      </c>
      <c r="H25" s="4">
        <f>IFERROR(AVERAGEIFS($E$2:$E$21,$D$2:$D$21,"&lt;&gt; -1"),0)</f>
        <v>10031.431</v>
      </c>
      <c r="I25" s="4">
        <f>IFERROR(AVERAGEIFS($G$2:$G$21,$F$2:$F$21,"&lt;&gt; -1"),0)</f>
        <v>0</v>
      </c>
      <c r="J25" s="4">
        <f>IFERROR(AVERAGEIFS($I$2:$I$21,$H$2:$H$21,"&lt;&gt; -1"),0)</f>
        <v>0</v>
      </c>
      <c r="K25" s="4">
        <f>IFERROR(AVERAGEIFS($K$2:$K$21,$J$2:$J$21,"&lt;&gt; -1"),0)</f>
        <v>0</v>
      </c>
      <c r="L25" s="4">
        <f>IFERROR(AVERAGEIFS($M$2:$M$21,$L$2:$L$21,"&lt;&gt; -1"),0)</f>
        <v>0</v>
      </c>
      <c r="M25" s="4">
        <f>IFERROR(_xlfn.MAXIFS($B$2:$B$21,$B$2:$B$21,"&lt;&gt; -1"),0)</f>
        <v>204.85</v>
      </c>
      <c r="N25" s="4">
        <f>IFERROR(_xlfn.MAXIFS($D$2:$D$21,$D$2:$D$21,"&lt;&gt;-1"),0)</f>
        <v>198.75</v>
      </c>
      <c r="O25" s="4">
        <f>IFERROR(_xlfn.MAXIFS($F$2:$F$21,$F$2:$F$21,"&lt;&gt; -1"),0)</f>
        <v>0</v>
      </c>
      <c r="P25" s="4">
        <f>IFERROR(_xlfn.MAXIFS($H$2:$H$21,$H$2:$H$21,"&lt;&gt; -1"),0)</f>
        <v>0</v>
      </c>
      <c r="Q25" s="4">
        <f>IFERROR(_xlfn.MAXIFS($J$2:$J$21,$J$2:$J$21,"&lt;&gt; -1"),0)</f>
        <v>0</v>
      </c>
      <c r="R25" s="4">
        <f>IFERROR(_xlfn.MAXIFS($L$2:$L$21,$L$2:$L$21,"&lt;&gt; -1"),0)</f>
        <v>0</v>
      </c>
      <c r="S25" s="4">
        <f>IFERROR(_xlfn.MINIFS($B$2:$B$21,$B$2:$B$21,"&lt;&gt; -1"),0)</f>
        <v>173.92</v>
      </c>
      <c r="T25" s="4">
        <f>IFERROR(_xlfn.MINIFS($D$2:$D$21,$D$2:$D$21,"&lt;&gt;-1"),0)</f>
        <v>171.39</v>
      </c>
      <c r="U25" s="4">
        <f>IFERROR(_xlfn.MINIFS($F$2:$F$21,$F$2:$F$21,"&lt;&gt; -1"),0)</f>
        <v>0</v>
      </c>
      <c r="V25" s="4">
        <f>IFERROR(_xlfn.MINIFS($H$2:$H$21,$H$2:$H$21,"&lt;&gt; -1"),0)</f>
        <v>0</v>
      </c>
      <c r="W25" s="4">
        <f>IFERROR(_xlfn.MINIFS($J$2:$J$21,$J$2:$J$21,"&lt;&gt; -1"),0)</f>
        <v>0</v>
      </c>
      <c r="X25" s="4">
        <f>IFERROR(_xlfn.MINIFS($L$2:$L$21,$L$2:$L$21,"&lt;&gt; -1"),0)</f>
        <v>0</v>
      </c>
      <c r="Y25" s="4">
        <f>IFERROR(_xlfn.MAXIFS($C$2:$C$21,$B$2:$B$21,"&lt;&gt; -1"),0)</f>
        <v>15729</v>
      </c>
      <c r="Z25" s="4">
        <f>IFERROR(_xlfn.MAXIFS($E$2:$E$21,$D$2:$D$21,"&lt;&gt; -1"),0)</f>
        <v>11089.22</v>
      </c>
      <c r="AA25" s="4">
        <f>IFERROR(_xlfn.MAXIFS($G$2:$G$21,$F$2:$F$21,"&lt;&gt; -1"),0)</f>
        <v>0</v>
      </c>
      <c r="AB25" s="4">
        <f>IFERROR(_xlfn.MAXIFS($I$2:$I$21,$H$2:$H$21,"&lt;&gt; -1"),0)</f>
        <v>0</v>
      </c>
      <c r="AC25" s="4">
        <f>IFERROR(_xlfn.MAXIFS($K$2:$K$21,$J$2:$J$21,"&lt;&gt; -1"),0)</f>
        <v>0</v>
      </c>
      <c r="AD25" s="4">
        <f>IFERROR(_xlfn.MAXIFS($M$2:$M$21,$L$2:$L$21,"&lt;&gt; -1"),0)</f>
        <v>0</v>
      </c>
      <c r="AE25" s="4">
        <f>IFERROR(_xlfn.MINIFS($C$2:$C$21,$B$2:$B$21,"&lt;&gt; -1"),0)</f>
        <v>13119</v>
      </c>
      <c r="AF25" s="4">
        <f>IFERROR(_xlfn.MINIFS($E$2:$E$21,$D$2:$D$21,"&lt;&gt; -1"),0)</f>
        <v>9467.16</v>
      </c>
      <c r="AG25" s="4">
        <f>IFERROR(_xlfn.MINIFS($G$2:$G$21,$F$2:$F$21,"&lt;&gt; -1"),0)</f>
        <v>0</v>
      </c>
      <c r="AH25" s="4">
        <f>IFERROR(_xlfn.MINIFS($I$2:$I$21,$H$2:$H$21,"&lt;&gt; -1"),0)</f>
        <v>0</v>
      </c>
      <c r="AI25" s="4">
        <f>IFERROR(_xlfn.MINIFS($K$2:$K$21,$J$2:$J$21,"&lt;&gt; -1"),0)</f>
        <v>0</v>
      </c>
      <c r="AJ25" s="4">
        <f>IFERROR(_xlfn.MINIFS($M$2:$M$21,$L$2:$L$21,"&lt;&gt; -1"),0)</f>
        <v>0</v>
      </c>
      <c r="AK25" s="4">
        <f>(COUNTIFS($B$2:$B$21,"&gt;0.0",$B$2:$B$21,"&lt;200.0"))/20</f>
        <v>0.25</v>
      </c>
      <c r="AL25" s="4">
        <f>(COUNTIFS($D$2:$D$21,"&gt;0.0",$D$2:$D$21,"&lt;200.0"))/20</f>
        <v>1</v>
      </c>
      <c r="AM25" s="4">
        <f>(COUNTIFS($F$2:$F$21,"&gt;0.0",$F$2:$F$21,"&lt;200.0"))/20</f>
        <v>0</v>
      </c>
      <c r="AN25" s="4">
        <f>(COUNTIFS($H$2:$H$21,"&gt;0.0",$H$2:$H$21,"&lt;200.0"))/20</f>
        <v>0</v>
      </c>
      <c r="AO25" s="4">
        <f>(COUNTIFS($J$2:$J$21,"&gt;0.0",$J$2:$J$21,"&lt;200.0"))/20</f>
        <v>0</v>
      </c>
      <c r="AP25" s="4">
        <f>(COUNTIFS($L$2:$L$21,"&gt;0.0",$L$2:$L$21,"&lt;200.0"))/20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8" sqref="D8"/>
    </sheetView>
  </sheetViews>
  <sheetFormatPr defaultColWidth="8.72727272727273" defaultRowHeight="14" outlineLevelRow="6"/>
  <sheetData>
    <row r="1" spans="1:4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74</v>
      </c>
    </row>
    <row r="2" spans="1:42">
      <c r="A2">
        <v>129.5</v>
      </c>
      <c r="B2">
        <v>129.653</v>
      </c>
      <c r="C2">
        <v>136.550909090909</v>
      </c>
      <c r="D2">
        <v>154.491875</v>
      </c>
      <c r="E2">
        <v>130.336666666667</v>
      </c>
      <c r="F2">
        <v>154.41</v>
      </c>
      <c r="G2">
        <v>11922.8</v>
      </c>
      <c r="H2">
        <v>9850.302</v>
      </c>
      <c r="I2">
        <v>11681.0909090909</v>
      </c>
      <c r="J2">
        <v>11257.263125</v>
      </c>
      <c r="K2">
        <v>11119.6666666667</v>
      </c>
      <c r="L2">
        <v>9748.57833333333</v>
      </c>
      <c r="M2">
        <v>157.61</v>
      </c>
      <c r="N2">
        <v>157.79</v>
      </c>
      <c r="O2">
        <v>170.17</v>
      </c>
      <c r="P2">
        <v>193.8</v>
      </c>
      <c r="Q2">
        <v>158.38</v>
      </c>
      <c r="R2">
        <v>182.64</v>
      </c>
      <c r="S2">
        <v>103.64</v>
      </c>
      <c r="T2">
        <v>103.81</v>
      </c>
      <c r="U2">
        <v>115.11</v>
      </c>
      <c r="V2">
        <v>126.2</v>
      </c>
      <c r="W2">
        <v>114.87</v>
      </c>
      <c r="X2">
        <v>116.44</v>
      </c>
      <c r="Y2">
        <v>12870</v>
      </c>
      <c r="Z2">
        <v>10616.07</v>
      </c>
      <c r="AA2">
        <v>12545</v>
      </c>
      <c r="AB2">
        <v>12067.65</v>
      </c>
      <c r="AC2">
        <v>11688</v>
      </c>
      <c r="AD2">
        <v>10538.78</v>
      </c>
      <c r="AE2">
        <v>11038</v>
      </c>
      <c r="AF2">
        <v>9064.83</v>
      </c>
      <c r="AG2">
        <v>10826</v>
      </c>
      <c r="AH2">
        <v>10471.82</v>
      </c>
      <c r="AI2">
        <v>10827</v>
      </c>
      <c r="AJ2">
        <v>9082.7</v>
      </c>
      <c r="AK2">
        <v>1</v>
      </c>
      <c r="AL2">
        <v>1</v>
      </c>
      <c r="AM2">
        <v>0.55</v>
      </c>
      <c r="AN2">
        <v>0.8</v>
      </c>
      <c r="AO2">
        <v>0.15</v>
      </c>
      <c r="AP2">
        <v>0.3</v>
      </c>
    </row>
    <row r="3" spans="1:42">
      <c r="A3">
        <v>132.948</v>
      </c>
      <c r="B3">
        <v>133.423</v>
      </c>
      <c r="C3">
        <v>0</v>
      </c>
      <c r="D3">
        <v>176.98</v>
      </c>
      <c r="E3">
        <v>0</v>
      </c>
      <c r="F3">
        <v>0</v>
      </c>
      <c r="G3">
        <v>13015.0666666667</v>
      </c>
      <c r="H3">
        <v>9897.3535</v>
      </c>
      <c r="I3">
        <v>0</v>
      </c>
      <c r="J3">
        <v>11050.895</v>
      </c>
      <c r="K3">
        <v>0</v>
      </c>
      <c r="L3">
        <v>0</v>
      </c>
      <c r="M3">
        <v>179.57</v>
      </c>
      <c r="N3">
        <v>179.49</v>
      </c>
      <c r="O3">
        <v>0</v>
      </c>
      <c r="P3">
        <v>186.09</v>
      </c>
      <c r="Q3">
        <v>0</v>
      </c>
      <c r="R3">
        <v>0</v>
      </c>
      <c r="S3">
        <v>116.01</v>
      </c>
      <c r="T3">
        <v>115.82</v>
      </c>
      <c r="U3">
        <v>0</v>
      </c>
      <c r="V3">
        <v>167.87</v>
      </c>
      <c r="W3">
        <v>0</v>
      </c>
      <c r="X3">
        <v>0</v>
      </c>
      <c r="Y3">
        <v>14088</v>
      </c>
      <c r="Z3">
        <v>10617.31</v>
      </c>
      <c r="AA3">
        <v>0</v>
      </c>
      <c r="AB3">
        <v>11162.35</v>
      </c>
      <c r="AC3">
        <v>0</v>
      </c>
      <c r="AD3">
        <v>0</v>
      </c>
      <c r="AE3">
        <v>11722</v>
      </c>
      <c r="AF3">
        <v>9230.61</v>
      </c>
      <c r="AG3">
        <v>0</v>
      </c>
      <c r="AH3">
        <v>10939.44</v>
      </c>
      <c r="AI3">
        <v>0</v>
      </c>
      <c r="AJ3">
        <v>0</v>
      </c>
      <c r="AK3">
        <v>0.75</v>
      </c>
      <c r="AL3">
        <v>1</v>
      </c>
      <c r="AM3">
        <v>0</v>
      </c>
      <c r="AN3">
        <v>0.1</v>
      </c>
      <c r="AO3">
        <v>0</v>
      </c>
      <c r="AP3">
        <v>0</v>
      </c>
    </row>
    <row r="4" spans="1:42">
      <c r="A4">
        <v>143.499230769231</v>
      </c>
      <c r="B4">
        <v>139.229</v>
      </c>
      <c r="C4">
        <v>0</v>
      </c>
      <c r="D4">
        <v>180.74</v>
      </c>
      <c r="E4">
        <v>0</v>
      </c>
      <c r="F4">
        <v>0</v>
      </c>
      <c r="G4">
        <v>14079.7692307692</v>
      </c>
      <c r="H4">
        <v>9967.477</v>
      </c>
      <c r="I4">
        <v>0</v>
      </c>
      <c r="J4">
        <v>11904.84</v>
      </c>
      <c r="K4">
        <v>0</v>
      </c>
      <c r="L4">
        <v>0</v>
      </c>
      <c r="M4">
        <v>178.18</v>
      </c>
      <c r="N4">
        <v>150.03</v>
      </c>
      <c r="O4">
        <v>0</v>
      </c>
      <c r="P4">
        <v>180.74</v>
      </c>
      <c r="Q4">
        <v>0</v>
      </c>
      <c r="R4">
        <v>0</v>
      </c>
      <c r="S4">
        <v>132.79</v>
      </c>
      <c r="T4">
        <v>130.57</v>
      </c>
      <c r="U4">
        <v>0</v>
      </c>
      <c r="V4">
        <v>180.74</v>
      </c>
      <c r="W4">
        <v>0</v>
      </c>
      <c r="X4">
        <v>0</v>
      </c>
      <c r="Y4">
        <v>17576</v>
      </c>
      <c r="Z4">
        <v>10812.83</v>
      </c>
      <c r="AA4">
        <v>0</v>
      </c>
      <c r="AB4">
        <v>11904.84</v>
      </c>
      <c r="AC4">
        <v>0</v>
      </c>
      <c r="AD4">
        <v>0</v>
      </c>
      <c r="AE4">
        <v>11318</v>
      </c>
      <c r="AF4">
        <v>9181.3</v>
      </c>
      <c r="AG4">
        <v>0</v>
      </c>
      <c r="AH4">
        <v>11904.84</v>
      </c>
      <c r="AI4">
        <v>0</v>
      </c>
      <c r="AJ4">
        <v>0</v>
      </c>
      <c r="AK4">
        <v>0.65</v>
      </c>
      <c r="AL4">
        <v>1</v>
      </c>
      <c r="AM4">
        <v>0</v>
      </c>
      <c r="AN4">
        <v>0.05</v>
      </c>
      <c r="AO4">
        <v>0</v>
      </c>
      <c r="AP4">
        <v>0</v>
      </c>
    </row>
    <row r="5" spans="1:42">
      <c r="A5">
        <v>155.704545454545</v>
      </c>
      <c r="B5">
        <v>154.429</v>
      </c>
      <c r="C5">
        <v>0</v>
      </c>
      <c r="D5">
        <v>182.34</v>
      </c>
      <c r="E5">
        <v>0</v>
      </c>
      <c r="F5">
        <v>0</v>
      </c>
      <c r="G5">
        <v>13663.1818181818</v>
      </c>
      <c r="H5">
        <v>9971.635</v>
      </c>
      <c r="I5">
        <v>0</v>
      </c>
      <c r="J5">
        <v>10837.98</v>
      </c>
      <c r="K5">
        <v>0</v>
      </c>
      <c r="L5">
        <v>0</v>
      </c>
      <c r="M5">
        <v>162.97</v>
      </c>
      <c r="N5">
        <v>169.9</v>
      </c>
      <c r="O5">
        <v>0</v>
      </c>
      <c r="P5">
        <v>182.34</v>
      </c>
      <c r="Q5">
        <v>0</v>
      </c>
      <c r="R5">
        <v>0</v>
      </c>
      <c r="S5">
        <v>143.82</v>
      </c>
      <c r="T5">
        <v>143.52</v>
      </c>
      <c r="U5">
        <v>0</v>
      </c>
      <c r="V5">
        <v>182.34</v>
      </c>
      <c r="W5">
        <v>0</v>
      </c>
      <c r="X5">
        <v>0</v>
      </c>
      <c r="Y5">
        <v>15224</v>
      </c>
      <c r="Z5">
        <v>10835.08</v>
      </c>
      <c r="AA5">
        <v>0</v>
      </c>
      <c r="AB5">
        <v>10837.98</v>
      </c>
      <c r="AC5">
        <v>0</v>
      </c>
      <c r="AD5">
        <v>0</v>
      </c>
      <c r="AE5">
        <v>12411</v>
      </c>
      <c r="AF5">
        <v>9329.14</v>
      </c>
      <c r="AG5">
        <v>0</v>
      </c>
      <c r="AH5">
        <v>10837.98</v>
      </c>
      <c r="AI5">
        <v>0</v>
      </c>
      <c r="AJ5">
        <v>0</v>
      </c>
      <c r="AK5">
        <v>0.55</v>
      </c>
      <c r="AL5">
        <v>1</v>
      </c>
      <c r="AM5">
        <v>0</v>
      </c>
      <c r="AN5">
        <v>0.05</v>
      </c>
      <c r="AO5">
        <v>0</v>
      </c>
      <c r="AP5">
        <v>0</v>
      </c>
    </row>
    <row r="6" spans="1:42">
      <c r="A6">
        <v>166.812857142857</v>
      </c>
      <c r="B6">
        <v>166.0875</v>
      </c>
      <c r="C6">
        <v>0</v>
      </c>
      <c r="D6">
        <v>0</v>
      </c>
      <c r="E6">
        <v>0</v>
      </c>
      <c r="F6">
        <v>0</v>
      </c>
      <c r="G6">
        <v>13698.4285714286</v>
      </c>
      <c r="H6">
        <v>9975.242</v>
      </c>
      <c r="I6">
        <v>0</v>
      </c>
      <c r="J6">
        <v>0</v>
      </c>
      <c r="K6">
        <v>0</v>
      </c>
      <c r="L6">
        <v>0</v>
      </c>
      <c r="M6">
        <v>174.76</v>
      </c>
      <c r="N6">
        <v>178.74</v>
      </c>
      <c r="O6">
        <v>0</v>
      </c>
      <c r="P6">
        <v>0</v>
      </c>
      <c r="Q6">
        <v>0</v>
      </c>
      <c r="R6">
        <v>0</v>
      </c>
      <c r="S6">
        <v>157.34</v>
      </c>
      <c r="T6">
        <v>154.94</v>
      </c>
      <c r="U6">
        <v>0</v>
      </c>
      <c r="V6">
        <v>0</v>
      </c>
      <c r="W6">
        <v>0</v>
      </c>
      <c r="X6">
        <v>0</v>
      </c>
      <c r="Y6">
        <v>15557</v>
      </c>
      <c r="Z6">
        <v>10850.7</v>
      </c>
      <c r="AA6">
        <v>0</v>
      </c>
      <c r="AB6">
        <v>0</v>
      </c>
      <c r="AC6">
        <v>0</v>
      </c>
      <c r="AD6">
        <v>0</v>
      </c>
      <c r="AE6">
        <v>11780</v>
      </c>
      <c r="AF6">
        <v>9520.49</v>
      </c>
      <c r="AG6">
        <v>0</v>
      </c>
      <c r="AH6">
        <v>0</v>
      </c>
      <c r="AI6">
        <v>0</v>
      </c>
      <c r="AJ6">
        <v>0</v>
      </c>
      <c r="AK6">
        <v>0.35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189.568333333333</v>
      </c>
      <c r="B7">
        <v>183.78</v>
      </c>
      <c r="C7">
        <v>0</v>
      </c>
      <c r="D7">
        <v>0</v>
      </c>
      <c r="E7">
        <v>0</v>
      </c>
      <c r="F7">
        <v>0</v>
      </c>
      <c r="G7">
        <v>14499.8333333333</v>
      </c>
      <c r="H7">
        <v>10031.431</v>
      </c>
      <c r="I7">
        <v>0</v>
      </c>
      <c r="J7">
        <v>0</v>
      </c>
      <c r="K7">
        <v>0</v>
      </c>
      <c r="L7">
        <v>0</v>
      </c>
      <c r="M7">
        <v>204.85</v>
      </c>
      <c r="N7">
        <v>198.75</v>
      </c>
      <c r="O7">
        <v>0</v>
      </c>
      <c r="P7">
        <v>0</v>
      </c>
      <c r="Q7">
        <v>0</v>
      </c>
      <c r="R7">
        <v>0</v>
      </c>
      <c r="S7">
        <v>173.92</v>
      </c>
      <c r="T7">
        <v>171.39</v>
      </c>
      <c r="U7">
        <v>0</v>
      </c>
      <c r="V7">
        <v>0</v>
      </c>
      <c r="W7">
        <v>0</v>
      </c>
      <c r="X7">
        <v>0</v>
      </c>
      <c r="Y7">
        <v>15729</v>
      </c>
      <c r="Z7">
        <v>11089.22</v>
      </c>
      <c r="AA7">
        <v>0</v>
      </c>
      <c r="AB7">
        <v>0</v>
      </c>
      <c r="AC7">
        <v>0</v>
      </c>
      <c r="AD7">
        <v>0</v>
      </c>
      <c r="AE7">
        <v>13119</v>
      </c>
      <c r="AF7">
        <v>9467.16</v>
      </c>
      <c r="AG7">
        <v>0</v>
      </c>
      <c r="AH7">
        <v>0</v>
      </c>
      <c r="AI7">
        <v>0</v>
      </c>
      <c r="AJ7">
        <v>0</v>
      </c>
      <c r="AK7">
        <v>0.25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2024-08-29T00:03:00Z</dcterms:created>
  <dcterms:modified xsi:type="dcterms:W3CDTF">2024-08-29T15:04:25Z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087DBD7E5C47437B8A8410D4196C40AC_12</vt:lpwstr>
  </property>
  <property fmtid="{D5CDD505-2E9C-101B-9397-08002B2CF9AE}" pid="3" name="KSOProductBuildVer">
    <vt:lpwstr>2052-12.1.0.17827</vt:lpwstr>
  </property>
</Properties>
</file>