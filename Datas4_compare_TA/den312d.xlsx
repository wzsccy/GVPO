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firstSheet="5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<sst xmlns="http://schemas.openxmlformats.org/spreadsheetml/2006/main" count="402" uniqueCount="60">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</sst>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55" zoomScaleNormal="55" workbookViewId="0">
      <selection activeCell="B8" sqref="A8:AP9"/>
    </sheetView>
  </sheetViews>
  <sheetFormatPr defaultColWidth="9" defaultRowHeight="14"/>
  <cols>
    <col min="1" max="1" width="10.7909090909091" customWidth="1"/>
    <col min="11" max="11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340.84</v>
      </c>
      <c r="C2" s="2">
        <v>18889.21</v>
      </c>
      <c r="D2" s="2">
        <v>378.66</v>
      </c>
      <c r="E2" s="2">
        <v>18837.32</v>
      </c>
      <c r="F2" s="2">
        <v>476.69</v>
      </c>
      <c r="G2" s="2">
        <v>21839.34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318.1</v>
      </c>
      <c r="C3" s="2">
        <v>18753.46</v>
      </c>
      <c r="D3" s="2">
        <v>355.6</v>
      </c>
      <c r="E3" s="2">
        <v>19094.26</v>
      </c>
      <c r="F3" s="2">
        <v>-1</v>
      </c>
      <c r="G3" s="2">
        <v>0</v>
      </c>
      <c r="H3" s="2">
        <v>-1</v>
      </c>
      <c r="I3" s="2">
        <v>0</v>
      </c>
      <c r="J3" s="2">
        <v>489.69</v>
      </c>
      <c r="K3" s="2">
        <v>18691.41</v>
      </c>
      <c r="L3" s="2">
        <v>-1</v>
      </c>
      <c r="M3" s="2">
        <v>0</v>
      </c>
    </row>
    <row r="4" spans="1:13">
      <c r="A4" s="2" t="s">
        <v>15</v>
      </c>
      <c r="B4" s="2">
        <v>299.3</v>
      </c>
      <c r="C4" s="2">
        <v>18944.34</v>
      </c>
      <c r="D4" s="2">
        <v>336.14</v>
      </c>
      <c r="E4" s="2">
        <v>18981.4</v>
      </c>
      <c r="F4" s="2">
        <v>346.96</v>
      </c>
      <c r="G4" s="2">
        <v>22044.7</v>
      </c>
      <c r="H4" s="2">
        <v>696.44</v>
      </c>
      <c r="I4" s="2">
        <v>22049.73</v>
      </c>
      <c r="J4" s="2">
        <v>417.58</v>
      </c>
      <c r="K4" s="2">
        <v>18939.96</v>
      </c>
      <c r="L4" s="2">
        <v>-1</v>
      </c>
      <c r="M4" s="2">
        <v>0</v>
      </c>
    </row>
    <row r="5" spans="1:13">
      <c r="A5" s="2" t="s">
        <v>16</v>
      </c>
      <c r="B5" s="2">
        <v>425.97</v>
      </c>
      <c r="C5" s="2">
        <v>18711.32</v>
      </c>
      <c r="D5" s="2">
        <v>468.43</v>
      </c>
      <c r="E5" s="2">
        <v>19069.94</v>
      </c>
      <c r="F5" s="2">
        <v>495.74</v>
      </c>
      <c r="G5" s="2">
        <v>21768.38</v>
      </c>
      <c r="H5" s="2">
        <v>-1</v>
      </c>
      <c r="I5" s="2">
        <v>0</v>
      </c>
      <c r="J5" s="2">
        <v>711.94</v>
      </c>
      <c r="K5" s="2">
        <v>18691.66</v>
      </c>
      <c r="L5" s="2">
        <v>-1</v>
      </c>
      <c r="M5" s="2">
        <v>0</v>
      </c>
    </row>
    <row r="6" spans="1:13">
      <c r="A6" s="2" t="s">
        <v>17</v>
      </c>
      <c r="B6" s="2">
        <v>360.6</v>
      </c>
      <c r="C6" s="2">
        <v>18644.36</v>
      </c>
      <c r="D6" s="2">
        <v>413.62</v>
      </c>
      <c r="E6" s="2">
        <v>18936.82</v>
      </c>
      <c r="F6" s="2">
        <v>479.71</v>
      </c>
      <c r="G6" s="2">
        <v>21561.68</v>
      </c>
      <c r="H6">
        <v>-1</v>
      </c>
      <c r="I6">
        <v>0</v>
      </c>
      <c r="J6" s="2">
        <v>737.04</v>
      </c>
      <c r="K6" s="2">
        <v>18534.96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348.962</v>
      </c>
      <c r="B9" s="5">
        <f>IFERROR(AVERAGEIF($D$2:$D$6,"&lt;&gt; -1"),0)</f>
        <v>390.49</v>
      </c>
      <c r="C9" s="5">
        <f>IFERROR(AVERAGEIF($F$2:$F$6,"&lt;&gt; -1"),0)</f>
        <v>449.775</v>
      </c>
      <c r="D9" s="5">
        <f>IFERROR(AVERAGEIF($H$2:$H$6,"&lt;&gt; -1"),0)</f>
        <v>696.44</v>
      </c>
      <c r="E9" s="5">
        <f>IFERROR(AVERAGEIF($J$2:$J$6,"&lt;&gt; -1"),0)</f>
        <v>589.0625</v>
      </c>
      <c r="F9" s="5">
        <f>IFERROR(AVERAGEIF($L$2:$L$6,"&lt;&gt; -1"),0)</f>
        <v>0</v>
      </c>
      <c r="G9" s="5">
        <f>IFERROR(AVERAGEIFS($C$2:$C$6,$B$2:$B$6,"&lt;&gt; -1"),0)</f>
        <v>18788.538</v>
      </c>
      <c r="H9" s="5">
        <f>IFERROR(AVERAGEIFS($E$2:$E$6,$D$2:$D$6,"&lt;&gt; -1"),0)</f>
        <v>18983.948</v>
      </c>
      <c r="I9" s="5">
        <f>IFERROR(AVERAGEIFS($G$2:$G$6,$F$2:$F$6,"&lt;&gt; -1"),0)</f>
        <v>21803.525</v>
      </c>
      <c r="J9" s="5">
        <f>IFERROR(AVERAGEIFS($I$2:$I$6,$H$2:$H$6,"&lt;&gt; -1"),0)</f>
        <v>22049.73</v>
      </c>
      <c r="K9" s="5">
        <f>IFERROR(AVERAGEIFS($K$2:$K$6,$J$2:$J$6,"&lt;&gt; -1"),0)</f>
        <v>18714.4975</v>
      </c>
      <c r="L9" s="5">
        <f>IFERROR(AVERAGEIFS($M$2:$M$6,$L$2:$L$6,"&lt;&gt; -1"),0)</f>
        <v>0</v>
      </c>
      <c r="M9" s="5">
        <f>IFERROR(_xlfn.MAXIFS($B$2:$B$6,$B$2:$B$6,"&lt;&gt; -1"),0)</f>
        <v>425.97</v>
      </c>
      <c r="N9" s="5">
        <f>IFERROR(_xlfn.MAXIFS($D$2:$D$6,$D$2:$D$6,"&lt;&gt;-1"),0)</f>
        <v>468.43</v>
      </c>
      <c r="O9" s="5">
        <f>IFERROR(_xlfn.MAXIFS($F$2:$F$6,$F$2:$F$6,"&lt;&gt; -1"),0)</f>
        <v>495.74</v>
      </c>
      <c r="P9" s="5">
        <f>IFERROR(_xlfn.MAXIFS($H$2:$H$6,$H$2:$H$6,"&lt;&gt; -1"),0)</f>
        <v>696.44</v>
      </c>
      <c r="Q9" s="5">
        <f>IFERROR(_xlfn.MAXIFS($J$2:$J$6,$J$2:$J$6,"&lt;&gt; -1"),0)</f>
        <v>737.04</v>
      </c>
      <c r="R9" s="5">
        <f>IFERROR(_xlfn.MAXIFS($L$2:$L$6,$L$2:$L$6,"&lt;&gt; -1"),0)</f>
        <v>0</v>
      </c>
      <c r="S9" s="5">
        <f>IFERROR(_xlfn.MINIFS($B$2:$B$6,$B$2:$B$6,"&lt;&gt; -1"),0)</f>
        <v>299.3</v>
      </c>
      <c r="T9" s="5">
        <f>IFERROR(_xlfn.MINIFS($D$2:$D$6,$D$2:$D$6,"&lt;&gt;-1"),0)</f>
        <v>336.14</v>
      </c>
      <c r="U9" s="5">
        <f>IFERROR(_xlfn.MINIFS($F$2:$F$6,$F$2:$F$6,"&lt;&gt; -1"),0)</f>
        <v>346.96</v>
      </c>
      <c r="V9" s="5">
        <f>IFERROR(_xlfn.MINIFS($H$2:$H$6,$H$2:$H$6,"&lt;&gt; -1"),0)</f>
        <v>696.44</v>
      </c>
      <c r="W9" s="5">
        <f>IFERROR(_xlfn.MINIFS($J$2:$J$6,$J$2:$J$6,"&lt;&gt; -1"),0)</f>
        <v>417.58</v>
      </c>
      <c r="X9" s="5">
        <f>IFERROR(_xlfn.MINIFS($L$2:$L$6,$L$2:$L$6,"&lt;&gt; -1"),0)</f>
        <v>0</v>
      </c>
      <c r="Y9" s="5">
        <f>IFERROR(_xlfn.MAXIFS($C$2:$C$6,$B$2:$B$6,"&lt;&gt; -1"),0)</f>
        <v>18944.34</v>
      </c>
      <c r="Z9" s="5">
        <f>IFERROR(_xlfn.MAXIFS($E$2:$E$6,$D$2:$D$6,"&lt;&gt; -1"),0)</f>
        <v>19094.26</v>
      </c>
      <c r="AA9" s="5">
        <f>IFERROR(_xlfn.MAXIFS($G$2:$G$6,$F$2:$F$6,"&lt;&gt; -1"),0)</f>
        <v>22044.7</v>
      </c>
      <c r="AB9" s="5">
        <f>IFERROR(_xlfn.MAXIFS($I$2:$I$6,$H$2:$H$6,"&lt;&gt; -1"),0)</f>
        <v>22049.73</v>
      </c>
      <c r="AC9" s="5">
        <f>IFERROR(_xlfn.MAXIFS($K$2:$K$6,$J$2:$J$6,"&lt;&gt; -1"),0)</f>
        <v>18939.96</v>
      </c>
      <c r="AD9" s="5">
        <f>IFERROR(_xlfn.MAXIFS($M$2:$M$6,$L$2:$L$6,"&lt;&gt; -1"),0)</f>
        <v>0</v>
      </c>
      <c r="AE9" s="5">
        <f>IFERROR(_xlfn.MINIFS($C$2:$C$6,$B$2:$B$6,"&lt;&gt; -1"),0)</f>
        <v>18644.36</v>
      </c>
      <c r="AF9" s="5">
        <f>IFERROR(_xlfn.MINIFS($E$2:$E$6,$D$2:$D$6,"&lt;&gt; -1"),0)</f>
        <v>18837.32</v>
      </c>
      <c r="AG9" s="5">
        <f>IFERROR(_xlfn.MINIFS($G$2:$G$6,$F$2:$F$6,"&lt;&gt; -1"),0)</f>
        <v>21561.68</v>
      </c>
      <c r="AH9" s="5">
        <f>IFERROR(_xlfn.MINIFS($I$2:$I$6,$H$2:$H$6,"&lt;&gt; -1"),0)</f>
        <v>22049.73</v>
      </c>
      <c r="AI9" s="5">
        <f>IFERROR(_xlfn.MINIFS($K$2:$K$6,$J$2:$J$6,"&lt;&gt; -1"),0)</f>
        <v>18534.96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0.8</v>
      </c>
      <c r="AN9" s="5">
        <f>(COUNTIFS($H$2:$H$6,"&gt;0.0",$H$2:$H$6,"&lt;3000.0"))/5</f>
        <v>0.2</v>
      </c>
      <c r="AO9" s="5">
        <f>(COUNTIFS($J$2:$J$6,"&gt;0.0",$J$2:$J$6,"&lt;3000.0"))/5</f>
        <v>0.8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85" zoomScaleNormal="85" workbookViewId="0">
      <selection activeCell="A9" sqref="$A9:$XFD9"/>
    </sheetView>
  </sheetViews>
  <sheetFormatPr defaultColWidth="9" defaultRowHeight="14"/>
  <cols>
    <col min="3" max="3" width="9.54545454545454"/>
    <col min="5" max="5" width="9.54545454545454"/>
    <col min="7" max="7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438.15</v>
      </c>
      <c r="C2" s="2">
        <v>19082.11</v>
      </c>
      <c r="D2" s="2">
        <v>474.2</v>
      </c>
      <c r="E2" s="2">
        <v>19212.16</v>
      </c>
      <c r="F2" s="2">
        <v>746.86</v>
      </c>
      <c r="G2" s="2">
        <v>21912.42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447.78</v>
      </c>
      <c r="C3" s="2">
        <v>19047.88</v>
      </c>
      <c r="D3" s="2">
        <v>486.09</v>
      </c>
      <c r="E3" s="2">
        <v>19696.42</v>
      </c>
      <c r="F3" s="2">
        <v>-1</v>
      </c>
      <c r="G3" s="2">
        <v>0</v>
      </c>
      <c r="H3" s="2">
        <v>-1</v>
      </c>
      <c r="I3" s="2">
        <v>0</v>
      </c>
      <c r="J3" s="2">
        <v>-1</v>
      </c>
      <c r="K3" s="2">
        <v>0</v>
      </c>
      <c r="L3" s="2">
        <v>-1</v>
      </c>
      <c r="M3" s="2">
        <v>0</v>
      </c>
    </row>
    <row r="4" spans="1:13">
      <c r="A4" s="2" t="s">
        <v>15</v>
      </c>
      <c r="B4" s="2">
        <v>367.87</v>
      </c>
      <c r="C4" s="2">
        <v>19231.42</v>
      </c>
      <c r="D4" s="2">
        <v>406.35</v>
      </c>
      <c r="E4" s="2">
        <v>19195.43</v>
      </c>
      <c r="F4" s="2">
        <v>445.09</v>
      </c>
      <c r="G4" s="2">
        <v>22267.15</v>
      </c>
      <c r="H4" s="2">
        <v>-1</v>
      </c>
      <c r="I4" s="2">
        <v>0</v>
      </c>
      <c r="J4" s="2">
        <v>-1</v>
      </c>
      <c r="K4" s="2">
        <v>0</v>
      </c>
      <c r="L4" s="2">
        <v>-1</v>
      </c>
      <c r="M4" s="2">
        <v>0</v>
      </c>
    </row>
    <row r="5" spans="1:13">
      <c r="A5" s="2" t="s">
        <v>16</v>
      </c>
      <c r="B5" s="2">
        <v>474.53</v>
      </c>
      <c r="C5" s="2">
        <v>19546.39</v>
      </c>
      <c r="D5" s="2">
        <v>526.77</v>
      </c>
      <c r="E5" s="2">
        <v>19393.68</v>
      </c>
      <c r="F5" s="2">
        <v>730.59</v>
      </c>
      <c r="G5" s="2">
        <v>22395.25</v>
      </c>
      <c r="H5" s="2">
        <v>-1</v>
      </c>
      <c r="I5" s="2">
        <v>0</v>
      </c>
      <c r="J5" s="2">
        <v>-1</v>
      </c>
      <c r="K5" s="2">
        <v>0</v>
      </c>
      <c r="L5" s="2">
        <v>-1</v>
      </c>
      <c r="M5" s="2">
        <v>0</v>
      </c>
    </row>
    <row r="6" spans="1:13">
      <c r="A6" s="2" t="s">
        <v>17</v>
      </c>
      <c r="B6" s="2">
        <v>353.38</v>
      </c>
      <c r="C6" s="2">
        <v>19804.77</v>
      </c>
      <c r="D6" s="2">
        <v>387.76</v>
      </c>
      <c r="E6" s="2">
        <v>19389.74</v>
      </c>
      <c r="F6" s="2">
        <v>-1</v>
      </c>
      <c r="G6" s="2">
        <v>0</v>
      </c>
      <c r="H6" s="2">
        <v>-1</v>
      </c>
      <c r="I6" s="2">
        <v>0</v>
      </c>
      <c r="J6" s="2">
        <v>-1</v>
      </c>
      <c r="K6" s="2">
        <v>0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416.342</v>
      </c>
      <c r="B9" s="5">
        <f>IFERROR(AVERAGEIF($D$2:$D$6,"&lt;&gt; -1"),0)</f>
        <v>456.234</v>
      </c>
      <c r="C9" s="5">
        <f>IFERROR(AVERAGEIF($F$2:$F$6,"&lt;&gt; -1"),0)</f>
        <v>640.846666666667</v>
      </c>
      <c r="D9" s="5">
        <f>IFERROR(AVERAGEIF($H$2:$H$6,"&lt;&gt; -1"),0)</f>
        <v>0</v>
      </c>
      <c r="E9" s="5">
        <f>IFERROR(AVERAGEIF($J$2:$J$6,"&lt;&gt; -1"),0)</f>
        <v>0</v>
      </c>
      <c r="F9" s="5">
        <f>IFERROR(AVERAGEIF($L$2:$L$6,"&lt;&gt; -1"),0)</f>
        <v>0</v>
      </c>
      <c r="G9" s="5">
        <f>IFERROR(AVERAGEIFS($C$2:$C$6,$B$2:$B$6,"&lt;&gt; -1"),0)</f>
        <v>19342.514</v>
      </c>
      <c r="H9" s="5">
        <f>IFERROR(AVERAGEIFS($E$2:$E$6,$D$2:$D$6,"&lt;&gt; -1"),0)</f>
        <v>19377.486</v>
      </c>
      <c r="I9" s="5">
        <f>IFERROR(AVERAGEIFS($G$2:$G$6,$F$2:$F$6,"&lt;&gt; -1"),0)</f>
        <v>22191.6066666667</v>
      </c>
      <c r="J9" s="5">
        <f>IFERROR(AVERAGEIFS($I$2:$I$6,$H$2:$H$6,"&lt;&gt; -1"),0)</f>
        <v>0</v>
      </c>
      <c r="K9" s="5">
        <f>IFERROR(AVERAGEIFS($K$2:$K$6,$J$2:$J$6,"&lt;&gt; -1"),0)</f>
        <v>0</v>
      </c>
      <c r="L9" s="5">
        <f>IFERROR(AVERAGEIFS($M$2:$M$6,$L$2:$L$6,"&lt;&gt; -1"),0)</f>
        <v>0</v>
      </c>
      <c r="M9" s="5">
        <f>IFERROR(_xlfn.MAXIFS($B$2:$B$6,$B$2:$B$6,"&lt;&gt; -1"),0)</f>
        <v>474.53</v>
      </c>
      <c r="N9" s="5">
        <f>IFERROR(_xlfn.MAXIFS($D$2:$D$6,$D$2:$D$6,"&lt;&gt;-1"),0)</f>
        <v>526.77</v>
      </c>
      <c r="O9" s="5">
        <f>IFERROR(_xlfn.MAXIFS($F$2:$F$6,$F$2:$F$6,"&lt;&gt; -1"),0)</f>
        <v>746.86</v>
      </c>
      <c r="P9" s="5">
        <f>IFERROR(_xlfn.MAXIFS($H$2:$H$6,$H$2:$H$6,"&lt;&gt; -1"),0)</f>
        <v>0</v>
      </c>
      <c r="Q9" s="5">
        <f>IFERROR(_xlfn.MAXIFS($J$2:$J$6,$J$2:$J$6,"&lt;&gt; -1"),0)</f>
        <v>0</v>
      </c>
      <c r="R9" s="5">
        <f>IFERROR(_xlfn.MAXIFS($L$2:$L$6,$L$2:$L$6,"&lt;&gt; -1"),0)</f>
        <v>0</v>
      </c>
      <c r="S9" s="5">
        <f>IFERROR(_xlfn.MINIFS($B$2:$B$6,$B$2:$B$6,"&lt;&gt; -1"),0)</f>
        <v>353.38</v>
      </c>
      <c r="T9" s="5">
        <f>IFERROR(_xlfn.MINIFS($D$2:$D$6,$D$2:$D$6,"&lt;&gt;-1"),0)</f>
        <v>387.76</v>
      </c>
      <c r="U9" s="5">
        <f>IFERROR(_xlfn.MINIFS($F$2:$F$6,$F$2:$F$6,"&lt;&gt; -1"),0)</f>
        <v>445.09</v>
      </c>
      <c r="V9" s="5">
        <f>IFERROR(_xlfn.MINIFS($H$2:$H$6,$H$2:$H$6,"&lt;&gt; -1"),0)</f>
        <v>0</v>
      </c>
      <c r="W9" s="5">
        <f>IFERROR(_xlfn.MINIFS($J$2:$J$6,$J$2:$J$6,"&lt;&gt; -1"),0)</f>
        <v>0</v>
      </c>
      <c r="X9" s="5">
        <f>IFERROR(_xlfn.MINIFS($L$2:$L$6,$L$2:$L$6,"&lt;&gt; -1"),0)</f>
        <v>0</v>
      </c>
      <c r="Y9" s="5">
        <f>IFERROR(_xlfn.MAXIFS($C$2:$C$6,$B$2:$B$6,"&lt;&gt; -1"),0)</f>
        <v>19804.77</v>
      </c>
      <c r="Z9" s="5">
        <f>IFERROR(_xlfn.MAXIFS($E$2:$E$6,$D$2:$D$6,"&lt;&gt; -1"),0)</f>
        <v>19696.42</v>
      </c>
      <c r="AA9" s="5">
        <f>IFERROR(_xlfn.MAXIFS($G$2:$G$6,$F$2:$F$6,"&lt;&gt; -1"),0)</f>
        <v>22395.25</v>
      </c>
      <c r="AB9" s="5">
        <f>IFERROR(_xlfn.MAXIFS($I$2:$I$6,$H$2:$H$6,"&lt;&gt; -1"),0)</f>
        <v>0</v>
      </c>
      <c r="AC9" s="5">
        <f>IFERROR(_xlfn.MAXIFS($K$2:$K$6,$J$2:$J$6,"&lt;&gt; -1"),0)</f>
        <v>0</v>
      </c>
      <c r="AD9" s="5">
        <f>IFERROR(_xlfn.MAXIFS($M$2:$M$6,$L$2:$L$6,"&lt;&gt; -1"),0)</f>
        <v>0</v>
      </c>
      <c r="AE9" s="5">
        <f>IFERROR(_xlfn.MINIFS($C$2:$C$6,$B$2:$B$6,"&lt;&gt; -1"),0)</f>
        <v>19047.88</v>
      </c>
      <c r="AF9" s="5">
        <f>IFERROR(_xlfn.MINIFS($E$2:$E$6,$D$2:$D$6,"&lt;&gt; -1"),0)</f>
        <v>19195.43</v>
      </c>
      <c r="AG9" s="5">
        <f>IFERROR(_xlfn.MINIFS($G$2:$G$6,$F$2:$F$6,"&lt;&gt; -1"),0)</f>
        <v>21912.42</v>
      </c>
      <c r="AH9" s="5">
        <f>IFERROR(_xlfn.MINIFS($I$2:$I$6,$H$2:$H$6,"&lt;&gt; -1"),0)</f>
        <v>0</v>
      </c>
      <c r="AI9" s="5">
        <f>IFERROR(_xlfn.MINIFS($K$2:$K$6,$J$2:$J$6,"&lt;&gt; -1"),0)</f>
        <v>0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0.6</v>
      </c>
      <c r="AN9" s="5">
        <f>(COUNTIFS($H$2:$H$6,"&gt;0.0",$H$2:$H$6,"&lt;3000.0"))/5</f>
        <v>0</v>
      </c>
      <c r="AO9" s="5">
        <f>(COUNTIFS($J$2:$J$6,"&gt;0.0",$J$2:$J$6,"&lt;3000.0"))/5</f>
        <v>0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85" zoomScaleNormal="85"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505.7</v>
      </c>
      <c r="C2" s="2">
        <v>19101.41</v>
      </c>
      <c r="D2" s="2">
        <v>558.72</v>
      </c>
      <c r="E2" s="2">
        <v>19398.39</v>
      </c>
      <c r="F2" s="2">
        <v>628.85</v>
      </c>
      <c r="G2" s="2">
        <v>22007.23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379.06</v>
      </c>
      <c r="C3" s="2">
        <v>19723.38</v>
      </c>
      <c r="D3" s="2">
        <v>414.04</v>
      </c>
      <c r="E3" s="2">
        <v>19480.25</v>
      </c>
      <c r="F3" s="2">
        <v>-1</v>
      </c>
      <c r="G3" s="2">
        <v>0</v>
      </c>
      <c r="H3" s="2">
        <v>-1</v>
      </c>
      <c r="I3" s="2">
        <v>0</v>
      </c>
      <c r="J3" s="2">
        <v>-1</v>
      </c>
      <c r="K3" s="2">
        <v>0</v>
      </c>
      <c r="L3" s="2">
        <v>-1</v>
      </c>
      <c r="M3" s="2">
        <v>0</v>
      </c>
    </row>
    <row r="4" spans="1:13">
      <c r="A4" s="2" t="s">
        <v>15</v>
      </c>
      <c r="B4" s="2">
        <v>379.04</v>
      </c>
      <c r="C4" s="2">
        <v>18961.49</v>
      </c>
      <c r="D4" s="2">
        <v>414.15</v>
      </c>
      <c r="E4" s="2">
        <v>20104.53</v>
      </c>
      <c r="F4" s="2">
        <v>-1</v>
      </c>
      <c r="G4" s="2">
        <v>0</v>
      </c>
      <c r="H4" s="2">
        <v>-1</v>
      </c>
      <c r="I4" s="2">
        <v>0</v>
      </c>
      <c r="J4" s="2">
        <v>-1</v>
      </c>
      <c r="K4" s="2">
        <v>0</v>
      </c>
      <c r="L4" s="2">
        <v>-1</v>
      </c>
      <c r="M4" s="2">
        <v>0</v>
      </c>
    </row>
    <row r="5" spans="1:13">
      <c r="A5" s="2" t="s">
        <v>16</v>
      </c>
      <c r="B5" s="2">
        <v>445.39</v>
      </c>
      <c r="C5" s="2">
        <v>20288.49</v>
      </c>
      <c r="D5" s="2">
        <v>479.69</v>
      </c>
      <c r="E5" s="2">
        <v>20791.14</v>
      </c>
      <c r="F5" s="2">
        <v>-1</v>
      </c>
      <c r="G5" s="2">
        <v>0</v>
      </c>
      <c r="H5" s="2">
        <v>-1</v>
      </c>
      <c r="I5" s="2">
        <v>0</v>
      </c>
      <c r="J5" s="2">
        <v>-1</v>
      </c>
      <c r="K5" s="2">
        <v>0</v>
      </c>
      <c r="L5" s="2">
        <v>-1</v>
      </c>
      <c r="M5" s="2">
        <v>0</v>
      </c>
    </row>
    <row r="6" spans="1:13">
      <c r="A6" s="2" t="s">
        <v>17</v>
      </c>
      <c r="B6" s="2">
        <v>389.03</v>
      </c>
      <c r="C6" s="2">
        <v>18819.35</v>
      </c>
      <c r="D6" s="2">
        <v>425.49</v>
      </c>
      <c r="E6" s="2">
        <v>18847.15</v>
      </c>
      <c r="F6" s="2">
        <v>-1</v>
      </c>
      <c r="G6" s="2">
        <v>0</v>
      </c>
      <c r="H6" s="2">
        <v>-1</v>
      </c>
      <c r="I6" s="2">
        <v>0</v>
      </c>
      <c r="J6" s="2">
        <v>-1</v>
      </c>
      <c r="K6" s="2">
        <v>0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419.644</v>
      </c>
      <c r="B9" s="5">
        <f>IFERROR(AVERAGEIF($D$2:$D$6,"&lt;&gt; -1"),0)</f>
        <v>458.418</v>
      </c>
      <c r="C9" s="5">
        <f>IFERROR(AVERAGEIF($F$2:$F$6,"&lt;&gt; -1"),0)</f>
        <v>628.85</v>
      </c>
      <c r="D9" s="5">
        <f>IFERROR(AVERAGEIF($H$2:$H$6,"&lt;&gt; -1"),0)</f>
        <v>0</v>
      </c>
      <c r="E9" s="5">
        <f>IFERROR(AVERAGEIF($J$2:$J$6,"&lt;&gt; -1"),0)</f>
        <v>0</v>
      </c>
      <c r="F9" s="5">
        <f>IFERROR(AVERAGEIF($L$2:$L$6,"&lt;&gt; -1"),0)</f>
        <v>0</v>
      </c>
      <c r="G9" s="5">
        <f>IFERROR(AVERAGEIFS($C$2:$C$6,$B$2:$B$6,"&lt;&gt; -1"),0)</f>
        <v>19378.824</v>
      </c>
      <c r="H9" s="5">
        <f>IFERROR(AVERAGEIFS($E$2:$E$6,$D$2:$D$6,"&lt;&gt; -1"),0)</f>
        <v>19724.292</v>
      </c>
      <c r="I9" s="5">
        <f>IFERROR(AVERAGEIFS($G$2:$G$6,$F$2:$F$6,"&lt;&gt; -1"),0)</f>
        <v>22007.23</v>
      </c>
      <c r="J9" s="5">
        <f>IFERROR(AVERAGEIFS($I$2:$I$6,$H$2:$H$6,"&lt;&gt; -1"),0)</f>
        <v>0</v>
      </c>
      <c r="K9" s="5">
        <f>IFERROR(AVERAGEIFS($K$2:$K$6,$J$2:$J$6,"&lt;&gt; -1"),0)</f>
        <v>0</v>
      </c>
      <c r="L9" s="5">
        <f>IFERROR(AVERAGEIFS($M$2:$M$6,$L$2:$L$6,"&lt;&gt; -1"),0)</f>
        <v>0</v>
      </c>
      <c r="M9" s="5">
        <f>IFERROR(_xlfn.MAXIFS($B$2:$B$6,$B$2:$B$6,"&lt;&gt; -1"),0)</f>
        <v>505.7</v>
      </c>
      <c r="N9" s="5">
        <f>IFERROR(_xlfn.MAXIFS($D$2:$D$6,$D$2:$D$6,"&lt;&gt;-1"),0)</f>
        <v>558.72</v>
      </c>
      <c r="O9" s="5">
        <f>IFERROR(_xlfn.MAXIFS($F$2:$F$6,$F$2:$F$6,"&lt;&gt; -1"),0)</f>
        <v>628.85</v>
      </c>
      <c r="P9" s="5">
        <f>IFERROR(_xlfn.MAXIFS($H$2:$H$6,$H$2:$H$6,"&lt;&gt; -1"),0)</f>
        <v>0</v>
      </c>
      <c r="Q9" s="5">
        <f>IFERROR(_xlfn.MAXIFS($J$2:$J$6,$J$2:$J$6,"&lt;&gt; -1"),0)</f>
        <v>0</v>
      </c>
      <c r="R9" s="5">
        <f>IFERROR(_xlfn.MAXIFS($L$2:$L$6,$L$2:$L$6,"&lt;&gt; -1"),0)</f>
        <v>0</v>
      </c>
      <c r="S9" s="5">
        <f>IFERROR(_xlfn.MINIFS($B$2:$B$6,$B$2:$B$6,"&lt;&gt; -1"),0)</f>
        <v>379.04</v>
      </c>
      <c r="T9" s="5">
        <f>IFERROR(_xlfn.MINIFS($D$2:$D$6,$D$2:$D$6,"&lt;&gt;-1"),0)</f>
        <v>414.04</v>
      </c>
      <c r="U9" s="5">
        <f>IFERROR(_xlfn.MINIFS($F$2:$F$6,$F$2:$F$6,"&lt;&gt; -1"),0)</f>
        <v>628.85</v>
      </c>
      <c r="V9" s="5">
        <f>IFERROR(_xlfn.MINIFS($H$2:$H$6,$H$2:$H$6,"&lt;&gt; -1"),0)</f>
        <v>0</v>
      </c>
      <c r="W9" s="5">
        <f>IFERROR(_xlfn.MINIFS($J$2:$J$6,$J$2:$J$6,"&lt;&gt; -1"),0)</f>
        <v>0</v>
      </c>
      <c r="X9" s="5">
        <f>IFERROR(_xlfn.MINIFS($L$2:$L$6,$L$2:$L$6,"&lt;&gt; -1"),0)</f>
        <v>0</v>
      </c>
      <c r="Y9" s="5">
        <f>IFERROR(_xlfn.MAXIFS($C$2:$C$6,$B$2:$B$6,"&lt;&gt; -1"),0)</f>
        <v>20288.49</v>
      </c>
      <c r="Z9" s="5">
        <f>IFERROR(_xlfn.MAXIFS($E$2:$E$6,$D$2:$D$6,"&lt;&gt; -1"),0)</f>
        <v>20791.14</v>
      </c>
      <c r="AA9" s="5">
        <f>IFERROR(_xlfn.MAXIFS($G$2:$G$6,$F$2:$F$6,"&lt;&gt; -1"),0)</f>
        <v>22007.23</v>
      </c>
      <c r="AB9" s="5">
        <f>IFERROR(_xlfn.MAXIFS($I$2:$I$6,$H$2:$H$6,"&lt;&gt; -1"),0)</f>
        <v>0</v>
      </c>
      <c r="AC9" s="5">
        <f>IFERROR(_xlfn.MAXIFS($K$2:$K$6,$J$2:$J$6,"&lt;&gt; -1"),0)</f>
        <v>0</v>
      </c>
      <c r="AD9" s="5">
        <f>IFERROR(_xlfn.MAXIFS($M$2:$M$6,$L$2:$L$6,"&lt;&gt; -1"),0)</f>
        <v>0</v>
      </c>
      <c r="AE9" s="5">
        <f>IFERROR(_xlfn.MINIFS($C$2:$C$6,$B$2:$B$6,"&lt;&gt; -1"),0)</f>
        <v>18819.35</v>
      </c>
      <c r="AF9" s="5">
        <f>IFERROR(_xlfn.MINIFS($E$2:$E$6,$D$2:$D$6,"&lt;&gt; -1"),0)</f>
        <v>18847.15</v>
      </c>
      <c r="AG9" s="5">
        <f>IFERROR(_xlfn.MINIFS($G$2:$G$6,$F$2:$F$6,"&lt;&gt; -1"),0)</f>
        <v>22007.23</v>
      </c>
      <c r="AH9" s="5">
        <f>IFERROR(_xlfn.MINIFS($I$2:$I$6,$H$2:$H$6,"&lt;&gt; -1"),0)</f>
        <v>0</v>
      </c>
      <c r="AI9" s="5">
        <f>IFERROR(_xlfn.MINIFS($K$2:$K$6,$J$2:$J$6,"&lt;&gt; -1"),0)</f>
        <v>0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0.2</v>
      </c>
      <c r="AN9" s="5">
        <f>(COUNTIFS($H$2:$H$6,"&gt;0.0",$H$2:$H$6,"&lt;3000.0"))/5</f>
        <v>0</v>
      </c>
      <c r="AO9" s="5">
        <f>(COUNTIFS($J$2:$J$6,"&gt;0.0",$J$2:$J$6,"&lt;3000.0"))/5</f>
        <v>0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70" zoomScaleNormal="70" workbookViewId="0">
      <selection activeCell="A9" sqref="$A9:$XFD9"/>
    </sheetView>
  </sheetViews>
  <sheetFormatPr defaultColWidth="8.72727272727273" defaultRowHeight="14"/>
  <cols>
    <col min="3" max="3" width="9.54545454545454"/>
    <col min="5" max="5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410.07</v>
      </c>
      <c r="C2" s="2">
        <v>19265.07</v>
      </c>
      <c r="D2" s="2">
        <v>445.05</v>
      </c>
      <c r="E2" s="2">
        <v>19846.92</v>
      </c>
      <c r="F2" s="2">
        <v>-1</v>
      </c>
      <c r="G2" s="2">
        <v>0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503.26</v>
      </c>
      <c r="C3" s="2">
        <v>19744.16</v>
      </c>
      <c r="D3" s="2">
        <v>556.82</v>
      </c>
      <c r="E3" s="2">
        <v>19992.86</v>
      </c>
      <c r="F3" s="2">
        <v>-1</v>
      </c>
      <c r="G3" s="2">
        <v>0</v>
      </c>
      <c r="H3" s="2">
        <v>-1</v>
      </c>
      <c r="I3" s="2">
        <v>0</v>
      </c>
      <c r="J3" s="2">
        <v>-1</v>
      </c>
      <c r="K3" s="2">
        <v>0</v>
      </c>
      <c r="L3" s="2">
        <v>-1</v>
      </c>
      <c r="M3" s="2">
        <v>0</v>
      </c>
    </row>
    <row r="4" spans="1:13">
      <c r="A4" s="2" t="s">
        <v>15</v>
      </c>
      <c r="B4" s="2">
        <v>478.92</v>
      </c>
      <c r="C4" s="2">
        <v>19343.71</v>
      </c>
      <c r="D4" s="2">
        <v>528.52</v>
      </c>
      <c r="E4" s="2">
        <v>20320.98</v>
      </c>
      <c r="F4" s="2">
        <v>653.36</v>
      </c>
      <c r="G4" s="2">
        <v>22330.64</v>
      </c>
      <c r="H4" s="2">
        <v>-1</v>
      </c>
      <c r="I4" s="2">
        <v>0</v>
      </c>
      <c r="J4" s="2">
        <v>-1</v>
      </c>
      <c r="K4" s="2">
        <v>0</v>
      </c>
      <c r="L4" s="2">
        <v>-1</v>
      </c>
      <c r="M4" s="2">
        <v>0</v>
      </c>
    </row>
    <row r="5" spans="1:13">
      <c r="A5" s="2" t="s">
        <v>16</v>
      </c>
      <c r="B5" s="2">
        <v>427.23</v>
      </c>
      <c r="C5" s="2">
        <v>19116.32</v>
      </c>
      <c r="D5" s="2">
        <v>466.95</v>
      </c>
      <c r="E5" s="2">
        <v>19225.92</v>
      </c>
      <c r="F5" s="2">
        <v>549.74</v>
      </c>
      <c r="G5" s="2">
        <v>22155.25</v>
      </c>
      <c r="H5" s="2">
        <v>-1</v>
      </c>
      <c r="I5" s="2">
        <v>0</v>
      </c>
      <c r="J5" s="2">
        <v>-1</v>
      </c>
      <c r="K5" s="2">
        <v>0</v>
      </c>
      <c r="L5" s="2">
        <v>-1</v>
      </c>
      <c r="M5" s="2">
        <v>0</v>
      </c>
    </row>
    <row r="6" spans="1:13">
      <c r="A6" s="2" t="s">
        <v>17</v>
      </c>
      <c r="B6" s="2">
        <v>477.82</v>
      </c>
      <c r="C6" s="2">
        <v>20323.77</v>
      </c>
      <c r="D6" s="2">
        <v>515.84</v>
      </c>
      <c r="E6" s="2">
        <v>20041.12</v>
      </c>
      <c r="F6" s="2">
        <v>-1</v>
      </c>
      <c r="G6" s="2">
        <v>0</v>
      </c>
      <c r="H6" s="2">
        <v>-1</v>
      </c>
      <c r="I6" s="2">
        <v>0</v>
      </c>
      <c r="J6" s="2">
        <v>-1</v>
      </c>
      <c r="K6" s="2">
        <v>0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459.46</v>
      </c>
      <c r="B9" s="5">
        <f>IFERROR(AVERAGEIF($D$2:$D$6,"&lt;&gt; -1"),0)</f>
        <v>502.636</v>
      </c>
      <c r="C9" s="5">
        <f>IFERROR(AVERAGEIF($F$2:$F$6,"&lt;&gt; -1"),0)</f>
        <v>601.55</v>
      </c>
      <c r="D9" s="5">
        <f>IFERROR(AVERAGEIF($H$2:$H$6,"&lt;&gt; -1"),0)</f>
        <v>0</v>
      </c>
      <c r="E9" s="5">
        <f>IFERROR(AVERAGEIF($J$2:$J$6,"&lt;&gt; -1"),0)</f>
        <v>0</v>
      </c>
      <c r="F9" s="5">
        <f>IFERROR(AVERAGEIF($L$2:$L$6,"&lt;&gt; -1"),0)</f>
        <v>0</v>
      </c>
      <c r="G9" s="5">
        <f>IFERROR(AVERAGEIFS($C$2:$C$6,$B$2:$B$6,"&lt;&gt; -1"),0)</f>
        <v>19558.606</v>
      </c>
      <c r="H9" s="5">
        <f>IFERROR(AVERAGEIFS($E$2:$E$6,$D$2:$D$6,"&lt;&gt; -1"),0)</f>
        <v>19885.56</v>
      </c>
      <c r="I9" s="5">
        <f>IFERROR(AVERAGEIFS($G$2:$G$6,$F$2:$F$6,"&lt;&gt; -1"),0)</f>
        <v>22242.945</v>
      </c>
      <c r="J9" s="5">
        <f>IFERROR(AVERAGEIFS($I$2:$I$6,$H$2:$H$6,"&lt;&gt; -1"),0)</f>
        <v>0</v>
      </c>
      <c r="K9" s="5">
        <f>IFERROR(AVERAGEIFS($K$2:$K$6,$J$2:$J$6,"&lt;&gt; -1"),0)</f>
        <v>0</v>
      </c>
      <c r="L9" s="5">
        <f>IFERROR(AVERAGEIFS($M$2:$M$6,$L$2:$L$6,"&lt;&gt; -1"),0)</f>
        <v>0</v>
      </c>
      <c r="M9" s="5">
        <f>IFERROR(_xlfn.MAXIFS($B$2:$B$6,$B$2:$B$6,"&lt;&gt; -1"),0)</f>
        <v>503.26</v>
      </c>
      <c r="N9" s="5">
        <f>IFERROR(_xlfn.MAXIFS($D$2:$D$6,$D$2:$D$6,"&lt;&gt;-1"),0)</f>
        <v>556.82</v>
      </c>
      <c r="O9" s="5">
        <f>IFERROR(_xlfn.MAXIFS($F$2:$F$6,$F$2:$F$6,"&lt;&gt; -1"),0)</f>
        <v>653.36</v>
      </c>
      <c r="P9" s="5">
        <f>IFERROR(_xlfn.MAXIFS($H$2:$H$6,$H$2:$H$6,"&lt;&gt; -1"),0)</f>
        <v>0</v>
      </c>
      <c r="Q9" s="5">
        <f>IFERROR(_xlfn.MAXIFS($J$2:$J$6,$J$2:$J$6,"&lt;&gt; -1"),0)</f>
        <v>0</v>
      </c>
      <c r="R9" s="5">
        <f>IFERROR(_xlfn.MAXIFS($L$2:$L$6,$L$2:$L$6,"&lt;&gt; -1"),0)</f>
        <v>0</v>
      </c>
      <c r="S9" s="5">
        <f>IFERROR(_xlfn.MINIFS($B$2:$B$6,$B$2:$B$6,"&lt;&gt; -1"),0)</f>
        <v>410.07</v>
      </c>
      <c r="T9" s="5">
        <f>IFERROR(_xlfn.MINIFS($D$2:$D$6,$D$2:$D$6,"&lt;&gt;-1"),0)</f>
        <v>445.05</v>
      </c>
      <c r="U9" s="5">
        <f>IFERROR(_xlfn.MINIFS($F$2:$F$6,$F$2:$F$6,"&lt;&gt; -1"),0)</f>
        <v>549.74</v>
      </c>
      <c r="V9" s="5">
        <f>IFERROR(_xlfn.MINIFS($H$2:$H$6,$H$2:$H$6,"&lt;&gt; -1"),0)</f>
        <v>0</v>
      </c>
      <c r="W9" s="5">
        <f>IFERROR(_xlfn.MINIFS($J$2:$J$6,$J$2:$J$6,"&lt;&gt; -1"),0)</f>
        <v>0</v>
      </c>
      <c r="X9" s="5">
        <f>IFERROR(_xlfn.MINIFS($L$2:$L$6,$L$2:$L$6,"&lt;&gt; -1"),0)</f>
        <v>0</v>
      </c>
      <c r="Y9" s="5">
        <f>IFERROR(_xlfn.MAXIFS($C$2:$C$6,$B$2:$B$6,"&lt;&gt; -1"),0)</f>
        <v>20323.77</v>
      </c>
      <c r="Z9" s="5">
        <f>IFERROR(_xlfn.MAXIFS($E$2:$E$6,$D$2:$D$6,"&lt;&gt; -1"),0)</f>
        <v>20320.98</v>
      </c>
      <c r="AA9" s="5">
        <f>IFERROR(_xlfn.MAXIFS($G$2:$G$6,$F$2:$F$6,"&lt;&gt; -1"),0)</f>
        <v>22330.64</v>
      </c>
      <c r="AB9" s="5">
        <f>IFERROR(_xlfn.MAXIFS($I$2:$I$6,$H$2:$H$6,"&lt;&gt; -1"),0)</f>
        <v>0</v>
      </c>
      <c r="AC9" s="5">
        <f>IFERROR(_xlfn.MAXIFS($K$2:$K$6,$J$2:$J$6,"&lt;&gt; -1"),0)</f>
        <v>0</v>
      </c>
      <c r="AD9" s="5">
        <f>IFERROR(_xlfn.MAXIFS($M$2:$M$6,$L$2:$L$6,"&lt;&gt; -1"),0)</f>
        <v>0</v>
      </c>
      <c r="AE9" s="5">
        <f>IFERROR(_xlfn.MINIFS($C$2:$C$6,$B$2:$B$6,"&lt;&gt; -1"),0)</f>
        <v>19116.32</v>
      </c>
      <c r="AF9" s="5">
        <f>IFERROR(_xlfn.MINIFS($E$2:$E$6,$D$2:$D$6,"&lt;&gt; -1"),0)</f>
        <v>19225.92</v>
      </c>
      <c r="AG9" s="5">
        <f>IFERROR(_xlfn.MINIFS($G$2:$G$6,$F$2:$F$6,"&lt;&gt; -1"),0)</f>
        <v>22155.25</v>
      </c>
      <c r="AH9" s="5">
        <f>IFERROR(_xlfn.MINIFS($I$2:$I$6,$H$2:$H$6,"&lt;&gt; -1"),0)</f>
        <v>0</v>
      </c>
      <c r="AI9" s="5">
        <f>IFERROR(_xlfn.MINIFS($K$2:$K$6,$J$2:$J$6,"&lt;&gt; -1"),0)</f>
        <v>0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0.4</v>
      </c>
      <c r="AN9" s="5">
        <f>(COUNTIFS($H$2:$H$6,"&gt;0.0",$H$2:$H$6,"&lt;3000.0"))/5</f>
        <v>0</v>
      </c>
      <c r="AO9" s="5">
        <f>(COUNTIFS($J$2:$J$6,"&gt;0.0",$J$2:$J$6,"&lt;3000.0"))/5</f>
        <v>0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70" zoomScaleNormal="70" workbookViewId="0">
      <selection activeCell="A9" sqref="$A9:$XFD9"/>
    </sheetView>
  </sheetViews>
  <sheetFormatPr defaultColWidth="8.72727272727273" defaultRowHeight="14"/>
  <cols>
    <col min="3" max="3" width="9.54545454545454"/>
    <col min="5" max="5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435.67</v>
      </c>
      <c r="C2" s="2">
        <v>18687.21</v>
      </c>
      <c r="D2" s="2">
        <v>467.29</v>
      </c>
      <c r="E2" s="2">
        <v>19827.17</v>
      </c>
      <c r="F2" s="2">
        <v>509.27</v>
      </c>
      <c r="G2" s="2">
        <v>21613.38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572.01</v>
      </c>
      <c r="C3" s="2">
        <v>19579.26</v>
      </c>
      <c r="D3" s="2">
        <v>602.94</v>
      </c>
      <c r="E3" s="2">
        <v>20131.4</v>
      </c>
      <c r="F3" s="2">
        <v>-1</v>
      </c>
      <c r="G3" s="2">
        <v>0</v>
      </c>
      <c r="H3" s="2">
        <v>-1</v>
      </c>
      <c r="I3" s="2">
        <v>0</v>
      </c>
      <c r="J3" s="2">
        <v>-1</v>
      </c>
      <c r="K3" s="2">
        <v>0</v>
      </c>
      <c r="L3" s="2">
        <v>-1</v>
      </c>
      <c r="M3" s="2">
        <v>0</v>
      </c>
    </row>
    <row r="4" spans="1:13">
      <c r="A4" s="2" t="s">
        <v>15</v>
      </c>
      <c r="B4" s="2">
        <v>447.75</v>
      </c>
      <c r="C4" s="2">
        <v>19025.7</v>
      </c>
      <c r="D4" s="2">
        <v>481.04</v>
      </c>
      <c r="E4" s="2">
        <v>20353.73</v>
      </c>
      <c r="F4" s="2">
        <v>470.71</v>
      </c>
      <c r="G4" s="2">
        <v>22223.7</v>
      </c>
      <c r="H4" s="2">
        <v>-1</v>
      </c>
      <c r="I4" s="2">
        <v>0</v>
      </c>
      <c r="J4" s="2">
        <v>-1</v>
      </c>
      <c r="K4" s="2">
        <v>0</v>
      </c>
      <c r="L4" s="2">
        <v>-1</v>
      </c>
      <c r="M4" s="2">
        <v>0</v>
      </c>
    </row>
    <row r="5" spans="1:13">
      <c r="A5" s="2" t="s">
        <v>16</v>
      </c>
      <c r="B5" s="2">
        <v>458.79</v>
      </c>
      <c r="C5" s="2">
        <v>19435.59</v>
      </c>
      <c r="D5" s="2">
        <v>488.81</v>
      </c>
      <c r="E5" s="2">
        <v>19850.09</v>
      </c>
      <c r="F5" s="2">
        <v>-1</v>
      </c>
      <c r="G5" s="2">
        <v>0</v>
      </c>
      <c r="H5" s="2">
        <v>-1</v>
      </c>
      <c r="I5" s="2">
        <v>0</v>
      </c>
      <c r="J5" s="2">
        <v>-1</v>
      </c>
      <c r="K5" s="2">
        <v>0</v>
      </c>
      <c r="L5" s="2">
        <v>-1</v>
      </c>
      <c r="M5" s="2">
        <v>0</v>
      </c>
    </row>
    <row r="6" spans="1:13">
      <c r="A6" s="2" t="s">
        <v>17</v>
      </c>
      <c r="B6" s="2">
        <v>468.29</v>
      </c>
      <c r="C6" s="2">
        <v>19351.25</v>
      </c>
      <c r="D6" s="2">
        <v>508.55</v>
      </c>
      <c r="E6" s="2">
        <v>20801.92</v>
      </c>
      <c r="F6" s="2">
        <v>-1</v>
      </c>
      <c r="G6" s="2">
        <v>0</v>
      </c>
      <c r="H6" s="2">
        <v>-1</v>
      </c>
      <c r="I6" s="2">
        <v>0</v>
      </c>
      <c r="J6" s="2">
        <v>-1</v>
      </c>
      <c r="K6" s="2">
        <v>0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476.502</v>
      </c>
      <c r="B9" s="5">
        <f>IFERROR(AVERAGEIF($D$2:$D$6,"&lt;&gt; -1"),0)</f>
        <v>509.726</v>
      </c>
      <c r="C9" s="5">
        <f>IFERROR(AVERAGEIF($F$2:$F$6,"&lt;&gt; -1"),0)</f>
        <v>489.99</v>
      </c>
      <c r="D9" s="5">
        <f>IFERROR(AVERAGEIF($H$2:$H$6,"&lt;&gt; -1"),0)</f>
        <v>0</v>
      </c>
      <c r="E9" s="5">
        <f>IFERROR(AVERAGEIF($J$2:$J$6,"&lt;&gt; -1"),0)</f>
        <v>0</v>
      </c>
      <c r="F9" s="5">
        <f>IFERROR(AVERAGEIF($L$2:$L$6,"&lt;&gt; -1"),0)</f>
        <v>0</v>
      </c>
      <c r="G9" s="5">
        <f>IFERROR(AVERAGEIFS($C$2:$C$6,$B$2:$B$6,"&lt;&gt; -1"),0)</f>
        <v>19215.802</v>
      </c>
      <c r="H9" s="5">
        <f>IFERROR(AVERAGEIFS($E$2:$E$6,$D$2:$D$6,"&lt;&gt; -1"),0)</f>
        <v>20192.862</v>
      </c>
      <c r="I9" s="5">
        <f>IFERROR(AVERAGEIFS($G$2:$G$6,$F$2:$F$6,"&lt;&gt; -1"),0)</f>
        <v>21918.54</v>
      </c>
      <c r="J9" s="5">
        <f>IFERROR(AVERAGEIFS($I$2:$I$6,$H$2:$H$6,"&lt;&gt; -1"),0)</f>
        <v>0</v>
      </c>
      <c r="K9" s="5">
        <f>IFERROR(AVERAGEIFS($K$2:$K$6,$J$2:$J$6,"&lt;&gt; -1"),0)</f>
        <v>0</v>
      </c>
      <c r="L9" s="5">
        <f>IFERROR(AVERAGEIFS($M$2:$M$6,$L$2:$L$6,"&lt;&gt; -1"),0)</f>
        <v>0</v>
      </c>
      <c r="M9" s="5">
        <f>IFERROR(_xlfn.MAXIFS($B$2:$B$6,$B$2:$B$6,"&lt;&gt; -1"),0)</f>
        <v>572.01</v>
      </c>
      <c r="N9" s="5">
        <f>IFERROR(_xlfn.MAXIFS($D$2:$D$6,$D$2:$D$6,"&lt;&gt;-1"),0)</f>
        <v>602.94</v>
      </c>
      <c r="O9" s="5">
        <f>IFERROR(_xlfn.MAXIFS($F$2:$F$6,$F$2:$F$6,"&lt;&gt; -1"),0)</f>
        <v>509.27</v>
      </c>
      <c r="P9" s="5">
        <f>IFERROR(_xlfn.MAXIFS($H$2:$H$6,$H$2:$H$6,"&lt;&gt; -1"),0)</f>
        <v>0</v>
      </c>
      <c r="Q9" s="5">
        <f>IFERROR(_xlfn.MAXIFS($J$2:$J$6,$J$2:$J$6,"&lt;&gt; -1"),0)</f>
        <v>0</v>
      </c>
      <c r="R9" s="5">
        <f>IFERROR(_xlfn.MAXIFS($L$2:$L$6,$L$2:$L$6,"&lt;&gt; -1"),0)</f>
        <v>0</v>
      </c>
      <c r="S9" s="5">
        <f>IFERROR(_xlfn.MINIFS($B$2:$B$6,$B$2:$B$6,"&lt;&gt; -1"),0)</f>
        <v>435.67</v>
      </c>
      <c r="T9" s="5">
        <f>IFERROR(_xlfn.MINIFS($D$2:$D$6,$D$2:$D$6,"&lt;&gt;-1"),0)</f>
        <v>467.29</v>
      </c>
      <c r="U9" s="5">
        <f>IFERROR(_xlfn.MINIFS($F$2:$F$6,$F$2:$F$6,"&lt;&gt; -1"),0)</f>
        <v>470.71</v>
      </c>
      <c r="V9" s="5">
        <f>IFERROR(_xlfn.MINIFS($H$2:$H$6,$H$2:$H$6,"&lt;&gt; -1"),0)</f>
        <v>0</v>
      </c>
      <c r="W9" s="5">
        <f>IFERROR(_xlfn.MINIFS($J$2:$J$6,$J$2:$J$6,"&lt;&gt; -1"),0)</f>
        <v>0</v>
      </c>
      <c r="X9" s="5">
        <f>IFERROR(_xlfn.MINIFS($L$2:$L$6,$L$2:$L$6,"&lt;&gt; -1"),0)</f>
        <v>0</v>
      </c>
      <c r="Y9" s="5">
        <f>IFERROR(_xlfn.MAXIFS($C$2:$C$6,$B$2:$B$6,"&lt;&gt; -1"),0)</f>
        <v>19579.26</v>
      </c>
      <c r="Z9" s="5">
        <f>IFERROR(_xlfn.MAXIFS($E$2:$E$6,$D$2:$D$6,"&lt;&gt; -1"),0)</f>
        <v>20801.92</v>
      </c>
      <c r="AA9" s="5">
        <f>IFERROR(_xlfn.MAXIFS($G$2:$G$6,$F$2:$F$6,"&lt;&gt; -1"),0)</f>
        <v>22223.7</v>
      </c>
      <c r="AB9" s="5">
        <f>IFERROR(_xlfn.MAXIFS($I$2:$I$6,$H$2:$H$6,"&lt;&gt; -1"),0)</f>
        <v>0</v>
      </c>
      <c r="AC9" s="5">
        <f>IFERROR(_xlfn.MAXIFS($K$2:$K$6,$J$2:$J$6,"&lt;&gt; -1"),0)</f>
        <v>0</v>
      </c>
      <c r="AD9" s="5">
        <f>IFERROR(_xlfn.MAXIFS($M$2:$M$6,$L$2:$L$6,"&lt;&gt; -1"),0)</f>
        <v>0</v>
      </c>
      <c r="AE9" s="5">
        <f>IFERROR(_xlfn.MINIFS($C$2:$C$6,$B$2:$B$6,"&lt;&gt; -1"),0)</f>
        <v>18687.21</v>
      </c>
      <c r="AF9" s="5">
        <f>IFERROR(_xlfn.MINIFS($E$2:$E$6,$D$2:$D$6,"&lt;&gt; -1"),0)</f>
        <v>19827.17</v>
      </c>
      <c r="AG9" s="5">
        <f>IFERROR(_xlfn.MINIFS($G$2:$G$6,$F$2:$F$6,"&lt;&gt; -1"),0)</f>
        <v>21613.38</v>
      </c>
      <c r="AH9" s="5">
        <f>IFERROR(_xlfn.MINIFS($I$2:$I$6,$H$2:$H$6,"&lt;&gt; -1"),0)</f>
        <v>0</v>
      </c>
      <c r="AI9" s="5">
        <f>IFERROR(_xlfn.MINIFS($K$2:$K$6,$J$2:$J$6,"&lt;&gt; -1"),0)</f>
        <v>0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0.4</v>
      </c>
      <c r="AN9" s="5">
        <f>(COUNTIFS($H$2:$H$6,"&gt;0.0",$H$2:$H$6,"&lt;3000.0"))/5</f>
        <v>0</v>
      </c>
      <c r="AO9" s="5">
        <f>(COUNTIFS($J$2:$J$6,"&gt;0.0",$J$2:$J$6,"&lt;3000.0"))/5</f>
        <v>0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55" zoomScaleNormal="55" workbookViewId="0">
      <selection activeCell="A9" sqref="$A9:$XFD9"/>
    </sheetView>
  </sheetViews>
  <sheetFormatPr defaultColWidth="8.72727272727273" defaultRowHeight="14"/>
  <cols>
    <col min="3" max="3" width="9.54545454545454"/>
    <col min="5" max="5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543.34</v>
      </c>
      <c r="C2" s="2">
        <v>19534.67</v>
      </c>
      <c r="D2" s="2">
        <v>553.58</v>
      </c>
      <c r="E2" s="2">
        <v>20312.65</v>
      </c>
      <c r="F2" s="2">
        <v>-1</v>
      </c>
      <c r="G2" s="2">
        <v>0</v>
      </c>
      <c r="H2" s="2">
        <v>-1</v>
      </c>
      <c r="I2" s="2">
        <v>0</v>
      </c>
      <c r="J2" s="2">
        <v>-1</v>
      </c>
      <c r="K2" s="2">
        <v>0</v>
      </c>
      <c r="L2" s="2">
        <v>-1</v>
      </c>
      <c r="M2" s="2">
        <v>0</v>
      </c>
    </row>
    <row r="3" spans="1:13">
      <c r="A3" s="2" t="s">
        <v>14</v>
      </c>
      <c r="B3" s="2">
        <v>474.44</v>
      </c>
      <c r="C3" s="2">
        <v>19052.42</v>
      </c>
      <c r="D3" s="2">
        <v>483.99</v>
      </c>
      <c r="E3" s="2">
        <v>20624.81</v>
      </c>
      <c r="F3" s="2">
        <v>-1</v>
      </c>
      <c r="G3" s="2">
        <v>0</v>
      </c>
      <c r="H3" s="2">
        <v>-1</v>
      </c>
      <c r="I3" s="2">
        <v>0</v>
      </c>
      <c r="J3" s="2">
        <v>-1</v>
      </c>
      <c r="K3" s="2">
        <v>0</v>
      </c>
      <c r="L3" s="2">
        <v>-1</v>
      </c>
      <c r="M3" s="2">
        <v>0</v>
      </c>
    </row>
    <row r="4" spans="1:13">
      <c r="A4" s="2" t="s">
        <v>15</v>
      </c>
      <c r="B4" s="2">
        <v>497.75</v>
      </c>
      <c r="C4" s="2">
        <v>19078.68</v>
      </c>
      <c r="D4" s="2">
        <v>507.61</v>
      </c>
      <c r="E4" s="2">
        <v>20301.58</v>
      </c>
      <c r="F4" s="2">
        <v>-1</v>
      </c>
      <c r="G4" s="2">
        <v>0</v>
      </c>
      <c r="H4" s="2">
        <v>-1</v>
      </c>
      <c r="I4" s="2">
        <v>0</v>
      </c>
      <c r="J4" s="2">
        <v>-1</v>
      </c>
      <c r="K4" s="2">
        <v>0</v>
      </c>
      <c r="L4" s="2">
        <v>-1</v>
      </c>
      <c r="M4" s="2">
        <v>0</v>
      </c>
    </row>
    <row r="5" spans="1:13">
      <c r="A5" s="2" t="s">
        <v>16</v>
      </c>
      <c r="B5" s="2">
        <v>484.41</v>
      </c>
      <c r="C5" s="2">
        <v>19982.02</v>
      </c>
      <c r="D5" s="2">
        <v>496.87</v>
      </c>
      <c r="E5" s="2">
        <v>20655.81</v>
      </c>
      <c r="F5" s="2">
        <v>-1</v>
      </c>
      <c r="G5" s="2">
        <v>0</v>
      </c>
      <c r="H5" s="2">
        <v>-1</v>
      </c>
      <c r="I5" s="2">
        <v>0</v>
      </c>
      <c r="J5" s="2">
        <v>-1</v>
      </c>
      <c r="K5" s="2">
        <v>0</v>
      </c>
      <c r="L5" s="2">
        <v>-1</v>
      </c>
      <c r="M5" s="2">
        <v>0</v>
      </c>
    </row>
    <row r="6" spans="1:13">
      <c r="A6" s="2" t="s">
        <v>17</v>
      </c>
      <c r="B6" s="2">
        <v>481.36</v>
      </c>
      <c r="C6" s="2">
        <v>19054.68</v>
      </c>
      <c r="D6" s="2">
        <v>492.32</v>
      </c>
      <c r="E6" s="2">
        <v>20255.18</v>
      </c>
      <c r="F6" s="2">
        <v>-1</v>
      </c>
      <c r="G6" s="2">
        <v>0</v>
      </c>
      <c r="H6" s="2">
        <v>-1</v>
      </c>
      <c r="I6" s="2">
        <v>0</v>
      </c>
      <c r="J6" s="2">
        <v>-1</v>
      </c>
      <c r="K6" s="2">
        <v>0</v>
      </c>
      <c r="L6" s="2">
        <v>-1</v>
      </c>
      <c r="M6" s="2">
        <v>0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5">
        <f>IFERROR(AVERAGEIF($B$2:$B$6,"&lt;&gt; -1"),0)</f>
        <v>496.26</v>
      </c>
      <c r="B9" s="5">
        <f>IFERROR(AVERAGEIF($D$2:$D$6,"&lt;&gt; -1"),0)</f>
        <v>506.874</v>
      </c>
      <c r="C9" s="5">
        <f>IFERROR(AVERAGEIF($F$2:$F$6,"&lt;&gt; -1"),0)</f>
        <v>0</v>
      </c>
      <c r="D9" s="5">
        <f>IFERROR(AVERAGEIF($H$2:$H$6,"&lt;&gt; -1"),0)</f>
        <v>0</v>
      </c>
      <c r="E9" s="5">
        <f>IFERROR(AVERAGEIF($J$2:$J$6,"&lt;&gt; -1"),0)</f>
        <v>0</v>
      </c>
      <c r="F9" s="5">
        <f>IFERROR(AVERAGEIF($L$2:$L$6,"&lt;&gt; -1"),0)</f>
        <v>0</v>
      </c>
      <c r="G9" s="5">
        <f>IFERROR(AVERAGEIFS($C$2:$C$6,$B$2:$B$6,"&lt;&gt; -1"),0)</f>
        <v>19340.494</v>
      </c>
      <c r="H9" s="5">
        <f>IFERROR(AVERAGEIFS($E$2:$E$6,$D$2:$D$6,"&lt;&gt; -1"),0)</f>
        <v>20430.006</v>
      </c>
      <c r="I9" s="5">
        <f>IFERROR(AVERAGEIFS($G$2:$G$6,$F$2:$F$6,"&lt;&gt; -1"),0)</f>
        <v>0</v>
      </c>
      <c r="J9" s="5">
        <f>IFERROR(AVERAGEIFS($I$2:$I$6,$H$2:$H$6,"&lt;&gt; -1"),0)</f>
        <v>0</v>
      </c>
      <c r="K9" s="5">
        <f>IFERROR(AVERAGEIFS($K$2:$K$6,$J$2:$J$6,"&lt;&gt; -1"),0)</f>
        <v>0</v>
      </c>
      <c r="L9" s="5">
        <f>IFERROR(AVERAGEIFS($M$2:$M$6,$L$2:$L$6,"&lt;&gt; -1"),0)</f>
        <v>0</v>
      </c>
      <c r="M9" s="5">
        <f>IFERROR(_xlfn.MAXIFS($B$2:$B$6,$B$2:$B$6,"&lt;&gt; -1"),0)</f>
        <v>543.34</v>
      </c>
      <c r="N9" s="5">
        <f>IFERROR(_xlfn.MAXIFS($D$2:$D$6,$D$2:$D$6,"&lt;&gt;-1"),0)</f>
        <v>553.58</v>
      </c>
      <c r="O9" s="5">
        <f>IFERROR(_xlfn.MAXIFS($F$2:$F$6,$F$2:$F$6,"&lt;&gt; -1"),0)</f>
        <v>0</v>
      </c>
      <c r="P9" s="5">
        <f>IFERROR(_xlfn.MAXIFS($H$2:$H$6,$H$2:$H$6,"&lt;&gt; -1"),0)</f>
        <v>0</v>
      </c>
      <c r="Q9" s="5">
        <f>IFERROR(_xlfn.MAXIFS($J$2:$J$6,$J$2:$J$6,"&lt;&gt; -1"),0)</f>
        <v>0</v>
      </c>
      <c r="R9" s="5">
        <f>IFERROR(_xlfn.MAXIFS($L$2:$L$6,$L$2:$L$6,"&lt;&gt; -1"),0)</f>
        <v>0</v>
      </c>
      <c r="S9" s="5">
        <f>IFERROR(_xlfn.MINIFS($B$2:$B$6,$B$2:$B$6,"&lt;&gt; -1"),0)</f>
        <v>474.44</v>
      </c>
      <c r="T9" s="5">
        <f>IFERROR(_xlfn.MINIFS($D$2:$D$6,$D$2:$D$6,"&lt;&gt;-1"),0)</f>
        <v>483.99</v>
      </c>
      <c r="U9" s="5">
        <f>IFERROR(_xlfn.MINIFS($F$2:$F$6,$F$2:$F$6,"&lt;&gt; -1"),0)</f>
        <v>0</v>
      </c>
      <c r="V9" s="5">
        <f>IFERROR(_xlfn.MINIFS($H$2:$H$6,$H$2:$H$6,"&lt;&gt; -1"),0)</f>
        <v>0</v>
      </c>
      <c r="W9" s="5">
        <f>IFERROR(_xlfn.MINIFS($J$2:$J$6,$J$2:$J$6,"&lt;&gt; -1"),0)</f>
        <v>0</v>
      </c>
      <c r="X9" s="5">
        <f>IFERROR(_xlfn.MINIFS($L$2:$L$6,$L$2:$L$6,"&lt;&gt; -1"),0)</f>
        <v>0</v>
      </c>
      <c r="Y9" s="5">
        <f>IFERROR(_xlfn.MAXIFS($C$2:$C$6,$B$2:$B$6,"&lt;&gt; -1"),0)</f>
        <v>19982.02</v>
      </c>
      <c r="Z9" s="5">
        <f>IFERROR(_xlfn.MAXIFS($E$2:$E$6,$D$2:$D$6,"&lt;&gt; -1"),0)</f>
        <v>20655.81</v>
      </c>
      <c r="AA9" s="5">
        <f>IFERROR(_xlfn.MAXIFS($G$2:$G$6,$F$2:$F$6,"&lt;&gt; -1"),0)</f>
        <v>0</v>
      </c>
      <c r="AB9" s="5">
        <f>IFERROR(_xlfn.MAXIFS($I$2:$I$6,$H$2:$H$6,"&lt;&gt; -1"),0)</f>
        <v>0</v>
      </c>
      <c r="AC9" s="5">
        <f>IFERROR(_xlfn.MAXIFS($K$2:$K$6,$J$2:$J$6,"&lt;&gt; -1"),0)</f>
        <v>0</v>
      </c>
      <c r="AD9" s="5">
        <f>IFERROR(_xlfn.MAXIFS($M$2:$M$6,$L$2:$L$6,"&lt;&gt; -1"),0)</f>
        <v>0</v>
      </c>
      <c r="AE9" s="5">
        <f>IFERROR(_xlfn.MINIFS($C$2:$C$6,$B$2:$B$6,"&lt;&gt; -1"),0)</f>
        <v>19052.42</v>
      </c>
      <c r="AF9" s="5">
        <f>IFERROR(_xlfn.MINIFS($E$2:$E$6,$D$2:$D$6,"&lt;&gt; -1"),0)</f>
        <v>20255.18</v>
      </c>
      <c r="AG9" s="5">
        <f>IFERROR(_xlfn.MINIFS($G$2:$G$6,$F$2:$F$6,"&lt;&gt; -1"),0)</f>
        <v>0</v>
      </c>
      <c r="AH9" s="5">
        <f>IFERROR(_xlfn.MINIFS($I$2:$I$6,$H$2:$H$6,"&lt;&gt; -1"),0)</f>
        <v>0</v>
      </c>
      <c r="AI9" s="5">
        <f>IFERROR(_xlfn.MINIFS($K$2:$K$6,$J$2:$J$6,"&lt;&gt; -1"),0)</f>
        <v>0</v>
      </c>
      <c r="AJ9" s="5">
        <f>IFERROR(_xlfn.MINIFS($M$2:$M$6,$L$2:$L$6,"&lt;&gt; -1"),0)</f>
        <v>0</v>
      </c>
      <c r="AK9" s="5">
        <f>(COUNTIFS($B$2:$B$6,"&gt;0.0",$B$2:$B$6,"&lt;3000.0"))/5</f>
        <v>1</v>
      </c>
      <c r="AL9" s="5">
        <f>(COUNTIFS($D$2:$D$6,"&gt;0.0",$D$2:$D$6,"&lt;3000.0"))/5</f>
        <v>1</v>
      </c>
      <c r="AM9" s="5">
        <f>(COUNTIFS($F$2:$F$6,"&gt;0.0",$F$2:$F$6,"&lt;3000.0"))/5</f>
        <v>0</v>
      </c>
      <c r="AN9" s="5">
        <f>(COUNTIFS($H$2:$H$6,"&gt;0.0",$H$2:$H$6,"&lt;3000.0"))/5</f>
        <v>0</v>
      </c>
      <c r="AO9" s="5">
        <f>(COUNTIFS($J$2:$J$6,"&gt;0.0",$J$2:$J$6,"&lt;3000.0"))/5</f>
        <v>0</v>
      </c>
      <c r="AP9" s="5">
        <f>(COUNTIFS($L$2:$L$6,"&gt;0.0",$L$2:$L$6,"&lt;3000.0"))/5</f>
        <v>0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zoomScale="55" zoomScaleNormal="55" workbookViewId="0">
      <selection activeCell="G11" sqref="G11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348.962</v>
      </c>
      <c r="B2">
        <v>390.49</v>
      </c>
      <c r="C2">
        <v>449.775</v>
      </c>
      <c r="D2">
        <v>696.44</v>
      </c>
      <c r="E2">
        <v>589.0625</v>
      </c>
      <c r="F2">
        <v>0</v>
      </c>
      <c r="G2">
        <v>18788.538</v>
      </c>
      <c r="H2">
        <v>18983.948</v>
      </c>
      <c r="I2">
        <v>21803.525</v>
      </c>
      <c r="J2">
        <v>22049.73</v>
      </c>
      <c r="K2">
        <v>18714.4975</v>
      </c>
      <c r="L2">
        <v>0</v>
      </c>
      <c r="M2">
        <v>425.97</v>
      </c>
      <c r="N2">
        <v>468.43</v>
      </c>
      <c r="O2">
        <v>495.74</v>
      </c>
      <c r="P2">
        <v>696.44</v>
      </c>
      <c r="Q2">
        <v>737.04</v>
      </c>
      <c r="R2">
        <v>0</v>
      </c>
      <c r="S2">
        <v>299.3</v>
      </c>
      <c r="T2">
        <v>336.14</v>
      </c>
      <c r="U2">
        <v>346.96</v>
      </c>
      <c r="V2">
        <v>696.44</v>
      </c>
      <c r="W2">
        <v>417.58</v>
      </c>
      <c r="X2">
        <v>0</v>
      </c>
      <c r="Y2">
        <v>18944.34</v>
      </c>
      <c r="Z2">
        <v>19094.26</v>
      </c>
      <c r="AA2">
        <v>22044.7</v>
      </c>
      <c r="AB2">
        <v>22049.73</v>
      </c>
      <c r="AC2">
        <v>18939.96</v>
      </c>
      <c r="AD2">
        <v>0</v>
      </c>
      <c r="AE2">
        <v>18644.36</v>
      </c>
      <c r="AF2">
        <v>18837.32</v>
      </c>
      <c r="AG2">
        <v>21561.68</v>
      </c>
      <c r="AH2">
        <v>22049.73</v>
      </c>
      <c r="AI2">
        <v>18534.96</v>
      </c>
      <c r="AJ2">
        <v>0</v>
      </c>
      <c r="AK2">
        <v>1</v>
      </c>
      <c r="AL2">
        <v>1</v>
      </c>
      <c r="AM2">
        <v>0.8</v>
      </c>
      <c r="AN2">
        <v>0.2</v>
      </c>
      <c r="AO2">
        <v>0.8</v>
      </c>
      <c r="AP2">
        <v>0</v>
      </c>
    </row>
    <row r="3" spans="1:42">
      <c r="A3">
        <v>416.342</v>
      </c>
      <c r="B3">
        <v>456.234</v>
      </c>
      <c r="C3">
        <v>640.846666666667</v>
      </c>
      <c r="D3">
        <v>0</v>
      </c>
      <c r="E3">
        <v>0</v>
      </c>
      <c r="F3">
        <v>0</v>
      </c>
      <c r="G3">
        <v>19342.514</v>
      </c>
      <c r="H3">
        <v>19377.486</v>
      </c>
      <c r="I3">
        <v>22191.6066666667</v>
      </c>
      <c r="J3">
        <v>0</v>
      </c>
      <c r="K3">
        <v>0</v>
      </c>
      <c r="L3">
        <v>0</v>
      </c>
      <c r="M3">
        <v>474.53</v>
      </c>
      <c r="N3">
        <v>526.77</v>
      </c>
      <c r="O3">
        <v>746.86</v>
      </c>
      <c r="P3">
        <v>0</v>
      </c>
      <c r="Q3">
        <v>0</v>
      </c>
      <c r="R3">
        <v>0</v>
      </c>
      <c r="S3">
        <v>353.38</v>
      </c>
      <c r="T3">
        <v>387.76</v>
      </c>
      <c r="U3">
        <v>445.09</v>
      </c>
      <c r="V3">
        <v>0</v>
      </c>
      <c r="W3">
        <v>0</v>
      </c>
      <c r="X3">
        <v>0</v>
      </c>
      <c r="Y3">
        <v>19804.77</v>
      </c>
      <c r="Z3">
        <v>19696.42</v>
      </c>
      <c r="AA3">
        <v>22395.25</v>
      </c>
      <c r="AB3">
        <v>0</v>
      </c>
      <c r="AC3">
        <v>0</v>
      </c>
      <c r="AD3">
        <v>0</v>
      </c>
      <c r="AE3">
        <v>19047.88</v>
      </c>
      <c r="AF3">
        <v>19195.43</v>
      </c>
      <c r="AG3">
        <v>21912.42</v>
      </c>
      <c r="AH3">
        <v>0</v>
      </c>
      <c r="AI3">
        <v>0</v>
      </c>
      <c r="AJ3">
        <v>0</v>
      </c>
      <c r="AK3">
        <v>1</v>
      </c>
      <c r="AL3">
        <v>1</v>
      </c>
      <c r="AM3">
        <v>0.6</v>
      </c>
      <c r="AN3">
        <v>0</v>
      </c>
      <c r="AO3">
        <v>0</v>
      </c>
      <c r="AP3">
        <v>0</v>
      </c>
    </row>
    <row r="4" spans="1:42">
      <c r="A4">
        <v>419.644</v>
      </c>
      <c r="B4">
        <v>458.418</v>
      </c>
      <c r="C4">
        <v>628.85</v>
      </c>
      <c r="D4">
        <v>0</v>
      </c>
      <c r="E4">
        <v>0</v>
      </c>
      <c r="F4">
        <v>0</v>
      </c>
      <c r="G4">
        <v>19378.824</v>
      </c>
      <c r="H4">
        <v>19724.292</v>
      </c>
      <c r="I4">
        <v>22007.23</v>
      </c>
      <c r="J4">
        <v>0</v>
      </c>
      <c r="K4">
        <v>0</v>
      </c>
      <c r="L4">
        <v>0</v>
      </c>
      <c r="M4">
        <v>505.7</v>
      </c>
      <c r="N4">
        <v>558.72</v>
      </c>
      <c r="O4">
        <v>628.85</v>
      </c>
      <c r="P4">
        <v>0</v>
      </c>
      <c r="Q4">
        <v>0</v>
      </c>
      <c r="R4">
        <v>0</v>
      </c>
      <c r="S4">
        <v>379.04</v>
      </c>
      <c r="T4">
        <v>414.04</v>
      </c>
      <c r="U4">
        <v>628.85</v>
      </c>
      <c r="V4">
        <v>0</v>
      </c>
      <c r="W4">
        <v>0</v>
      </c>
      <c r="X4">
        <v>0</v>
      </c>
      <c r="Y4">
        <v>20288.49</v>
      </c>
      <c r="Z4">
        <v>20791.14</v>
      </c>
      <c r="AA4">
        <v>22007.23</v>
      </c>
      <c r="AB4">
        <v>0</v>
      </c>
      <c r="AC4">
        <v>0</v>
      </c>
      <c r="AD4">
        <v>0</v>
      </c>
      <c r="AE4">
        <v>18819.35</v>
      </c>
      <c r="AF4">
        <v>18847.15</v>
      </c>
      <c r="AG4">
        <v>22007.23</v>
      </c>
      <c r="AH4">
        <v>0</v>
      </c>
      <c r="AI4">
        <v>0</v>
      </c>
      <c r="AJ4">
        <v>0</v>
      </c>
      <c r="AK4">
        <v>1</v>
      </c>
      <c r="AL4">
        <v>1</v>
      </c>
      <c r="AM4">
        <v>0.2</v>
      </c>
      <c r="AN4">
        <v>0</v>
      </c>
      <c r="AO4">
        <v>0</v>
      </c>
      <c r="AP4">
        <v>0</v>
      </c>
    </row>
    <row r="5" spans="1:42">
      <c r="A5">
        <v>459.46</v>
      </c>
      <c r="B5">
        <v>502.636</v>
      </c>
      <c r="C5">
        <v>601.55</v>
      </c>
      <c r="D5">
        <v>0</v>
      </c>
      <c r="E5">
        <v>0</v>
      </c>
      <c r="F5">
        <v>0</v>
      </c>
      <c r="G5">
        <v>19558.606</v>
      </c>
      <c r="H5">
        <v>19885.56</v>
      </c>
      <c r="I5">
        <v>22242.945</v>
      </c>
      <c r="J5">
        <v>0</v>
      </c>
      <c r="K5">
        <v>0</v>
      </c>
      <c r="L5">
        <v>0</v>
      </c>
      <c r="M5">
        <v>503.26</v>
      </c>
      <c r="N5">
        <v>556.82</v>
      </c>
      <c r="O5">
        <v>653.36</v>
      </c>
      <c r="P5">
        <v>0</v>
      </c>
      <c r="Q5">
        <v>0</v>
      </c>
      <c r="R5">
        <v>0</v>
      </c>
      <c r="S5">
        <v>410.07</v>
      </c>
      <c r="T5">
        <v>445.05</v>
      </c>
      <c r="U5">
        <v>549.74</v>
      </c>
      <c r="V5">
        <v>0</v>
      </c>
      <c r="W5">
        <v>0</v>
      </c>
      <c r="X5">
        <v>0</v>
      </c>
      <c r="Y5">
        <v>20323.77</v>
      </c>
      <c r="Z5">
        <v>20320.98</v>
      </c>
      <c r="AA5">
        <v>22330.64</v>
      </c>
      <c r="AB5">
        <v>0</v>
      </c>
      <c r="AC5">
        <v>0</v>
      </c>
      <c r="AD5">
        <v>0</v>
      </c>
      <c r="AE5">
        <v>19116.32</v>
      </c>
      <c r="AF5">
        <v>19225.92</v>
      </c>
      <c r="AG5">
        <v>22155.25</v>
      </c>
      <c r="AH5">
        <v>0</v>
      </c>
      <c r="AI5">
        <v>0</v>
      </c>
      <c r="AJ5">
        <v>0</v>
      </c>
      <c r="AK5">
        <v>1</v>
      </c>
      <c r="AL5">
        <v>1</v>
      </c>
      <c r="AM5">
        <v>0.4</v>
      </c>
      <c r="AN5">
        <v>0</v>
      </c>
      <c r="AO5">
        <v>0</v>
      </c>
      <c r="AP5">
        <v>0</v>
      </c>
    </row>
    <row r="6" spans="1:42">
      <c r="A6">
        <v>476.502</v>
      </c>
      <c r="B6">
        <v>509.726</v>
      </c>
      <c r="C6">
        <v>489.99</v>
      </c>
      <c r="D6">
        <v>0</v>
      </c>
      <c r="E6">
        <v>0</v>
      </c>
      <c r="F6">
        <v>0</v>
      </c>
      <c r="G6">
        <v>19215.802</v>
      </c>
      <c r="H6">
        <v>20192.862</v>
      </c>
      <c r="I6">
        <v>21918.54</v>
      </c>
      <c r="J6">
        <v>0</v>
      </c>
      <c r="K6">
        <v>0</v>
      </c>
      <c r="L6">
        <v>0</v>
      </c>
      <c r="M6">
        <v>572.01</v>
      </c>
      <c r="N6">
        <v>602.94</v>
      </c>
      <c r="O6">
        <v>509.27</v>
      </c>
      <c r="P6">
        <v>0</v>
      </c>
      <c r="Q6">
        <v>0</v>
      </c>
      <c r="R6">
        <v>0</v>
      </c>
      <c r="S6">
        <v>435.67</v>
      </c>
      <c r="T6">
        <v>467.29</v>
      </c>
      <c r="U6">
        <v>470.71</v>
      </c>
      <c r="V6">
        <v>0</v>
      </c>
      <c r="W6">
        <v>0</v>
      </c>
      <c r="X6">
        <v>0</v>
      </c>
      <c r="Y6">
        <v>19579.26</v>
      </c>
      <c r="Z6">
        <v>20801.92</v>
      </c>
      <c r="AA6">
        <v>22223.7</v>
      </c>
      <c r="AB6">
        <v>0</v>
      </c>
      <c r="AC6">
        <v>0</v>
      </c>
      <c r="AD6">
        <v>0</v>
      </c>
      <c r="AE6">
        <v>18687.21</v>
      </c>
      <c r="AF6">
        <v>19827.17</v>
      </c>
      <c r="AG6">
        <v>21613.38</v>
      </c>
      <c r="AH6">
        <v>0</v>
      </c>
      <c r="AI6">
        <v>0</v>
      </c>
      <c r="AJ6">
        <v>0</v>
      </c>
      <c r="AK6">
        <v>1</v>
      </c>
      <c r="AL6">
        <v>1</v>
      </c>
      <c r="AM6">
        <v>0.4</v>
      </c>
      <c r="AN6">
        <v>0</v>
      </c>
      <c r="AO6">
        <v>0</v>
      </c>
      <c r="AP6">
        <v>0</v>
      </c>
    </row>
    <row r="7" spans="1:42">
      <c r="A7">
        <v>496.26</v>
      </c>
      <c r="B7">
        <v>506.874</v>
      </c>
      <c r="C7">
        <v>0</v>
      </c>
      <c r="D7">
        <v>0</v>
      </c>
      <c r="E7">
        <v>0</v>
      </c>
      <c r="F7">
        <v>0</v>
      </c>
      <c r="G7">
        <v>19340.494</v>
      </c>
      <c r="H7">
        <v>20430.006</v>
      </c>
      <c r="I7">
        <v>0</v>
      </c>
      <c r="J7">
        <v>0</v>
      </c>
      <c r="K7">
        <v>0</v>
      </c>
      <c r="L7">
        <v>0</v>
      </c>
      <c r="M7">
        <v>543.34</v>
      </c>
      <c r="N7">
        <v>553.58</v>
      </c>
      <c r="O7">
        <v>0</v>
      </c>
      <c r="P7">
        <v>0</v>
      </c>
      <c r="Q7">
        <v>0</v>
      </c>
      <c r="R7">
        <v>0</v>
      </c>
      <c r="S7">
        <v>474.44</v>
      </c>
      <c r="T7">
        <v>483.99</v>
      </c>
      <c r="U7">
        <v>0</v>
      </c>
      <c r="V7">
        <v>0</v>
      </c>
      <c r="W7">
        <v>0</v>
      </c>
      <c r="X7">
        <v>0</v>
      </c>
      <c r="Y7">
        <v>19982.02</v>
      </c>
      <c r="Z7">
        <v>20655.81</v>
      </c>
      <c r="AA7">
        <v>0</v>
      </c>
      <c r="AB7">
        <v>0</v>
      </c>
      <c r="AC7">
        <v>0</v>
      </c>
      <c r="AD7">
        <v>0</v>
      </c>
      <c r="AE7">
        <v>19052.42</v>
      </c>
      <c r="AF7">
        <v>20255.18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傲雪剑豪</cp:lastModifiedBy>
  <dcterms:created xsi:type="dcterms:W3CDTF">2023-05-12T11:15:00Z</dcterms:created>
  <dcterms:modified xsi:type="dcterms:W3CDTF">2024-09-10T15:24:07Z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916EECEFC14D4C6687B0AE3D37B2F122_12</vt:lpwstr>
  </property>
</Properties>
</file>