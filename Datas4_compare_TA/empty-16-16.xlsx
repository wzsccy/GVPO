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<sst xmlns="http://schemas.openxmlformats.org/spreadsheetml/2006/main" count="432" uniqueCount="65">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</sst>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76" fontId="0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B14" sqref="A13:AP14"/>
    </sheetView>
  </sheetViews>
  <sheetFormatPr defaultColWidth="9" defaultRowHeight="14"/>
  <cols>
    <col min="7" max="11" width="9.54545454545454"/>
    <col min="25" max="29" width="9.54545454545454"/>
    <col min="31" max="35" width="9.54545454545454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14.08</v>
      </c>
      <c r="C2">
        <v>2162.76</v>
      </c>
      <c r="D2">
        <v>21.38</v>
      </c>
      <c r="E2">
        <v>2174.51</v>
      </c>
      <c r="F2">
        <v>15.5</v>
      </c>
      <c r="G2">
        <v>2326.06</v>
      </c>
      <c r="H2">
        <v>21.93</v>
      </c>
      <c r="I2">
        <v>2400.46</v>
      </c>
      <c r="J2">
        <v>14.42</v>
      </c>
      <c r="K2">
        <v>2072.29</v>
      </c>
      <c r="L2">
        <v>-1</v>
      </c>
      <c r="M2">
        <v>1437.15</v>
      </c>
    </row>
    <row r="3" spans="1:13">
      <c r="A3" t="s">
        <v>14</v>
      </c>
      <c r="B3">
        <v>15.25</v>
      </c>
      <c r="C3">
        <v>2344.31</v>
      </c>
      <c r="D3">
        <v>22.97</v>
      </c>
      <c r="E3">
        <v>2152.02</v>
      </c>
      <c r="F3">
        <v>16.55</v>
      </c>
      <c r="G3">
        <v>2461.6</v>
      </c>
      <c r="H3">
        <v>23.84</v>
      </c>
      <c r="I3">
        <v>2393.07</v>
      </c>
      <c r="J3">
        <v>15.74</v>
      </c>
      <c r="K3">
        <v>2215.41</v>
      </c>
      <c r="L3">
        <v>-1</v>
      </c>
      <c r="M3">
        <v>394.42</v>
      </c>
    </row>
    <row r="4" spans="1:13">
      <c r="A4" t="s">
        <v>15</v>
      </c>
      <c r="B4">
        <v>15.04</v>
      </c>
      <c r="C4">
        <v>2160.73</v>
      </c>
      <c r="D4">
        <v>24.18</v>
      </c>
      <c r="E4">
        <v>2208.2</v>
      </c>
      <c r="F4">
        <v>17.15</v>
      </c>
      <c r="G4">
        <v>2307.94</v>
      </c>
      <c r="H4">
        <v>25.46</v>
      </c>
      <c r="I4">
        <v>2441.24</v>
      </c>
      <c r="J4">
        <v>16.03</v>
      </c>
      <c r="K4">
        <v>2071.09</v>
      </c>
      <c r="L4">
        <v>-1</v>
      </c>
      <c r="M4">
        <v>409.81</v>
      </c>
    </row>
    <row r="5" spans="1:13">
      <c r="A5" t="s">
        <v>16</v>
      </c>
      <c r="B5">
        <v>15.06</v>
      </c>
      <c r="C5">
        <v>2153.12</v>
      </c>
      <c r="D5">
        <v>22.71</v>
      </c>
      <c r="E5">
        <v>2199.22</v>
      </c>
      <c r="F5">
        <v>16.13</v>
      </c>
      <c r="G5">
        <v>2402.43</v>
      </c>
      <c r="H5">
        <v>23.67</v>
      </c>
      <c r="I5">
        <v>2474.86</v>
      </c>
      <c r="J5">
        <v>15.4</v>
      </c>
      <c r="K5">
        <v>2088.35</v>
      </c>
      <c r="L5">
        <v>-1</v>
      </c>
      <c r="M5">
        <v>0</v>
      </c>
    </row>
    <row r="6" spans="1:13">
      <c r="A6" t="s">
        <v>17</v>
      </c>
      <c r="B6">
        <v>15.81</v>
      </c>
      <c r="C6">
        <v>2212.77</v>
      </c>
      <c r="D6">
        <v>23.54</v>
      </c>
      <c r="E6">
        <v>2174.6</v>
      </c>
      <c r="F6">
        <v>16.9</v>
      </c>
      <c r="G6">
        <v>2457.79</v>
      </c>
      <c r="H6">
        <v>25.5</v>
      </c>
      <c r="I6">
        <v>2448.07</v>
      </c>
      <c r="J6">
        <v>16.17</v>
      </c>
      <c r="K6">
        <v>2162.59</v>
      </c>
      <c r="L6">
        <v>-1</v>
      </c>
      <c r="M6">
        <v>137.25</v>
      </c>
    </row>
    <row r="7" spans="1:13">
      <c r="A7" t="s">
        <v>18</v>
      </c>
      <c r="B7">
        <v>14.65</v>
      </c>
      <c r="C7">
        <v>2253.73</v>
      </c>
      <c r="D7">
        <v>21.84</v>
      </c>
      <c r="E7">
        <v>2157.41</v>
      </c>
      <c r="F7">
        <v>16.49</v>
      </c>
      <c r="G7">
        <v>2416.97</v>
      </c>
      <c r="H7">
        <v>22.68</v>
      </c>
      <c r="I7">
        <v>2401.01</v>
      </c>
      <c r="J7">
        <v>15.46</v>
      </c>
      <c r="K7">
        <v>2162.98</v>
      </c>
      <c r="L7">
        <v>-1</v>
      </c>
      <c r="M7">
        <v>0</v>
      </c>
    </row>
    <row r="8" spans="1:13">
      <c r="A8" t="s">
        <v>19</v>
      </c>
      <c r="B8">
        <v>23.58</v>
      </c>
      <c r="C8">
        <v>2226.36</v>
      </c>
      <c r="D8">
        <v>37.4</v>
      </c>
      <c r="E8">
        <v>2110.55</v>
      </c>
      <c r="F8">
        <v>26.41</v>
      </c>
      <c r="G8">
        <v>2386.43</v>
      </c>
      <c r="H8">
        <v>39.09</v>
      </c>
      <c r="I8">
        <v>2366.27</v>
      </c>
      <c r="J8">
        <v>24.49</v>
      </c>
      <c r="K8">
        <v>2133.06</v>
      </c>
      <c r="L8">
        <v>-1</v>
      </c>
      <c r="M8">
        <v>1769.14</v>
      </c>
    </row>
    <row r="9" spans="1:13">
      <c r="A9" t="s">
        <v>20</v>
      </c>
      <c r="B9">
        <v>18.54</v>
      </c>
      <c r="C9">
        <v>2167.96</v>
      </c>
      <c r="D9">
        <v>28.12</v>
      </c>
      <c r="E9">
        <v>2061.62</v>
      </c>
      <c r="F9">
        <v>20.38</v>
      </c>
      <c r="G9">
        <v>2359.25</v>
      </c>
      <c r="H9">
        <v>30.3</v>
      </c>
      <c r="I9">
        <v>2312.17</v>
      </c>
      <c r="J9">
        <v>19.34</v>
      </c>
      <c r="K9">
        <v>2108.46</v>
      </c>
      <c r="L9">
        <v>-1</v>
      </c>
      <c r="M9">
        <v>304.72</v>
      </c>
    </row>
    <row r="10" spans="1:13">
      <c r="A10" t="s">
        <v>21</v>
      </c>
      <c r="B10">
        <v>20.81</v>
      </c>
      <c r="C10">
        <v>2244.2</v>
      </c>
      <c r="D10">
        <v>29.65</v>
      </c>
      <c r="E10">
        <v>2172.19</v>
      </c>
      <c r="F10">
        <v>22.42</v>
      </c>
      <c r="G10">
        <v>2435.95</v>
      </c>
      <c r="H10">
        <v>30.88</v>
      </c>
      <c r="I10">
        <v>2461.79</v>
      </c>
      <c r="J10">
        <v>21.25</v>
      </c>
      <c r="K10">
        <v>2151.11</v>
      </c>
      <c r="L10">
        <v>-1</v>
      </c>
      <c r="M10">
        <v>0</v>
      </c>
    </row>
    <row r="11" spans="1:13">
      <c r="A11" t="s">
        <v>22</v>
      </c>
      <c r="B11">
        <v>21.24</v>
      </c>
      <c r="C11">
        <v>2260.87</v>
      </c>
      <c r="D11">
        <v>32.51</v>
      </c>
      <c r="E11">
        <v>2228.29</v>
      </c>
      <c r="F11">
        <v>23.35</v>
      </c>
      <c r="G11">
        <v>2471.95</v>
      </c>
      <c r="H11">
        <v>34.3</v>
      </c>
      <c r="I11">
        <v>2531.39</v>
      </c>
      <c r="J11">
        <v>21.99</v>
      </c>
      <c r="K11">
        <v>2205.38</v>
      </c>
      <c r="L11">
        <v>-1</v>
      </c>
      <c r="M11">
        <v>407.45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17.406</v>
      </c>
      <c r="B14" s="4">
        <f>IFERROR(AVERAGEIF($D$2:$D$11,"&lt;&gt; -1"),0)</f>
        <v>26.43</v>
      </c>
      <c r="C14" s="4">
        <f>IFERROR(AVERAGEIF($F$2:$F$11,"&lt;&gt; -1"),0)</f>
        <v>19.128</v>
      </c>
      <c r="D14" s="4">
        <f>IFERROR(AVERAGEIF($H$2:$H$11,"&lt;&gt; -1"),0)</f>
        <v>27.765</v>
      </c>
      <c r="E14" s="4">
        <f>IFERROR(AVERAGEIF($J$2:$J$11,"&lt;&gt; -1"),0)</f>
        <v>18.029</v>
      </c>
      <c r="F14" s="4">
        <f>IFERROR(AVERAGEIF($L$2:$L$11,"&lt;&gt; -1"),0)</f>
        <v>0</v>
      </c>
      <c r="G14" s="4">
        <f>IFERROR(AVERAGEIFS($C$2:$C$11,$B$2:$B$11,"&lt;&gt; -1"),0)</f>
        <v>2218.681</v>
      </c>
      <c r="H14" s="4">
        <f>IFERROR(AVERAGEIFS($E$2:$E$11,$D$2:$D$11,"&lt;&gt; -1"),0)</f>
        <v>2163.861</v>
      </c>
      <c r="I14" s="4">
        <f>IFERROR(AVERAGEIFS($G$2:$G$11,$F$2:$F$11,"&lt;&gt; -1"),0)</f>
        <v>2402.637</v>
      </c>
      <c r="J14" s="4">
        <f>IFERROR(AVERAGEIFS($I$2:$I$11,$H$2:$H$11,"&lt;&gt; -1"),0)</f>
        <v>2423.033</v>
      </c>
      <c r="K14" s="4">
        <f>IFERROR(AVERAGEIFS($K$2:$K$11,$J$2:$J$11,"&lt;&gt; -1"),0)</f>
        <v>2137.072</v>
      </c>
      <c r="L14" s="4">
        <f>IFERROR(AVERAGEIFS($M$2:$M$11,$L$2:$L$11,"&lt;&gt; -1"),0)</f>
        <v>0</v>
      </c>
      <c r="M14" s="4">
        <f>IFERROR(_xlfn.MAXIFS($B$2:$B$11,$B$2:$B$11,"&lt;&gt; -1"),0)</f>
        <v>23.58</v>
      </c>
      <c r="N14" s="4">
        <f>IFERROR(_xlfn.MAXIFS($D$2:$D$11,$D$2:$D$11,"&lt;&gt;-1"),0)</f>
        <v>37.4</v>
      </c>
      <c r="O14" s="4">
        <f>IFERROR(_xlfn.MAXIFS($F$2:$F$11,$F$2:$F$11,"&lt;&gt; -1"),0)</f>
        <v>26.41</v>
      </c>
      <c r="P14" s="4">
        <f>IFERROR(_xlfn.MAXIFS($H$2:$H$11,$H$2:$H$11,"&lt;&gt; -1"),0)</f>
        <v>39.09</v>
      </c>
      <c r="Q14" s="4">
        <f>IFERROR(_xlfn.MAXIFS($J$2:$J$11,$J$2:$J$11,"&lt;&gt; -1"),0)</f>
        <v>24.49</v>
      </c>
      <c r="R14" s="4">
        <f>IFERROR(_xlfn.MAXIFS($L$2:$L$11,$L$2:$L$11,"&lt;&gt; -1"),0)</f>
        <v>0</v>
      </c>
      <c r="S14" s="4">
        <f>IFERROR(_xlfn.MINIFS($B$2:$B$11,$B$2:$B$11,"&lt;&gt; -1"),0)</f>
        <v>14.08</v>
      </c>
      <c r="T14" s="4">
        <f>IFERROR(_xlfn.MINIFS($D$2:$D$11,$D$2:$D$11,"&lt;&gt;-1"),0)</f>
        <v>21.38</v>
      </c>
      <c r="U14" s="4">
        <f>IFERROR(_xlfn.MINIFS($F$2:$F$11,$F$2:$F$11,"&lt;&gt; -1"),0)</f>
        <v>15.5</v>
      </c>
      <c r="V14" s="4">
        <f>IFERROR(_xlfn.MINIFS($H$2:$H$11,$H$2:$H$11,"&lt;&gt; -1"),0)</f>
        <v>21.93</v>
      </c>
      <c r="W14" s="4">
        <f>IFERROR(_xlfn.MINIFS($J$2:$J$11,$J$2:$J$11,"&lt;&gt; -1"),0)</f>
        <v>14.42</v>
      </c>
      <c r="X14" s="4">
        <f>IFERROR(_xlfn.MINIFS($L$2:$L$11,$L$2:$L$11,"&lt;&gt; -1"),0)</f>
        <v>0</v>
      </c>
      <c r="Y14" s="4">
        <f>IFERROR(_xlfn.MAXIFS($C$2:$C$11,$B$2:$B$11,"&lt;&gt; -1"),0)</f>
        <v>2344.31</v>
      </c>
      <c r="Z14" s="4">
        <f>IFERROR(_xlfn.MAXIFS($E$2:$E$11,$D$2:$D$11,"&lt;&gt; -1"),0)</f>
        <v>2228.29</v>
      </c>
      <c r="AA14" s="4">
        <f>IFERROR(_xlfn.MAXIFS($G$2:$G$11,$F$2:$F$11,"&lt;&gt; -1"),0)</f>
        <v>2471.95</v>
      </c>
      <c r="AB14" s="4">
        <f>IFERROR(_xlfn.MAXIFS($I$2:$I$11,$H$2:$H$11,"&lt;&gt; -1"),0)</f>
        <v>2531.39</v>
      </c>
      <c r="AC14" s="4">
        <f>IFERROR(_xlfn.MAXIFS($K$2:$K$11,$J$2:$J$11,"&lt;&gt; -1"),0)</f>
        <v>2215.41</v>
      </c>
      <c r="AD14" s="4">
        <f>IFERROR(_xlfn.MAXIFS($M$2:$M$11,$L$2:$L$11,"&lt;&gt; -1"),0)</f>
        <v>0</v>
      </c>
      <c r="AE14" s="4">
        <f>IFERROR(_xlfn.MINIFS($C$2:$C$11,$B$2:$B$11,"&lt;&gt; -1"),0)</f>
        <v>2153.12</v>
      </c>
      <c r="AF14" s="4">
        <f>IFERROR(_xlfn.MINIFS($E$2:$E$11,$D$2:$D$11,"&lt;&gt; -1"),0)</f>
        <v>2061.62</v>
      </c>
      <c r="AG14" s="4">
        <f>IFERROR(_xlfn.MINIFS($G$2:$G$11,$F$2:$F$11,"&lt;&gt; -1"),0)</f>
        <v>2307.94</v>
      </c>
      <c r="AH14" s="4">
        <f>IFERROR(_xlfn.MINIFS($I$2:$I$11,$H$2:$H$11,"&lt;&gt; -1"),0)</f>
        <v>2312.17</v>
      </c>
      <c r="AI14" s="4">
        <f>IFERROR(_xlfn.MINIFS($K$2:$K$11,$J$2:$J$11,"&lt;&gt; -1"),0)</f>
        <v>2071.09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1</v>
      </c>
      <c r="AN14" s="4">
        <f>(COUNTIFS($H$2:$H11,"&gt;0.0",$H$2:$H$11,"&lt;200.0"))/10</f>
        <v>1</v>
      </c>
      <c r="AO14" s="4">
        <f>(COUNTIFS($J$2:$J$11,"&gt;0.0",$J$2:$J$11,"&lt;200.0"))/10</f>
        <v>1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S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22.47</v>
      </c>
      <c r="C2">
        <v>2096.11</v>
      </c>
      <c r="D2">
        <v>31.92</v>
      </c>
      <c r="E2">
        <v>2190.36</v>
      </c>
      <c r="F2">
        <v>43.93</v>
      </c>
      <c r="G2">
        <v>2162.54</v>
      </c>
      <c r="H2">
        <v>67.41</v>
      </c>
      <c r="I2">
        <v>2277.43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21.2</v>
      </c>
      <c r="C3">
        <v>2263.12</v>
      </c>
      <c r="D3">
        <v>27.77</v>
      </c>
      <c r="E3">
        <v>2108.33</v>
      </c>
      <c r="F3">
        <v>27.77</v>
      </c>
      <c r="G3">
        <v>2173.29</v>
      </c>
      <c r="H3">
        <v>84.12</v>
      </c>
      <c r="I3">
        <v>2201.26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19.01</v>
      </c>
      <c r="C4">
        <v>2158.66</v>
      </c>
      <c r="D4">
        <v>26.55</v>
      </c>
      <c r="E4">
        <v>2212.19</v>
      </c>
      <c r="F4">
        <v>21.34</v>
      </c>
      <c r="G4">
        <v>2196.7</v>
      </c>
      <c r="H4">
        <v>66.22</v>
      </c>
      <c r="I4">
        <v>2250.87</v>
      </c>
      <c r="J4">
        <v>-1</v>
      </c>
      <c r="K4">
        <v>264.82</v>
      </c>
      <c r="L4">
        <v>-1</v>
      </c>
      <c r="M4">
        <v>0</v>
      </c>
    </row>
    <row r="5" spans="1:13">
      <c r="A5" t="s">
        <v>16</v>
      </c>
      <c r="B5">
        <v>20</v>
      </c>
      <c r="C5">
        <v>2237.19</v>
      </c>
      <c r="D5">
        <v>27.2</v>
      </c>
      <c r="E5">
        <v>2185.55</v>
      </c>
      <c r="F5">
        <v>28.24</v>
      </c>
      <c r="G5">
        <v>2258.57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19.44</v>
      </c>
      <c r="C6">
        <v>2273.83</v>
      </c>
      <c r="D6">
        <v>26.45</v>
      </c>
      <c r="E6">
        <v>2290.63</v>
      </c>
      <c r="F6">
        <v>28.76</v>
      </c>
      <c r="G6">
        <v>2262.32</v>
      </c>
      <c r="H6">
        <v>136.01</v>
      </c>
      <c r="I6">
        <v>2340.8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20.98</v>
      </c>
      <c r="C7">
        <v>2201.02</v>
      </c>
      <c r="D7">
        <v>28.28</v>
      </c>
      <c r="E7">
        <v>2155.62</v>
      </c>
      <c r="F7">
        <v>25.13</v>
      </c>
      <c r="G7">
        <v>2227.42</v>
      </c>
      <c r="H7">
        <v>129.3</v>
      </c>
      <c r="I7">
        <v>2253.8</v>
      </c>
      <c r="J7">
        <v>-1</v>
      </c>
      <c r="K7">
        <v>251.62</v>
      </c>
      <c r="L7">
        <v>-1</v>
      </c>
      <c r="M7">
        <v>0</v>
      </c>
    </row>
    <row r="8" spans="1:13">
      <c r="A8" t="s">
        <v>19</v>
      </c>
      <c r="B8">
        <v>21.24</v>
      </c>
      <c r="C8">
        <v>2188.98</v>
      </c>
      <c r="D8">
        <v>27.23</v>
      </c>
      <c r="E8">
        <v>2272.69</v>
      </c>
      <c r="F8">
        <v>24.89</v>
      </c>
      <c r="G8">
        <v>2190.72</v>
      </c>
      <c r="H8">
        <v>71.41</v>
      </c>
      <c r="I8">
        <v>2294.19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14.34</v>
      </c>
      <c r="C9">
        <v>2108.45</v>
      </c>
      <c r="D9">
        <v>19.32</v>
      </c>
      <c r="E9">
        <v>2082.09</v>
      </c>
      <c r="F9">
        <v>21.2</v>
      </c>
      <c r="G9">
        <v>2158.41</v>
      </c>
      <c r="H9">
        <v>112.92</v>
      </c>
      <c r="I9">
        <v>2148.54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14.24</v>
      </c>
      <c r="C10">
        <v>2234.3</v>
      </c>
      <c r="D10">
        <v>19.52</v>
      </c>
      <c r="E10">
        <v>2165.19</v>
      </c>
      <c r="F10">
        <v>17.58</v>
      </c>
      <c r="G10">
        <v>2245.8</v>
      </c>
      <c r="H10">
        <v>190.51</v>
      </c>
      <c r="I10">
        <v>2232.79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14.96</v>
      </c>
      <c r="C11">
        <v>2358.8</v>
      </c>
      <c r="D11">
        <v>19.87</v>
      </c>
      <c r="E11">
        <v>2294.74</v>
      </c>
      <c r="F11">
        <v>32.46</v>
      </c>
      <c r="G11">
        <v>2290.85</v>
      </c>
      <c r="H11">
        <v>139.24</v>
      </c>
      <c r="I11">
        <v>2372.63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18.788</v>
      </c>
      <c r="B14" s="4">
        <f>IFERROR(AVERAGEIF($D$2:$D$11,"&lt;&gt; -1"),0)</f>
        <v>25.411</v>
      </c>
      <c r="C14" s="4">
        <f>IFERROR(AVERAGEIF($F$2:$F$11,"&lt;&gt; -1"),0)</f>
        <v>27.13</v>
      </c>
      <c r="D14" s="4">
        <f>IFERROR(AVERAGEIF($H$2:$H$11,"&lt;&gt; -1"),0)</f>
        <v>110.793333333333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2212.046</v>
      </c>
      <c r="H14" s="4">
        <f>IFERROR(AVERAGEIFS($E$2:$E$11,$D$2:$D$11,"&lt;&gt; -1"),0)</f>
        <v>2195.739</v>
      </c>
      <c r="I14" s="4">
        <f>IFERROR(AVERAGEIFS($G$2:$G$11,$F$2:$F$11,"&lt;&gt; -1"),0)</f>
        <v>2216.662</v>
      </c>
      <c r="J14" s="4">
        <f>IFERROR(AVERAGEIFS($I$2:$I$11,$H$2:$H$11,"&lt;&gt; -1"),0)</f>
        <v>2263.59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22.47</v>
      </c>
      <c r="N14" s="4">
        <f>IFERROR(_xlfn.MAXIFS($D$2:$D$11,$D$2:$D$11,"&lt;&gt;-1"),0)</f>
        <v>31.92</v>
      </c>
      <c r="O14" s="4">
        <f>IFERROR(_xlfn.MAXIFS($F$2:$F$11,$F$2:$F$11,"&lt;&gt; -1"),0)</f>
        <v>43.93</v>
      </c>
      <c r="P14" s="4">
        <f>IFERROR(_xlfn.MAXIFS($H$2:$H$11,$H$2:$H$11,"&lt;&gt; -1"),0)</f>
        <v>190.51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14.24</v>
      </c>
      <c r="T14" s="4">
        <f>IFERROR(_xlfn.MINIFS($D$2:$D$11,$D$2:$D$11,"&lt;&gt;-1"),0)</f>
        <v>19.32</v>
      </c>
      <c r="U14" s="4">
        <f>IFERROR(_xlfn.MINIFS($F$2:$F$11,$F$2:$F$11,"&lt;&gt; -1"),0)</f>
        <v>17.58</v>
      </c>
      <c r="V14" s="4">
        <f>IFERROR(_xlfn.MINIFS($H$2:$H$11,$H$2:$H$11,"&lt;&gt; -1"),0)</f>
        <v>66.22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2358.8</v>
      </c>
      <c r="Z14" s="4">
        <f>IFERROR(_xlfn.MAXIFS($E$2:$E$11,$D$2:$D$11,"&lt;&gt; -1"),0)</f>
        <v>2294.74</v>
      </c>
      <c r="AA14" s="4">
        <f>IFERROR(_xlfn.MAXIFS($G$2:$G$11,$F$2:$F$11,"&lt;&gt; -1"),0)</f>
        <v>2290.85</v>
      </c>
      <c r="AB14" s="4">
        <f>IFERROR(_xlfn.MAXIFS($I$2:$I$11,$H$2:$H$11,"&lt;&gt; -1"),0)</f>
        <v>2372.63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2096.11</v>
      </c>
      <c r="AF14" s="4">
        <f>IFERROR(_xlfn.MINIFS($E$2:$E$11,$D$2:$D$11,"&lt;&gt; -1"),0)</f>
        <v>2082.09</v>
      </c>
      <c r="AG14" s="4">
        <f>IFERROR(_xlfn.MINIFS($G$2:$G$11,$F$2:$F$11,"&lt;&gt; -1"),0)</f>
        <v>2158.41</v>
      </c>
      <c r="AH14" s="4">
        <f>IFERROR(_xlfn.MINIFS($I$2:$I$11,$H$2:$H$11,"&lt;&gt; -1"),0)</f>
        <v>2148.54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1</v>
      </c>
      <c r="AN14" s="4">
        <f>(COUNTIFS($H$2:$H11,"&gt;0.0",$H$2:$H$11,"&lt;200.0"))/10</f>
        <v>0.9</v>
      </c>
      <c r="AO14" s="4">
        <f>(COUNTIFS($J$2:$J$11,"&gt;0.0",$J$2:$J$11,"&lt;200.0"))/10</f>
        <v>0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14.24</v>
      </c>
      <c r="C2">
        <v>1991.77</v>
      </c>
      <c r="D2">
        <v>14.35</v>
      </c>
      <c r="E2">
        <v>2175.48</v>
      </c>
      <c r="F2">
        <v>18.16</v>
      </c>
      <c r="G2">
        <v>2014.53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14.62</v>
      </c>
      <c r="C3">
        <v>2185.73</v>
      </c>
      <c r="D3">
        <v>14.75</v>
      </c>
      <c r="E3">
        <v>2172.54</v>
      </c>
      <c r="F3">
        <v>250.82</v>
      </c>
      <c r="G3">
        <v>2109.87</v>
      </c>
      <c r="H3">
        <v>-1</v>
      </c>
      <c r="I3">
        <v>625.12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13.64</v>
      </c>
      <c r="C4">
        <v>1996.1</v>
      </c>
      <c r="D4">
        <v>13.8</v>
      </c>
      <c r="E4">
        <v>2257.99</v>
      </c>
      <c r="F4">
        <v>29.22</v>
      </c>
      <c r="G4">
        <v>2004.64</v>
      </c>
      <c r="H4">
        <v>263.91</v>
      </c>
      <c r="I4">
        <v>2009.94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14.34</v>
      </c>
      <c r="C5">
        <v>2060.67</v>
      </c>
      <c r="D5">
        <v>14.47</v>
      </c>
      <c r="E5">
        <v>2173.51</v>
      </c>
      <c r="F5">
        <v>100.02</v>
      </c>
      <c r="G5">
        <v>2132.81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14.36</v>
      </c>
      <c r="C6">
        <v>2080.65</v>
      </c>
      <c r="D6">
        <v>14.51</v>
      </c>
      <c r="E6">
        <v>2255.42</v>
      </c>
      <c r="F6">
        <v>115.69</v>
      </c>
      <c r="G6">
        <v>2066.97</v>
      </c>
      <c r="H6">
        <v>-1</v>
      </c>
      <c r="I6">
        <v>652.16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13.92</v>
      </c>
      <c r="C7">
        <v>2019.91</v>
      </c>
      <c r="D7">
        <v>14.08</v>
      </c>
      <c r="E7">
        <v>2130.25</v>
      </c>
      <c r="F7">
        <v>171.89</v>
      </c>
      <c r="G7">
        <v>2026.63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14.15</v>
      </c>
      <c r="C8">
        <v>1991.44</v>
      </c>
      <c r="D8">
        <v>14.32</v>
      </c>
      <c r="E8">
        <v>2238.58</v>
      </c>
      <c r="F8">
        <v>113.87</v>
      </c>
      <c r="G8">
        <v>1995.7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13.99</v>
      </c>
      <c r="C9">
        <v>1995.89</v>
      </c>
      <c r="D9">
        <v>14.06</v>
      </c>
      <c r="E9">
        <v>2212.38</v>
      </c>
      <c r="F9">
        <v>107.29</v>
      </c>
      <c r="G9">
        <v>1999.22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13.91</v>
      </c>
      <c r="C10">
        <v>2036.41</v>
      </c>
      <c r="D10">
        <v>14.05</v>
      </c>
      <c r="E10">
        <v>2256.05</v>
      </c>
      <c r="F10">
        <v>60.7</v>
      </c>
      <c r="G10">
        <v>1936.69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14.53</v>
      </c>
      <c r="C11">
        <v>2091.05</v>
      </c>
      <c r="D11">
        <v>14.6</v>
      </c>
      <c r="E11">
        <v>2281.95</v>
      </c>
      <c r="F11">
        <v>167.68</v>
      </c>
      <c r="G11">
        <v>2074.5</v>
      </c>
      <c r="H11">
        <v>-1</v>
      </c>
      <c r="I11">
        <v>648.09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14.17</v>
      </c>
      <c r="B14" s="4">
        <f>IFERROR(AVERAGEIF($D$2:$D$11,"&lt;&gt; -1"),0)</f>
        <v>14.299</v>
      </c>
      <c r="C14" s="4">
        <f>IFERROR(AVERAGEIF($F$2:$F$11,"&lt;&gt; -1"),0)</f>
        <v>113.534</v>
      </c>
      <c r="D14" s="4">
        <f>IFERROR(AVERAGEIF($H$2:$H$11,"&lt;&gt; -1"),0)</f>
        <v>263.91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2044.962</v>
      </c>
      <c r="H14" s="4">
        <f>IFERROR(AVERAGEIFS($E$2:$E$11,$D$2:$D$11,"&lt;&gt; -1"),0)</f>
        <v>2215.415</v>
      </c>
      <c r="I14" s="4">
        <f>IFERROR(AVERAGEIFS($G$2:$G$11,$F$2:$F$11,"&lt;&gt; -1"),0)</f>
        <v>2036.156</v>
      </c>
      <c r="J14" s="4">
        <f>IFERROR(AVERAGEIFS($I$2:$I$11,$H$2:$H$11,"&lt;&gt; -1"),0)</f>
        <v>2009.94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14.62</v>
      </c>
      <c r="N14" s="4">
        <f>IFERROR(_xlfn.MAXIFS($D$2:$D$11,$D$2:$D$11,"&lt;&gt;-1"),0)</f>
        <v>14.75</v>
      </c>
      <c r="O14" s="4">
        <f>IFERROR(_xlfn.MAXIFS($F$2:$F$11,$F$2:$F$11,"&lt;&gt; -1"),0)</f>
        <v>250.82</v>
      </c>
      <c r="P14" s="4">
        <f>IFERROR(_xlfn.MAXIFS($H$2:$H$11,$H$2:$H$11,"&lt;&gt; -1"),0)</f>
        <v>263.91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13.64</v>
      </c>
      <c r="T14" s="4">
        <f>IFERROR(_xlfn.MINIFS($D$2:$D$11,$D$2:$D$11,"&lt;&gt;-1"),0)</f>
        <v>13.8</v>
      </c>
      <c r="U14" s="4">
        <f>IFERROR(_xlfn.MINIFS($F$2:$F$11,$F$2:$F$11,"&lt;&gt; -1"),0)</f>
        <v>18.16</v>
      </c>
      <c r="V14" s="4">
        <f>IFERROR(_xlfn.MINIFS($H$2:$H$11,$H$2:$H$11,"&lt;&gt; -1"),0)</f>
        <v>263.91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2185.73</v>
      </c>
      <c r="Z14" s="4">
        <f>IFERROR(_xlfn.MAXIFS($E$2:$E$11,$D$2:$D$11,"&lt;&gt; -1"),0)</f>
        <v>2281.95</v>
      </c>
      <c r="AA14" s="4">
        <f>IFERROR(_xlfn.MAXIFS($G$2:$G$11,$F$2:$F$11,"&lt;&gt; -1"),0)</f>
        <v>2132.81</v>
      </c>
      <c r="AB14" s="4">
        <f>IFERROR(_xlfn.MAXIFS($I$2:$I$11,$H$2:$H$11,"&lt;&gt; -1"),0)</f>
        <v>2009.94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1991.44</v>
      </c>
      <c r="AF14" s="4">
        <f>IFERROR(_xlfn.MINIFS($E$2:$E$11,$D$2:$D$11,"&lt;&gt; -1"),0)</f>
        <v>2130.25</v>
      </c>
      <c r="AG14" s="4">
        <f>IFERROR(_xlfn.MINIFS($G$2:$G$11,$F$2:$F$11,"&lt;&gt; -1"),0)</f>
        <v>1936.69</v>
      </c>
      <c r="AH14" s="4">
        <f>IFERROR(_xlfn.MINIFS($I$2:$I$11,$H$2:$H$11,"&lt;&gt; -1"),0)</f>
        <v>2009.94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0.9</v>
      </c>
      <c r="AN14" s="4">
        <f>(COUNTIFS($H$2:$H11,"&gt;0.0",$H$2:$H$11,"&lt;200.0"))/10</f>
        <v>0</v>
      </c>
      <c r="AO14" s="4">
        <f>(COUNTIFS($J$2:$J$11,"&gt;0.0",$J$2:$J$11,"&lt;200.0"))/10</f>
        <v>0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13.56</v>
      </c>
      <c r="C2">
        <v>1836.77</v>
      </c>
      <c r="D2">
        <v>13.41</v>
      </c>
      <c r="E2">
        <v>1964.11</v>
      </c>
      <c r="F2">
        <v>-1</v>
      </c>
      <c r="G2">
        <v>582.06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13.83</v>
      </c>
      <c r="C3">
        <v>1833.51</v>
      </c>
      <c r="D3">
        <v>13.65</v>
      </c>
      <c r="E3">
        <v>1842.28</v>
      </c>
      <c r="F3">
        <v>29.31</v>
      </c>
      <c r="G3">
        <v>1835.12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13.08</v>
      </c>
      <c r="C4">
        <v>1733.64</v>
      </c>
      <c r="D4">
        <v>12.89</v>
      </c>
      <c r="E4">
        <v>1829.51</v>
      </c>
      <c r="F4">
        <v>405.16</v>
      </c>
      <c r="G4">
        <v>1776.14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13.28</v>
      </c>
      <c r="C5">
        <v>1661.66</v>
      </c>
      <c r="D5">
        <v>13.12</v>
      </c>
      <c r="E5">
        <v>1812.88</v>
      </c>
      <c r="F5">
        <v>14.25</v>
      </c>
      <c r="G5">
        <v>1797.79</v>
      </c>
      <c r="H5">
        <v>-1</v>
      </c>
      <c r="I5">
        <v>803.18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13.91</v>
      </c>
      <c r="C6">
        <v>1844.14</v>
      </c>
      <c r="D6">
        <v>13.7</v>
      </c>
      <c r="E6">
        <v>1869.75</v>
      </c>
      <c r="F6">
        <v>51.63</v>
      </c>
      <c r="G6">
        <v>1857.01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13.46</v>
      </c>
      <c r="C7">
        <v>1763.14</v>
      </c>
      <c r="D7">
        <v>13.25</v>
      </c>
      <c r="E7">
        <v>1825.17</v>
      </c>
      <c r="F7">
        <v>45.68</v>
      </c>
      <c r="G7">
        <v>1783.24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13.63</v>
      </c>
      <c r="C8">
        <v>1747.8</v>
      </c>
      <c r="D8">
        <v>13.45</v>
      </c>
      <c r="E8">
        <v>1981.61</v>
      </c>
      <c r="F8">
        <v>17.54</v>
      </c>
      <c r="G8">
        <v>1821.84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13.54</v>
      </c>
      <c r="C9">
        <v>1824.69</v>
      </c>
      <c r="D9">
        <v>13.4</v>
      </c>
      <c r="E9">
        <v>1969.02</v>
      </c>
      <c r="F9">
        <v>22.43</v>
      </c>
      <c r="G9">
        <v>1800.1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13.35</v>
      </c>
      <c r="C10">
        <v>1729.29</v>
      </c>
      <c r="D10">
        <v>13.26</v>
      </c>
      <c r="E10">
        <v>1895.68</v>
      </c>
      <c r="F10">
        <v>59.03</v>
      </c>
      <c r="G10">
        <v>1849.81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13.94</v>
      </c>
      <c r="C11">
        <v>1805.84</v>
      </c>
      <c r="D11">
        <v>13.8</v>
      </c>
      <c r="E11">
        <v>1966.15</v>
      </c>
      <c r="F11">
        <v>61.95</v>
      </c>
      <c r="G11">
        <v>1873.84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ht="13" customHeight="1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13.558</v>
      </c>
      <c r="B14" s="4">
        <f>IFERROR(AVERAGEIF($D$2:$D$11,"&lt;&gt; -1"),0)</f>
        <v>13.393</v>
      </c>
      <c r="C14" s="4">
        <f>IFERROR(AVERAGEIF($F$2:$F$11,"&lt;&gt; -1"),0)</f>
        <v>78.5533333333333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1778.048</v>
      </c>
      <c r="H14" s="4">
        <f>IFERROR(AVERAGEIFS($E$2:$E$11,$D$2:$D$11,"&lt;&gt; -1"),0)</f>
        <v>1895.616</v>
      </c>
      <c r="I14" s="4">
        <f>IFERROR(AVERAGEIFS($G$2:$G$11,$F$2:$F$11,"&lt;&gt; -1"),0)</f>
        <v>1821.65444444444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13.94</v>
      </c>
      <c r="N14" s="4">
        <f>IFERROR(_xlfn.MAXIFS($D$2:$D$11,$D$2:$D$11,"&lt;&gt;-1"),0)</f>
        <v>13.8</v>
      </c>
      <c r="O14" s="4">
        <f>IFERROR(_xlfn.MAXIFS($F$2:$F$11,$F$2:$F$11,"&lt;&gt; -1"),0)</f>
        <v>405.16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13.08</v>
      </c>
      <c r="T14" s="4">
        <f>IFERROR(_xlfn.MINIFS($D$2:$D$11,$D$2:$D$11,"&lt;&gt;-1"),0)</f>
        <v>12.89</v>
      </c>
      <c r="U14" s="4">
        <f>IFERROR(_xlfn.MINIFS($F$2:$F$11,$F$2:$F$11,"&lt;&gt; -1"),0)</f>
        <v>14.25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1844.14</v>
      </c>
      <c r="Z14" s="4">
        <f>IFERROR(_xlfn.MAXIFS($E$2:$E$11,$D$2:$D$11,"&lt;&gt; -1"),0)</f>
        <v>1981.61</v>
      </c>
      <c r="AA14" s="4">
        <f>IFERROR(_xlfn.MAXIFS($G$2:$G$11,$F$2:$F$11,"&lt;&gt; -1"),0)</f>
        <v>1873.84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1661.66</v>
      </c>
      <c r="AF14" s="4">
        <f>IFERROR(_xlfn.MINIFS($E$2:$E$11,$D$2:$D$11,"&lt;&gt; -1"),0)</f>
        <v>1812.88</v>
      </c>
      <c r="AG14" s="4">
        <f>IFERROR(_xlfn.MINIFS($G$2:$G$11,$F$2:$F$11,"&lt;&gt; -1"),0)</f>
        <v>1776.14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0.8</v>
      </c>
      <c r="AN14" s="4">
        <f>(COUNTIFS($H$2:$H11,"&gt;0.0",$H$2:$H$11,"&lt;200.0"))/10</f>
        <v>0</v>
      </c>
      <c r="AO14" s="4">
        <f>(COUNTIFS($J$2:$J$11,"&gt;0.0",$J$2:$J$11,"&lt;200.0"))/10</f>
        <v>0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12.71</v>
      </c>
      <c r="C2">
        <v>1732.04</v>
      </c>
      <c r="D2">
        <v>12.47</v>
      </c>
      <c r="E2">
        <v>1689.31</v>
      </c>
      <c r="F2">
        <v>68.48</v>
      </c>
      <c r="G2">
        <v>1717.57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12.82</v>
      </c>
      <c r="C3">
        <v>1599.17</v>
      </c>
      <c r="D3">
        <v>12.58</v>
      </c>
      <c r="E3">
        <v>1638.23</v>
      </c>
      <c r="F3">
        <v>20.95</v>
      </c>
      <c r="G3">
        <v>1617.4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12.27</v>
      </c>
      <c r="C4">
        <v>1456.05</v>
      </c>
      <c r="D4">
        <v>12.02</v>
      </c>
      <c r="E4">
        <v>1610.31</v>
      </c>
      <c r="F4">
        <v>87.84</v>
      </c>
      <c r="G4">
        <v>1543.39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12.64</v>
      </c>
      <c r="C5">
        <v>1589.92</v>
      </c>
      <c r="D5">
        <v>12.39</v>
      </c>
      <c r="E5">
        <v>1529.92</v>
      </c>
      <c r="F5">
        <v>28.91</v>
      </c>
      <c r="G5">
        <v>1652.56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13.5</v>
      </c>
      <c r="C6">
        <v>1525.69</v>
      </c>
      <c r="D6">
        <v>13.27</v>
      </c>
      <c r="E6">
        <v>1606.32</v>
      </c>
      <c r="F6">
        <v>16.28</v>
      </c>
      <c r="G6">
        <v>1583.16</v>
      </c>
      <c r="H6">
        <v>-1</v>
      </c>
      <c r="I6">
        <v>0</v>
      </c>
      <c r="J6">
        <v>-1</v>
      </c>
      <c r="K6">
        <v>224.82</v>
      </c>
      <c r="L6">
        <v>-1</v>
      </c>
      <c r="M6">
        <v>0</v>
      </c>
    </row>
    <row r="7" spans="1:13">
      <c r="A7" t="s">
        <v>18</v>
      </c>
      <c r="B7">
        <v>12.92</v>
      </c>
      <c r="C7">
        <v>1605.19</v>
      </c>
      <c r="D7">
        <v>12.66</v>
      </c>
      <c r="E7">
        <v>1612.6</v>
      </c>
      <c r="F7">
        <v>20.46</v>
      </c>
      <c r="G7">
        <v>1607.54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12.99</v>
      </c>
      <c r="C8">
        <v>1628.76</v>
      </c>
      <c r="D8">
        <v>12.68</v>
      </c>
      <c r="E8">
        <v>1639.66</v>
      </c>
      <c r="F8">
        <v>79.62</v>
      </c>
      <c r="G8">
        <v>1665.9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13</v>
      </c>
      <c r="C9">
        <v>1546.96</v>
      </c>
      <c r="D9">
        <v>12.78</v>
      </c>
      <c r="E9">
        <v>1660.37</v>
      </c>
      <c r="F9">
        <v>69.27</v>
      </c>
      <c r="G9">
        <v>1559.29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12.89</v>
      </c>
      <c r="C10">
        <v>1572.09</v>
      </c>
      <c r="D10">
        <v>12.64</v>
      </c>
      <c r="E10">
        <v>1601.26</v>
      </c>
      <c r="F10">
        <v>-1</v>
      </c>
      <c r="G10">
        <v>0</v>
      </c>
      <c r="H10">
        <v>-1</v>
      </c>
      <c r="I10">
        <v>798.67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13.49</v>
      </c>
      <c r="C11">
        <v>1555.78</v>
      </c>
      <c r="D11">
        <v>13.23</v>
      </c>
      <c r="E11">
        <v>1610.96</v>
      </c>
      <c r="F11">
        <v>28.5</v>
      </c>
      <c r="G11">
        <v>1613.16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12.923</v>
      </c>
      <c r="B14" s="4">
        <f>IFERROR(AVERAGEIF($D$2:$D$11,"&lt;&gt; -1"),0)</f>
        <v>12.672</v>
      </c>
      <c r="C14" s="4">
        <f>IFERROR(AVERAGEIF($F$2:$F$11,"&lt;&gt; -1"),0)</f>
        <v>46.7011111111111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1581.165</v>
      </c>
      <c r="H14" s="4">
        <f>IFERROR(AVERAGEIFS($E$2:$E$11,$D$2:$D$11,"&lt;&gt; -1"),0)</f>
        <v>1619.894</v>
      </c>
      <c r="I14" s="4">
        <f>IFERROR(AVERAGEIFS($G$2:$G$11,$F$2:$F$11,"&lt;&gt; -1"),0)</f>
        <v>1617.77444444444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13.5</v>
      </c>
      <c r="N14" s="4">
        <f>IFERROR(_xlfn.MAXIFS($D$2:$D$11,$D$2:$D$11,"&lt;&gt;-1"),0)</f>
        <v>13.27</v>
      </c>
      <c r="O14" s="4">
        <f>IFERROR(_xlfn.MAXIFS($F$2:$F$11,$F$2:$F$11,"&lt;&gt; -1"),0)</f>
        <v>87.84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12.27</v>
      </c>
      <c r="T14" s="4">
        <f>IFERROR(_xlfn.MINIFS($D$2:$D$11,$D$2:$D$11,"&lt;&gt;-1"),0)</f>
        <v>12.02</v>
      </c>
      <c r="U14" s="4">
        <f>IFERROR(_xlfn.MINIFS($F$2:$F$11,$F$2:$F$11,"&lt;&gt; -1"),0)</f>
        <v>16.28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1732.04</v>
      </c>
      <c r="Z14" s="4">
        <f>IFERROR(_xlfn.MAXIFS($E$2:$E$11,$D$2:$D$11,"&lt;&gt; -1"),0)</f>
        <v>1689.31</v>
      </c>
      <c r="AA14" s="4">
        <f>IFERROR(_xlfn.MAXIFS($G$2:$G$11,$F$2:$F$11,"&lt;&gt; -1"),0)</f>
        <v>1717.57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1456.05</v>
      </c>
      <c r="AF14" s="4">
        <f>IFERROR(_xlfn.MINIFS($E$2:$E$11,$D$2:$D$11,"&lt;&gt; -1"),0)</f>
        <v>1529.92</v>
      </c>
      <c r="AG14" s="4">
        <f>IFERROR(_xlfn.MINIFS($G$2:$G$11,$F$2:$F$11,"&lt;&gt; -1"),0)</f>
        <v>1543.39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0.9</v>
      </c>
      <c r="AN14" s="4">
        <f>(COUNTIFS($H$2:$H11,"&gt;0.0",$H$2:$H$11,"&lt;200.0"))/10</f>
        <v>0</v>
      </c>
      <c r="AO14" s="4">
        <f>(COUNTIFS($J$2:$J$11,"&gt;0.0",$J$2:$J$11,"&lt;200.0"))/10</f>
        <v>0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11.92</v>
      </c>
      <c r="C2">
        <v>1256.71</v>
      </c>
      <c r="D2">
        <v>11.68</v>
      </c>
      <c r="E2">
        <v>1346.92</v>
      </c>
      <c r="F2">
        <v>30.72</v>
      </c>
      <c r="G2">
        <v>1310.47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12.03</v>
      </c>
      <c r="C3">
        <v>1366.29</v>
      </c>
      <c r="D3">
        <v>11.73</v>
      </c>
      <c r="E3">
        <v>1356.82</v>
      </c>
      <c r="F3">
        <v>38.32</v>
      </c>
      <c r="G3">
        <v>1415.08</v>
      </c>
      <c r="H3">
        <v>-1</v>
      </c>
      <c r="I3">
        <v>670.64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11.74</v>
      </c>
      <c r="C4">
        <v>1301.31</v>
      </c>
      <c r="D4">
        <v>11.5</v>
      </c>
      <c r="E4">
        <v>1382.18</v>
      </c>
      <c r="F4">
        <v>68.34</v>
      </c>
      <c r="G4">
        <v>1313.09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11.74</v>
      </c>
      <c r="C5">
        <v>1339.77</v>
      </c>
      <c r="D5">
        <v>11.51</v>
      </c>
      <c r="E5">
        <v>1394.24</v>
      </c>
      <c r="F5">
        <v>40.75</v>
      </c>
      <c r="G5">
        <v>1409.01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12.6</v>
      </c>
      <c r="C6">
        <v>1402.04</v>
      </c>
      <c r="D6">
        <v>12.3</v>
      </c>
      <c r="E6">
        <v>1401.58</v>
      </c>
      <c r="F6">
        <v>31.41</v>
      </c>
      <c r="G6">
        <v>1417.63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12.03</v>
      </c>
      <c r="C7">
        <v>1347.98</v>
      </c>
      <c r="D7">
        <v>11.78</v>
      </c>
      <c r="E7">
        <v>1409.92</v>
      </c>
      <c r="F7">
        <v>242.84</v>
      </c>
      <c r="G7">
        <v>1383.2</v>
      </c>
      <c r="H7">
        <v>-1</v>
      </c>
      <c r="I7">
        <v>729.53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11.95</v>
      </c>
      <c r="C8">
        <v>1385.07</v>
      </c>
      <c r="D8">
        <v>11.7</v>
      </c>
      <c r="E8">
        <v>1354.94</v>
      </c>
      <c r="F8">
        <v>33.44</v>
      </c>
      <c r="G8">
        <v>1408.63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12.28</v>
      </c>
      <c r="C9">
        <v>1364.88</v>
      </c>
      <c r="D9">
        <v>12.01</v>
      </c>
      <c r="E9">
        <v>1434.43</v>
      </c>
      <c r="F9">
        <v>143.02</v>
      </c>
      <c r="G9">
        <v>1340.13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12.17</v>
      </c>
      <c r="C10">
        <v>1314.45</v>
      </c>
      <c r="D10">
        <v>11.9</v>
      </c>
      <c r="E10">
        <v>1336.82</v>
      </c>
      <c r="F10">
        <v>16.09</v>
      </c>
      <c r="G10">
        <v>1377.37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12.56</v>
      </c>
      <c r="C11">
        <v>1451.92</v>
      </c>
      <c r="D11">
        <v>12.33</v>
      </c>
      <c r="E11">
        <v>1463.18</v>
      </c>
      <c r="F11">
        <v>94.57</v>
      </c>
      <c r="G11">
        <v>1441.77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12.102</v>
      </c>
      <c r="B14" s="4">
        <f>IFERROR(AVERAGEIF($D$2:$D$11,"&lt;&gt; -1"),0)</f>
        <v>11.844</v>
      </c>
      <c r="C14" s="4">
        <f>IFERROR(AVERAGEIF($F$2:$F$11,"&lt;&gt; -1"),0)</f>
        <v>73.95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1353.042</v>
      </c>
      <c r="H14" s="4">
        <f>IFERROR(AVERAGEIFS($E$2:$E$11,$D$2:$D$11,"&lt;&gt; -1"),0)</f>
        <v>1388.103</v>
      </c>
      <c r="I14" s="4">
        <f>IFERROR(AVERAGEIFS($G$2:$G$11,$F$2:$F$11,"&lt;&gt; -1"),0)</f>
        <v>1381.638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12.6</v>
      </c>
      <c r="N14" s="4">
        <f>IFERROR(_xlfn.MAXIFS($D$2:$D$11,$D$2:$D$11,"&lt;&gt;-1"),0)</f>
        <v>12.33</v>
      </c>
      <c r="O14" s="4">
        <f>IFERROR(_xlfn.MAXIFS($F$2:$F$11,$F$2:$F$11,"&lt;&gt; -1"),0)</f>
        <v>242.84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11.74</v>
      </c>
      <c r="T14" s="4">
        <f>IFERROR(_xlfn.MINIFS($D$2:$D$11,$D$2:$D$11,"&lt;&gt;-1"),0)</f>
        <v>11.5</v>
      </c>
      <c r="U14" s="4">
        <f>IFERROR(_xlfn.MINIFS($F$2:$F$11,$F$2:$F$11,"&lt;&gt; -1"),0)</f>
        <v>16.09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1451.92</v>
      </c>
      <c r="Z14" s="4">
        <f>IFERROR(_xlfn.MAXIFS($E$2:$E$11,$D$2:$D$11,"&lt;&gt; -1"),0)</f>
        <v>1463.18</v>
      </c>
      <c r="AA14" s="4">
        <f>IFERROR(_xlfn.MAXIFS($G$2:$G$11,$F$2:$F$11,"&lt;&gt; -1"),0)</f>
        <v>1441.77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1256.71</v>
      </c>
      <c r="AF14" s="4">
        <f>IFERROR(_xlfn.MINIFS($E$2:$E$11,$D$2:$D$11,"&lt;&gt; -1"),0)</f>
        <v>1336.82</v>
      </c>
      <c r="AG14" s="4">
        <f>IFERROR(_xlfn.MINIFS($G$2:$G$11,$F$2:$F$11,"&lt;&gt; -1"),0)</f>
        <v>1310.47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0.9</v>
      </c>
      <c r="AN14" s="4">
        <f>(COUNTIFS($H$2:$H11,"&gt;0.0",$H$2:$H$11,"&lt;200.0"))/10</f>
        <v>0</v>
      </c>
      <c r="AO14" s="4">
        <f>(COUNTIFS($J$2:$J$11,"&gt;0.0",$J$2:$J$11,"&lt;200.0"))/10</f>
        <v>0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E10" sqref="E10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17.406</v>
      </c>
      <c r="B2">
        <v>26.43</v>
      </c>
      <c r="C2">
        <v>19.128</v>
      </c>
      <c r="D2">
        <v>27.765</v>
      </c>
      <c r="E2">
        <v>18.029</v>
      </c>
      <c r="F2">
        <v>0</v>
      </c>
      <c r="G2">
        <v>2218.681</v>
      </c>
      <c r="H2">
        <v>2163.861</v>
      </c>
      <c r="I2">
        <v>2402.637</v>
      </c>
      <c r="J2">
        <v>2423.033</v>
      </c>
      <c r="K2">
        <v>2137.072</v>
      </c>
      <c r="L2">
        <v>0</v>
      </c>
      <c r="M2">
        <v>23.58</v>
      </c>
      <c r="N2">
        <v>37.4</v>
      </c>
      <c r="O2">
        <v>26.41</v>
      </c>
      <c r="P2">
        <v>39.09</v>
      </c>
      <c r="Q2">
        <v>24.49</v>
      </c>
      <c r="R2">
        <v>0</v>
      </c>
      <c r="S2">
        <v>14.08</v>
      </c>
      <c r="T2">
        <v>21.38</v>
      </c>
      <c r="U2">
        <v>15.5</v>
      </c>
      <c r="V2">
        <v>21.93</v>
      </c>
      <c r="W2">
        <v>14.42</v>
      </c>
      <c r="X2">
        <v>0</v>
      </c>
      <c r="Y2">
        <v>2344.31</v>
      </c>
      <c r="Z2">
        <v>2228.29</v>
      </c>
      <c r="AA2">
        <v>2471.95</v>
      </c>
      <c r="AB2">
        <v>2531.39</v>
      </c>
      <c r="AC2">
        <v>2215.41</v>
      </c>
      <c r="AD2">
        <v>0</v>
      </c>
      <c r="AE2">
        <v>2153.12</v>
      </c>
      <c r="AF2">
        <v>2061.62</v>
      </c>
      <c r="AG2">
        <v>2307.94</v>
      </c>
      <c r="AH2">
        <v>2312.17</v>
      </c>
      <c r="AI2">
        <v>2071.09</v>
      </c>
      <c r="AJ2">
        <v>0</v>
      </c>
      <c r="AK2">
        <v>1</v>
      </c>
      <c r="AL2">
        <v>1</v>
      </c>
      <c r="AM2">
        <v>1</v>
      </c>
      <c r="AN2">
        <v>1</v>
      </c>
      <c r="AO2">
        <v>1</v>
      </c>
      <c r="AP2">
        <v>0</v>
      </c>
    </row>
    <row r="3" spans="1:42">
      <c r="A3">
        <v>18.788</v>
      </c>
      <c r="B3">
        <v>25.411</v>
      </c>
      <c r="C3">
        <v>27.13</v>
      </c>
      <c r="D3">
        <v>110.793333333333</v>
      </c>
      <c r="E3">
        <v>0</v>
      </c>
      <c r="F3">
        <v>0</v>
      </c>
      <c r="G3">
        <v>2212.046</v>
      </c>
      <c r="H3">
        <v>2195.739</v>
      </c>
      <c r="I3">
        <v>2216.662</v>
      </c>
      <c r="J3">
        <v>2263.59</v>
      </c>
      <c r="K3">
        <v>0</v>
      </c>
      <c r="L3">
        <v>0</v>
      </c>
      <c r="M3">
        <v>22.47</v>
      </c>
      <c r="N3">
        <v>31.92</v>
      </c>
      <c r="O3">
        <v>43.93</v>
      </c>
      <c r="P3">
        <v>190.51</v>
      </c>
      <c r="Q3">
        <v>0</v>
      </c>
      <c r="R3">
        <v>0</v>
      </c>
      <c r="S3">
        <v>14.24</v>
      </c>
      <c r="T3">
        <v>19.32</v>
      </c>
      <c r="U3">
        <v>17.58</v>
      </c>
      <c r="V3">
        <v>66.22</v>
      </c>
      <c r="W3">
        <v>0</v>
      </c>
      <c r="X3">
        <v>0</v>
      </c>
      <c r="Y3">
        <v>2358.8</v>
      </c>
      <c r="Z3">
        <v>2294.74</v>
      </c>
      <c r="AA3">
        <v>2290.85</v>
      </c>
      <c r="AB3">
        <v>2372.63</v>
      </c>
      <c r="AC3">
        <v>0</v>
      </c>
      <c r="AD3">
        <v>0</v>
      </c>
      <c r="AE3">
        <v>2096.11</v>
      </c>
      <c r="AF3">
        <v>2082.09</v>
      </c>
      <c r="AG3">
        <v>2158.41</v>
      </c>
      <c r="AH3">
        <v>2148.54</v>
      </c>
      <c r="AI3">
        <v>0</v>
      </c>
      <c r="AJ3">
        <v>0</v>
      </c>
      <c r="AK3">
        <v>1</v>
      </c>
      <c r="AL3">
        <v>1</v>
      </c>
      <c r="AM3">
        <v>1</v>
      </c>
      <c r="AN3">
        <v>0.9</v>
      </c>
      <c r="AO3">
        <v>0</v>
      </c>
      <c r="AP3">
        <v>0</v>
      </c>
    </row>
    <row r="4" spans="1:42">
      <c r="A4">
        <v>14.17</v>
      </c>
      <c r="B4">
        <v>14.299</v>
      </c>
      <c r="C4">
        <v>113.534</v>
      </c>
      <c r="D4">
        <v>263.91</v>
      </c>
      <c r="E4">
        <v>0</v>
      </c>
      <c r="F4">
        <v>0</v>
      </c>
      <c r="G4">
        <v>2044.962</v>
      </c>
      <c r="H4">
        <v>2215.415</v>
      </c>
      <c r="I4">
        <v>2036.156</v>
      </c>
      <c r="J4">
        <v>2009.94</v>
      </c>
      <c r="K4">
        <v>0</v>
      </c>
      <c r="L4">
        <v>0</v>
      </c>
      <c r="M4">
        <v>14.62</v>
      </c>
      <c r="N4">
        <v>14.75</v>
      </c>
      <c r="O4">
        <v>250.82</v>
      </c>
      <c r="P4">
        <v>263.91</v>
      </c>
      <c r="Q4">
        <v>0</v>
      </c>
      <c r="R4">
        <v>0</v>
      </c>
      <c r="S4">
        <v>13.64</v>
      </c>
      <c r="T4">
        <v>13.8</v>
      </c>
      <c r="U4">
        <v>18.16</v>
      </c>
      <c r="V4">
        <v>263.91</v>
      </c>
      <c r="W4">
        <v>0</v>
      </c>
      <c r="X4">
        <v>0</v>
      </c>
      <c r="Y4">
        <v>2185.73</v>
      </c>
      <c r="Z4">
        <v>2281.95</v>
      </c>
      <c r="AA4">
        <v>2132.81</v>
      </c>
      <c r="AB4">
        <v>2009.94</v>
      </c>
      <c r="AC4">
        <v>0</v>
      </c>
      <c r="AD4">
        <v>0</v>
      </c>
      <c r="AE4">
        <v>1991.44</v>
      </c>
      <c r="AF4">
        <v>2130.25</v>
      </c>
      <c r="AG4">
        <v>1936.69</v>
      </c>
      <c r="AH4">
        <v>2009.94</v>
      </c>
      <c r="AI4">
        <v>0</v>
      </c>
      <c r="AJ4">
        <v>0</v>
      </c>
      <c r="AK4">
        <v>1</v>
      </c>
      <c r="AL4">
        <v>1</v>
      </c>
      <c r="AM4">
        <v>0.9</v>
      </c>
      <c r="AN4">
        <v>0</v>
      </c>
      <c r="AO4">
        <v>0</v>
      </c>
      <c r="AP4">
        <v>0</v>
      </c>
    </row>
    <row r="5" spans="1:42">
      <c r="A5">
        <v>13.558</v>
      </c>
      <c r="B5">
        <v>13.393</v>
      </c>
      <c r="C5">
        <v>78.5533333333333</v>
      </c>
      <c r="D5">
        <v>0</v>
      </c>
      <c r="E5">
        <v>0</v>
      </c>
      <c r="F5">
        <v>0</v>
      </c>
      <c r="G5">
        <v>1778.048</v>
      </c>
      <c r="H5">
        <v>1895.616</v>
      </c>
      <c r="I5">
        <v>1821.65444444444</v>
      </c>
      <c r="J5">
        <v>0</v>
      </c>
      <c r="K5">
        <v>0</v>
      </c>
      <c r="L5">
        <v>0</v>
      </c>
      <c r="M5">
        <v>13.94</v>
      </c>
      <c r="N5">
        <v>13.8</v>
      </c>
      <c r="O5">
        <v>405.16</v>
      </c>
      <c r="P5">
        <v>0</v>
      </c>
      <c r="Q5">
        <v>0</v>
      </c>
      <c r="R5">
        <v>0</v>
      </c>
      <c r="S5">
        <v>13.08</v>
      </c>
      <c r="T5">
        <v>12.89</v>
      </c>
      <c r="U5">
        <v>14.25</v>
      </c>
      <c r="V5">
        <v>0</v>
      </c>
      <c r="W5">
        <v>0</v>
      </c>
      <c r="X5">
        <v>0</v>
      </c>
      <c r="Y5">
        <v>1844.14</v>
      </c>
      <c r="Z5">
        <v>1981.61</v>
      </c>
      <c r="AA5">
        <v>1873.84</v>
      </c>
      <c r="AB5">
        <v>0</v>
      </c>
      <c r="AC5">
        <v>0</v>
      </c>
      <c r="AD5">
        <v>0</v>
      </c>
      <c r="AE5">
        <v>1661.66</v>
      </c>
      <c r="AF5">
        <v>1812.88</v>
      </c>
      <c r="AG5">
        <v>1776.14</v>
      </c>
      <c r="AH5">
        <v>0</v>
      </c>
      <c r="AI5">
        <v>0</v>
      </c>
      <c r="AJ5">
        <v>0</v>
      </c>
      <c r="AK5">
        <v>1</v>
      </c>
      <c r="AL5">
        <v>1</v>
      </c>
      <c r="AM5">
        <v>0.8</v>
      </c>
      <c r="AN5">
        <v>0</v>
      </c>
      <c r="AO5">
        <v>0</v>
      </c>
      <c r="AP5">
        <v>0</v>
      </c>
    </row>
    <row r="6" spans="1:42">
      <c r="A6">
        <v>12.923</v>
      </c>
      <c r="B6">
        <v>12.672</v>
      </c>
      <c r="C6">
        <v>46.7011111111111</v>
      </c>
      <c r="D6">
        <v>0</v>
      </c>
      <c r="E6">
        <v>0</v>
      </c>
      <c r="F6">
        <v>0</v>
      </c>
      <c r="G6">
        <v>1581.165</v>
      </c>
      <c r="H6">
        <v>1619.894</v>
      </c>
      <c r="I6">
        <v>1617.77444444444</v>
      </c>
      <c r="J6">
        <v>0</v>
      </c>
      <c r="K6">
        <v>0</v>
      </c>
      <c r="L6">
        <v>0</v>
      </c>
      <c r="M6">
        <v>13.5</v>
      </c>
      <c r="N6">
        <v>13.27</v>
      </c>
      <c r="O6">
        <v>87.84</v>
      </c>
      <c r="P6">
        <v>0</v>
      </c>
      <c r="Q6">
        <v>0</v>
      </c>
      <c r="R6">
        <v>0</v>
      </c>
      <c r="S6">
        <v>12.27</v>
      </c>
      <c r="T6">
        <v>12.02</v>
      </c>
      <c r="U6">
        <v>16.28</v>
      </c>
      <c r="V6">
        <v>0</v>
      </c>
      <c r="W6">
        <v>0</v>
      </c>
      <c r="X6">
        <v>0</v>
      </c>
      <c r="Y6">
        <v>1732.04</v>
      </c>
      <c r="Z6">
        <v>1689.31</v>
      </c>
      <c r="AA6">
        <v>1717.57</v>
      </c>
      <c r="AB6">
        <v>0</v>
      </c>
      <c r="AC6">
        <v>0</v>
      </c>
      <c r="AD6">
        <v>0</v>
      </c>
      <c r="AE6">
        <v>1456.05</v>
      </c>
      <c r="AF6">
        <v>1529.92</v>
      </c>
      <c r="AG6">
        <v>1543.39</v>
      </c>
      <c r="AH6">
        <v>0</v>
      </c>
      <c r="AI6">
        <v>0</v>
      </c>
      <c r="AJ6">
        <v>0</v>
      </c>
      <c r="AK6">
        <v>1</v>
      </c>
      <c r="AL6">
        <v>1</v>
      </c>
      <c r="AM6">
        <v>0.9</v>
      </c>
      <c r="AN6">
        <v>0</v>
      </c>
      <c r="AO6">
        <v>0</v>
      </c>
      <c r="AP6">
        <v>0</v>
      </c>
    </row>
    <row r="7" spans="1:42">
      <c r="A7">
        <v>12.102</v>
      </c>
      <c r="B7">
        <v>11.844</v>
      </c>
      <c r="C7">
        <v>73.95</v>
      </c>
      <c r="D7">
        <v>0</v>
      </c>
      <c r="E7">
        <v>0</v>
      </c>
      <c r="F7">
        <v>0</v>
      </c>
      <c r="G7">
        <v>1353.042</v>
      </c>
      <c r="H7">
        <v>1388.103</v>
      </c>
      <c r="I7">
        <v>1381.638</v>
      </c>
      <c r="J7">
        <v>0</v>
      </c>
      <c r="K7">
        <v>0</v>
      </c>
      <c r="L7">
        <v>0</v>
      </c>
      <c r="M7">
        <v>12.6</v>
      </c>
      <c r="N7">
        <v>12.33</v>
      </c>
      <c r="O7">
        <v>242.84</v>
      </c>
      <c r="P7">
        <v>0</v>
      </c>
      <c r="Q7">
        <v>0</v>
      </c>
      <c r="R7">
        <v>0</v>
      </c>
      <c r="S7">
        <v>11.74</v>
      </c>
      <c r="T7">
        <v>11.5</v>
      </c>
      <c r="U7">
        <v>16.09</v>
      </c>
      <c r="V7">
        <v>0</v>
      </c>
      <c r="W7">
        <v>0</v>
      </c>
      <c r="X7">
        <v>0</v>
      </c>
      <c r="Y7">
        <v>1451.92</v>
      </c>
      <c r="Z7">
        <v>1463.18</v>
      </c>
      <c r="AA7">
        <v>1441.77</v>
      </c>
      <c r="AB7">
        <v>0</v>
      </c>
      <c r="AC7">
        <v>0</v>
      </c>
      <c r="AD7">
        <v>0</v>
      </c>
      <c r="AE7">
        <v>1256.71</v>
      </c>
      <c r="AF7">
        <v>1336.82</v>
      </c>
      <c r="AG7">
        <v>1310.47</v>
      </c>
      <c r="AH7">
        <v>0</v>
      </c>
      <c r="AI7">
        <v>0</v>
      </c>
      <c r="AJ7">
        <v>0</v>
      </c>
      <c r="AK7">
        <v>1</v>
      </c>
      <c r="AL7">
        <v>1</v>
      </c>
      <c r="AM7">
        <v>0.9</v>
      </c>
      <c r="AN7">
        <v>0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2024-09-06T09:07:00Z</dcterms:created>
  <dcterms:modified xsi:type="dcterms:W3CDTF">2024-09-08T09:35:34Z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3FFEA3978C864695A14142990E5C6DA6_12</vt:lpwstr>
  </property>
  <property fmtid="{D5CDD505-2E9C-101B-9397-08002B2CF9AE}" pid="3" name="KSOProductBuildVer">
    <vt:lpwstr>2052-12.1.0.17827</vt:lpwstr>
  </property>
</Properties>
</file>