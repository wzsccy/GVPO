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<sst xmlns="http://schemas.openxmlformats.org/spreadsheetml/2006/main" count="432" uniqueCount="65">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</sst>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opLeftCell="S1" workbookViewId="0">
      <selection activeCell="U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130.01</v>
      </c>
      <c r="C2">
        <v>7008.59</v>
      </c>
      <c r="D2">
        <v>168.71</v>
      </c>
      <c r="E2">
        <v>6865.31</v>
      </c>
      <c r="F2">
        <v>143.99</v>
      </c>
      <c r="G2">
        <v>7938.03</v>
      </c>
      <c r="H2">
        <v>173.57</v>
      </c>
      <c r="I2">
        <v>7759.02</v>
      </c>
      <c r="J2">
        <v>133.92</v>
      </c>
      <c r="K2">
        <v>6925.09</v>
      </c>
      <c r="L2">
        <v>-1</v>
      </c>
      <c r="M2">
        <v>3517.14</v>
      </c>
    </row>
    <row r="3" spans="1:13">
      <c r="A3" t="s">
        <v>14</v>
      </c>
      <c r="B3">
        <v>133.32</v>
      </c>
      <c r="C3">
        <v>7219.92</v>
      </c>
      <c r="D3">
        <v>173.48</v>
      </c>
      <c r="E3">
        <v>7333.41</v>
      </c>
      <c r="F3">
        <v>143.27</v>
      </c>
      <c r="G3">
        <v>8212.16</v>
      </c>
      <c r="H3">
        <v>177.2</v>
      </c>
      <c r="I3">
        <v>8401.51</v>
      </c>
      <c r="J3">
        <v>143.73</v>
      </c>
      <c r="K3">
        <v>7164.34</v>
      </c>
      <c r="L3">
        <v>-1</v>
      </c>
      <c r="M3">
        <v>367.39</v>
      </c>
    </row>
    <row r="4" spans="1:13">
      <c r="A4" t="s">
        <v>15</v>
      </c>
      <c r="B4">
        <v>131.71</v>
      </c>
      <c r="C4">
        <v>7186.75</v>
      </c>
      <c r="D4">
        <v>170.88</v>
      </c>
      <c r="E4">
        <v>7181.39</v>
      </c>
      <c r="F4">
        <v>145.61</v>
      </c>
      <c r="G4">
        <v>8108.96</v>
      </c>
      <c r="H4">
        <v>174.96</v>
      </c>
      <c r="I4">
        <v>8188.45</v>
      </c>
      <c r="J4">
        <v>136.36</v>
      </c>
      <c r="K4">
        <v>7137.5</v>
      </c>
      <c r="L4">
        <v>531.88</v>
      </c>
      <c r="M4">
        <v>7340.76</v>
      </c>
    </row>
    <row r="5" spans="1:13">
      <c r="A5" t="s">
        <v>16</v>
      </c>
      <c r="B5">
        <v>130.61</v>
      </c>
      <c r="C5">
        <v>7136.7</v>
      </c>
      <c r="D5">
        <v>170.02</v>
      </c>
      <c r="E5">
        <v>7180.1</v>
      </c>
      <c r="F5">
        <v>145.26</v>
      </c>
      <c r="G5">
        <v>8025.79</v>
      </c>
      <c r="H5">
        <v>175.38</v>
      </c>
      <c r="I5">
        <v>8187.78</v>
      </c>
      <c r="J5">
        <v>140.07</v>
      </c>
      <c r="K5">
        <v>7080.13</v>
      </c>
      <c r="L5">
        <v>-1</v>
      </c>
      <c r="M5">
        <v>4754.73</v>
      </c>
    </row>
    <row r="6" spans="1:13">
      <c r="A6" t="s">
        <v>17</v>
      </c>
      <c r="B6">
        <v>129.14</v>
      </c>
      <c r="C6">
        <v>7087.22</v>
      </c>
      <c r="D6">
        <v>168.65</v>
      </c>
      <c r="E6">
        <v>7129.24</v>
      </c>
      <c r="F6">
        <v>137.65</v>
      </c>
      <c r="G6">
        <v>7970.42</v>
      </c>
      <c r="H6">
        <v>175.97</v>
      </c>
      <c r="I6">
        <v>8142.33</v>
      </c>
      <c r="J6">
        <v>270.59</v>
      </c>
      <c r="K6">
        <v>7034.57</v>
      </c>
      <c r="L6">
        <v>-1</v>
      </c>
      <c r="M6">
        <v>2102.88</v>
      </c>
    </row>
    <row r="7" spans="1:13">
      <c r="A7" t="s">
        <v>18</v>
      </c>
      <c r="B7">
        <v>129.72</v>
      </c>
      <c r="C7">
        <v>7184</v>
      </c>
      <c r="D7">
        <v>169.05</v>
      </c>
      <c r="E7">
        <v>7050.33</v>
      </c>
      <c r="F7">
        <v>143.08</v>
      </c>
      <c r="G7">
        <v>8017.63</v>
      </c>
      <c r="H7">
        <v>173.58</v>
      </c>
      <c r="I7">
        <v>7945.48</v>
      </c>
      <c r="J7">
        <v>133.49</v>
      </c>
      <c r="K7">
        <v>7137.25</v>
      </c>
      <c r="L7">
        <v>-1</v>
      </c>
      <c r="M7">
        <v>4053.08</v>
      </c>
    </row>
    <row r="8" spans="1:13">
      <c r="A8" t="s">
        <v>19</v>
      </c>
      <c r="B8">
        <v>127.92</v>
      </c>
      <c r="C8">
        <v>6954.46</v>
      </c>
      <c r="D8">
        <v>166.72</v>
      </c>
      <c r="E8">
        <v>6841.88</v>
      </c>
      <c r="F8">
        <v>138.86</v>
      </c>
      <c r="G8">
        <v>7802.9</v>
      </c>
      <c r="H8">
        <v>170.96</v>
      </c>
      <c r="I8">
        <v>7731.47</v>
      </c>
      <c r="J8">
        <v>136.52</v>
      </c>
      <c r="K8">
        <v>6882.58</v>
      </c>
      <c r="L8">
        <v>173.33</v>
      </c>
      <c r="M8">
        <v>6928.78</v>
      </c>
    </row>
    <row r="9" spans="1:13">
      <c r="A9" t="s">
        <v>20</v>
      </c>
      <c r="B9">
        <v>132.22</v>
      </c>
      <c r="C9">
        <v>7202.73</v>
      </c>
      <c r="D9">
        <v>171.2</v>
      </c>
      <c r="E9">
        <v>7088</v>
      </c>
      <c r="F9">
        <v>139.32</v>
      </c>
      <c r="G9">
        <v>8091.13</v>
      </c>
      <c r="H9">
        <v>179.09</v>
      </c>
      <c r="I9">
        <v>8061.5</v>
      </c>
      <c r="J9">
        <v>135.07</v>
      </c>
      <c r="K9">
        <v>7209.65</v>
      </c>
      <c r="L9">
        <v>-1</v>
      </c>
      <c r="M9">
        <v>2670.13</v>
      </c>
    </row>
    <row r="10" spans="1:13">
      <c r="A10" t="s">
        <v>21</v>
      </c>
      <c r="B10">
        <v>132.29</v>
      </c>
      <c r="C10">
        <v>6950.55</v>
      </c>
      <c r="D10">
        <v>171.13</v>
      </c>
      <c r="E10">
        <v>6933.17</v>
      </c>
      <c r="F10">
        <v>144.85</v>
      </c>
      <c r="G10">
        <v>7939.09</v>
      </c>
      <c r="H10">
        <v>176.22</v>
      </c>
      <c r="I10">
        <v>7916.84</v>
      </c>
      <c r="J10">
        <v>139.28</v>
      </c>
      <c r="K10">
        <v>6925.5</v>
      </c>
      <c r="L10">
        <v>536.27</v>
      </c>
      <c r="M10">
        <v>7019.36</v>
      </c>
    </row>
    <row r="11" spans="1:13">
      <c r="A11" t="s">
        <v>22</v>
      </c>
      <c r="B11">
        <v>131.71</v>
      </c>
      <c r="C11">
        <v>7127.8</v>
      </c>
      <c r="D11">
        <v>171.11</v>
      </c>
      <c r="E11">
        <v>7134.32</v>
      </c>
      <c r="F11">
        <v>146.1</v>
      </c>
      <c r="G11">
        <v>8005.07</v>
      </c>
      <c r="H11">
        <v>177.44</v>
      </c>
      <c r="I11">
        <v>8041.1</v>
      </c>
      <c r="J11">
        <v>135.69</v>
      </c>
      <c r="K11">
        <v>7072.06</v>
      </c>
      <c r="L11">
        <v>-1</v>
      </c>
      <c r="M11">
        <v>6799.81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130.865</v>
      </c>
      <c r="B14" s="4">
        <f>IFERROR(AVERAGEIF($D$2:$D$11,"&lt;&gt; -1"),0)</f>
        <v>170.095</v>
      </c>
      <c r="C14" s="4">
        <f>IFERROR(AVERAGEIF($F$2:$F$11,"&lt;&gt; -1"),0)</f>
        <v>142.799</v>
      </c>
      <c r="D14" s="4">
        <f>IFERROR(AVERAGEIF($H$2:$H$11,"&lt;&gt; -1"),0)</f>
        <v>175.437</v>
      </c>
      <c r="E14" s="4">
        <f>IFERROR(AVERAGEIF($J$2:$J$11,"&lt;&gt; -1"),0)</f>
        <v>150.472</v>
      </c>
      <c r="F14" s="4">
        <f>IFERROR(AVERAGEIF($L$2:$L$11,"&lt;&gt; -1"),0)</f>
        <v>413.826666666667</v>
      </c>
      <c r="G14" s="4">
        <f>IFERROR(AVERAGEIFS($C$2:$C$11,$B$2:$B$11,"&lt;&gt; -1"),0)</f>
        <v>7105.872</v>
      </c>
      <c r="H14" s="4">
        <f>IFERROR(AVERAGEIFS($E$2:$E$11,$D$2:$D$11,"&lt;&gt; -1"),0)</f>
        <v>7073.715</v>
      </c>
      <c r="I14" s="4">
        <f>IFERROR(AVERAGEIFS($G$2:$G$11,$F$2:$F$11,"&lt;&gt; -1"),0)</f>
        <v>8011.118</v>
      </c>
      <c r="J14" s="4">
        <f>IFERROR(AVERAGEIFS($I$2:$I$11,$H$2:$H$11,"&lt;&gt; -1"),0)</f>
        <v>8037.548</v>
      </c>
      <c r="K14" s="4">
        <f>IFERROR(AVERAGEIFS($K$2:$K$11,$J$2:$J$11,"&lt;&gt; -1"),0)</f>
        <v>7056.867</v>
      </c>
      <c r="L14" s="4">
        <f>IFERROR(AVERAGEIFS($M$2:$M$11,$L$2:$L$11,"&lt;&gt; -1"),0)</f>
        <v>7096.3</v>
      </c>
      <c r="M14" s="4">
        <f>IFERROR(_xlfn.MAXIFS($B$2:$B$11,$B$2:$B$11,"&lt;&gt; -1"),0)</f>
        <v>133.32</v>
      </c>
      <c r="N14" s="4">
        <f>IFERROR(_xlfn.MAXIFS($D$2:$D$11,$D$2:$D$11,"&lt;&gt;-1"),0)</f>
        <v>173.48</v>
      </c>
      <c r="O14" s="4">
        <f>IFERROR(_xlfn.MAXIFS($F$2:$F$11,$F$2:$F$11,"&lt;&gt; -1"),0)</f>
        <v>146.1</v>
      </c>
      <c r="P14" s="4">
        <f>IFERROR(_xlfn.MAXIFS($H$2:$H$11,$H$2:$H$11,"&lt;&gt; -1"),0)</f>
        <v>179.09</v>
      </c>
      <c r="Q14" s="4">
        <f>IFERROR(_xlfn.MAXIFS($J$2:$J$11,$J$2:$J$11,"&lt;&gt; -1"),0)</f>
        <v>270.59</v>
      </c>
      <c r="R14" s="4">
        <f>IFERROR(_xlfn.MAXIFS($L$2:$L$11,$L$2:$L$11,"&lt;&gt; -1"),0)</f>
        <v>536.27</v>
      </c>
      <c r="S14" s="4">
        <f>IFERROR(_xlfn.MINIFS($B$2:$B$11,$B$2:$B$11,"&lt;&gt; -1"),0)</f>
        <v>127.92</v>
      </c>
      <c r="T14" s="4">
        <f>IFERROR(_xlfn.MINIFS($D$2:$D$11,$D$2:$D$11,"&lt;&gt;-1"),0)</f>
        <v>166.72</v>
      </c>
      <c r="U14" s="4">
        <f>IFERROR(_xlfn.MINIFS($F$2:$F$11,$F$2:$F$11,"&lt;&gt; -1"),0)</f>
        <v>137.65</v>
      </c>
      <c r="V14" s="4">
        <f>IFERROR(_xlfn.MINIFS($H$2:$H$11,$H$2:$H$11,"&lt;&gt; -1"),0)</f>
        <v>170.96</v>
      </c>
      <c r="W14" s="4">
        <f>IFERROR(_xlfn.MINIFS($J$2:$J$11,$J$2:$J$11,"&lt;&gt; -1"),0)</f>
        <v>133.49</v>
      </c>
      <c r="X14" s="4">
        <f>IFERROR(_xlfn.MINIFS($L$2:$L$11,$L$2:$L$11,"&lt;&gt; -1"),0)</f>
        <v>173.33</v>
      </c>
      <c r="Y14" s="4">
        <f>IFERROR(_xlfn.MAXIFS($C$2:$C$11,$B$2:$B$11,"&lt;&gt; -1"),0)</f>
        <v>7219.92</v>
      </c>
      <c r="Z14" s="4">
        <f>IFERROR(_xlfn.MAXIFS($E$2:$E$11,$D$2:$D$11,"&lt;&gt; -1"),0)</f>
        <v>7333.41</v>
      </c>
      <c r="AA14" s="4">
        <f>IFERROR(_xlfn.MAXIFS($G$2:$G$11,$F$2:$F$11,"&lt;&gt; -1"),0)</f>
        <v>8212.16</v>
      </c>
      <c r="AB14" s="4">
        <f>IFERROR(_xlfn.MAXIFS($I$2:$I$11,$H$2:$H$11,"&lt;&gt; -1"),0)</f>
        <v>8401.51</v>
      </c>
      <c r="AC14" s="4">
        <f>IFERROR(_xlfn.MAXIFS($K$2:$K$11,$J$2:$J$11,"&lt;&gt; -1"),0)</f>
        <v>7209.65</v>
      </c>
      <c r="AD14" s="4">
        <f>IFERROR(_xlfn.MAXIFS($M$2:$M$11,$L$2:$L$11,"&lt;&gt; -1"),0)</f>
        <v>7340.76</v>
      </c>
      <c r="AE14" s="4">
        <f>IFERROR(_xlfn.MINIFS($C$2:$C$11,$B$2:$B$11,"&lt;&gt; -1"),0)</f>
        <v>6950.55</v>
      </c>
      <c r="AF14" s="4">
        <f>IFERROR(_xlfn.MINIFS($E$2:$E$11,$D$2:$D$11,"&lt;&gt; -1"),0)</f>
        <v>6841.88</v>
      </c>
      <c r="AG14" s="4">
        <f>IFERROR(_xlfn.MINIFS($G$2:$G$11,$F$2:$F$11,"&lt;&gt; -1"),0)</f>
        <v>7802.9</v>
      </c>
      <c r="AH14" s="4">
        <f>IFERROR(_xlfn.MINIFS($I$2:$I$11,$H$2:$H$11,"&lt;&gt; -1"),0)</f>
        <v>7731.47</v>
      </c>
      <c r="AI14" s="4">
        <f>IFERROR(_xlfn.MINIFS($K$2:$K$11,$J$2:$J$11,"&lt;&gt; -1"),0)</f>
        <v>6882.58</v>
      </c>
      <c r="AJ14" s="4">
        <f>IFERROR(_xlfn.MINIFS($M$2:$M$11,$L$2:$L$11,"&lt;&gt; -1"),0)</f>
        <v>6928.78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1</v>
      </c>
      <c r="AO14" s="4">
        <f>(COUNTIFS($J$2:$J$11,"&gt;0.0",$J$2:$J$11,"&lt;200.0"))/10</f>
        <v>0.9</v>
      </c>
      <c r="AP14" s="4">
        <f>(COUNTIFS($L$2:$L$11,"&gt;0.0",$L$2:$L$11,"&lt;200.0"))/10</f>
        <v>0.1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141.29</v>
      </c>
      <c r="C2">
        <v>7189.29</v>
      </c>
      <c r="D2">
        <v>179.71</v>
      </c>
      <c r="E2">
        <v>6943.37</v>
      </c>
      <c r="F2">
        <v>163.21</v>
      </c>
      <c r="G2">
        <v>7872.88</v>
      </c>
      <c r="H2">
        <v>205.46</v>
      </c>
      <c r="I2">
        <v>7789.12</v>
      </c>
      <c r="J2">
        <v>191.5</v>
      </c>
      <c r="K2">
        <v>7016.76</v>
      </c>
      <c r="L2">
        <v>-1</v>
      </c>
      <c r="M2">
        <v>0</v>
      </c>
    </row>
    <row r="3" spans="1:13">
      <c r="A3" t="s">
        <v>14</v>
      </c>
      <c r="B3">
        <v>148.44</v>
      </c>
      <c r="C3">
        <v>7376.4</v>
      </c>
      <c r="D3">
        <v>187.65</v>
      </c>
      <c r="E3">
        <v>7394.28</v>
      </c>
      <c r="F3">
        <v>167.1</v>
      </c>
      <c r="G3">
        <v>8182.82</v>
      </c>
      <c r="H3">
        <v>202.96</v>
      </c>
      <c r="I3">
        <v>8435.92</v>
      </c>
      <c r="J3">
        <v>-1</v>
      </c>
      <c r="K3">
        <v>591.8</v>
      </c>
      <c r="L3">
        <v>-1</v>
      </c>
      <c r="M3">
        <v>0</v>
      </c>
    </row>
    <row r="4" spans="1:13">
      <c r="A4" t="s">
        <v>15</v>
      </c>
      <c r="B4">
        <v>144.1</v>
      </c>
      <c r="C4">
        <v>7351.29</v>
      </c>
      <c r="D4">
        <v>182.8</v>
      </c>
      <c r="E4">
        <v>7126.84</v>
      </c>
      <c r="F4">
        <v>164.06</v>
      </c>
      <c r="G4">
        <v>8060.32</v>
      </c>
      <c r="H4">
        <v>232.75</v>
      </c>
      <c r="I4">
        <v>8019.71</v>
      </c>
      <c r="J4">
        <v>-1</v>
      </c>
      <c r="K4">
        <v>472.4</v>
      </c>
      <c r="L4">
        <v>-1</v>
      </c>
      <c r="M4">
        <v>0</v>
      </c>
    </row>
    <row r="5" spans="1:13">
      <c r="A5" t="s">
        <v>16</v>
      </c>
      <c r="B5">
        <v>145.19</v>
      </c>
      <c r="C5">
        <v>7262.65</v>
      </c>
      <c r="D5">
        <v>184.72</v>
      </c>
      <c r="E5">
        <v>7280.77</v>
      </c>
      <c r="F5">
        <v>165.52</v>
      </c>
      <c r="G5">
        <v>8051.02</v>
      </c>
      <c r="H5">
        <v>343.07</v>
      </c>
      <c r="I5">
        <v>8233.91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141.55</v>
      </c>
      <c r="C6">
        <v>6963.42</v>
      </c>
      <c r="D6">
        <v>181.9</v>
      </c>
      <c r="E6">
        <v>7121.96</v>
      </c>
      <c r="F6">
        <v>146.76</v>
      </c>
      <c r="G6">
        <v>7925.95</v>
      </c>
      <c r="H6">
        <v>259.33</v>
      </c>
      <c r="I6">
        <v>8072.55</v>
      </c>
      <c r="J6">
        <v>143.7</v>
      </c>
      <c r="K6">
        <v>6930.26</v>
      </c>
      <c r="L6">
        <v>-1</v>
      </c>
      <c r="M6">
        <v>0</v>
      </c>
    </row>
    <row r="7" spans="1:13">
      <c r="A7" t="s">
        <v>18</v>
      </c>
      <c r="B7">
        <v>146.16</v>
      </c>
      <c r="C7">
        <v>7202.03</v>
      </c>
      <c r="D7">
        <v>185.07</v>
      </c>
      <c r="E7">
        <v>7146.08</v>
      </c>
      <c r="F7">
        <v>169.41</v>
      </c>
      <c r="G7">
        <v>7947.39</v>
      </c>
      <c r="H7">
        <v>317.5</v>
      </c>
      <c r="I7">
        <v>7972.66</v>
      </c>
      <c r="J7">
        <v>158.52</v>
      </c>
      <c r="K7">
        <v>7084.19</v>
      </c>
      <c r="L7">
        <v>-1</v>
      </c>
      <c r="M7">
        <v>0</v>
      </c>
    </row>
    <row r="8" spans="1:13">
      <c r="A8" t="s">
        <v>19</v>
      </c>
      <c r="B8">
        <v>136.55</v>
      </c>
      <c r="C8">
        <v>7345.52</v>
      </c>
      <c r="D8">
        <v>174.38</v>
      </c>
      <c r="E8">
        <v>6953.97</v>
      </c>
      <c r="F8">
        <v>160.75</v>
      </c>
      <c r="G8">
        <v>7986.98</v>
      </c>
      <c r="H8">
        <v>222.03</v>
      </c>
      <c r="I8">
        <v>7795.35</v>
      </c>
      <c r="J8">
        <v>242.87</v>
      </c>
      <c r="K8">
        <v>7215.06</v>
      </c>
      <c r="L8">
        <v>-1</v>
      </c>
      <c r="M8">
        <v>0</v>
      </c>
    </row>
    <row r="9" spans="1:13">
      <c r="A9" t="s">
        <v>20</v>
      </c>
      <c r="B9">
        <v>140.95</v>
      </c>
      <c r="C9">
        <v>7261.49</v>
      </c>
      <c r="D9">
        <v>178.33</v>
      </c>
      <c r="E9">
        <v>7236</v>
      </c>
      <c r="F9">
        <v>163.62</v>
      </c>
      <c r="G9">
        <v>7900.01</v>
      </c>
      <c r="H9">
        <v>264.2</v>
      </c>
      <c r="I9">
        <v>8135.38</v>
      </c>
      <c r="J9">
        <v>-1</v>
      </c>
      <c r="K9">
        <v>531.42</v>
      </c>
      <c r="L9">
        <v>-1</v>
      </c>
      <c r="M9">
        <v>0</v>
      </c>
    </row>
    <row r="10" spans="1:13">
      <c r="A10" t="s">
        <v>21</v>
      </c>
      <c r="B10">
        <v>144.21</v>
      </c>
      <c r="C10">
        <v>7379.16</v>
      </c>
      <c r="D10">
        <v>183.18</v>
      </c>
      <c r="E10">
        <v>6965.11</v>
      </c>
      <c r="F10">
        <v>161.96</v>
      </c>
      <c r="G10">
        <v>8226.74</v>
      </c>
      <c r="H10">
        <v>217.86</v>
      </c>
      <c r="I10">
        <v>7909.07</v>
      </c>
      <c r="J10">
        <v>174.33</v>
      </c>
      <c r="K10">
        <v>7222.75</v>
      </c>
      <c r="L10">
        <v>-1</v>
      </c>
      <c r="M10">
        <v>0</v>
      </c>
    </row>
    <row r="11" spans="1:13">
      <c r="A11" t="s">
        <v>22</v>
      </c>
      <c r="B11">
        <v>142.95</v>
      </c>
      <c r="C11">
        <v>7067.28</v>
      </c>
      <c r="D11">
        <v>182.2</v>
      </c>
      <c r="E11">
        <v>7036.52</v>
      </c>
      <c r="F11">
        <v>157.26</v>
      </c>
      <c r="G11">
        <v>7848.99</v>
      </c>
      <c r="H11">
        <v>248.33</v>
      </c>
      <c r="I11">
        <v>7923</v>
      </c>
      <c r="J11">
        <v>152.64</v>
      </c>
      <c r="K11">
        <v>6965.13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143.139</v>
      </c>
      <c r="B14" s="4">
        <f>IFERROR(AVERAGEIF($D$2:$D$11,"&lt;&gt; -1"),0)</f>
        <v>181.994</v>
      </c>
      <c r="C14" s="4">
        <f>IFERROR(AVERAGEIF($F$2:$F$11,"&lt;&gt; -1"),0)</f>
        <v>161.965</v>
      </c>
      <c r="D14" s="4">
        <f>IFERROR(AVERAGEIF($H$2:$H$11,"&lt;&gt; -1"),0)</f>
        <v>251.349</v>
      </c>
      <c r="E14" s="4">
        <f>IFERROR(AVERAGEIF($J$2:$J$11,"&lt;&gt; -1"),0)</f>
        <v>177.26</v>
      </c>
      <c r="F14" s="4">
        <f>IFERROR(AVERAGEIF($L$2:$L$11,"&lt;&gt; -1"),0)</f>
        <v>0</v>
      </c>
      <c r="G14" s="4">
        <f>IFERROR(AVERAGEIFS($C$2:$C$11,$B$2:$B$11,"&lt;&gt; -1"),0)</f>
        <v>7239.853</v>
      </c>
      <c r="H14" s="4">
        <f>IFERROR(AVERAGEIFS($E$2:$E$11,$D$2:$D$11,"&lt;&gt; -1"),0)</f>
        <v>7120.49</v>
      </c>
      <c r="I14" s="4">
        <f>IFERROR(AVERAGEIFS($G$2:$G$11,$F$2:$F$11,"&lt;&gt; -1"),0)</f>
        <v>8000.31</v>
      </c>
      <c r="J14" s="4">
        <f>IFERROR(AVERAGEIFS($I$2:$I$11,$H$2:$H$11,"&lt;&gt; -1"),0)</f>
        <v>8028.667</v>
      </c>
      <c r="K14" s="4">
        <f>IFERROR(AVERAGEIFS($K$2:$K$11,$J$2:$J$11,"&lt;&gt; -1"),0)</f>
        <v>7072.35833333333</v>
      </c>
      <c r="L14" s="4">
        <f>IFERROR(AVERAGEIFS($M$2:$M$11,$L$2:$L$11,"&lt;&gt; -1"),0)</f>
        <v>0</v>
      </c>
      <c r="M14" s="4">
        <f>IFERROR(_xlfn.MAXIFS($B$2:$B$11,$B$2:$B$11,"&lt;&gt; -1"),0)</f>
        <v>148.44</v>
      </c>
      <c r="N14" s="4">
        <f>IFERROR(_xlfn.MAXIFS($D$2:$D$11,$D$2:$D$11,"&lt;&gt;-1"),0)</f>
        <v>187.65</v>
      </c>
      <c r="O14" s="4">
        <f>IFERROR(_xlfn.MAXIFS($F$2:$F$11,$F$2:$F$11,"&lt;&gt; -1"),0)</f>
        <v>169.41</v>
      </c>
      <c r="P14" s="4">
        <f>IFERROR(_xlfn.MAXIFS($H$2:$H$11,$H$2:$H$11,"&lt;&gt; -1"),0)</f>
        <v>343.07</v>
      </c>
      <c r="Q14" s="4">
        <f>IFERROR(_xlfn.MAXIFS($J$2:$J$11,$J$2:$J$11,"&lt;&gt; -1"),0)</f>
        <v>242.87</v>
      </c>
      <c r="R14" s="4">
        <f>IFERROR(_xlfn.MAXIFS($L$2:$L$11,$L$2:$L$11,"&lt;&gt; -1"),0)</f>
        <v>0</v>
      </c>
      <c r="S14" s="4">
        <f>IFERROR(_xlfn.MINIFS($B$2:$B$11,$B$2:$B$11,"&lt;&gt; -1"),0)</f>
        <v>136.55</v>
      </c>
      <c r="T14" s="4">
        <f>IFERROR(_xlfn.MINIFS($D$2:$D$11,$D$2:$D$11,"&lt;&gt;-1"),0)</f>
        <v>174.38</v>
      </c>
      <c r="U14" s="4">
        <f>IFERROR(_xlfn.MINIFS($F$2:$F$11,$F$2:$F$11,"&lt;&gt; -1"),0)</f>
        <v>146.76</v>
      </c>
      <c r="V14" s="4">
        <f>IFERROR(_xlfn.MINIFS($H$2:$H$11,$H$2:$H$11,"&lt;&gt; -1"),0)</f>
        <v>202.96</v>
      </c>
      <c r="W14" s="4">
        <f>IFERROR(_xlfn.MINIFS($J$2:$J$11,$J$2:$J$11,"&lt;&gt; -1"),0)</f>
        <v>143.7</v>
      </c>
      <c r="X14" s="4">
        <f>IFERROR(_xlfn.MINIFS($L$2:$L$11,$L$2:$L$11,"&lt;&gt; -1"),0)</f>
        <v>0</v>
      </c>
      <c r="Y14" s="4">
        <f>IFERROR(_xlfn.MAXIFS($C$2:$C$11,$B$2:$B$11,"&lt;&gt; -1"),0)</f>
        <v>7379.16</v>
      </c>
      <c r="Z14" s="4">
        <f>IFERROR(_xlfn.MAXIFS($E$2:$E$11,$D$2:$D$11,"&lt;&gt; -1"),0)</f>
        <v>7394.28</v>
      </c>
      <c r="AA14" s="4">
        <f>IFERROR(_xlfn.MAXIFS($G$2:$G$11,$F$2:$F$11,"&lt;&gt; -1"),0)</f>
        <v>8226.74</v>
      </c>
      <c r="AB14" s="4">
        <f>IFERROR(_xlfn.MAXIFS($I$2:$I$11,$H$2:$H$11,"&lt;&gt; -1"),0)</f>
        <v>8435.92</v>
      </c>
      <c r="AC14" s="4">
        <f>IFERROR(_xlfn.MAXIFS($K$2:$K$11,$J$2:$J$11,"&lt;&gt; -1"),0)</f>
        <v>7222.75</v>
      </c>
      <c r="AD14" s="4">
        <f>IFERROR(_xlfn.MAXIFS($M$2:$M$11,$L$2:$L$11,"&lt;&gt; -1"),0)</f>
        <v>0</v>
      </c>
      <c r="AE14" s="4">
        <f>IFERROR(_xlfn.MINIFS($C$2:$C$11,$B$2:$B$11,"&lt;&gt; -1"),0)</f>
        <v>6963.42</v>
      </c>
      <c r="AF14" s="4">
        <f>IFERROR(_xlfn.MINIFS($E$2:$E$11,$D$2:$D$11,"&lt;&gt; -1"),0)</f>
        <v>6943.37</v>
      </c>
      <c r="AG14" s="4">
        <f>IFERROR(_xlfn.MINIFS($G$2:$G$11,$F$2:$F$11,"&lt;&gt; -1"),0)</f>
        <v>7848.99</v>
      </c>
      <c r="AH14" s="4">
        <f>IFERROR(_xlfn.MINIFS($I$2:$I$11,$H$2:$H$11,"&lt;&gt; -1"),0)</f>
        <v>7789.12</v>
      </c>
      <c r="AI14" s="4">
        <f>IFERROR(_xlfn.MINIFS($K$2:$K$11,$J$2:$J$11,"&lt;&gt; -1"),0)</f>
        <v>6930.26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0</v>
      </c>
      <c r="AO14" s="4">
        <f>(COUNTIFS($J$2:$J$11,"&gt;0.0",$J$2:$J$11,"&lt;200.0"))/10</f>
        <v>0.5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153.62</v>
      </c>
      <c r="C2">
        <v>7284.77</v>
      </c>
      <c r="D2">
        <v>190.59</v>
      </c>
      <c r="E2">
        <v>7035.45</v>
      </c>
      <c r="F2">
        <v>227.66</v>
      </c>
      <c r="G2">
        <v>7914.24</v>
      </c>
      <c r="H2">
        <v>-1</v>
      </c>
      <c r="I2">
        <v>1192.71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158.74</v>
      </c>
      <c r="C3">
        <v>7238.55</v>
      </c>
      <c r="D3">
        <v>196.84</v>
      </c>
      <c r="E3">
        <v>7609.31</v>
      </c>
      <c r="F3">
        <v>172.5</v>
      </c>
      <c r="G3">
        <v>8159.18</v>
      </c>
      <c r="H3">
        <v>-1</v>
      </c>
      <c r="I3">
        <v>3861.96</v>
      </c>
      <c r="J3">
        <v>174.66</v>
      </c>
      <c r="K3">
        <v>7093.83</v>
      </c>
      <c r="L3">
        <v>-1</v>
      </c>
      <c r="M3">
        <v>0</v>
      </c>
    </row>
    <row r="4" spans="1:13">
      <c r="A4" t="s">
        <v>15</v>
      </c>
      <c r="B4">
        <v>155.05</v>
      </c>
      <c r="C4">
        <v>7459.58</v>
      </c>
      <c r="D4">
        <v>191.9</v>
      </c>
      <c r="E4">
        <v>7353.51</v>
      </c>
      <c r="F4">
        <v>175.78</v>
      </c>
      <c r="G4">
        <v>8212.33</v>
      </c>
      <c r="H4">
        <v>-1</v>
      </c>
      <c r="I4">
        <v>1320.31</v>
      </c>
      <c r="J4">
        <v>188.11</v>
      </c>
      <c r="K4">
        <v>7332.72</v>
      </c>
      <c r="L4">
        <v>-1</v>
      </c>
      <c r="M4">
        <v>0</v>
      </c>
    </row>
    <row r="5" spans="1:13">
      <c r="A5" t="s">
        <v>16</v>
      </c>
      <c r="B5">
        <v>159.23</v>
      </c>
      <c r="C5">
        <v>7256.25</v>
      </c>
      <c r="D5">
        <v>197.46</v>
      </c>
      <c r="E5">
        <v>7462.2</v>
      </c>
      <c r="F5">
        <v>175.24</v>
      </c>
      <c r="G5">
        <v>8153.68</v>
      </c>
      <c r="H5">
        <v>-1</v>
      </c>
      <c r="I5">
        <v>2429.2</v>
      </c>
      <c r="J5">
        <v>166.46</v>
      </c>
      <c r="K5">
        <v>7159.94</v>
      </c>
      <c r="L5">
        <v>-1</v>
      </c>
      <c r="M5">
        <v>0</v>
      </c>
    </row>
    <row r="6" spans="1:13">
      <c r="A6" t="s">
        <v>17</v>
      </c>
      <c r="B6">
        <v>156.21</v>
      </c>
      <c r="C6">
        <v>7540.45</v>
      </c>
      <c r="D6">
        <v>193.1</v>
      </c>
      <c r="E6">
        <v>7447.07</v>
      </c>
      <c r="F6">
        <v>201.46</v>
      </c>
      <c r="G6">
        <v>8039.24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154.79</v>
      </c>
      <c r="C7">
        <v>6970.93</v>
      </c>
      <c r="D7">
        <v>193.33</v>
      </c>
      <c r="E7">
        <v>7331.97</v>
      </c>
      <c r="F7">
        <v>166.24</v>
      </c>
      <c r="G7">
        <v>7779.27</v>
      </c>
      <c r="H7">
        <v>-1</v>
      </c>
      <c r="I7">
        <v>0</v>
      </c>
      <c r="J7">
        <v>162.18</v>
      </c>
      <c r="K7">
        <v>6917.12</v>
      </c>
      <c r="L7">
        <v>-1</v>
      </c>
      <c r="M7">
        <v>0</v>
      </c>
    </row>
    <row r="8" spans="1:13">
      <c r="A8" t="s">
        <v>19</v>
      </c>
      <c r="B8">
        <v>154.23</v>
      </c>
      <c r="C8">
        <v>7233.72</v>
      </c>
      <c r="D8">
        <v>192.16</v>
      </c>
      <c r="E8">
        <v>7282.44</v>
      </c>
      <c r="F8">
        <v>187.51</v>
      </c>
      <c r="G8">
        <v>7851.54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161.62</v>
      </c>
      <c r="C9">
        <v>7391.72</v>
      </c>
      <c r="D9">
        <v>200.36</v>
      </c>
      <c r="E9">
        <v>7469.69</v>
      </c>
      <c r="F9">
        <v>181.98</v>
      </c>
      <c r="G9">
        <v>8120.35</v>
      </c>
      <c r="H9">
        <v>-1</v>
      </c>
      <c r="I9">
        <v>2536.13</v>
      </c>
      <c r="J9">
        <v>-1</v>
      </c>
      <c r="K9">
        <v>558.43</v>
      </c>
      <c r="L9">
        <v>-1</v>
      </c>
      <c r="M9">
        <v>0</v>
      </c>
    </row>
    <row r="10" spans="1:13">
      <c r="A10" t="s">
        <v>21</v>
      </c>
      <c r="B10">
        <v>160.35</v>
      </c>
      <c r="C10">
        <v>7265.51</v>
      </c>
      <c r="D10">
        <v>199.59</v>
      </c>
      <c r="E10">
        <v>7041.79</v>
      </c>
      <c r="F10">
        <v>179.88</v>
      </c>
      <c r="G10">
        <v>8078.27</v>
      </c>
      <c r="H10">
        <v>-1</v>
      </c>
      <c r="I10">
        <v>0</v>
      </c>
      <c r="J10">
        <v>194.42</v>
      </c>
      <c r="K10">
        <v>7108.11</v>
      </c>
      <c r="L10">
        <v>-1</v>
      </c>
      <c r="M10">
        <v>0</v>
      </c>
    </row>
    <row r="11" spans="1:13">
      <c r="A11" t="s">
        <v>22</v>
      </c>
      <c r="B11">
        <v>161.06</v>
      </c>
      <c r="C11">
        <v>7313.4</v>
      </c>
      <c r="D11">
        <v>200.47</v>
      </c>
      <c r="E11">
        <v>7495.38</v>
      </c>
      <c r="F11">
        <v>174.55</v>
      </c>
      <c r="G11">
        <v>8205.63</v>
      </c>
      <c r="H11">
        <v>-1</v>
      </c>
      <c r="I11">
        <v>3721.21</v>
      </c>
      <c r="J11">
        <v>168.82</v>
      </c>
      <c r="K11">
        <v>7244.6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157.49</v>
      </c>
      <c r="B14" s="4">
        <f>IFERROR(AVERAGEIF($D$2:$D$11,"&lt;&gt; -1"),0)</f>
        <v>195.58</v>
      </c>
      <c r="C14" s="4">
        <f>IFERROR(AVERAGEIF($F$2:$F$11,"&lt;&gt; -1"),0)</f>
        <v>184.28</v>
      </c>
      <c r="D14" s="4">
        <f>IFERROR(AVERAGEIF($H$2:$H$11,"&lt;&gt; -1"),0)</f>
        <v>0</v>
      </c>
      <c r="E14" s="4">
        <f>IFERROR(AVERAGEIF($J$2:$J$11,"&lt;&gt; -1"),0)</f>
        <v>175.775</v>
      </c>
      <c r="F14" s="4">
        <f>IFERROR(AVERAGEIF($L$2:$L$11,"&lt;&gt; -1"),0)</f>
        <v>0</v>
      </c>
      <c r="G14" s="4">
        <f>IFERROR(AVERAGEIFS($C$2:$C$11,$B$2:$B$11,"&lt;&gt; -1"),0)</f>
        <v>7295.488</v>
      </c>
      <c r="H14" s="4">
        <f>IFERROR(AVERAGEIFS($E$2:$E$11,$D$2:$D$11,"&lt;&gt; -1"),0)</f>
        <v>7352.881</v>
      </c>
      <c r="I14" s="4">
        <f>IFERROR(AVERAGEIFS($G$2:$G$11,$F$2:$F$11,"&lt;&gt; -1"),0)</f>
        <v>8051.373</v>
      </c>
      <c r="J14" s="4">
        <f>IFERROR(AVERAGEIFS($I$2:$I$11,$H$2:$H$11,"&lt;&gt; -1"),0)</f>
        <v>0</v>
      </c>
      <c r="K14" s="4">
        <f>IFERROR(AVERAGEIFS($K$2:$K$11,$J$2:$J$11,"&lt;&gt; -1"),0)</f>
        <v>7142.72</v>
      </c>
      <c r="L14" s="4">
        <f>IFERROR(AVERAGEIFS($M$2:$M$11,$L$2:$L$11,"&lt;&gt; -1"),0)</f>
        <v>0</v>
      </c>
      <c r="M14" s="4">
        <f>IFERROR(_xlfn.MAXIFS($B$2:$B$11,$B$2:$B$11,"&lt;&gt; -1"),0)</f>
        <v>161.62</v>
      </c>
      <c r="N14" s="4">
        <f>IFERROR(_xlfn.MAXIFS($D$2:$D$11,$D$2:$D$11,"&lt;&gt;-1"),0)</f>
        <v>200.47</v>
      </c>
      <c r="O14" s="4">
        <f>IFERROR(_xlfn.MAXIFS($F$2:$F$11,$F$2:$F$11,"&lt;&gt; -1"),0)</f>
        <v>227.66</v>
      </c>
      <c r="P14" s="4">
        <f>IFERROR(_xlfn.MAXIFS($H$2:$H$11,$H$2:$H$11,"&lt;&gt; -1"),0)</f>
        <v>0</v>
      </c>
      <c r="Q14" s="4">
        <f>IFERROR(_xlfn.MAXIFS($J$2:$J$11,$J$2:$J$11,"&lt;&gt; -1"),0)</f>
        <v>194.42</v>
      </c>
      <c r="R14" s="4">
        <f>IFERROR(_xlfn.MAXIFS($L$2:$L$11,$L$2:$L$11,"&lt;&gt; -1"),0)</f>
        <v>0</v>
      </c>
      <c r="S14" s="4">
        <f>IFERROR(_xlfn.MINIFS($B$2:$B$11,$B$2:$B$11,"&lt;&gt; -1"),0)</f>
        <v>153.62</v>
      </c>
      <c r="T14" s="4">
        <f>IFERROR(_xlfn.MINIFS($D$2:$D$11,$D$2:$D$11,"&lt;&gt;-1"),0)</f>
        <v>190.59</v>
      </c>
      <c r="U14" s="4">
        <f>IFERROR(_xlfn.MINIFS($F$2:$F$11,$F$2:$F$11,"&lt;&gt; -1"),0)</f>
        <v>166.24</v>
      </c>
      <c r="V14" s="4">
        <f>IFERROR(_xlfn.MINIFS($H$2:$H$11,$H$2:$H$11,"&lt;&gt; -1"),0)</f>
        <v>0</v>
      </c>
      <c r="W14" s="4">
        <f>IFERROR(_xlfn.MINIFS($J$2:$J$11,$J$2:$J$11,"&lt;&gt; -1"),0)</f>
        <v>162.18</v>
      </c>
      <c r="X14" s="4">
        <f>IFERROR(_xlfn.MINIFS($L$2:$L$11,$L$2:$L$11,"&lt;&gt; -1"),0)</f>
        <v>0</v>
      </c>
      <c r="Y14" s="4">
        <f>IFERROR(_xlfn.MAXIFS($C$2:$C$11,$B$2:$B$11,"&lt;&gt; -1"),0)</f>
        <v>7540.45</v>
      </c>
      <c r="Z14" s="4">
        <f>IFERROR(_xlfn.MAXIFS($E$2:$E$11,$D$2:$D$11,"&lt;&gt; -1"),0)</f>
        <v>7609.31</v>
      </c>
      <c r="AA14" s="4">
        <f>IFERROR(_xlfn.MAXIFS($G$2:$G$11,$F$2:$F$11,"&lt;&gt; -1"),0)</f>
        <v>8212.33</v>
      </c>
      <c r="AB14" s="4">
        <f>IFERROR(_xlfn.MAXIFS($I$2:$I$11,$H$2:$H$11,"&lt;&gt; -1"),0)</f>
        <v>0</v>
      </c>
      <c r="AC14" s="4">
        <f>IFERROR(_xlfn.MAXIFS($K$2:$K$11,$J$2:$J$11,"&lt;&gt; -1"),0)</f>
        <v>7332.72</v>
      </c>
      <c r="AD14" s="4">
        <f>IFERROR(_xlfn.MAXIFS($M$2:$M$11,$L$2:$L$11,"&lt;&gt; -1"),0)</f>
        <v>0</v>
      </c>
      <c r="AE14" s="4">
        <f>IFERROR(_xlfn.MINIFS($C$2:$C$11,$B$2:$B$11,"&lt;&gt; -1"),0)</f>
        <v>6970.93</v>
      </c>
      <c r="AF14" s="4">
        <f>IFERROR(_xlfn.MINIFS($E$2:$E$11,$D$2:$D$11,"&lt;&gt; -1"),0)</f>
        <v>7035.45</v>
      </c>
      <c r="AG14" s="4">
        <f>IFERROR(_xlfn.MINIFS($G$2:$G$11,$F$2:$F$11,"&lt;&gt; -1"),0)</f>
        <v>7779.27</v>
      </c>
      <c r="AH14" s="4">
        <f>IFERROR(_xlfn.MINIFS($I$2:$I$11,$H$2:$H$11,"&lt;&gt; -1"),0)</f>
        <v>0</v>
      </c>
      <c r="AI14" s="4">
        <f>IFERROR(_xlfn.MINIFS($K$2:$K$11,$J$2:$J$11,"&lt;&gt; -1"),0)</f>
        <v>6917.12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0.8</v>
      </c>
      <c r="AM14" s="4">
        <f>(COUNTIFS($F$2:$F$11,"&gt;0.0",$F$2:$F$11,"&lt;200.0"))/10</f>
        <v>0.8</v>
      </c>
      <c r="AN14" s="4">
        <f>(COUNTIFS($H$2:$H11,"&gt;0.0",$H$2:$H$11,"&lt;200.0"))/10</f>
        <v>0</v>
      </c>
      <c r="AO14" s="4">
        <f>(COUNTIFS($J$2:$J$11,"&gt;0.0",$J$2:$J$11,"&lt;200.0"))/10</f>
        <v>0.6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172.62</v>
      </c>
      <c r="C2">
        <v>7272.44</v>
      </c>
      <c r="D2">
        <v>209.16</v>
      </c>
      <c r="E2">
        <v>7263.63</v>
      </c>
      <c r="F2">
        <v>270.98</v>
      </c>
      <c r="G2">
        <v>7875.21</v>
      </c>
      <c r="H2">
        <v>-1</v>
      </c>
      <c r="I2">
        <v>0</v>
      </c>
      <c r="J2">
        <v>-1</v>
      </c>
      <c r="K2">
        <v>693.83</v>
      </c>
      <c r="L2">
        <v>-1</v>
      </c>
      <c r="M2">
        <v>0</v>
      </c>
    </row>
    <row r="3" spans="1:13">
      <c r="A3" t="s">
        <v>14</v>
      </c>
      <c r="B3">
        <v>175.28</v>
      </c>
      <c r="C3">
        <v>7318.91</v>
      </c>
      <c r="D3">
        <v>212.68</v>
      </c>
      <c r="E3">
        <v>7768.97</v>
      </c>
      <c r="F3">
        <v>191.38</v>
      </c>
      <c r="G3">
        <v>8235.95</v>
      </c>
      <c r="H3">
        <v>-1</v>
      </c>
      <c r="I3">
        <v>0</v>
      </c>
      <c r="J3">
        <v>184.34</v>
      </c>
      <c r="K3">
        <v>7184.66</v>
      </c>
      <c r="L3">
        <v>-1</v>
      </c>
      <c r="M3">
        <v>0</v>
      </c>
    </row>
    <row r="4" spans="1:13">
      <c r="A4" t="s">
        <v>15</v>
      </c>
      <c r="B4">
        <v>174.91</v>
      </c>
      <c r="C4">
        <v>7247.73</v>
      </c>
      <c r="D4">
        <v>231.07</v>
      </c>
      <c r="E4">
        <v>7530.02</v>
      </c>
      <c r="F4">
        <v>207.71</v>
      </c>
      <c r="G4">
        <v>8071.37</v>
      </c>
      <c r="H4">
        <v>-1</v>
      </c>
      <c r="I4">
        <v>1638.39</v>
      </c>
      <c r="J4">
        <v>187.35</v>
      </c>
      <c r="K4">
        <v>7117.08</v>
      </c>
      <c r="L4">
        <v>-1</v>
      </c>
      <c r="M4">
        <v>0</v>
      </c>
    </row>
    <row r="5" spans="1:13">
      <c r="A5" t="s">
        <v>16</v>
      </c>
      <c r="B5">
        <v>244.04</v>
      </c>
      <c r="C5">
        <v>7247.8</v>
      </c>
      <c r="D5">
        <v>296.87</v>
      </c>
      <c r="E5">
        <v>7766.98</v>
      </c>
      <c r="F5">
        <v>350.68</v>
      </c>
      <c r="G5">
        <v>7898.67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171.8</v>
      </c>
      <c r="C6">
        <v>7154.94</v>
      </c>
      <c r="D6">
        <v>209.28</v>
      </c>
      <c r="E6">
        <v>7734.98</v>
      </c>
      <c r="F6">
        <v>183.34</v>
      </c>
      <c r="G6">
        <v>8079.6</v>
      </c>
      <c r="H6">
        <v>-1</v>
      </c>
      <c r="I6">
        <v>1660.3</v>
      </c>
      <c r="J6">
        <v>177.98</v>
      </c>
      <c r="K6">
        <v>7082.29</v>
      </c>
      <c r="L6">
        <v>-1</v>
      </c>
      <c r="M6">
        <v>0</v>
      </c>
    </row>
    <row r="7" spans="1:13">
      <c r="A7" t="s">
        <v>18</v>
      </c>
      <c r="B7">
        <v>167.19</v>
      </c>
      <c r="C7">
        <v>6958.05</v>
      </c>
      <c r="D7">
        <v>205.14</v>
      </c>
      <c r="E7">
        <v>7566.93</v>
      </c>
      <c r="F7">
        <v>180.39</v>
      </c>
      <c r="G7">
        <v>7849.77</v>
      </c>
      <c r="H7">
        <v>-1</v>
      </c>
      <c r="I7">
        <v>0</v>
      </c>
      <c r="J7">
        <v>173.27</v>
      </c>
      <c r="K7">
        <v>6913.05</v>
      </c>
      <c r="L7">
        <v>-1</v>
      </c>
      <c r="M7">
        <v>0</v>
      </c>
    </row>
    <row r="8" spans="1:13">
      <c r="A8" t="s">
        <v>19</v>
      </c>
      <c r="B8">
        <v>167.81</v>
      </c>
      <c r="C8">
        <v>7343.77</v>
      </c>
      <c r="D8">
        <v>204.36</v>
      </c>
      <c r="E8">
        <v>7570.21</v>
      </c>
      <c r="F8">
        <v>210.5</v>
      </c>
      <c r="G8">
        <v>7892.94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173.37</v>
      </c>
      <c r="C9">
        <v>7484.92</v>
      </c>
      <c r="D9">
        <v>210.76</v>
      </c>
      <c r="E9">
        <v>7923.83</v>
      </c>
      <c r="F9">
        <v>195.15</v>
      </c>
      <c r="G9">
        <v>8192.95</v>
      </c>
      <c r="H9">
        <v>-1</v>
      </c>
      <c r="I9">
        <v>0</v>
      </c>
      <c r="J9">
        <v>-1</v>
      </c>
      <c r="K9">
        <v>520.53</v>
      </c>
      <c r="L9">
        <v>-1</v>
      </c>
      <c r="M9">
        <v>0</v>
      </c>
    </row>
    <row r="10" spans="1:13">
      <c r="A10" t="s">
        <v>21</v>
      </c>
      <c r="B10">
        <v>171.89</v>
      </c>
      <c r="C10">
        <v>7090.35</v>
      </c>
      <c r="D10">
        <v>209.1</v>
      </c>
      <c r="E10">
        <v>7443.13</v>
      </c>
      <c r="F10">
        <v>181.33</v>
      </c>
      <c r="G10">
        <v>7975.11</v>
      </c>
      <c r="H10">
        <v>-1</v>
      </c>
      <c r="I10">
        <v>0</v>
      </c>
      <c r="J10">
        <v>177.96</v>
      </c>
      <c r="K10">
        <v>7008.59</v>
      </c>
      <c r="L10">
        <v>-1</v>
      </c>
      <c r="M10">
        <v>0</v>
      </c>
    </row>
    <row r="11" spans="1:13">
      <c r="A11" t="s">
        <v>22</v>
      </c>
      <c r="B11">
        <v>170.02</v>
      </c>
      <c r="C11">
        <v>7106.84</v>
      </c>
      <c r="D11">
        <v>208.3</v>
      </c>
      <c r="E11">
        <v>7667.99</v>
      </c>
      <c r="F11">
        <v>186.34</v>
      </c>
      <c r="G11">
        <v>7899.64</v>
      </c>
      <c r="H11">
        <v>-1</v>
      </c>
      <c r="I11">
        <v>0</v>
      </c>
      <c r="J11">
        <v>181.46</v>
      </c>
      <c r="K11">
        <v>6986.2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178.893</v>
      </c>
      <c r="B14" s="4">
        <f>IFERROR(AVERAGEIF($D$2:$D$11,"&lt;&gt; -1"),0)</f>
        <v>219.672</v>
      </c>
      <c r="C14" s="4">
        <f>IFERROR(AVERAGEIF($F$2:$F$11,"&lt;&gt; -1"),0)</f>
        <v>215.78</v>
      </c>
      <c r="D14" s="4">
        <f>IFERROR(AVERAGEIF($H$2:$H$11,"&lt;&gt; -1"),0)</f>
        <v>0</v>
      </c>
      <c r="E14" s="4">
        <f>IFERROR(AVERAGEIF($J$2:$J$11,"&lt;&gt; -1"),0)</f>
        <v>180.393333333333</v>
      </c>
      <c r="F14" s="4">
        <f>IFERROR(AVERAGEIF($L$2:$L$11,"&lt;&gt; -1"),0)</f>
        <v>0</v>
      </c>
      <c r="G14" s="4">
        <f>IFERROR(AVERAGEIFS($C$2:$C$11,$B$2:$B$11,"&lt;&gt; -1"),0)</f>
        <v>7222.575</v>
      </c>
      <c r="H14" s="4">
        <f>IFERROR(AVERAGEIFS($E$2:$E$11,$D$2:$D$11,"&lt;&gt; -1"),0)</f>
        <v>7623.667</v>
      </c>
      <c r="I14" s="4">
        <f>IFERROR(AVERAGEIFS($G$2:$G$11,$F$2:$F$11,"&lt;&gt; -1"),0)</f>
        <v>7997.121</v>
      </c>
      <c r="J14" s="4">
        <f>IFERROR(AVERAGEIFS($I$2:$I$11,$H$2:$H$11,"&lt;&gt; -1"),0)</f>
        <v>0</v>
      </c>
      <c r="K14" s="4">
        <f>IFERROR(AVERAGEIFS($K$2:$K$11,$J$2:$J$11,"&lt;&gt; -1"),0)</f>
        <v>7048.645</v>
      </c>
      <c r="L14" s="4">
        <f>IFERROR(AVERAGEIFS($M$2:$M$11,$L$2:$L$11,"&lt;&gt; -1"),0)</f>
        <v>0</v>
      </c>
      <c r="M14" s="4">
        <f>IFERROR(_xlfn.MAXIFS($B$2:$B$11,$B$2:$B$11,"&lt;&gt; -1"),0)</f>
        <v>244.04</v>
      </c>
      <c r="N14" s="4">
        <f>IFERROR(_xlfn.MAXIFS($D$2:$D$11,$D$2:$D$11,"&lt;&gt;-1"),0)</f>
        <v>296.87</v>
      </c>
      <c r="O14" s="4">
        <f>IFERROR(_xlfn.MAXIFS($F$2:$F$11,$F$2:$F$11,"&lt;&gt; -1"),0)</f>
        <v>350.68</v>
      </c>
      <c r="P14" s="4">
        <f>IFERROR(_xlfn.MAXIFS($H$2:$H$11,$H$2:$H$11,"&lt;&gt; -1"),0)</f>
        <v>0</v>
      </c>
      <c r="Q14" s="4">
        <f>IFERROR(_xlfn.MAXIFS($J$2:$J$11,$J$2:$J$11,"&lt;&gt; -1"),0)</f>
        <v>187.35</v>
      </c>
      <c r="R14" s="4">
        <f>IFERROR(_xlfn.MAXIFS($L$2:$L$11,$L$2:$L$11,"&lt;&gt; -1"),0)</f>
        <v>0</v>
      </c>
      <c r="S14" s="4">
        <f>IFERROR(_xlfn.MINIFS($B$2:$B$11,$B$2:$B$11,"&lt;&gt; -1"),0)</f>
        <v>167.19</v>
      </c>
      <c r="T14" s="4">
        <f>IFERROR(_xlfn.MINIFS($D$2:$D$11,$D$2:$D$11,"&lt;&gt;-1"),0)</f>
        <v>204.36</v>
      </c>
      <c r="U14" s="4">
        <f>IFERROR(_xlfn.MINIFS($F$2:$F$11,$F$2:$F$11,"&lt;&gt; -1"),0)</f>
        <v>180.39</v>
      </c>
      <c r="V14" s="4">
        <f>IFERROR(_xlfn.MINIFS($H$2:$H$11,$H$2:$H$11,"&lt;&gt; -1"),0)</f>
        <v>0</v>
      </c>
      <c r="W14" s="4">
        <f>IFERROR(_xlfn.MINIFS($J$2:$J$11,$J$2:$J$11,"&lt;&gt; -1"),0)</f>
        <v>173.27</v>
      </c>
      <c r="X14" s="4">
        <f>IFERROR(_xlfn.MINIFS($L$2:$L$11,$L$2:$L$11,"&lt;&gt; -1"),0)</f>
        <v>0</v>
      </c>
      <c r="Y14" s="4">
        <f>IFERROR(_xlfn.MAXIFS($C$2:$C$11,$B$2:$B$11,"&lt;&gt; -1"),0)</f>
        <v>7484.92</v>
      </c>
      <c r="Z14" s="4">
        <f>IFERROR(_xlfn.MAXIFS($E$2:$E$11,$D$2:$D$11,"&lt;&gt; -1"),0)</f>
        <v>7923.83</v>
      </c>
      <c r="AA14" s="4">
        <f>IFERROR(_xlfn.MAXIFS($G$2:$G$11,$F$2:$F$11,"&lt;&gt; -1"),0)</f>
        <v>8235.95</v>
      </c>
      <c r="AB14" s="4">
        <f>IFERROR(_xlfn.MAXIFS($I$2:$I$11,$H$2:$H$11,"&lt;&gt; -1"),0)</f>
        <v>0</v>
      </c>
      <c r="AC14" s="4">
        <f>IFERROR(_xlfn.MAXIFS($K$2:$K$11,$J$2:$J$11,"&lt;&gt; -1"),0)</f>
        <v>7184.66</v>
      </c>
      <c r="AD14" s="4">
        <f>IFERROR(_xlfn.MAXIFS($M$2:$M$11,$L$2:$L$11,"&lt;&gt; -1"),0)</f>
        <v>0</v>
      </c>
      <c r="AE14" s="4">
        <f>IFERROR(_xlfn.MINIFS($C$2:$C$11,$B$2:$B$11,"&lt;&gt; -1"),0)</f>
        <v>6958.05</v>
      </c>
      <c r="AF14" s="4">
        <f>IFERROR(_xlfn.MINIFS($E$2:$E$11,$D$2:$D$11,"&lt;&gt; -1"),0)</f>
        <v>7263.63</v>
      </c>
      <c r="AG14" s="4">
        <f>IFERROR(_xlfn.MINIFS($G$2:$G$11,$F$2:$F$11,"&lt;&gt; -1"),0)</f>
        <v>7849.77</v>
      </c>
      <c r="AH14" s="4">
        <f>IFERROR(_xlfn.MINIFS($I$2:$I$11,$H$2:$H$11,"&lt;&gt; -1"),0)</f>
        <v>0</v>
      </c>
      <c r="AI14" s="4">
        <f>IFERROR(_xlfn.MINIFS($K$2:$K$11,$J$2:$J$11,"&lt;&gt; -1"),0)</f>
        <v>6913.05</v>
      </c>
      <c r="AJ14" s="4">
        <f>IFERROR(_xlfn.MINIFS($M$2:$M$11,$L$2:$L$11,"&lt;&gt; -1"),0)</f>
        <v>0</v>
      </c>
      <c r="AK14" s="4">
        <f>(COUNTIFS($B$2:$B$11,"&gt;0.0",$B$2:$B$11,"&lt;200.0"))/10</f>
        <v>0.9</v>
      </c>
      <c r="AL14" s="4">
        <f>(COUNTIFS($D$2:$D$11,"&gt;0.0",$D$2:$D$11,"&lt;200.0"))/10</f>
        <v>0</v>
      </c>
      <c r="AM14" s="4">
        <f>(COUNTIFS($F$2:$F$11,"&gt;0.0",$F$2:$F$11,"&lt;200.0"))/10</f>
        <v>0.6</v>
      </c>
      <c r="AN14" s="4">
        <f>(COUNTIFS($H$2:$H11,"&gt;0.0",$H$2:$H$11,"&lt;200.0"))/10</f>
        <v>0</v>
      </c>
      <c r="AO14" s="4">
        <f>(COUNTIFS($J$2:$J$11,"&gt;0.0",$J$2:$J$11,"&lt;200.0"))/10</f>
        <v>0.6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180.41</v>
      </c>
      <c r="C2">
        <v>7305.22</v>
      </c>
      <c r="D2">
        <v>215.28</v>
      </c>
      <c r="E2">
        <v>7358.47</v>
      </c>
      <c r="F2">
        <v>191.2</v>
      </c>
      <c r="G2">
        <v>8157.36</v>
      </c>
      <c r="H2">
        <v>-1</v>
      </c>
      <c r="I2">
        <v>0</v>
      </c>
      <c r="J2">
        <v>184.85</v>
      </c>
      <c r="K2">
        <v>7242.5</v>
      </c>
      <c r="L2">
        <v>-1</v>
      </c>
      <c r="M2">
        <v>0</v>
      </c>
    </row>
    <row r="3" spans="1:13">
      <c r="A3" t="s">
        <v>14</v>
      </c>
      <c r="B3">
        <v>190.68</v>
      </c>
      <c r="C3">
        <v>7530</v>
      </c>
      <c r="D3">
        <v>223.71</v>
      </c>
      <c r="E3">
        <v>7520.45</v>
      </c>
      <c r="F3">
        <v>224.74</v>
      </c>
      <c r="G3">
        <v>8309.05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183.4</v>
      </c>
      <c r="C4">
        <v>7358.1</v>
      </c>
      <c r="D4">
        <v>218.51</v>
      </c>
      <c r="E4">
        <v>7635.18</v>
      </c>
      <c r="F4">
        <v>201.12</v>
      </c>
      <c r="G4">
        <v>8161.2</v>
      </c>
      <c r="H4">
        <v>-1</v>
      </c>
      <c r="I4">
        <v>0</v>
      </c>
      <c r="J4">
        <v>-1</v>
      </c>
      <c r="K4">
        <v>435.22</v>
      </c>
      <c r="L4">
        <v>-1</v>
      </c>
      <c r="M4">
        <v>0</v>
      </c>
    </row>
    <row r="5" spans="1:13">
      <c r="A5" t="s">
        <v>16</v>
      </c>
      <c r="B5">
        <v>182.56</v>
      </c>
      <c r="C5">
        <v>7152.13</v>
      </c>
      <c r="D5">
        <v>217.34</v>
      </c>
      <c r="E5">
        <v>7584.98</v>
      </c>
      <c r="F5">
        <v>202.67</v>
      </c>
      <c r="G5">
        <v>7925.26</v>
      </c>
      <c r="H5">
        <v>-1</v>
      </c>
      <c r="I5">
        <v>0</v>
      </c>
      <c r="J5">
        <v>-1</v>
      </c>
      <c r="K5">
        <v>545.9</v>
      </c>
      <c r="L5">
        <v>-1</v>
      </c>
      <c r="M5">
        <v>0</v>
      </c>
    </row>
    <row r="6" spans="1:13">
      <c r="A6" t="s">
        <v>17</v>
      </c>
      <c r="B6">
        <v>183.35</v>
      </c>
      <c r="C6">
        <v>7201.51</v>
      </c>
      <c r="D6">
        <v>217.83</v>
      </c>
      <c r="E6">
        <v>7511.23</v>
      </c>
      <c r="F6">
        <v>202.37</v>
      </c>
      <c r="G6">
        <v>8024.65</v>
      </c>
      <c r="H6">
        <v>-1</v>
      </c>
      <c r="I6">
        <v>0</v>
      </c>
      <c r="J6">
        <v>190.82</v>
      </c>
      <c r="K6">
        <v>7088.09</v>
      </c>
      <c r="L6">
        <v>-1</v>
      </c>
      <c r="M6">
        <v>0</v>
      </c>
    </row>
    <row r="7" spans="1:13">
      <c r="A7" t="s">
        <v>18</v>
      </c>
      <c r="B7">
        <v>177.12</v>
      </c>
      <c r="C7">
        <v>6986.35</v>
      </c>
      <c r="D7">
        <v>212.01</v>
      </c>
      <c r="E7">
        <v>7478.84</v>
      </c>
      <c r="F7">
        <v>191.6</v>
      </c>
      <c r="G7">
        <v>7788.73</v>
      </c>
      <c r="H7">
        <v>-1</v>
      </c>
      <c r="I7">
        <v>0</v>
      </c>
      <c r="J7">
        <v>185.13</v>
      </c>
      <c r="K7">
        <v>6905.85</v>
      </c>
      <c r="L7">
        <v>-1</v>
      </c>
      <c r="M7">
        <v>0</v>
      </c>
    </row>
    <row r="8" spans="1:13">
      <c r="A8" t="s">
        <v>19</v>
      </c>
      <c r="B8">
        <v>179.43</v>
      </c>
      <c r="C8">
        <v>7237.07</v>
      </c>
      <c r="D8">
        <v>214.42</v>
      </c>
      <c r="E8">
        <v>7419.61</v>
      </c>
      <c r="F8">
        <v>193.27</v>
      </c>
      <c r="G8">
        <v>8060.1</v>
      </c>
      <c r="H8">
        <v>-1</v>
      </c>
      <c r="I8">
        <v>0</v>
      </c>
      <c r="J8">
        <v>187.91</v>
      </c>
      <c r="K8">
        <v>7130.37</v>
      </c>
      <c r="L8">
        <v>-1</v>
      </c>
      <c r="M8">
        <v>0</v>
      </c>
    </row>
    <row r="9" spans="1:13">
      <c r="A9" t="s">
        <v>20</v>
      </c>
      <c r="B9">
        <v>184.92</v>
      </c>
      <c r="C9">
        <v>7331.83</v>
      </c>
      <c r="D9">
        <v>219.69</v>
      </c>
      <c r="E9">
        <v>7576.83</v>
      </c>
      <c r="F9">
        <v>206.56</v>
      </c>
      <c r="G9">
        <v>7976.59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181.88</v>
      </c>
      <c r="C10">
        <v>7278.52</v>
      </c>
      <c r="D10">
        <v>217.37</v>
      </c>
      <c r="E10">
        <v>7373.07</v>
      </c>
      <c r="F10">
        <v>187.12</v>
      </c>
      <c r="G10">
        <v>8261.08</v>
      </c>
      <c r="H10">
        <v>-1</v>
      </c>
      <c r="I10">
        <v>0</v>
      </c>
      <c r="J10">
        <v>183.85</v>
      </c>
      <c r="K10">
        <v>7239.61</v>
      </c>
      <c r="L10">
        <v>-1</v>
      </c>
      <c r="M10">
        <v>0</v>
      </c>
    </row>
    <row r="11" spans="1:13">
      <c r="A11" t="s">
        <v>22</v>
      </c>
      <c r="B11">
        <v>182.73</v>
      </c>
      <c r="C11">
        <v>7531</v>
      </c>
      <c r="D11">
        <v>215.89</v>
      </c>
      <c r="E11">
        <v>7548.11</v>
      </c>
      <c r="F11">
        <v>-1</v>
      </c>
      <c r="G11">
        <v>1079.85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182.648</v>
      </c>
      <c r="B14" s="4">
        <f>IFERROR(AVERAGEIF($D$2:$D$11,"&lt;&gt; -1"),0)</f>
        <v>217.205</v>
      </c>
      <c r="C14" s="4">
        <f>IFERROR(AVERAGEIF($F$2:$F$11,"&lt;&gt; -1"),0)</f>
        <v>200.072222222222</v>
      </c>
      <c r="D14" s="4">
        <f>IFERROR(AVERAGEIF($H$2:$H$11,"&lt;&gt; -1"),0)</f>
        <v>0</v>
      </c>
      <c r="E14" s="4">
        <f>IFERROR(AVERAGEIF($J$2:$J$11,"&lt;&gt; -1"),0)</f>
        <v>186.512</v>
      </c>
      <c r="F14" s="4">
        <f>IFERROR(AVERAGEIF($L$2:$L$11,"&lt;&gt; -1"),0)</f>
        <v>0</v>
      </c>
      <c r="G14" s="4">
        <f>IFERROR(AVERAGEIFS($C$2:$C$11,$B$2:$B$11,"&lt;&gt; -1"),0)</f>
        <v>7291.173</v>
      </c>
      <c r="H14" s="4">
        <f>IFERROR(AVERAGEIFS($E$2:$E$11,$D$2:$D$11,"&lt;&gt; -1"),0)</f>
        <v>7500.677</v>
      </c>
      <c r="I14" s="4">
        <f>IFERROR(AVERAGEIFS($G$2:$G$11,$F$2:$F$11,"&lt;&gt; -1"),0)</f>
        <v>8073.78</v>
      </c>
      <c r="J14" s="4">
        <f>IFERROR(AVERAGEIFS($I$2:$I$11,$H$2:$H$11,"&lt;&gt; -1"),0)</f>
        <v>0</v>
      </c>
      <c r="K14" s="4">
        <f>IFERROR(AVERAGEIFS($K$2:$K$11,$J$2:$J$11,"&lt;&gt; -1"),0)</f>
        <v>7121.284</v>
      </c>
      <c r="L14" s="4">
        <f>IFERROR(AVERAGEIFS($M$2:$M$11,$L$2:$L$11,"&lt;&gt; -1"),0)</f>
        <v>0</v>
      </c>
      <c r="M14" s="4">
        <f>IFERROR(_xlfn.MAXIFS($B$2:$B$11,$B$2:$B$11,"&lt;&gt; -1"),0)</f>
        <v>190.68</v>
      </c>
      <c r="N14" s="4">
        <f>IFERROR(_xlfn.MAXIFS($D$2:$D$11,$D$2:$D$11,"&lt;&gt;-1"),0)</f>
        <v>223.71</v>
      </c>
      <c r="O14" s="4">
        <f>IFERROR(_xlfn.MAXIFS($F$2:$F$11,$F$2:$F$11,"&lt;&gt; -1"),0)</f>
        <v>224.74</v>
      </c>
      <c r="P14" s="4">
        <f>IFERROR(_xlfn.MAXIFS($H$2:$H$11,$H$2:$H$11,"&lt;&gt; -1"),0)</f>
        <v>0</v>
      </c>
      <c r="Q14" s="4">
        <f>IFERROR(_xlfn.MAXIFS($J$2:$J$11,$J$2:$J$11,"&lt;&gt; -1"),0)</f>
        <v>190.82</v>
      </c>
      <c r="R14" s="4">
        <f>IFERROR(_xlfn.MAXIFS($L$2:$L$11,$L$2:$L$11,"&lt;&gt; -1"),0)</f>
        <v>0</v>
      </c>
      <c r="S14" s="4">
        <f>IFERROR(_xlfn.MINIFS($B$2:$B$11,$B$2:$B$11,"&lt;&gt; -1"),0)</f>
        <v>177.12</v>
      </c>
      <c r="T14" s="4">
        <f>IFERROR(_xlfn.MINIFS($D$2:$D$11,$D$2:$D$11,"&lt;&gt;-1"),0)</f>
        <v>212.01</v>
      </c>
      <c r="U14" s="4">
        <f>IFERROR(_xlfn.MINIFS($F$2:$F$11,$F$2:$F$11,"&lt;&gt; -1"),0)</f>
        <v>187.12</v>
      </c>
      <c r="V14" s="4">
        <f>IFERROR(_xlfn.MINIFS($H$2:$H$11,$H$2:$H$11,"&lt;&gt; -1"),0)</f>
        <v>0</v>
      </c>
      <c r="W14" s="4">
        <f>IFERROR(_xlfn.MINIFS($J$2:$J$11,$J$2:$J$11,"&lt;&gt; -1"),0)</f>
        <v>183.85</v>
      </c>
      <c r="X14" s="4">
        <f>IFERROR(_xlfn.MINIFS($L$2:$L$11,$L$2:$L$11,"&lt;&gt; -1"),0)</f>
        <v>0</v>
      </c>
      <c r="Y14" s="4">
        <f>IFERROR(_xlfn.MAXIFS($C$2:$C$11,$B$2:$B$11,"&lt;&gt; -1"),0)</f>
        <v>7531</v>
      </c>
      <c r="Z14" s="4">
        <f>IFERROR(_xlfn.MAXIFS($E$2:$E$11,$D$2:$D$11,"&lt;&gt; -1"),0)</f>
        <v>7635.18</v>
      </c>
      <c r="AA14" s="4">
        <f>IFERROR(_xlfn.MAXIFS($G$2:$G$11,$F$2:$F$11,"&lt;&gt; -1"),0)</f>
        <v>8309.05</v>
      </c>
      <c r="AB14" s="4">
        <f>IFERROR(_xlfn.MAXIFS($I$2:$I$11,$H$2:$H$11,"&lt;&gt; -1"),0)</f>
        <v>0</v>
      </c>
      <c r="AC14" s="4">
        <f>IFERROR(_xlfn.MAXIFS($K$2:$K$11,$J$2:$J$11,"&lt;&gt; -1"),0)</f>
        <v>7242.5</v>
      </c>
      <c r="AD14" s="4">
        <f>IFERROR(_xlfn.MAXIFS($M$2:$M$11,$L$2:$L$11,"&lt;&gt; -1"),0)</f>
        <v>0</v>
      </c>
      <c r="AE14" s="4">
        <f>IFERROR(_xlfn.MINIFS($C$2:$C$11,$B$2:$B$11,"&lt;&gt; -1"),0)</f>
        <v>6986.35</v>
      </c>
      <c r="AF14" s="4">
        <f>IFERROR(_xlfn.MINIFS($E$2:$E$11,$D$2:$D$11,"&lt;&gt; -1"),0)</f>
        <v>7358.47</v>
      </c>
      <c r="AG14" s="4">
        <f>IFERROR(_xlfn.MINIFS($G$2:$G$11,$F$2:$F$11,"&lt;&gt; -1"),0)</f>
        <v>7788.73</v>
      </c>
      <c r="AH14" s="4">
        <f>IFERROR(_xlfn.MINIFS($I$2:$I$11,$H$2:$H$11,"&lt;&gt; -1"),0)</f>
        <v>0</v>
      </c>
      <c r="AI14" s="4">
        <f>IFERROR(_xlfn.MINIFS($K$2:$K$11,$J$2:$J$11,"&lt;&gt; -1"),0)</f>
        <v>6905.85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0</v>
      </c>
      <c r="AM14" s="4">
        <f>(COUNTIFS($F$2:$F$11,"&gt;0.0",$F$2:$F$11,"&lt;200.0"))/10</f>
        <v>0.4</v>
      </c>
      <c r="AN14" s="4">
        <f>(COUNTIFS($H$2:$H11,"&gt;0.0",$H$2:$H$11,"&lt;200.0"))/10</f>
        <v>0</v>
      </c>
      <c r="AO14" s="4">
        <f>(COUNTIFS($J$2:$J$11,"&gt;0.0",$J$2:$J$11,"&lt;200.0"))/10</f>
        <v>0.5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opLeftCell="S1" workbookViewId="0">
      <selection activeCell="S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197.04</v>
      </c>
      <c r="C2">
        <v>7313.86</v>
      </c>
      <c r="D2">
        <v>199.02</v>
      </c>
      <c r="E2">
        <v>7705.68</v>
      </c>
      <c r="F2">
        <v>222.01</v>
      </c>
      <c r="G2">
        <v>7967.48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199.94</v>
      </c>
      <c r="C3">
        <v>7606.98</v>
      </c>
      <c r="D3">
        <v>202.66</v>
      </c>
      <c r="E3">
        <v>8169.18</v>
      </c>
      <c r="F3">
        <v>222.36</v>
      </c>
      <c r="G3">
        <v>8202.82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198.66</v>
      </c>
      <c r="C4">
        <v>7627.42</v>
      </c>
      <c r="D4">
        <v>200.37</v>
      </c>
      <c r="E4">
        <v>8142.9</v>
      </c>
      <c r="F4">
        <v>238.44</v>
      </c>
      <c r="G4">
        <v>8153.87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194.93</v>
      </c>
      <c r="C5">
        <v>7272.22</v>
      </c>
      <c r="D5">
        <v>197.34</v>
      </c>
      <c r="E5">
        <v>8120.14</v>
      </c>
      <c r="F5">
        <v>254.36</v>
      </c>
      <c r="G5">
        <v>7868.99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192.39</v>
      </c>
      <c r="C6">
        <v>7364.27</v>
      </c>
      <c r="D6">
        <v>194.98</v>
      </c>
      <c r="E6">
        <v>8243.09</v>
      </c>
      <c r="F6">
        <v>233.29</v>
      </c>
      <c r="G6">
        <v>7983.36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195.4</v>
      </c>
      <c r="C7">
        <v>7440.65</v>
      </c>
      <c r="D7">
        <v>196.55</v>
      </c>
      <c r="E7">
        <v>8287.78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191.91</v>
      </c>
      <c r="C8">
        <v>7421.79</v>
      </c>
      <c r="D8">
        <v>194.28</v>
      </c>
      <c r="E8">
        <v>7736.24</v>
      </c>
      <c r="F8">
        <v>228.9</v>
      </c>
      <c r="G8">
        <v>7995.81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198.3</v>
      </c>
      <c r="C9">
        <v>7746.96</v>
      </c>
      <c r="D9">
        <v>199.88</v>
      </c>
      <c r="E9">
        <v>8033.93</v>
      </c>
      <c r="F9">
        <v>411.1</v>
      </c>
      <c r="G9">
        <v>8306.75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196.11</v>
      </c>
      <c r="C10">
        <v>7386.1</v>
      </c>
      <c r="D10">
        <v>198.57</v>
      </c>
      <c r="E10">
        <v>7887.33</v>
      </c>
      <c r="F10">
        <v>219.63</v>
      </c>
      <c r="G10">
        <v>8202.67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194.13</v>
      </c>
      <c r="C11">
        <v>7424.88</v>
      </c>
      <c r="D11">
        <v>196.09</v>
      </c>
      <c r="E11">
        <v>7993.34</v>
      </c>
      <c r="F11">
        <v>227.96</v>
      </c>
      <c r="G11">
        <v>8226.38</v>
      </c>
      <c r="H11">
        <v>-1</v>
      </c>
      <c r="I11">
        <v>0</v>
      </c>
      <c r="J11">
        <v>580.06</v>
      </c>
      <c r="K11">
        <v>7316.06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195.881</v>
      </c>
      <c r="B14" s="4">
        <f>IFERROR(AVERAGEIF($D$2:$D$11,"&lt;&gt; -1"),0)</f>
        <v>197.974</v>
      </c>
      <c r="C14" s="4">
        <f>IFERROR(AVERAGEIF($F$2:$F$11,"&lt;&gt; -1"),0)</f>
        <v>250.894444444444</v>
      </c>
      <c r="D14" s="4">
        <f>IFERROR(AVERAGEIF($H$2:$H$11,"&lt;&gt; -1"),0)</f>
        <v>0</v>
      </c>
      <c r="E14" s="4">
        <f>IFERROR(AVERAGEIF($J$2:$J$11,"&lt;&gt; -1"),0)</f>
        <v>580.06</v>
      </c>
      <c r="F14" s="4">
        <f>IFERROR(AVERAGEIF($L$2:$L$11,"&lt;&gt; -1"),0)</f>
        <v>0</v>
      </c>
      <c r="G14" s="4">
        <f>IFERROR(AVERAGEIFS($C$2:$C$11,$B$2:$B$11,"&lt;&gt; -1"),0)</f>
        <v>7460.513</v>
      </c>
      <c r="H14" s="4">
        <f>IFERROR(AVERAGEIFS($E$2:$E$11,$D$2:$D$11,"&lt;&gt; -1"),0)</f>
        <v>8031.961</v>
      </c>
      <c r="I14" s="4">
        <f>IFERROR(AVERAGEIFS($G$2:$G$11,$F$2:$F$11,"&lt;&gt; -1"),0)</f>
        <v>8100.90333333333</v>
      </c>
      <c r="J14" s="4">
        <f>IFERROR(AVERAGEIFS($I$2:$I$11,$H$2:$H$11,"&lt;&gt; -1"),0)</f>
        <v>0</v>
      </c>
      <c r="K14" s="4">
        <f>IFERROR(AVERAGEIFS($K$2:$K$11,$J$2:$J$11,"&lt;&gt; -1"),0)</f>
        <v>7316.06</v>
      </c>
      <c r="L14" s="4">
        <f>IFERROR(AVERAGEIFS($M$2:$M$11,$L$2:$L$11,"&lt;&gt; -1"),0)</f>
        <v>0</v>
      </c>
      <c r="M14" s="4">
        <f>IFERROR(_xlfn.MAXIFS($B$2:$B$11,$B$2:$B$11,"&lt;&gt; -1"),0)</f>
        <v>199.94</v>
      </c>
      <c r="N14" s="4">
        <f>IFERROR(_xlfn.MAXIFS($D$2:$D$11,$D$2:$D$11,"&lt;&gt;-1"),0)</f>
        <v>202.66</v>
      </c>
      <c r="O14" s="4">
        <f>IFERROR(_xlfn.MAXIFS($F$2:$F$11,$F$2:$F$11,"&lt;&gt; -1"),0)</f>
        <v>411.1</v>
      </c>
      <c r="P14" s="4">
        <f>IFERROR(_xlfn.MAXIFS($H$2:$H$11,$H$2:$H$11,"&lt;&gt; -1"),0)</f>
        <v>0</v>
      </c>
      <c r="Q14" s="4">
        <f>IFERROR(_xlfn.MAXIFS($J$2:$J$11,$J$2:$J$11,"&lt;&gt; -1"),0)</f>
        <v>580.06</v>
      </c>
      <c r="R14" s="4">
        <f>IFERROR(_xlfn.MAXIFS($L$2:$L$11,$L$2:$L$11,"&lt;&gt; -1"),0)</f>
        <v>0</v>
      </c>
      <c r="S14" s="4">
        <f>IFERROR(_xlfn.MINIFS($B$2:$B$11,$B$2:$B$11,"&lt;&gt; -1"),0)</f>
        <v>191.91</v>
      </c>
      <c r="T14" s="4">
        <f>IFERROR(_xlfn.MINIFS($D$2:$D$11,$D$2:$D$11,"&lt;&gt;-1"),0)</f>
        <v>194.28</v>
      </c>
      <c r="U14" s="4">
        <f>IFERROR(_xlfn.MINIFS($F$2:$F$11,$F$2:$F$11,"&lt;&gt; -1"),0)</f>
        <v>219.63</v>
      </c>
      <c r="V14" s="4">
        <f>IFERROR(_xlfn.MINIFS($H$2:$H$11,$H$2:$H$11,"&lt;&gt; -1"),0)</f>
        <v>0</v>
      </c>
      <c r="W14" s="4">
        <f>IFERROR(_xlfn.MINIFS($J$2:$J$11,$J$2:$J$11,"&lt;&gt; -1"),0)</f>
        <v>580.06</v>
      </c>
      <c r="X14" s="4">
        <f>IFERROR(_xlfn.MINIFS($L$2:$L$11,$L$2:$L$11,"&lt;&gt; -1"),0)</f>
        <v>0</v>
      </c>
      <c r="Y14" s="4">
        <f>IFERROR(_xlfn.MAXIFS($C$2:$C$11,$B$2:$B$11,"&lt;&gt; -1"),0)</f>
        <v>7746.96</v>
      </c>
      <c r="Z14" s="4">
        <f>IFERROR(_xlfn.MAXIFS($E$2:$E$11,$D$2:$D$11,"&lt;&gt; -1"),0)</f>
        <v>8287.78</v>
      </c>
      <c r="AA14" s="4">
        <f>IFERROR(_xlfn.MAXIFS($G$2:$G$11,$F$2:$F$11,"&lt;&gt; -1"),0)</f>
        <v>8306.75</v>
      </c>
      <c r="AB14" s="4">
        <f>IFERROR(_xlfn.MAXIFS($I$2:$I$11,$H$2:$H$11,"&lt;&gt; -1"),0)</f>
        <v>0</v>
      </c>
      <c r="AC14" s="4">
        <f>IFERROR(_xlfn.MAXIFS($K$2:$K$11,$J$2:$J$11,"&lt;&gt; -1"),0)</f>
        <v>7316.06</v>
      </c>
      <c r="AD14" s="4">
        <f>IFERROR(_xlfn.MAXIFS($M$2:$M$11,$L$2:$L$11,"&lt;&gt; -1"),0)</f>
        <v>0</v>
      </c>
      <c r="AE14" s="4">
        <f>IFERROR(_xlfn.MINIFS($C$2:$C$11,$B$2:$B$11,"&lt;&gt; -1"),0)</f>
        <v>7272.22</v>
      </c>
      <c r="AF14" s="4">
        <f>IFERROR(_xlfn.MINIFS($E$2:$E$11,$D$2:$D$11,"&lt;&gt; -1"),0)</f>
        <v>7705.68</v>
      </c>
      <c r="AG14" s="4">
        <f>IFERROR(_xlfn.MINIFS($G$2:$G$11,$F$2:$F$11,"&lt;&gt; -1"),0)</f>
        <v>7868.99</v>
      </c>
      <c r="AH14" s="4">
        <f>IFERROR(_xlfn.MINIFS($I$2:$I$11,$H$2:$H$11,"&lt;&gt; -1"),0)</f>
        <v>0</v>
      </c>
      <c r="AI14" s="4">
        <f>IFERROR(_xlfn.MINIFS($K$2:$K$11,$J$2:$J$11,"&lt;&gt; -1"),0)</f>
        <v>7316.06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0.8</v>
      </c>
      <c r="AM14" s="4">
        <f>(COUNTIFS($F$2:$F$11,"&gt;0.0",$F$2:$F$11,"&lt;200.0"))/10</f>
        <v>0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6" sqref="E16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130.865</v>
      </c>
      <c r="B2">
        <v>170.095</v>
      </c>
      <c r="C2">
        <v>142.799</v>
      </c>
      <c r="D2">
        <v>175.437</v>
      </c>
      <c r="E2">
        <v>150.472</v>
      </c>
      <c r="F2">
        <v>413.826666666667</v>
      </c>
      <c r="G2">
        <v>7105.872</v>
      </c>
      <c r="H2">
        <v>7073.715</v>
      </c>
      <c r="I2">
        <v>8011.118</v>
      </c>
      <c r="J2">
        <v>8037.548</v>
      </c>
      <c r="K2">
        <v>7056.867</v>
      </c>
      <c r="L2">
        <v>7096.3</v>
      </c>
      <c r="M2">
        <v>133.32</v>
      </c>
      <c r="N2">
        <v>173.48</v>
      </c>
      <c r="O2">
        <v>146.1</v>
      </c>
      <c r="P2">
        <v>179.09</v>
      </c>
      <c r="Q2">
        <v>270.59</v>
      </c>
      <c r="R2">
        <v>536.27</v>
      </c>
      <c r="S2">
        <v>127.92</v>
      </c>
      <c r="T2">
        <v>166.72</v>
      </c>
      <c r="U2">
        <v>137.65</v>
      </c>
      <c r="V2">
        <v>170.96</v>
      </c>
      <c r="W2">
        <v>133.49</v>
      </c>
      <c r="X2">
        <v>173.33</v>
      </c>
      <c r="Y2">
        <v>7219.92</v>
      </c>
      <c r="Z2">
        <v>7333.41</v>
      </c>
      <c r="AA2">
        <v>8212.16</v>
      </c>
      <c r="AB2">
        <v>8401.51</v>
      </c>
      <c r="AC2">
        <v>7209.65</v>
      </c>
      <c r="AD2">
        <v>7340.76</v>
      </c>
      <c r="AE2">
        <v>6950.55</v>
      </c>
      <c r="AF2">
        <v>6841.88</v>
      </c>
      <c r="AG2">
        <v>7802.9</v>
      </c>
      <c r="AH2">
        <v>7731.47</v>
      </c>
      <c r="AI2">
        <v>6882.58</v>
      </c>
      <c r="AJ2">
        <v>6928.78</v>
      </c>
      <c r="AK2">
        <v>1</v>
      </c>
      <c r="AL2">
        <v>1</v>
      </c>
      <c r="AM2">
        <v>1</v>
      </c>
      <c r="AN2">
        <v>1</v>
      </c>
      <c r="AO2">
        <v>0.9</v>
      </c>
      <c r="AP2">
        <v>0.1</v>
      </c>
    </row>
    <row r="3" spans="1:42">
      <c r="A3">
        <v>143.139</v>
      </c>
      <c r="B3">
        <v>181.994</v>
      </c>
      <c r="C3">
        <v>161.965</v>
      </c>
      <c r="D3">
        <v>251.349</v>
      </c>
      <c r="E3">
        <v>177.26</v>
      </c>
      <c r="F3">
        <v>0</v>
      </c>
      <c r="G3">
        <v>7239.853</v>
      </c>
      <c r="H3">
        <v>7120.49</v>
      </c>
      <c r="I3">
        <v>8000.31</v>
      </c>
      <c r="J3">
        <v>8028.667</v>
      </c>
      <c r="K3">
        <v>7072.35833333333</v>
      </c>
      <c r="L3">
        <v>0</v>
      </c>
      <c r="M3">
        <v>148.44</v>
      </c>
      <c r="N3">
        <v>187.65</v>
      </c>
      <c r="O3">
        <v>169.41</v>
      </c>
      <c r="P3">
        <v>343.07</v>
      </c>
      <c r="Q3">
        <v>242.87</v>
      </c>
      <c r="R3">
        <v>0</v>
      </c>
      <c r="S3">
        <v>136.55</v>
      </c>
      <c r="T3">
        <v>174.38</v>
      </c>
      <c r="U3">
        <v>146.76</v>
      </c>
      <c r="V3">
        <v>202.96</v>
      </c>
      <c r="W3">
        <v>143.7</v>
      </c>
      <c r="X3">
        <v>0</v>
      </c>
      <c r="Y3">
        <v>7379.16</v>
      </c>
      <c r="Z3">
        <v>7394.28</v>
      </c>
      <c r="AA3">
        <v>8226.74</v>
      </c>
      <c r="AB3">
        <v>8435.92</v>
      </c>
      <c r="AC3">
        <v>7222.75</v>
      </c>
      <c r="AD3">
        <v>0</v>
      </c>
      <c r="AE3">
        <v>6963.42</v>
      </c>
      <c r="AF3">
        <v>6943.37</v>
      </c>
      <c r="AG3">
        <v>7848.99</v>
      </c>
      <c r="AH3">
        <v>7789.12</v>
      </c>
      <c r="AI3">
        <v>6930.26</v>
      </c>
      <c r="AJ3">
        <v>0</v>
      </c>
      <c r="AK3">
        <v>1</v>
      </c>
      <c r="AL3">
        <v>1</v>
      </c>
      <c r="AM3">
        <v>1</v>
      </c>
      <c r="AN3">
        <v>0</v>
      </c>
      <c r="AO3">
        <v>0.5</v>
      </c>
      <c r="AP3">
        <v>0</v>
      </c>
    </row>
    <row r="4" spans="1:42">
      <c r="A4">
        <v>157.49</v>
      </c>
      <c r="B4">
        <v>195.58</v>
      </c>
      <c r="C4">
        <v>184.28</v>
      </c>
      <c r="D4">
        <v>0</v>
      </c>
      <c r="E4">
        <v>175.775</v>
      </c>
      <c r="F4">
        <v>0</v>
      </c>
      <c r="G4">
        <v>7295.488</v>
      </c>
      <c r="H4">
        <v>7352.881</v>
      </c>
      <c r="I4">
        <v>8051.373</v>
      </c>
      <c r="J4">
        <v>0</v>
      </c>
      <c r="K4">
        <v>7142.72</v>
      </c>
      <c r="L4">
        <v>0</v>
      </c>
      <c r="M4">
        <v>161.62</v>
      </c>
      <c r="N4">
        <v>200.47</v>
      </c>
      <c r="O4">
        <v>227.66</v>
      </c>
      <c r="P4">
        <v>0</v>
      </c>
      <c r="Q4">
        <v>194.42</v>
      </c>
      <c r="R4">
        <v>0</v>
      </c>
      <c r="S4">
        <v>153.62</v>
      </c>
      <c r="T4">
        <v>190.59</v>
      </c>
      <c r="U4">
        <v>166.24</v>
      </c>
      <c r="V4">
        <v>0</v>
      </c>
      <c r="W4">
        <v>162.18</v>
      </c>
      <c r="X4">
        <v>0</v>
      </c>
      <c r="Y4">
        <v>7540.45</v>
      </c>
      <c r="Z4">
        <v>7609.31</v>
      </c>
      <c r="AA4">
        <v>8212.33</v>
      </c>
      <c r="AB4">
        <v>0</v>
      </c>
      <c r="AC4">
        <v>7332.72</v>
      </c>
      <c r="AD4">
        <v>0</v>
      </c>
      <c r="AE4">
        <v>6970.93</v>
      </c>
      <c r="AF4">
        <v>7035.45</v>
      </c>
      <c r="AG4">
        <v>7779.27</v>
      </c>
      <c r="AH4">
        <v>0</v>
      </c>
      <c r="AI4">
        <v>6917.12</v>
      </c>
      <c r="AJ4">
        <v>0</v>
      </c>
      <c r="AK4">
        <v>1</v>
      </c>
      <c r="AL4">
        <v>0.8</v>
      </c>
      <c r="AM4">
        <v>0.8</v>
      </c>
      <c r="AN4">
        <v>0</v>
      </c>
      <c r="AO4">
        <v>0.6</v>
      </c>
      <c r="AP4">
        <v>0</v>
      </c>
    </row>
    <row r="5" spans="1:42">
      <c r="A5">
        <v>178.893</v>
      </c>
      <c r="B5">
        <v>219.672</v>
      </c>
      <c r="C5">
        <v>215.78</v>
      </c>
      <c r="D5">
        <v>0</v>
      </c>
      <c r="E5">
        <v>180.393333333333</v>
      </c>
      <c r="F5">
        <v>0</v>
      </c>
      <c r="G5">
        <v>7222.575</v>
      </c>
      <c r="H5">
        <v>7623.667</v>
      </c>
      <c r="I5">
        <v>7997.121</v>
      </c>
      <c r="J5">
        <v>0</v>
      </c>
      <c r="K5">
        <v>7048.645</v>
      </c>
      <c r="L5">
        <v>0</v>
      </c>
      <c r="M5">
        <v>244.04</v>
      </c>
      <c r="N5">
        <v>296.87</v>
      </c>
      <c r="O5">
        <v>350.68</v>
      </c>
      <c r="P5">
        <v>0</v>
      </c>
      <c r="Q5">
        <v>187.35</v>
      </c>
      <c r="R5">
        <v>0</v>
      </c>
      <c r="S5">
        <v>167.19</v>
      </c>
      <c r="T5">
        <v>204.36</v>
      </c>
      <c r="U5">
        <v>180.39</v>
      </c>
      <c r="V5">
        <v>0</v>
      </c>
      <c r="W5">
        <v>173.27</v>
      </c>
      <c r="X5">
        <v>0</v>
      </c>
      <c r="Y5">
        <v>7484.92</v>
      </c>
      <c r="Z5">
        <v>7923.83</v>
      </c>
      <c r="AA5">
        <v>8235.95</v>
      </c>
      <c r="AB5">
        <v>0</v>
      </c>
      <c r="AC5">
        <v>7184.66</v>
      </c>
      <c r="AD5">
        <v>0</v>
      </c>
      <c r="AE5">
        <v>6958.05</v>
      </c>
      <c r="AF5">
        <v>7263.63</v>
      </c>
      <c r="AG5">
        <v>7849.77</v>
      </c>
      <c r="AH5">
        <v>0</v>
      </c>
      <c r="AI5">
        <v>6913.05</v>
      </c>
      <c r="AJ5">
        <v>0</v>
      </c>
      <c r="AK5">
        <v>0.9</v>
      </c>
      <c r="AL5">
        <v>0</v>
      </c>
      <c r="AM5">
        <v>0.6</v>
      </c>
      <c r="AN5">
        <v>0</v>
      </c>
      <c r="AO5">
        <v>0.6</v>
      </c>
      <c r="AP5">
        <v>0</v>
      </c>
    </row>
    <row r="6" spans="1:42">
      <c r="A6">
        <v>182.648</v>
      </c>
      <c r="B6">
        <v>217.205</v>
      </c>
      <c r="C6">
        <v>200.072222222222</v>
      </c>
      <c r="D6">
        <v>0</v>
      </c>
      <c r="E6">
        <v>186.512</v>
      </c>
      <c r="F6">
        <v>0</v>
      </c>
      <c r="G6">
        <v>7291.173</v>
      </c>
      <c r="H6">
        <v>7500.677</v>
      </c>
      <c r="I6">
        <v>8073.78</v>
      </c>
      <c r="J6">
        <v>0</v>
      </c>
      <c r="K6">
        <v>7121.284</v>
      </c>
      <c r="L6">
        <v>0</v>
      </c>
      <c r="M6">
        <v>190.68</v>
      </c>
      <c r="N6">
        <v>223.71</v>
      </c>
      <c r="O6">
        <v>224.74</v>
      </c>
      <c r="P6">
        <v>0</v>
      </c>
      <c r="Q6">
        <v>190.82</v>
      </c>
      <c r="R6">
        <v>0</v>
      </c>
      <c r="S6">
        <v>177.12</v>
      </c>
      <c r="T6">
        <v>212.01</v>
      </c>
      <c r="U6">
        <v>187.12</v>
      </c>
      <c r="V6">
        <v>0</v>
      </c>
      <c r="W6">
        <v>183.85</v>
      </c>
      <c r="X6">
        <v>0</v>
      </c>
      <c r="Y6">
        <v>7531</v>
      </c>
      <c r="Z6">
        <v>7635.18</v>
      </c>
      <c r="AA6">
        <v>8309.05</v>
      </c>
      <c r="AB6">
        <v>0</v>
      </c>
      <c r="AC6">
        <v>7242.5</v>
      </c>
      <c r="AD6">
        <v>0</v>
      </c>
      <c r="AE6">
        <v>6986.35</v>
      </c>
      <c r="AF6">
        <v>7358.47</v>
      </c>
      <c r="AG6">
        <v>7788.73</v>
      </c>
      <c r="AH6">
        <v>0</v>
      </c>
      <c r="AI6">
        <v>6905.85</v>
      </c>
      <c r="AJ6">
        <v>0</v>
      </c>
      <c r="AK6">
        <v>1</v>
      </c>
      <c r="AL6">
        <v>0</v>
      </c>
      <c r="AM6">
        <v>0.4</v>
      </c>
      <c r="AN6">
        <v>0</v>
      </c>
      <c r="AO6">
        <v>0.5</v>
      </c>
      <c r="AP6">
        <v>0</v>
      </c>
    </row>
    <row r="7" spans="1:42">
      <c r="A7">
        <v>195.881</v>
      </c>
      <c r="B7">
        <v>197.974</v>
      </c>
      <c r="C7">
        <v>250.894444444444</v>
      </c>
      <c r="D7">
        <v>0</v>
      </c>
      <c r="E7">
        <v>580.06</v>
      </c>
      <c r="F7">
        <v>0</v>
      </c>
      <c r="G7">
        <v>7460.513</v>
      </c>
      <c r="H7">
        <v>8031.961</v>
      </c>
      <c r="I7">
        <v>8100.90333333333</v>
      </c>
      <c r="J7">
        <v>0</v>
      </c>
      <c r="K7">
        <v>7316.06</v>
      </c>
      <c r="L7">
        <v>0</v>
      </c>
      <c r="M7">
        <v>199.94</v>
      </c>
      <c r="N7">
        <v>202.66</v>
      </c>
      <c r="O7">
        <v>411.1</v>
      </c>
      <c r="P7">
        <v>0</v>
      </c>
      <c r="Q7">
        <v>580.06</v>
      </c>
      <c r="R7">
        <v>0</v>
      </c>
      <c r="S7">
        <v>191.91</v>
      </c>
      <c r="T7">
        <v>194.28</v>
      </c>
      <c r="U7">
        <v>219.63</v>
      </c>
      <c r="V7">
        <v>0</v>
      </c>
      <c r="W7">
        <v>580.06</v>
      </c>
      <c r="X7">
        <v>0</v>
      </c>
      <c r="Y7">
        <v>7746.96</v>
      </c>
      <c r="Z7">
        <v>8287.78</v>
      </c>
      <c r="AA7">
        <v>8306.75</v>
      </c>
      <c r="AB7">
        <v>0</v>
      </c>
      <c r="AC7">
        <v>7316.06</v>
      </c>
      <c r="AD7">
        <v>0</v>
      </c>
      <c r="AE7">
        <v>7272.22</v>
      </c>
      <c r="AF7">
        <v>7705.68</v>
      </c>
      <c r="AG7">
        <v>7868.99</v>
      </c>
      <c r="AH7">
        <v>0</v>
      </c>
      <c r="AI7">
        <v>7316.06</v>
      </c>
      <c r="AJ7">
        <v>0</v>
      </c>
      <c r="AK7">
        <v>1</v>
      </c>
      <c r="AL7">
        <v>0.8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2024-09-07T03:30:00Z</dcterms:created>
  <dcterms:modified xsi:type="dcterms:W3CDTF">2024-09-08T10:05:03Z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2E36D647D522418DA1ECB90ED831AE37_12</vt:lpwstr>
  </property>
  <property fmtid="{D5CDD505-2E9C-101B-9397-08002B2CF9AE}" pid="3" name="KSOProductBuildVer">
    <vt:lpwstr>2052-12.1.0.17827</vt:lpwstr>
  </property>
</Properties>
</file>