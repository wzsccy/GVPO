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<sst xmlns="http://schemas.openxmlformats.org/spreadsheetml/2006/main" count="432" uniqueCount="65">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</sst>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A13:AP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272.4</v>
      </c>
      <c r="C2">
        <v>10654.31</v>
      </c>
      <c r="D2">
        <v>310.95</v>
      </c>
      <c r="E2">
        <v>10869.47</v>
      </c>
      <c r="F2">
        <v>308.36</v>
      </c>
      <c r="G2">
        <v>12146.96</v>
      </c>
      <c r="H2">
        <v>323.51</v>
      </c>
      <c r="I2">
        <v>12476.3</v>
      </c>
      <c r="J2">
        <v>314.19</v>
      </c>
      <c r="K2">
        <v>10615.74</v>
      </c>
      <c r="L2">
        <v>-1</v>
      </c>
      <c r="M2">
        <v>6405.73</v>
      </c>
    </row>
    <row r="3" spans="1:13">
      <c r="A3" t="s">
        <v>14</v>
      </c>
      <c r="B3">
        <v>267.53</v>
      </c>
      <c r="C3">
        <v>10372.96</v>
      </c>
      <c r="D3">
        <v>306.15</v>
      </c>
      <c r="E3">
        <v>10462.08</v>
      </c>
      <c r="F3">
        <v>308.8</v>
      </c>
      <c r="G3">
        <v>11849.39</v>
      </c>
      <c r="H3">
        <v>322.85</v>
      </c>
      <c r="I3">
        <v>11936.01</v>
      </c>
      <c r="J3">
        <v>292.85</v>
      </c>
      <c r="K3">
        <v>10349.42</v>
      </c>
      <c r="L3">
        <v>-1</v>
      </c>
      <c r="M3">
        <v>521.26</v>
      </c>
    </row>
    <row r="4" spans="1:13">
      <c r="A4" t="s">
        <v>15</v>
      </c>
      <c r="B4">
        <v>258.71</v>
      </c>
      <c r="C4">
        <v>10350.48</v>
      </c>
      <c r="D4">
        <v>295.83</v>
      </c>
      <c r="E4">
        <v>10307.5</v>
      </c>
      <c r="F4">
        <v>296.76</v>
      </c>
      <c r="G4">
        <v>11699.77</v>
      </c>
      <c r="H4">
        <v>305.34</v>
      </c>
      <c r="I4">
        <v>11756.28</v>
      </c>
      <c r="J4">
        <v>270.27</v>
      </c>
      <c r="K4">
        <v>10317.86</v>
      </c>
      <c r="L4">
        <v>-1</v>
      </c>
      <c r="M4">
        <v>3188.27</v>
      </c>
    </row>
    <row r="5" spans="1:13">
      <c r="A5" t="s">
        <v>16</v>
      </c>
      <c r="B5">
        <v>355.46</v>
      </c>
      <c r="C5">
        <v>10112.87</v>
      </c>
      <c r="D5">
        <v>414.95</v>
      </c>
      <c r="E5">
        <v>10461.17</v>
      </c>
      <c r="F5">
        <v>402.96</v>
      </c>
      <c r="G5">
        <v>11724.51</v>
      </c>
      <c r="H5">
        <v>439.81</v>
      </c>
      <c r="I5">
        <v>12068.01</v>
      </c>
      <c r="J5">
        <v>368.48</v>
      </c>
      <c r="K5">
        <v>10064.93</v>
      </c>
      <c r="L5">
        <v>-1</v>
      </c>
      <c r="M5">
        <v>0</v>
      </c>
    </row>
    <row r="6" spans="1:13">
      <c r="A6" t="s">
        <v>17</v>
      </c>
      <c r="B6">
        <v>372.18</v>
      </c>
      <c r="C6">
        <v>10963.01</v>
      </c>
      <c r="D6">
        <v>430.25</v>
      </c>
      <c r="E6">
        <v>10938.22</v>
      </c>
      <c r="F6">
        <v>417.97</v>
      </c>
      <c r="G6">
        <v>12554.77</v>
      </c>
      <c r="H6">
        <v>450.06</v>
      </c>
      <c r="I6">
        <v>12462.39</v>
      </c>
      <c r="J6">
        <v>398.16</v>
      </c>
      <c r="K6">
        <v>10891.86</v>
      </c>
      <c r="L6">
        <v>-1</v>
      </c>
      <c r="M6">
        <v>1858.42</v>
      </c>
    </row>
    <row r="7" spans="1:13">
      <c r="A7" t="s">
        <v>18</v>
      </c>
      <c r="B7">
        <v>372.36</v>
      </c>
      <c r="C7">
        <v>10458.24</v>
      </c>
      <c r="D7">
        <v>430.84</v>
      </c>
      <c r="E7">
        <v>10178.53</v>
      </c>
      <c r="F7">
        <v>410.08</v>
      </c>
      <c r="G7">
        <v>11962.23</v>
      </c>
      <c r="H7">
        <v>458.67</v>
      </c>
      <c r="I7">
        <v>11744.09</v>
      </c>
      <c r="J7">
        <v>397.69</v>
      </c>
      <c r="K7">
        <v>10402.85</v>
      </c>
      <c r="L7">
        <v>464.46</v>
      </c>
      <c r="M7">
        <v>10264.92</v>
      </c>
    </row>
    <row r="8" spans="1:13">
      <c r="A8" t="s">
        <v>19</v>
      </c>
      <c r="B8">
        <v>386.25</v>
      </c>
      <c r="C8">
        <v>10758.71</v>
      </c>
      <c r="D8">
        <v>441.74</v>
      </c>
      <c r="E8">
        <v>10825.14</v>
      </c>
      <c r="F8">
        <v>413.26</v>
      </c>
      <c r="G8">
        <v>12252.83</v>
      </c>
      <c r="H8">
        <v>465.5</v>
      </c>
      <c r="I8">
        <v>12271.82</v>
      </c>
      <c r="J8">
        <v>410.04</v>
      </c>
      <c r="K8">
        <v>10701.94</v>
      </c>
      <c r="L8">
        <v>-1</v>
      </c>
      <c r="M8">
        <v>10247.71</v>
      </c>
    </row>
    <row r="9" spans="1:13">
      <c r="A9" t="s">
        <v>20</v>
      </c>
      <c r="B9">
        <v>359.79</v>
      </c>
      <c r="C9">
        <v>10347.17</v>
      </c>
      <c r="D9">
        <v>413.45</v>
      </c>
      <c r="E9">
        <v>10354.53</v>
      </c>
      <c r="F9">
        <v>404.15</v>
      </c>
      <c r="G9">
        <v>11868.38</v>
      </c>
      <c r="H9">
        <v>428.33</v>
      </c>
      <c r="I9">
        <v>11839.63</v>
      </c>
      <c r="J9">
        <v>430.87</v>
      </c>
      <c r="K9">
        <v>10358.12</v>
      </c>
      <c r="L9">
        <v>578.3</v>
      </c>
      <c r="M9">
        <v>10502.99</v>
      </c>
    </row>
    <row r="10" spans="1:13">
      <c r="A10" t="s">
        <v>21</v>
      </c>
      <c r="B10">
        <v>367.86</v>
      </c>
      <c r="C10">
        <v>10627.63</v>
      </c>
      <c r="D10">
        <v>428.67</v>
      </c>
      <c r="E10">
        <v>10499.15</v>
      </c>
      <c r="F10">
        <v>399.03</v>
      </c>
      <c r="G10">
        <v>11996.07</v>
      </c>
      <c r="H10">
        <v>445.04</v>
      </c>
      <c r="I10">
        <v>11965.04</v>
      </c>
      <c r="J10">
        <v>396.22</v>
      </c>
      <c r="K10">
        <v>10585.5</v>
      </c>
      <c r="L10">
        <v>565.93</v>
      </c>
      <c r="M10">
        <v>10654.42</v>
      </c>
    </row>
    <row r="11" spans="1:13">
      <c r="A11" t="s">
        <v>22</v>
      </c>
      <c r="B11">
        <v>387.34</v>
      </c>
      <c r="C11">
        <v>10318.39</v>
      </c>
      <c r="D11">
        <v>445.4</v>
      </c>
      <c r="E11">
        <v>10168.27</v>
      </c>
      <c r="F11">
        <v>438.31</v>
      </c>
      <c r="G11">
        <v>11783.6</v>
      </c>
      <c r="H11">
        <v>459.36</v>
      </c>
      <c r="I11">
        <v>11614.34</v>
      </c>
      <c r="J11">
        <v>401.08</v>
      </c>
      <c r="K11">
        <v>10301.34</v>
      </c>
      <c r="L11">
        <v>486.78</v>
      </c>
      <c r="M11">
        <v>10257.49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339.988</v>
      </c>
      <c r="B14" s="4">
        <f>IFERROR(AVERAGEIF($D$2:$D$11,"&lt;&gt; -1"),0)</f>
        <v>391.823</v>
      </c>
      <c r="C14" s="4">
        <f>IFERROR(AVERAGEIF($F$2:$F$11,"&lt;&gt; -1"),0)</f>
        <v>379.968</v>
      </c>
      <c r="D14" s="4">
        <f>IFERROR(AVERAGEIF($H$2:$H$11,"&lt;&gt; -1"),0)</f>
        <v>409.847</v>
      </c>
      <c r="E14" s="4">
        <f>IFERROR(AVERAGEIF($J$2:$J$11,"&lt;&gt; -1"),0)</f>
        <v>367.985</v>
      </c>
      <c r="F14" s="4">
        <f>IFERROR(AVERAGEIF($L$2:$L$11,"&lt;&gt; -1"),0)</f>
        <v>523.8675</v>
      </c>
      <c r="G14" s="4">
        <f>IFERROR(AVERAGEIFS($C$2:$C$11,$B$2:$B$11,"&lt;&gt; -1"),0)</f>
        <v>10496.377</v>
      </c>
      <c r="H14" s="4">
        <f>IFERROR(AVERAGEIFS($E$2:$E$11,$D$2:$D$11,"&lt;&gt; -1"),0)</f>
        <v>10506.406</v>
      </c>
      <c r="I14" s="4">
        <f>IFERROR(AVERAGEIFS($G$2:$G$11,$F$2:$F$11,"&lt;&gt; -1"),0)</f>
        <v>11983.851</v>
      </c>
      <c r="J14" s="4">
        <f>IFERROR(AVERAGEIFS($I$2:$I$11,$H$2:$H$11,"&lt;&gt; -1"),0)</f>
        <v>12013.391</v>
      </c>
      <c r="K14" s="4">
        <f>IFERROR(AVERAGEIFS($K$2:$K$11,$J$2:$J$11,"&lt;&gt; -1"),0)</f>
        <v>10458.956</v>
      </c>
      <c r="L14" s="4">
        <f>IFERROR(AVERAGEIFS($M$2:$M$11,$L$2:$L$11,"&lt;&gt; -1"),0)</f>
        <v>10419.955</v>
      </c>
      <c r="M14" s="4">
        <f>IFERROR(_xlfn.MAXIFS($B$2:$B$11,$B$2:$B$11,"&lt;&gt; -1"),0)</f>
        <v>387.34</v>
      </c>
      <c r="N14" s="4">
        <f>IFERROR(_xlfn.MAXIFS($D$2:$D$11,$D$2:$D$11,"&lt;&gt;-1"),0)</f>
        <v>445.4</v>
      </c>
      <c r="O14" s="4">
        <f>IFERROR(_xlfn.MAXIFS($F$2:$F$11,$F$2:$F$11,"&lt;&gt; -1"),0)</f>
        <v>438.31</v>
      </c>
      <c r="P14" s="4">
        <f>IFERROR(_xlfn.MAXIFS($H$2:$H$11,$H$2:$H$11,"&lt;&gt; -1"),0)</f>
        <v>465.5</v>
      </c>
      <c r="Q14" s="4">
        <f>IFERROR(_xlfn.MAXIFS($J$2:$J$11,$J$2:$J$11,"&lt;&gt; -1"),0)</f>
        <v>430.87</v>
      </c>
      <c r="R14" s="4">
        <f>IFERROR(_xlfn.MAXIFS($L$2:$L$11,$L$2:$L$11,"&lt;&gt; -1"),0)</f>
        <v>578.3</v>
      </c>
      <c r="S14" s="4">
        <f>IFERROR(_xlfn.MINIFS($B$2:$B$11,$B$2:$B$11,"&lt;&gt; -1"),0)</f>
        <v>258.71</v>
      </c>
      <c r="T14" s="4">
        <f>IFERROR(_xlfn.MINIFS($D$2:$D$11,$D$2:$D$11,"&lt;&gt;-1"),0)</f>
        <v>295.83</v>
      </c>
      <c r="U14" s="4">
        <f>IFERROR(_xlfn.MINIFS($F$2:$F$11,$F$2:$F$11,"&lt;&gt; -1"),0)</f>
        <v>296.76</v>
      </c>
      <c r="V14" s="4">
        <f>IFERROR(_xlfn.MINIFS($H$2:$H$11,$H$2:$H$11,"&lt;&gt; -1"),0)</f>
        <v>305.34</v>
      </c>
      <c r="W14" s="4">
        <f>IFERROR(_xlfn.MINIFS($J$2:$J$11,$J$2:$J$11,"&lt;&gt; -1"),0)</f>
        <v>270.27</v>
      </c>
      <c r="X14" s="4">
        <f>IFERROR(_xlfn.MINIFS($L$2:$L$11,$L$2:$L$11,"&lt;&gt; -1"),0)</f>
        <v>464.46</v>
      </c>
      <c r="Y14" s="4">
        <f>IFERROR(_xlfn.MAXIFS($C$2:$C$11,$B$2:$B$11,"&lt;&gt; -1"),0)</f>
        <v>10963.01</v>
      </c>
      <c r="Z14" s="4">
        <f>IFERROR(_xlfn.MAXIFS($E$2:$E$11,$D$2:$D$11,"&lt;&gt; -1"),0)</f>
        <v>10938.22</v>
      </c>
      <c r="AA14" s="4">
        <f>IFERROR(_xlfn.MAXIFS($G$2:$G$11,$F$2:$F$11,"&lt;&gt; -1"),0)</f>
        <v>12554.77</v>
      </c>
      <c r="AB14" s="4">
        <f>IFERROR(_xlfn.MAXIFS($I$2:$I$11,$H$2:$H$11,"&lt;&gt; -1"),0)</f>
        <v>12476.3</v>
      </c>
      <c r="AC14" s="4">
        <f>IFERROR(_xlfn.MAXIFS($K$2:$K$11,$J$2:$J$11,"&lt;&gt; -1"),0)</f>
        <v>10891.86</v>
      </c>
      <c r="AD14" s="4">
        <f>IFERROR(_xlfn.MAXIFS($M$2:$M$11,$L$2:$L$11,"&lt;&gt; -1"),0)</f>
        <v>10654.42</v>
      </c>
      <c r="AE14" s="4">
        <f>IFERROR(_xlfn.MINIFS($C$2:$C$11,$B$2:$B$11,"&lt;&gt; -1"),0)</f>
        <v>10112.87</v>
      </c>
      <c r="AF14" s="4">
        <f>IFERROR(_xlfn.MINIFS($E$2:$E$11,$D$2:$D$11,"&lt;&gt; -1"),0)</f>
        <v>10168.27</v>
      </c>
      <c r="AG14" s="4">
        <f>IFERROR(_xlfn.MINIFS($G$2:$G$11,$F$2:$F$11,"&lt;&gt; -1"),0)</f>
        <v>11699.77</v>
      </c>
      <c r="AH14" s="4">
        <f>IFERROR(_xlfn.MINIFS($I$2:$I$11,$H$2:$H$11,"&lt;&gt; -1"),0)</f>
        <v>11614.34</v>
      </c>
      <c r="AI14" s="4">
        <f>IFERROR(_xlfn.MINIFS($K$2:$K$11,$J$2:$J$11,"&lt;&gt; -1"),0)</f>
        <v>10064.93</v>
      </c>
      <c r="AJ14" s="4">
        <f>IFERROR(_xlfn.MINIFS($M$2:$M$11,$L$2:$L$11,"&lt;&gt; -1"),0)</f>
        <v>10257.49</v>
      </c>
      <c r="AK14" s="4">
        <f>(COUNTIFS($B$2:$B$11,"&gt;0.0",$B$2:$B$11,"&lt;500.0"))/10</f>
        <v>1</v>
      </c>
      <c r="AL14" s="4">
        <f>(COUNTIFS($D$2:$D$11,"&gt;0.0",$D$2:$D$11,"&lt;500.0"))/10</f>
        <v>1</v>
      </c>
      <c r="AM14" s="4">
        <f>(COUNTIFS($F$2:$F$11,"&gt;0.0",$F$2:$F$11,"&lt;500.0"))/10</f>
        <v>1</v>
      </c>
      <c r="AN14" s="4">
        <f>(COUNTIFS($H$2:$H11,"&gt;0.0",$H$2:$H$11,"&lt;500.0"))/10</f>
        <v>1</v>
      </c>
      <c r="AO14" s="4">
        <f>(COUNTIFS($J$2:$J$11,"&gt;0.0",$J$2:$J$11,"&lt;500.0"))/10</f>
        <v>1</v>
      </c>
      <c r="AP14" s="4">
        <f>(COUNTIFS($L$2:$L$11,"&gt;0.0",$L$2:$L$11,"&lt;500.0"))/10</f>
        <v>0.2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412.49</v>
      </c>
      <c r="C2">
        <v>10727.59</v>
      </c>
      <c r="D2">
        <v>465.26</v>
      </c>
      <c r="E2">
        <v>10857.21</v>
      </c>
      <c r="F2">
        <v>459.88</v>
      </c>
      <c r="G2">
        <v>12263.17</v>
      </c>
      <c r="H2">
        <v>517.66</v>
      </c>
      <c r="I2">
        <v>12368.99</v>
      </c>
      <c r="J2">
        <v>470.04</v>
      </c>
      <c r="K2">
        <v>10692.87</v>
      </c>
      <c r="L2">
        <v>-1</v>
      </c>
      <c r="M2">
        <v>1095.9</v>
      </c>
    </row>
    <row r="3" spans="1:13">
      <c r="A3" t="s">
        <v>14</v>
      </c>
      <c r="B3">
        <v>407.06</v>
      </c>
      <c r="C3">
        <v>10428.02</v>
      </c>
      <c r="D3">
        <v>460.8</v>
      </c>
      <c r="E3">
        <v>10308.29</v>
      </c>
      <c r="F3">
        <v>443.89</v>
      </c>
      <c r="G3">
        <v>11724.16</v>
      </c>
      <c r="H3">
        <v>487.8</v>
      </c>
      <c r="I3">
        <v>11737.65</v>
      </c>
      <c r="J3">
        <v>566.72</v>
      </c>
      <c r="K3">
        <v>10370.9</v>
      </c>
      <c r="L3">
        <v>-1</v>
      </c>
      <c r="M3">
        <v>1201.48</v>
      </c>
    </row>
    <row r="4" spans="1:13">
      <c r="A4" t="s">
        <v>15</v>
      </c>
      <c r="B4">
        <v>387.04</v>
      </c>
      <c r="C4">
        <v>10505.22</v>
      </c>
      <c r="D4">
        <v>438.54</v>
      </c>
      <c r="E4">
        <v>10248.58</v>
      </c>
      <c r="F4">
        <v>445.51</v>
      </c>
      <c r="G4">
        <v>11810.22</v>
      </c>
      <c r="H4">
        <v>487.8</v>
      </c>
      <c r="I4">
        <v>11651.96</v>
      </c>
      <c r="J4">
        <v>440.8</v>
      </c>
      <c r="K4">
        <v>10444.35</v>
      </c>
      <c r="L4">
        <v>-1</v>
      </c>
      <c r="M4">
        <v>0</v>
      </c>
    </row>
    <row r="5" spans="1:13">
      <c r="A5" t="s">
        <v>16</v>
      </c>
      <c r="B5">
        <v>289.76</v>
      </c>
      <c r="C5">
        <v>10457.25</v>
      </c>
      <c r="D5">
        <v>327.95</v>
      </c>
      <c r="E5">
        <v>10536.38</v>
      </c>
      <c r="F5">
        <v>310.65</v>
      </c>
      <c r="G5">
        <v>11891.14</v>
      </c>
      <c r="H5">
        <v>364.58</v>
      </c>
      <c r="I5">
        <v>12027.15</v>
      </c>
      <c r="J5">
        <v>298.61</v>
      </c>
      <c r="K5">
        <v>10422.14</v>
      </c>
      <c r="L5">
        <v>-1</v>
      </c>
      <c r="M5">
        <v>0</v>
      </c>
    </row>
    <row r="6" spans="1:13">
      <c r="A6" t="s">
        <v>17</v>
      </c>
      <c r="B6">
        <v>300.06</v>
      </c>
      <c r="C6">
        <v>11021.49</v>
      </c>
      <c r="D6">
        <v>337.24</v>
      </c>
      <c r="E6">
        <v>11043.88</v>
      </c>
      <c r="F6">
        <v>341.8</v>
      </c>
      <c r="G6">
        <v>12409.99</v>
      </c>
      <c r="H6">
        <v>375.25</v>
      </c>
      <c r="I6">
        <v>12534.79</v>
      </c>
      <c r="J6">
        <v>431.83</v>
      </c>
      <c r="K6">
        <v>10962.6</v>
      </c>
      <c r="L6">
        <v>-1</v>
      </c>
      <c r="M6">
        <v>0</v>
      </c>
    </row>
    <row r="7" spans="1:13">
      <c r="A7" t="s">
        <v>18</v>
      </c>
      <c r="B7">
        <v>284.14</v>
      </c>
      <c r="C7">
        <v>10331.01</v>
      </c>
      <c r="D7">
        <v>321.75</v>
      </c>
      <c r="E7">
        <v>10296.48</v>
      </c>
      <c r="F7">
        <v>331.82</v>
      </c>
      <c r="G7">
        <v>11802.7</v>
      </c>
      <c r="H7">
        <v>443.38</v>
      </c>
      <c r="I7">
        <v>11829.38</v>
      </c>
      <c r="J7">
        <v>486.71</v>
      </c>
      <c r="K7">
        <v>10226.23</v>
      </c>
      <c r="L7">
        <v>-1</v>
      </c>
      <c r="M7">
        <v>0</v>
      </c>
    </row>
    <row r="8" spans="1:13">
      <c r="A8" t="s">
        <v>19</v>
      </c>
      <c r="B8">
        <v>300.91</v>
      </c>
      <c r="C8">
        <v>10942.84</v>
      </c>
      <c r="D8">
        <v>338.2</v>
      </c>
      <c r="E8">
        <v>10907.19</v>
      </c>
      <c r="F8">
        <v>345.05</v>
      </c>
      <c r="G8">
        <v>12274.03</v>
      </c>
      <c r="H8">
        <v>456.62</v>
      </c>
      <c r="I8">
        <v>12301.55</v>
      </c>
      <c r="J8">
        <v>339.07</v>
      </c>
      <c r="K8">
        <v>10807.26</v>
      </c>
      <c r="L8">
        <v>-1</v>
      </c>
      <c r="M8">
        <v>2209.42</v>
      </c>
    </row>
    <row r="9" spans="1:13">
      <c r="A9" t="s">
        <v>20</v>
      </c>
      <c r="B9">
        <v>287.7</v>
      </c>
      <c r="C9">
        <v>10579.59</v>
      </c>
      <c r="D9">
        <v>325.77</v>
      </c>
      <c r="E9">
        <v>10479.63</v>
      </c>
      <c r="F9">
        <v>331.78</v>
      </c>
      <c r="G9">
        <v>11948.67</v>
      </c>
      <c r="H9">
        <v>379.62</v>
      </c>
      <c r="I9">
        <v>11912.71</v>
      </c>
      <c r="J9">
        <v>510.5</v>
      </c>
      <c r="K9">
        <v>10529.05</v>
      </c>
      <c r="L9">
        <v>-1</v>
      </c>
      <c r="M9">
        <v>0</v>
      </c>
    </row>
    <row r="10" spans="1:13">
      <c r="A10" t="s">
        <v>21</v>
      </c>
      <c r="B10">
        <v>293.35</v>
      </c>
      <c r="C10">
        <v>10976.79</v>
      </c>
      <c r="D10">
        <v>331.41</v>
      </c>
      <c r="E10">
        <v>10781.53</v>
      </c>
      <c r="F10">
        <v>324.82</v>
      </c>
      <c r="G10">
        <v>12375.46</v>
      </c>
      <c r="H10">
        <v>419.52</v>
      </c>
      <c r="I10">
        <v>12308.41</v>
      </c>
      <c r="J10">
        <v>465.31</v>
      </c>
      <c r="K10">
        <v>10912.52</v>
      </c>
      <c r="L10">
        <v>-1</v>
      </c>
      <c r="M10">
        <v>1078.47</v>
      </c>
    </row>
    <row r="11" spans="1:13">
      <c r="A11" t="s">
        <v>22</v>
      </c>
      <c r="B11">
        <v>288.69</v>
      </c>
      <c r="C11">
        <v>10429.44</v>
      </c>
      <c r="D11">
        <v>325.4</v>
      </c>
      <c r="E11">
        <v>10285.14</v>
      </c>
      <c r="F11">
        <v>323.85</v>
      </c>
      <c r="G11">
        <v>11758.72</v>
      </c>
      <c r="H11">
        <v>346.91</v>
      </c>
      <c r="I11">
        <v>11652.9</v>
      </c>
      <c r="J11">
        <v>327.01</v>
      </c>
      <c r="K11">
        <v>10391.54</v>
      </c>
      <c r="L11">
        <v>-1</v>
      </c>
      <c r="M11">
        <v>3098.24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325.12</v>
      </c>
      <c r="B14" s="4">
        <f>IFERROR(AVERAGEIF($D$2:$D$11,"&lt;&gt; -1"),0)</f>
        <v>367.232</v>
      </c>
      <c r="C14" s="4">
        <f>IFERROR(AVERAGEIF($F$2:$F$11,"&lt;&gt; -1"),0)</f>
        <v>365.905</v>
      </c>
      <c r="D14" s="4">
        <f>IFERROR(AVERAGEIF($H$2:$H$11,"&lt;&gt; -1"),0)</f>
        <v>427.914</v>
      </c>
      <c r="E14" s="4">
        <f>IFERROR(AVERAGEIF($J$2:$J$11,"&lt;&gt; -1"),0)</f>
        <v>433.66</v>
      </c>
      <c r="F14" s="4">
        <f>IFERROR(AVERAGEIF($L$2:$L$11,"&lt;&gt; -1"),0)</f>
        <v>0</v>
      </c>
      <c r="G14" s="4">
        <f>IFERROR(AVERAGEIFS($C$2:$C$11,$B$2:$B$11,"&lt;&gt; -1"),0)</f>
        <v>10639.924</v>
      </c>
      <c r="H14" s="4">
        <f>IFERROR(AVERAGEIFS($E$2:$E$11,$D$2:$D$11,"&lt;&gt; -1"),0)</f>
        <v>10574.431</v>
      </c>
      <c r="I14" s="4">
        <f>IFERROR(AVERAGEIFS($G$2:$G$11,$F$2:$F$11,"&lt;&gt; -1"),0)</f>
        <v>12025.826</v>
      </c>
      <c r="J14" s="4">
        <f>IFERROR(AVERAGEIFS($I$2:$I$11,$H$2:$H$11,"&lt;&gt; -1"),0)</f>
        <v>12032.549</v>
      </c>
      <c r="K14" s="4">
        <f>IFERROR(AVERAGEIFS($K$2:$K$11,$J$2:$J$11,"&lt;&gt; -1"),0)</f>
        <v>10575.946</v>
      </c>
      <c r="L14" s="4">
        <f>IFERROR(AVERAGEIFS($M$2:$M$11,$L$2:$L$11,"&lt;&gt; -1"),0)</f>
        <v>0</v>
      </c>
      <c r="M14" s="4">
        <f>IFERROR(_xlfn.MAXIFS($B$2:$B$11,$B$2:$B$11,"&lt;&gt; -1"),0)</f>
        <v>412.49</v>
      </c>
      <c r="N14" s="4">
        <f>IFERROR(_xlfn.MAXIFS($D$2:$D$11,$D$2:$D$11,"&lt;&gt;-1"),0)</f>
        <v>465.26</v>
      </c>
      <c r="O14" s="4">
        <f>IFERROR(_xlfn.MAXIFS($F$2:$F$11,$F$2:$F$11,"&lt;&gt; -1"),0)</f>
        <v>459.88</v>
      </c>
      <c r="P14" s="4">
        <f>IFERROR(_xlfn.MAXIFS($H$2:$H$11,$H$2:$H$11,"&lt;&gt; -1"),0)</f>
        <v>517.66</v>
      </c>
      <c r="Q14" s="4">
        <f>IFERROR(_xlfn.MAXIFS($J$2:$J$11,$J$2:$J$11,"&lt;&gt; -1"),0)</f>
        <v>566.72</v>
      </c>
      <c r="R14" s="4">
        <f>IFERROR(_xlfn.MAXIFS($L$2:$L$11,$L$2:$L$11,"&lt;&gt; -1"),0)</f>
        <v>0</v>
      </c>
      <c r="S14" s="4">
        <f>IFERROR(_xlfn.MINIFS($B$2:$B$11,$B$2:$B$11,"&lt;&gt; -1"),0)</f>
        <v>284.14</v>
      </c>
      <c r="T14" s="4">
        <f>IFERROR(_xlfn.MINIFS($D$2:$D$11,$D$2:$D$11,"&lt;&gt;-1"),0)</f>
        <v>321.75</v>
      </c>
      <c r="U14" s="4">
        <f>IFERROR(_xlfn.MINIFS($F$2:$F$11,$F$2:$F$11,"&lt;&gt; -1"),0)</f>
        <v>310.65</v>
      </c>
      <c r="V14" s="4">
        <f>IFERROR(_xlfn.MINIFS($H$2:$H$11,$H$2:$H$11,"&lt;&gt; -1"),0)</f>
        <v>346.91</v>
      </c>
      <c r="W14" s="4">
        <f>IFERROR(_xlfn.MINIFS($J$2:$J$11,$J$2:$J$11,"&lt;&gt; -1"),0)</f>
        <v>298.61</v>
      </c>
      <c r="X14" s="4">
        <f>IFERROR(_xlfn.MINIFS($L$2:$L$11,$L$2:$L$11,"&lt;&gt; -1"),0)</f>
        <v>0</v>
      </c>
      <c r="Y14" s="4">
        <f>IFERROR(_xlfn.MAXIFS($C$2:$C$11,$B$2:$B$11,"&lt;&gt; -1"),0)</f>
        <v>11021.49</v>
      </c>
      <c r="Z14" s="4">
        <f>IFERROR(_xlfn.MAXIFS($E$2:$E$11,$D$2:$D$11,"&lt;&gt; -1"),0)</f>
        <v>11043.88</v>
      </c>
      <c r="AA14" s="4">
        <f>IFERROR(_xlfn.MAXIFS($G$2:$G$11,$F$2:$F$11,"&lt;&gt; -1"),0)</f>
        <v>12409.99</v>
      </c>
      <c r="AB14" s="4">
        <f>IFERROR(_xlfn.MAXIFS($I$2:$I$11,$H$2:$H$11,"&lt;&gt; -1"),0)</f>
        <v>12534.79</v>
      </c>
      <c r="AC14" s="4">
        <f>IFERROR(_xlfn.MAXIFS($K$2:$K$11,$J$2:$J$11,"&lt;&gt; -1"),0)</f>
        <v>10962.6</v>
      </c>
      <c r="AD14" s="4">
        <f>IFERROR(_xlfn.MAXIFS($M$2:$M$11,$L$2:$L$11,"&lt;&gt; -1"),0)</f>
        <v>0</v>
      </c>
      <c r="AE14" s="4">
        <f>IFERROR(_xlfn.MINIFS($C$2:$C$11,$B$2:$B$11,"&lt;&gt; -1"),0)</f>
        <v>10331.01</v>
      </c>
      <c r="AF14" s="4">
        <f>IFERROR(_xlfn.MINIFS($E$2:$E$11,$D$2:$D$11,"&lt;&gt; -1"),0)</f>
        <v>10248.58</v>
      </c>
      <c r="AG14" s="4">
        <f>IFERROR(_xlfn.MINIFS($G$2:$G$11,$F$2:$F$11,"&lt;&gt; -1"),0)</f>
        <v>11724.16</v>
      </c>
      <c r="AH14" s="4">
        <f>IFERROR(_xlfn.MINIFS($I$2:$I$11,$H$2:$H$11,"&lt;&gt; -1"),0)</f>
        <v>11651.96</v>
      </c>
      <c r="AI14" s="4">
        <f>IFERROR(_xlfn.MINIFS($K$2:$K$11,$J$2:$J$11,"&lt;&gt; -1"),0)</f>
        <v>10226.23</v>
      </c>
      <c r="AJ14" s="4">
        <f>IFERROR(_xlfn.MINIFS($M$2:$M$11,$L$2:$L$11,"&lt;&gt; -1"),0)</f>
        <v>0</v>
      </c>
      <c r="AK14" s="4">
        <f>(COUNTIFS($B$2:$B$11,"&gt;0.0",$B$2:$B$11,"&lt;500.0"))/10</f>
        <v>1</v>
      </c>
      <c r="AL14" s="4">
        <f>(COUNTIFS($D$2:$D$11,"&gt;0.0",$D$2:$D$11,"&lt;500.0"))/10</f>
        <v>1</v>
      </c>
      <c r="AM14" s="4">
        <f>(COUNTIFS($F$2:$F$11,"&gt;0.0",$F$2:$F$11,"&lt;500.0"))/10</f>
        <v>1</v>
      </c>
      <c r="AN14" s="4">
        <f>(COUNTIFS($H$2:$H11,"&gt;0.0",$H$2:$H$11,"&lt;500.0"))/10</f>
        <v>0.9</v>
      </c>
      <c r="AO14" s="4">
        <f>(COUNTIFS($J$2:$J$11,"&gt;0.0",$J$2:$J$11,"&lt;500.0"))/10</f>
        <v>0.8</v>
      </c>
      <c r="AP14" s="4">
        <f>(COUNTIFS($L$2:$L$11,"&gt;0.0",$L$2:$L$11,"&lt;500.0"))/10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319.42</v>
      </c>
      <c r="C2">
        <v>10644.47</v>
      </c>
      <c r="D2">
        <v>356.54</v>
      </c>
      <c r="E2">
        <v>11054.1</v>
      </c>
      <c r="F2">
        <v>340.65</v>
      </c>
      <c r="G2">
        <v>12205.38</v>
      </c>
      <c r="H2">
        <v>-1</v>
      </c>
      <c r="I2">
        <v>0</v>
      </c>
      <c r="J2">
        <v>324.69</v>
      </c>
      <c r="K2">
        <v>10624.52</v>
      </c>
      <c r="L2">
        <v>-1</v>
      </c>
      <c r="M2">
        <v>0</v>
      </c>
    </row>
    <row r="3" spans="1:13">
      <c r="A3" t="s">
        <v>14</v>
      </c>
      <c r="B3">
        <v>307.65</v>
      </c>
      <c r="C3">
        <v>10727.4</v>
      </c>
      <c r="D3">
        <v>344.81</v>
      </c>
      <c r="E3">
        <v>10652.32</v>
      </c>
      <c r="F3">
        <v>324.12</v>
      </c>
      <c r="G3">
        <v>12165.2</v>
      </c>
      <c r="H3">
        <v>-1</v>
      </c>
      <c r="I3">
        <v>1897.44</v>
      </c>
      <c r="J3">
        <v>449.83</v>
      </c>
      <c r="K3">
        <v>10703.17</v>
      </c>
      <c r="L3">
        <v>-1</v>
      </c>
      <c r="M3">
        <v>0</v>
      </c>
    </row>
    <row r="4" spans="1:13">
      <c r="A4" t="s">
        <v>15</v>
      </c>
      <c r="B4">
        <v>299.74</v>
      </c>
      <c r="C4">
        <v>9873.01</v>
      </c>
      <c r="D4">
        <v>337.06</v>
      </c>
      <c r="E4">
        <v>10239.65</v>
      </c>
      <c r="F4">
        <v>310.7</v>
      </c>
      <c r="G4">
        <v>11157.63</v>
      </c>
      <c r="H4">
        <v>-1</v>
      </c>
      <c r="I4">
        <v>1854.69</v>
      </c>
      <c r="J4">
        <v>302.74</v>
      </c>
      <c r="K4">
        <v>9877.65</v>
      </c>
      <c r="L4">
        <v>-1</v>
      </c>
      <c r="M4">
        <v>0</v>
      </c>
    </row>
    <row r="5" spans="1:13">
      <c r="A5" t="s">
        <v>16</v>
      </c>
      <c r="B5">
        <v>312.32</v>
      </c>
      <c r="C5">
        <v>10496.71</v>
      </c>
      <c r="D5">
        <v>348.78</v>
      </c>
      <c r="E5">
        <v>10589.83</v>
      </c>
      <c r="F5">
        <v>380.89</v>
      </c>
      <c r="G5">
        <v>11860.02</v>
      </c>
      <c r="H5">
        <v>733.1</v>
      </c>
      <c r="I5">
        <v>12009.86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326.28</v>
      </c>
      <c r="C6">
        <v>10984.25</v>
      </c>
      <c r="D6">
        <v>362.5</v>
      </c>
      <c r="E6">
        <v>11069.83</v>
      </c>
      <c r="F6">
        <v>367</v>
      </c>
      <c r="G6">
        <v>12387.12</v>
      </c>
      <c r="H6">
        <v>-1</v>
      </c>
      <c r="I6">
        <v>5745.21</v>
      </c>
      <c r="J6">
        <v>585.6</v>
      </c>
      <c r="K6">
        <v>10948.76</v>
      </c>
      <c r="L6">
        <v>-1</v>
      </c>
      <c r="M6">
        <v>0</v>
      </c>
    </row>
    <row r="7" spans="1:13">
      <c r="A7" t="s">
        <v>18</v>
      </c>
      <c r="B7">
        <v>307.95</v>
      </c>
      <c r="C7">
        <v>10335.15</v>
      </c>
      <c r="D7">
        <v>344.93</v>
      </c>
      <c r="E7">
        <v>10274.9</v>
      </c>
      <c r="F7">
        <v>334.61</v>
      </c>
      <c r="G7">
        <v>11845.77</v>
      </c>
      <c r="H7">
        <v>-1</v>
      </c>
      <c r="I7">
        <v>7232.36</v>
      </c>
      <c r="J7">
        <v>351.63</v>
      </c>
      <c r="K7">
        <v>10303.77</v>
      </c>
      <c r="L7">
        <v>-1</v>
      </c>
      <c r="M7">
        <v>0</v>
      </c>
    </row>
    <row r="8" spans="1:13">
      <c r="A8" t="s">
        <v>19</v>
      </c>
      <c r="B8">
        <v>323.45</v>
      </c>
      <c r="C8">
        <v>10665.89</v>
      </c>
      <c r="D8">
        <v>360.84</v>
      </c>
      <c r="E8">
        <v>11081.42</v>
      </c>
      <c r="F8">
        <v>348.6</v>
      </c>
      <c r="G8">
        <v>12155.26</v>
      </c>
      <c r="H8">
        <v>-1</v>
      </c>
      <c r="I8">
        <v>0</v>
      </c>
      <c r="J8">
        <v>329.46</v>
      </c>
      <c r="K8">
        <v>10625.02</v>
      </c>
      <c r="L8">
        <v>-1</v>
      </c>
      <c r="M8">
        <v>0</v>
      </c>
    </row>
    <row r="9" spans="1:13">
      <c r="A9" t="s">
        <v>20</v>
      </c>
      <c r="B9">
        <v>307.34</v>
      </c>
      <c r="C9">
        <v>10526.15</v>
      </c>
      <c r="D9">
        <v>343.68</v>
      </c>
      <c r="E9">
        <v>10394.17</v>
      </c>
      <c r="F9">
        <v>362.38</v>
      </c>
      <c r="G9">
        <v>11822.95</v>
      </c>
      <c r="H9">
        <v>530.1</v>
      </c>
      <c r="I9">
        <v>11725.5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318.34</v>
      </c>
      <c r="C10">
        <v>10978.77</v>
      </c>
      <c r="D10">
        <v>356.03</v>
      </c>
      <c r="E10">
        <v>10578.4</v>
      </c>
      <c r="F10">
        <v>342.52</v>
      </c>
      <c r="G10">
        <v>12493.04</v>
      </c>
      <c r="H10">
        <v>-1</v>
      </c>
      <c r="I10">
        <v>1880.63</v>
      </c>
      <c r="J10">
        <v>326.17</v>
      </c>
      <c r="K10">
        <v>10941.03</v>
      </c>
      <c r="L10">
        <v>-1</v>
      </c>
      <c r="M10">
        <v>0</v>
      </c>
    </row>
    <row r="11" spans="1:13">
      <c r="A11" t="s">
        <v>22</v>
      </c>
      <c r="B11">
        <v>313.55</v>
      </c>
      <c r="C11">
        <v>10553.1</v>
      </c>
      <c r="D11">
        <v>350.92</v>
      </c>
      <c r="E11">
        <v>10338.6</v>
      </c>
      <c r="F11">
        <v>364.71</v>
      </c>
      <c r="G11">
        <v>11842.78</v>
      </c>
      <c r="H11">
        <v>-1</v>
      </c>
      <c r="I11">
        <v>8683.3</v>
      </c>
      <c r="J11">
        <v>361.94</v>
      </c>
      <c r="K11">
        <v>10462.32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313.604</v>
      </c>
      <c r="B14" s="4">
        <f>IFERROR(AVERAGEIF($D$2:$D$11,"&lt;&gt; -1"),0)</f>
        <v>350.609</v>
      </c>
      <c r="C14" s="4">
        <f>IFERROR(AVERAGEIF($F$2:$F$11,"&lt;&gt; -1"),0)</f>
        <v>347.618</v>
      </c>
      <c r="D14" s="4">
        <f>IFERROR(AVERAGEIF($H$2:$H$11,"&lt;&gt; -1"),0)</f>
        <v>631.6</v>
      </c>
      <c r="E14" s="4">
        <f>IFERROR(AVERAGEIF($J$2:$J$11,"&lt;&gt; -1"),0)</f>
        <v>379.0075</v>
      </c>
      <c r="F14" s="4">
        <f>IFERROR(AVERAGEIF($L$2:$L$11,"&lt;&gt; -1"),0)</f>
        <v>0</v>
      </c>
      <c r="G14" s="4">
        <f>IFERROR(AVERAGEIFS($C$2:$C$11,$B$2:$B$11,"&lt;&gt; -1"),0)</f>
        <v>10578.49</v>
      </c>
      <c r="H14" s="4">
        <f>IFERROR(AVERAGEIFS($E$2:$E$11,$D$2:$D$11,"&lt;&gt; -1"),0)</f>
        <v>10627.322</v>
      </c>
      <c r="I14" s="4">
        <f>IFERROR(AVERAGEIFS($G$2:$G$11,$F$2:$F$11,"&lt;&gt; -1"),0)</f>
        <v>11993.515</v>
      </c>
      <c r="J14" s="4">
        <f>IFERROR(AVERAGEIFS($I$2:$I$11,$H$2:$H$11,"&lt;&gt; -1"),0)</f>
        <v>11867.68</v>
      </c>
      <c r="K14" s="4">
        <f>IFERROR(AVERAGEIFS($K$2:$K$11,$J$2:$J$11,"&lt;&gt; -1"),0)</f>
        <v>10560.78</v>
      </c>
      <c r="L14" s="4">
        <f>IFERROR(AVERAGEIFS($M$2:$M$11,$L$2:$L$11,"&lt;&gt; -1"),0)</f>
        <v>0</v>
      </c>
      <c r="M14" s="4">
        <f>IFERROR(_xlfn.MAXIFS($B$2:$B$11,$B$2:$B$11,"&lt;&gt; -1"),0)</f>
        <v>326.28</v>
      </c>
      <c r="N14" s="4">
        <f>IFERROR(_xlfn.MAXIFS($D$2:$D$11,$D$2:$D$11,"&lt;&gt;-1"),0)</f>
        <v>362.5</v>
      </c>
      <c r="O14" s="4">
        <f>IFERROR(_xlfn.MAXIFS($F$2:$F$11,$F$2:$F$11,"&lt;&gt; -1"),0)</f>
        <v>380.89</v>
      </c>
      <c r="P14" s="4">
        <f>IFERROR(_xlfn.MAXIFS($H$2:$H$11,$H$2:$H$11,"&lt;&gt; -1"),0)</f>
        <v>733.1</v>
      </c>
      <c r="Q14" s="4">
        <f>IFERROR(_xlfn.MAXIFS($J$2:$J$11,$J$2:$J$11,"&lt;&gt; -1"),0)</f>
        <v>585.6</v>
      </c>
      <c r="R14" s="4">
        <f>IFERROR(_xlfn.MAXIFS($L$2:$L$11,$L$2:$L$11,"&lt;&gt; -1"),0)</f>
        <v>0</v>
      </c>
      <c r="S14" s="4">
        <f>IFERROR(_xlfn.MINIFS($B$2:$B$11,$B$2:$B$11,"&lt;&gt; -1"),0)</f>
        <v>299.74</v>
      </c>
      <c r="T14" s="4">
        <f>IFERROR(_xlfn.MINIFS($D$2:$D$11,$D$2:$D$11,"&lt;&gt;-1"),0)</f>
        <v>337.06</v>
      </c>
      <c r="U14" s="4">
        <f>IFERROR(_xlfn.MINIFS($F$2:$F$11,$F$2:$F$11,"&lt;&gt; -1"),0)</f>
        <v>310.7</v>
      </c>
      <c r="V14" s="4">
        <f>IFERROR(_xlfn.MINIFS($H$2:$H$11,$H$2:$H$11,"&lt;&gt; -1"),0)</f>
        <v>530.1</v>
      </c>
      <c r="W14" s="4">
        <f>IFERROR(_xlfn.MINIFS($J$2:$J$11,$J$2:$J$11,"&lt;&gt; -1"),0)</f>
        <v>302.74</v>
      </c>
      <c r="X14" s="4">
        <f>IFERROR(_xlfn.MINIFS($L$2:$L$11,$L$2:$L$11,"&lt;&gt; -1"),0)</f>
        <v>0</v>
      </c>
      <c r="Y14" s="4">
        <f>IFERROR(_xlfn.MAXIFS($C$2:$C$11,$B$2:$B$11,"&lt;&gt; -1"),0)</f>
        <v>10984.25</v>
      </c>
      <c r="Z14" s="4">
        <f>IFERROR(_xlfn.MAXIFS($E$2:$E$11,$D$2:$D$11,"&lt;&gt; -1"),0)</f>
        <v>11081.42</v>
      </c>
      <c r="AA14" s="4">
        <f>IFERROR(_xlfn.MAXIFS($G$2:$G$11,$F$2:$F$11,"&lt;&gt; -1"),0)</f>
        <v>12493.04</v>
      </c>
      <c r="AB14" s="4">
        <f>IFERROR(_xlfn.MAXIFS($I$2:$I$11,$H$2:$H$11,"&lt;&gt; -1"),0)</f>
        <v>12009.86</v>
      </c>
      <c r="AC14" s="4">
        <f>IFERROR(_xlfn.MAXIFS($K$2:$K$11,$J$2:$J$11,"&lt;&gt; -1"),0)</f>
        <v>10948.76</v>
      </c>
      <c r="AD14" s="4">
        <f>IFERROR(_xlfn.MAXIFS($M$2:$M$11,$L$2:$L$11,"&lt;&gt; -1"),0)</f>
        <v>0</v>
      </c>
      <c r="AE14" s="4">
        <f>IFERROR(_xlfn.MINIFS($C$2:$C$11,$B$2:$B$11,"&lt;&gt; -1"),0)</f>
        <v>9873.01</v>
      </c>
      <c r="AF14" s="4">
        <f>IFERROR(_xlfn.MINIFS($E$2:$E$11,$D$2:$D$11,"&lt;&gt; -1"),0)</f>
        <v>10239.65</v>
      </c>
      <c r="AG14" s="4">
        <f>IFERROR(_xlfn.MINIFS($G$2:$G$11,$F$2:$F$11,"&lt;&gt; -1"),0)</f>
        <v>11157.63</v>
      </c>
      <c r="AH14" s="4">
        <f>IFERROR(_xlfn.MINIFS($I$2:$I$11,$H$2:$H$11,"&lt;&gt; -1"),0)</f>
        <v>11725.5</v>
      </c>
      <c r="AI14" s="4">
        <f>IFERROR(_xlfn.MINIFS($K$2:$K$11,$J$2:$J$11,"&lt;&gt; -1"),0)</f>
        <v>9877.65</v>
      </c>
      <c r="AJ14" s="4">
        <f>IFERROR(_xlfn.MINIFS($M$2:$M$11,$L$2:$L$11,"&lt;&gt; -1"),0)</f>
        <v>0</v>
      </c>
      <c r="AK14" s="4">
        <f>(COUNTIFS($B$2:$B$11,"&gt;0.0",$B$2:$B$11,"&lt;500.0"))/10</f>
        <v>1</v>
      </c>
      <c r="AL14" s="4">
        <f>(COUNTIFS($D$2:$D$11,"&gt;0.0",$D$2:$D$11,"&lt;500.0"))/10</f>
        <v>1</v>
      </c>
      <c r="AM14" s="4">
        <f>(COUNTIFS($F$2:$F$11,"&gt;0.0",$F$2:$F$11,"&lt;500.0"))/10</f>
        <v>1</v>
      </c>
      <c r="AN14" s="4">
        <f>(COUNTIFS($H$2:$H11,"&gt;0.0",$H$2:$H$11,"&lt;500.0"))/10</f>
        <v>0</v>
      </c>
      <c r="AO14" s="4">
        <f>(COUNTIFS($J$2:$J$11,"&gt;0.0",$J$2:$J$11,"&lt;500.0"))/10</f>
        <v>0.7</v>
      </c>
      <c r="AP14" s="4">
        <f>(COUNTIFS($L$2:$L$11,"&gt;0.0",$L$2:$L$11,"&lt;500.0"))/10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342.49</v>
      </c>
      <c r="C2">
        <v>10927.04</v>
      </c>
      <c r="D2">
        <v>378.78</v>
      </c>
      <c r="E2">
        <v>11099.27</v>
      </c>
      <c r="F2">
        <v>375.27</v>
      </c>
      <c r="G2">
        <v>12393.72</v>
      </c>
      <c r="H2">
        <v>-1</v>
      </c>
      <c r="I2">
        <v>2576</v>
      </c>
      <c r="J2">
        <v>352.96</v>
      </c>
      <c r="K2">
        <v>10887.6</v>
      </c>
      <c r="L2">
        <v>-1</v>
      </c>
      <c r="M2">
        <v>0</v>
      </c>
    </row>
    <row r="3" spans="1:13">
      <c r="A3" t="s">
        <v>14</v>
      </c>
      <c r="B3">
        <v>338.17</v>
      </c>
      <c r="C3">
        <v>10423.46</v>
      </c>
      <c r="D3">
        <v>374.58</v>
      </c>
      <c r="E3">
        <v>10787.66</v>
      </c>
      <c r="F3">
        <v>377.26</v>
      </c>
      <c r="G3">
        <v>11910.21</v>
      </c>
      <c r="H3">
        <v>-1</v>
      </c>
      <c r="I3">
        <v>0</v>
      </c>
      <c r="J3">
        <v>388.53</v>
      </c>
      <c r="K3">
        <v>10412.93</v>
      </c>
      <c r="L3">
        <v>-1</v>
      </c>
      <c r="M3">
        <v>0</v>
      </c>
    </row>
    <row r="4" spans="1:13">
      <c r="A4" t="s">
        <v>15</v>
      </c>
      <c r="B4">
        <v>324.92</v>
      </c>
      <c r="C4">
        <v>10306.13</v>
      </c>
      <c r="D4">
        <v>360.99</v>
      </c>
      <c r="E4">
        <v>10572.88</v>
      </c>
      <c r="F4">
        <v>358.57</v>
      </c>
      <c r="G4">
        <v>11610.52</v>
      </c>
      <c r="H4">
        <v>-1</v>
      </c>
      <c r="I4">
        <v>0</v>
      </c>
      <c r="J4">
        <v>376.43</v>
      </c>
      <c r="K4">
        <v>10222.87</v>
      </c>
      <c r="L4">
        <v>-1</v>
      </c>
      <c r="M4">
        <v>0</v>
      </c>
    </row>
    <row r="5" spans="1:13">
      <c r="A5" t="s">
        <v>16</v>
      </c>
      <c r="B5">
        <v>341.84</v>
      </c>
      <c r="C5">
        <v>10823.27</v>
      </c>
      <c r="D5">
        <v>376.75</v>
      </c>
      <c r="E5">
        <v>10388.08</v>
      </c>
      <c r="F5">
        <v>487.1</v>
      </c>
      <c r="G5">
        <v>12062.88</v>
      </c>
      <c r="H5">
        <v>-1</v>
      </c>
      <c r="I5">
        <v>0</v>
      </c>
      <c r="J5">
        <v>-1</v>
      </c>
      <c r="K5">
        <v>1556.73</v>
      </c>
      <c r="L5">
        <v>-1</v>
      </c>
      <c r="M5">
        <v>0</v>
      </c>
    </row>
    <row r="6" spans="1:13">
      <c r="A6" t="s">
        <v>17</v>
      </c>
      <c r="B6">
        <v>350.94</v>
      </c>
      <c r="C6">
        <v>11267.8</v>
      </c>
      <c r="D6">
        <v>386.46</v>
      </c>
      <c r="E6">
        <v>11408.97</v>
      </c>
      <c r="F6">
        <v>433.84</v>
      </c>
      <c r="G6">
        <v>12555.24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334.68</v>
      </c>
      <c r="C7">
        <v>10267.14</v>
      </c>
      <c r="D7">
        <v>371.81</v>
      </c>
      <c r="E7">
        <v>10430.88</v>
      </c>
      <c r="F7">
        <v>349.27</v>
      </c>
      <c r="G7">
        <v>11819.77</v>
      </c>
      <c r="H7">
        <v>-1</v>
      </c>
      <c r="I7">
        <v>2347.94</v>
      </c>
      <c r="J7">
        <v>346.93</v>
      </c>
      <c r="K7">
        <v>10265.6</v>
      </c>
      <c r="L7">
        <v>-1</v>
      </c>
      <c r="M7">
        <v>0</v>
      </c>
    </row>
    <row r="8" spans="1:13">
      <c r="A8" t="s">
        <v>19</v>
      </c>
      <c r="B8">
        <v>346.73</v>
      </c>
      <c r="C8">
        <v>10772.5</v>
      </c>
      <c r="D8">
        <v>382.97</v>
      </c>
      <c r="E8">
        <v>10769.92</v>
      </c>
      <c r="F8">
        <v>386.51</v>
      </c>
      <c r="G8">
        <v>12219.03</v>
      </c>
      <c r="H8">
        <v>-1</v>
      </c>
      <c r="I8">
        <v>2217.83</v>
      </c>
      <c r="J8">
        <v>366.92</v>
      </c>
      <c r="K8">
        <v>10691.07</v>
      </c>
      <c r="L8">
        <v>-1</v>
      </c>
      <c r="M8">
        <v>0</v>
      </c>
    </row>
    <row r="9" spans="1:13">
      <c r="A9" t="s">
        <v>20</v>
      </c>
      <c r="B9">
        <v>334.4</v>
      </c>
      <c r="C9">
        <v>10293.64</v>
      </c>
      <c r="D9">
        <v>370.97</v>
      </c>
      <c r="E9">
        <v>10954.94</v>
      </c>
      <c r="F9">
        <v>366.87</v>
      </c>
      <c r="G9">
        <v>11732.37</v>
      </c>
      <c r="H9">
        <v>-1</v>
      </c>
      <c r="I9">
        <v>0</v>
      </c>
      <c r="J9">
        <v>347.03</v>
      </c>
      <c r="K9">
        <v>10223.27</v>
      </c>
      <c r="L9">
        <v>-1</v>
      </c>
      <c r="M9">
        <v>0</v>
      </c>
    </row>
    <row r="10" spans="1:13">
      <c r="A10" t="s">
        <v>21</v>
      </c>
      <c r="B10">
        <v>345.96</v>
      </c>
      <c r="C10">
        <v>10693.92</v>
      </c>
      <c r="D10">
        <v>382.27</v>
      </c>
      <c r="E10">
        <v>10905.86</v>
      </c>
      <c r="F10">
        <v>382.81</v>
      </c>
      <c r="G10">
        <v>12065.94</v>
      </c>
      <c r="H10">
        <v>-1</v>
      </c>
      <c r="I10">
        <v>0</v>
      </c>
      <c r="J10">
        <v>505.25</v>
      </c>
      <c r="K10">
        <v>10658.35</v>
      </c>
      <c r="L10">
        <v>-1</v>
      </c>
      <c r="M10">
        <v>0</v>
      </c>
    </row>
    <row r="11" spans="1:13">
      <c r="A11" t="s">
        <v>22</v>
      </c>
      <c r="B11">
        <v>340.57</v>
      </c>
      <c r="C11">
        <v>10758.36</v>
      </c>
      <c r="D11">
        <v>376</v>
      </c>
      <c r="E11">
        <v>10624.97</v>
      </c>
      <c r="F11">
        <v>414.32</v>
      </c>
      <c r="G11">
        <v>12102.05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340.07</v>
      </c>
      <c r="B14" s="4">
        <f>IFERROR(AVERAGEIF($D$2:$D$11,"&lt;&gt; -1"),0)</f>
        <v>376.158</v>
      </c>
      <c r="C14" s="4">
        <f>IFERROR(AVERAGEIF($F$2:$F$11,"&lt;&gt; -1"),0)</f>
        <v>393.182</v>
      </c>
      <c r="D14" s="4">
        <f>IFERROR(AVERAGEIF($H$2:$H$11,"&lt;&gt; -1"),0)</f>
        <v>0</v>
      </c>
      <c r="E14" s="4">
        <f>IFERROR(AVERAGEIF($J$2:$J$11,"&lt;&gt; -1"),0)</f>
        <v>383.435714285714</v>
      </c>
      <c r="F14" s="4">
        <f>IFERROR(AVERAGEIF($L$2:$L$11,"&lt;&gt; -1"),0)</f>
        <v>0</v>
      </c>
      <c r="G14" s="4">
        <f>IFERROR(AVERAGEIFS($C$2:$C$11,$B$2:$B$11,"&lt;&gt; -1"),0)</f>
        <v>10653.326</v>
      </c>
      <c r="H14" s="4">
        <f>IFERROR(AVERAGEIFS($E$2:$E$11,$D$2:$D$11,"&lt;&gt; -1"),0)</f>
        <v>10794.343</v>
      </c>
      <c r="I14" s="4">
        <f>IFERROR(AVERAGEIFS($G$2:$G$11,$F$2:$F$11,"&lt;&gt; -1"),0)</f>
        <v>12047.173</v>
      </c>
      <c r="J14" s="4">
        <f>IFERROR(AVERAGEIFS($I$2:$I$11,$H$2:$H$11,"&lt;&gt; -1"),0)</f>
        <v>0</v>
      </c>
      <c r="K14" s="4">
        <f>IFERROR(AVERAGEIFS($K$2:$K$11,$J$2:$J$11,"&lt;&gt; -1"),0)</f>
        <v>10480.2414285714</v>
      </c>
      <c r="L14" s="4">
        <f>IFERROR(AVERAGEIFS($M$2:$M$11,$L$2:$L$11,"&lt;&gt; -1"),0)</f>
        <v>0</v>
      </c>
      <c r="M14" s="4">
        <f>IFERROR(_xlfn.MAXIFS($B$2:$B$11,$B$2:$B$11,"&lt;&gt; -1"),0)</f>
        <v>350.94</v>
      </c>
      <c r="N14" s="4">
        <f>IFERROR(_xlfn.MAXIFS($D$2:$D$11,$D$2:$D$11,"&lt;&gt;-1"),0)</f>
        <v>386.46</v>
      </c>
      <c r="O14" s="4">
        <f>IFERROR(_xlfn.MAXIFS($F$2:$F$11,$F$2:$F$11,"&lt;&gt; -1"),0)</f>
        <v>487.1</v>
      </c>
      <c r="P14" s="4">
        <f>IFERROR(_xlfn.MAXIFS($H$2:$H$11,$H$2:$H$11,"&lt;&gt; -1"),0)</f>
        <v>0</v>
      </c>
      <c r="Q14" s="4">
        <f>IFERROR(_xlfn.MAXIFS($J$2:$J$11,$J$2:$J$11,"&lt;&gt; -1"),0)</f>
        <v>505.25</v>
      </c>
      <c r="R14" s="4">
        <f>IFERROR(_xlfn.MAXIFS($L$2:$L$11,$L$2:$L$11,"&lt;&gt; -1"),0)</f>
        <v>0</v>
      </c>
      <c r="S14" s="4">
        <f>IFERROR(_xlfn.MINIFS($B$2:$B$11,$B$2:$B$11,"&lt;&gt; -1"),0)</f>
        <v>324.92</v>
      </c>
      <c r="T14" s="4">
        <f>IFERROR(_xlfn.MINIFS($D$2:$D$11,$D$2:$D$11,"&lt;&gt;-1"),0)</f>
        <v>360.99</v>
      </c>
      <c r="U14" s="4">
        <f>IFERROR(_xlfn.MINIFS($F$2:$F$11,$F$2:$F$11,"&lt;&gt; -1"),0)</f>
        <v>349.27</v>
      </c>
      <c r="V14" s="4">
        <f>IFERROR(_xlfn.MINIFS($H$2:$H$11,$H$2:$H$11,"&lt;&gt; -1"),0)</f>
        <v>0</v>
      </c>
      <c r="W14" s="4">
        <f>IFERROR(_xlfn.MINIFS($J$2:$J$11,$J$2:$J$11,"&lt;&gt; -1"),0)</f>
        <v>346.93</v>
      </c>
      <c r="X14" s="4">
        <f>IFERROR(_xlfn.MINIFS($L$2:$L$11,$L$2:$L$11,"&lt;&gt; -1"),0)</f>
        <v>0</v>
      </c>
      <c r="Y14" s="4">
        <f>IFERROR(_xlfn.MAXIFS($C$2:$C$11,$B$2:$B$11,"&lt;&gt; -1"),0)</f>
        <v>11267.8</v>
      </c>
      <c r="Z14" s="4">
        <f>IFERROR(_xlfn.MAXIFS($E$2:$E$11,$D$2:$D$11,"&lt;&gt; -1"),0)</f>
        <v>11408.97</v>
      </c>
      <c r="AA14" s="4">
        <f>IFERROR(_xlfn.MAXIFS($G$2:$G$11,$F$2:$F$11,"&lt;&gt; -1"),0)</f>
        <v>12555.24</v>
      </c>
      <c r="AB14" s="4">
        <f>IFERROR(_xlfn.MAXIFS($I$2:$I$11,$H$2:$H$11,"&lt;&gt; -1"),0)</f>
        <v>0</v>
      </c>
      <c r="AC14" s="4">
        <f>IFERROR(_xlfn.MAXIFS($K$2:$K$11,$J$2:$J$11,"&lt;&gt; -1"),0)</f>
        <v>10887.6</v>
      </c>
      <c r="AD14" s="4">
        <f>IFERROR(_xlfn.MAXIFS($M$2:$M$11,$L$2:$L$11,"&lt;&gt; -1"),0)</f>
        <v>0</v>
      </c>
      <c r="AE14" s="4">
        <f>IFERROR(_xlfn.MINIFS($C$2:$C$11,$B$2:$B$11,"&lt;&gt; -1"),0)</f>
        <v>10267.14</v>
      </c>
      <c r="AF14" s="4">
        <f>IFERROR(_xlfn.MINIFS($E$2:$E$11,$D$2:$D$11,"&lt;&gt; -1"),0)</f>
        <v>10388.08</v>
      </c>
      <c r="AG14" s="4">
        <f>IFERROR(_xlfn.MINIFS($G$2:$G$11,$F$2:$F$11,"&lt;&gt; -1"),0)</f>
        <v>11610.52</v>
      </c>
      <c r="AH14" s="4">
        <f>IFERROR(_xlfn.MINIFS($I$2:$I$11,$H$2:$H$11,"&lt;&gt; -1"),0)</f>
        <v>0</v>
      </c>
      <c r="AI14" s="4">
        <f>IFERROR(_xlfn.MINIFS($K$2:$K$11,$J$2:$J$11,"&lt;&gt; -1"),0)</f>
        <v>10222.87</v>
      </c>
      <c r="AJ14" s="4">
        <f>IFERROR(_xlfn.MINIFS($M$2:$M$11,$L$2:$L$11,"&lt;&gt; -1"),0)</f>
        <v>0</v>
      </c>
      <c r="AK14" s="4">
        <f>(COUNTIFS($B$2:$B$11,"&gt;0.0",$B$2:$B$11,"&lt;500.0"))/10</f>
        <v>1</v>
      </c>
      <c r="AL14" s="4">
        <f>(COUNTIFS($D$2:$D$11,"&gt;0.0",$D$2:$D$11,"&lt;500.0"))/10</f>
        <v>1</v>
      </c>
      <c r="AM14" s="4">
        <f>(COUNTIFS($F$2:$F$11,"&gt;0.0",$F$2:$F$11,"&lt;500.0"))/10</f>
        <v>1</v>
      </c>
      <c r="AN14" s="4">
        <f>(COUNTIFS($H$2:$H11,"&gt;0.0",$H$2:$H$11,"&lt;500.0"))/10</f>
        <v>0</v>
      </c>
      <c r="AO14" s="4">
        <f>(COUNTIFS($J$2:$J$11,"&gt;0.0",$J$2:$J$11,"&lt;500.0"))/10</f>
        <v>0.6</v>
      </c>
      <c r="AP14" s="4">
        <f>(COUNTIFS($L$2:$L$11,"&gt;0.0",$L$2:$L$11,"&lt;500.0"))/10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377.01</v>
      </c>
      <c r="C2">
        <v>11092.3</v>
      </c>
      <c r="D2">
        <v>408.38</v>
      </c>
      <c r="E2">
        <v>11001.66</v>
      </c>
      <c r="F2">
        <v>462.83</v>
      </c>
      <c r="G2">
        <v>12459.91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370.5</v>
      </c>
      <c r="C3">
        <v>10504.83</v>
      </c>
      <c r="D3">
        <v>403.34</v>
      </c>
      <c r="E3">
        <v>10540.28</v>
      </c>
      <c r="F3">
        <v>433.59</v>
      </c>
      <c r="G3">
        <v>11947.72</v>
      </c>
      <c r="H3">
        <v>-1</v>
      </c>
      <c r="I3">
        <v>0</v>
      </c>
      <c r="J3">
        <v>-1</v>
      </c>
      <c r="K3">
        <v>1130.58</v>
      </c>
      <c r="L3">
        <v>-1</v>
      </c>
      <c r="M3">
        <v>0</v>
      </c>
    </row>
    <row r="4" spans="1:13">
      <c r="A4" t="s">
        <v>15</v>
      </c>
      <c r="B4">
        <v>356.34</v>
      </c>
      <c r="C4">
        <v>9936.82</v>
      </c>
      <c r="D4">
        <v>390</v>
      </c>
      <c r="E4">
        <v>10278.46</v>
      </c>
      <c r="F4">
        <v>387.19</v>
      </c>
      <c r="G4">
        <v>11323.09</v>
      </c>
      <c r="H4">
        <v>-1</v>
      </c>
      <c r="I4">
        <v>0</v>
      </c>
      <c r="J4">
        <v>456.55</v>
      </c>
      <c r="K4">
        <v>9904.66</v>
      </c>
      <c r="L4">
        <v>-1</v>
      </c>
      <c r="M4">
        <v>0</v>
      </c>
    </row>
    <row r="5" spans="1:13">
      <c r="A5" t="s">
        <v>16</v>
      </c>
      <c r="B5">
        <v>376.56</v>
      </c>
      <c r="C5">
        <v>10690.12</v>
      </c>
      <c r="D5">
        <v>409.35</v>
      </c>
      <c r="E5">
        <v>10702.35</v>
      </c>
      <c r="F5">
        <v>424.19</v>
      </c>
      <c r="G5">
        <v>12053.87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391.35</v>
      </c>
      <c r="C6">
        <v>11033.58</v>
      </c>
      <c r="D6">
        <v>423.42</v>
      </c>
      <c r="E6">
        <v>11285.14</v>
      </c>
      <c r="F6">
        <v>478.34</v>
      </c>
      <c r="G6">
        <v>12361.41</v>
      </c>
      <c r="H6">
        <v>-1</v>
      </c>
      <c r="I6">
        <v>0</v>
      </c>
      <c r="J6">
        <v>-1</v>
      </c>
      <c r="K6">
        <v>1024.66</v>
      </c>
      <c r="L6">
        <v>-1</v>
      </c>
      <c r="M6">
        <v>0</v>
      </c>
    </row>
    <row r="7" spans="1:13">
      <c r="A7" t="s">
        <v>18</v>
      </c>
      <c r="B7">
        <v>369.33</v>
      </c>
      <c r="C7">
        <v>10504.71</v>
      </c>
      <c r="D7">
        <v>401.92</v>
      </c>
      <c r="E7">
        <v>10583.79</v>
      </c>
      <c r="F7">
        <v>440.33</v>
      </c>
      <c r="G7">
        <v>11914.52</v>
      </c>
      <c r="H7">
        <v>-1</v>
      </c>
      <c r="I7">
        <v>0</v>
      </c>
      <c r="J7">
        <v>764.28</v>
      </c>
      <c r="K7">
        <v>10390.52</v>
      </c>
      <c r="L7">
        <v>-1</v>
      </c>
      <c r="M7">
        <v>0</v>
      </c>
    </row>
    <row r="8" spans="1:13">
      <c r="A8" t="s">
        <v>19</v>
      </c>
      <c r="B8">
        <v>375.62</v>
      </c>
      <c r="C8">
        <v>10566.66</v>
      </c>
      <c r="D8">
        <v>408.67</v>
      </c>
      <c r="E8">
        <v>10726.05</v>
      </c>
      <c r="F8">
        <v>419.63</v>
      </c>
      <c r="G8">
        <v>11956.86</v>
      </c>
      <c r="H8">
        <v>-1</v>
      </c>
      <c r="I8">
        <v>0</v>
      </c>
      <c r="J8">
        <v>437.05</v>
      </c>
      <c r="K8">
        <v>10520.47</v>
      </c>
      <c r="L8">
        <v>-1</v>
      </c>
      <c r="M8">
        <v>0</v>
      </c>
    </row>
    <row r="9" spans="1:13">
      <c r="A9" t="s">
        <v>20</v>
      </c>
      <c r="B9">
        <v>369.51</v>
      </c>
      <c r="C9">
        <v>10364.54</v>
      </c>
      <c r="D9">
        <v>402.66</v>
      </c>
      <c r="E9">
        <v>10733.31</v>
      </c>
      <c r="F9">
        <v>410.11</v>
      </c>
      <c r="G9">
        <v>11824.83</v>
      </c>
      <c r="H9">
        <v>-1</v>
      </c>
      <c r="I9">
        <v>0</v>
      </c>
      <c r="J9">
        <v>526.42</v>
      </c>
      <c r="K9">
        <v>10321.52</v>
      </c>
      <c r="L9">
        <v>-1</v>
      </c>
      <c r="M9">
        <v>0</v>
      </c>
    </row>
    <row r="10" spans="1:13">
      <c r="A10" t="s">
        <v>21</v>
      </c>
      <c r="B10">
        <v>376.15</v>
      </c>
      <c r="C10">
        <v>10787.11</v>
      </c>
      <c r="D10">
        <v>410</v>
      </c>
      <c r="E10">
        <v>10956.29</v>
      </c>
      <c r="F10">
        <v>420.56</v>
      </c>
      <c r="G10">
        <v>12215.23</v>
      </c>
      <c r="H10">
        <v>-1</v>
      </c>
      <c r="I10">
        <v>3253.51</v>
      </c>
      <c r="J10">
        <v>453.21</v>
      </c>
      <c r="K10">
        <v>10735.68</v>
      </c>
      <c r="L10">
        <v>-1</v>
      </c>
      <c r="M10">
        <v>0</v>
      </c>
    </row>
    <row r="11" spans="1:13">
      <c r="A11" t="s">
        <v>22</v>
      </c>
      <c r="B11">
        <v>377.31</v>
      </c>
      <c r="C11">
        <v>10497.07</v>
      </c>
      <c r="D11">
        <v>409.58</v>
      </c>
      <c r="E11">
        <v>10487.61</v>
      </c>
      <c r="F11">
        <v>423.29</v>
      </c>
      <c r="G11">
        <v>11773.08</v>
      </c>
      <c r="H11">
        <v>-1</v>
      </c>
      <c r="I11">
        <v>0</v>
      </c>
      <c r="J11">
        <v>404.32</v>
      </c>
      <c r="K11">
        <v>10333.46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373.968</v>
      </c>
      <c r="B14" s="4">
        <f>IFERROR(AVERAGEIF($D$2:$D$11,"&lt;&gt; -1"),0)</f>
        <v>406.732</v>
      </c>
      <c r="C14" s="4">
        <f>IFERROR(AVERAGEIF($F$2:$F$11,"&lt;&gt; -1"),0)</f>
        <v>430.006</v>
      </c>
      <c r="D14" s="4">
        <f>IFERROR(AVERAGEIF($H$2:$H$11,"&lt;&gt; -1"),0)</f>
        <v>0</v>
      </c>
      <c r="E14" s="4">
        <f>IFERROR(AVERAGEIF($J$2:$J$11,"&lt;&gt; -1"),0)</f>
        <v>506.971666666667</v>
      </c>
      <c r="F14" s="4">
        <f>IFERROR(AVERAGEIF($L$2:$L$11,"&lt;&gt; -1"),0)</f>
        <v>0</v>
      </c>
      <c r="G14" s="4">
        <f>IFERROR(AVERAGEIFS($C$2:$C$11,$B$2:$B$11,"&lt;&gt; -1"),0)</f>
        <v>10597.774</v>
      </c>
      <c r="H14" s="4">
        <f>IFERROR(AVERAGEIFS($E$2:$E$11,$D$2:$D$11,"&lt;&gt; -1"),0)</f>
        <v>10729.494</v>
      </c>
      <c r="I14" s="4">
        <f>IFERROR(AVERAGEIFS($G$2:$G$11,$F$2:$F$11,"&lt;&gt; -1"),0)</f>
        <v>11983.052</v>
      </c>
      <c r="J14" s="4">
        <f>IFERROR(AVERAGEIFS($I$2:$I$11,$H$2:$H$11,"&lt;&gt; -1"),0)</f>
        <v>0</v>
      </c>
      <c r="K14" s="4">
        <f>IFERROR(AVERAGEIFS($K$2:$K$11,$J$2:$J$11,"&lt;&gt; -1"),0)</f>
        <v>10367.7183333333</v>
      </c>
      <c r="L14" s="4">
        <f>IFERROR(AVERAGEIFS($M$2:$M$11,$L$2:$L$11,"&lt;&gt; -1"),0)</f>
        <v>0</v>
      </c>
      <c r="M14" s="4">
        <f>IFERROR(_xlfn.MAXIFS($B$2:$B$11,$B$2:$B$11,"&lt;&gt; -1"),0)</f>
        <v>391.35</v>
      </c>
      <c r="N14" s="4">
        <f>IFERROR(_xlfn.MAXIFS($D$2:$D$11,$D$2:$D$11,"&lt;&gt;-1"),0)</f>
        <v>423.42</v>
      </c>
      <c r="O14" s="4">
        <f>IFERROR(_xlfn.MAXIFS($F$2:$F$11,$F$2:$F$11,"&lt;&gt; -1"),0)</f>
        <v>478.34</v>
      </c>
      <c r="P14" s="4">
        <f>IFERROR(_xlfn.MAXIFS($H$2:$H$11,$H$2:$H$11,"&lt;&gt; -1"),0)</f>
        <v>0</v>
      </c>
      <c r="Q14" s="4">
        <f>IFERROR(_xlfn.MAXIFS($J$2:$J$11,$J$2:$J$11,"&lt;&gt; -1"),0)</f>
        <v>764.28</v>
      </c>
      <c r="R14" s="4">
        <f>IFERROR(_xlfn.MAXIFS($L$2:$L$11,$L$2:$L$11,"&lt;&gt; -1"),0)</f>
        <v>0</v>
      </c>
      <c r="S14" s="4">
        <f>IFERROR(_xlfn.MINIFS($B$2:$B$11,$B$2:$B$11,"&lt;&gt; -1"),0)</f>
        <v>356.34</v>
      </c>
      <c r="T14" s="4">
        <f>IFERROR(_xlfn.MINIFS($D$2:$D$11,$D$2:$D$11,"&lt;&gt;-1"),0)</f>
        <v>390</v>
      </c>
      <c r="U14" s="4">
        <f>IFERROR(_xlfn.MINIFS($F$2:$F$11,$F$2:$F$11,"&lt;&gt; -1"),0)</f>
        <v>387.19</v>
      </c>
      <c r="V14" s="4">
        <f>IFERROR(_xlfn.MINIFS($H$2:$H$11,$H$2:$H$11,"&lt;&gt; -1"),0)</f>
        <v>0</v>
      </c>
      <c r="W14" s="4">
        <f>IFERROR(_xlfn.MINIFS($J$2:$J$11,$J$2:$J$11,"&lt;&gt; -1"),0)</f>
        <v>404.32</v>
      </c>
      <c r="X14" s="4">
        <f>IFERROR(_xlfn.MINIFS($L$2:$L$11,$L$2:$L$11,"&lt;&gt; -1"),0)</f>
        <v>0</v>
      </c>
      <c r="Y14" s="4">
        <f>IFERROR(_xlfn.MAXIFS($C$2:$C$11,$B$2:$B$11,"&lt;&gt; -1"),0)</f>
        <v>11092.3</v>
      </c>
      <c r="Z14" s="4">
        <f>IFERROR(_xlfn.MAXIFS($E$2:$E$11,$D$2:$D$11,"&lt;&gt; -1"),0)</f>
        <v>11285.14</v>
      </c>
      <c r="AA14" s="4">
        <f>IFERROR(_xlfn.MAXIFS($G$2:$G$11,$F$2:$F$11,"&lt;&gt; -1"),0)</f>
        <v>12459.91</v>
      </c>
      <c r="AB14" s="4">
        <f>IFERROR(_xlfn.MAXIFS($I$2:$I$11,$H$2:$H$11,"&lt;&gt; -1"),0)</f>
        <v>0</v>
      </c>
      <c r="AC14" s="4">
        <f>IFERROR(_xlfn.MAXIFS($K$2:$K$11,$J$2:$J$11,"&lt;&gt; -1"),0)</f>
        <v>10735.68</v>
      </c>
      <c r="AD14" s="4">
        <f>IFERROR(_xlfn.MAXIFS($M$2:$M$11,$L$2:$L$11,"&lt;&gt; -1"),0)</f>
        <v>0</v>
      </c>
      <c r="AE14" s="4">
        <f>IFERROR(_xlfn.MINIFS($C$2:$C$11,$B$2:$B$11,"&lt;&gt; -1"),0)</f>
        <v>9936.82</v>
      </c>
      <c r="AF14" s="4">
        <f>IFERROR(_xlfn.MINIFS($E$2:$E$11,$D$2:$D$11,"&lt;&gt; -1"),0)</f>
        <v>10278.46</v>
      </c>
      <c r="AG14" s="4">
        <f>IFERROR(_xlfn.MINIFS($G$2:$G$11,$F$2:$F$11,"&lt;&gt; -1"),0)</f>
        <v>11323.09</v>
      </c>
      <c r="AH14" s="4">
        <f>IFERROR(_xlfn.MINIFS($I$2:$I$11,$H$2:$H$11,"&lt;&gt; -1"),0)</f>
        <v>0</v>
      </c>
      <c r="AI14" s="4">
        <f>IFERROR(_xlfn.MINIFS($K$2:$K$11,$J$2:$J$11,"&lt;&gt; -1"),0)</f>
        <v>9904.66</v>
      </c>
      <c r="AJ14" s="4">
        <f>IFERROR(_xlfn.MINIFS($M$2:$M$11,$L$2:$L$11,"&lt;&gt; -1"),0)</f>
        <v>0</v>
      </c>
      <c r="AK14" s="4">
        <f>(COUNTIFS($B$2:$B$11,"&gt;0.0",$B$2:$B$11,"&lt;500.0"))/10</f>
        <v>1</v>
      </c>
      <c r="AL14" s="4">
        <f>(COUNTIFS($D$2:$D$11,"&gt;0.0",$D$2:$D$11,"&lt;500.0"))/10</f>
        <v>1</v>
      </c>
      <c r="AM14" s="4">
        <f>(COUNTIFS($F$2:$F$11,"&gt;0.0",$F$2:$F$11,"&lt;500.0"))/10</f>
        <v>1</v>
      </c>
      <c r="AN14" s="4">
        <f>(COUNTIFS($H$2:$H11,"&gt;0.0",$H$2:$H$11,"&lt;500.0"))/10</f>
        <v>0</v>
      </c>
      <c r="AO14" s="4">
        <f>(COUNTIFS($J$2:$J$11,"&gt;0.0",$J$2:$J$11,"&lt;500.0"))/10</f>
        <v>0.4</v>
      </c>
      <c r="AP14" s="4">
        <f>(COUNTIFS($L$2:$L$11,"&gt;0.0",$L$2:$L$11,"&lt;500.0"))/10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402.81</v>
      </c>
      <c r="C2">
        <v>10908.5</v>
      </c>
      <c r="D2">
        <v>405.14</v>
      </c>
      <c r="E2">
        <v>10946.59</v>
      </c>
      <c r="F2">
        <v>584.54</v>
      </c>
      <c r="G2">
        <v>12132.61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396.52</v>
      </c>
      <c r="C3">
        <v>11130.66</v>
      </c>
      <c r="D3">
        <v>400.36</v>
      </c>
      <c r="E3">
        <v>10839.47</v>
      </c>
      <c r="F3">
        <v>477.52</v>
      </c>
      <c r="G3">
        <v>12461.27</v>
      </c>
      <c r="H3">
        <v>-1</v>
      </c>
      <c r="I3">
        <v>0</v>
      </c>
      <c r="J3">
        <v>-1</v>
      </c>
      <c r="K3">
        <v>1042.08</v>
      </c>
      <c r="L3">
        <v>-1</v>
      </c>
      <c r="M3">
        <v>0</v>
      </c>
    </row>
    <row r="4" spans="1:13">
      <c r="A4" t="s">
        <v>15</v>
      </c>
      <c r="B4">
        <v>389.78</v>
      </c>
      <c r="C4">
        <v>10817.61</v>
      </c>
      <c r="D4">
        <v>392.61</v>
      </c>
      <c r="E4">
        <v>10802.93</v>
      </c>
      <c r="F4">
        <v>596.73</v>
      </c>
      <c r="G4">
        <v>11884.22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399.54</v>
      </c>
      <c r="C5">
        <v>10673.8</v>
      </c>
      <c r="D5">
        <v>403.15</v>
      </c>
      <c r="E5">
        <v>11157.25</v>
      </c>
      <c r="F5">
        <v>492.2</v>
      </c>
      <c r="G5">
        <v>11967.51</v>
      </c>
      <c r="H5">
        <v>-1</v>
      </c>
      <c r="I5">
        <v>0</v>
      </c>
      <c r="J5">
        <v>-1</v>
      </c>
      <c r="K5">
        <v>837.97</v>
      </c>
      <c r="L5">
        <v>-1</v>
      </c>
      <c r="M5">
        <v>0</v>
      </c>
    </row>
    <row r="6" spans="1:13">
      <c r="A6" t="s">
        <v>17</v>
      </c>
      <c r="B6">
        <v>409.05</v>
      </c>
      <c r="C6">
        <v>11186.81</v>
      </c>
      <c r="D6">
        <v>412.96</v>
      </c>
      <c r="E6">
        <v>11277.13</v>
      </c>
      <c r="F6">
        <v>518.08</v>
      </c>
      <c r="G6">
        <v>12469.14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395.8</v>
      </c>
      <c r="C7">
        <v>11036.1</v>
      </c>
      <c r="D7">
        <v>399.96</v>
      </c>
      <c r="E7">
        <v>10902.38</v>
      </c>
      <c r="F7">
        <v>484.02</v>
      </c>
      <c r="G7">
        <v>12229.16</v>
      </c>
      <c r="H7">
        <v>-1</v>
      </c>
      <c r="I7">
        <v>0</v>
      </c>
      <c r="J7">
        <v>-1</v>
      </c>
      <c r="K7">
        <v>944.61</v>
      </c>
      <c r="L7">
        <v>-1</v>
      </c>
      <c r="M7">
        <v>0</v>
      </c>
    </row>
    <row r="8" spans="1:13">
      <c r="A8" t="s">
        <v>19</v>
      </c>
      <c r="B8">
        <v>402.58</v>
      </c>
      <c r="C8">
        <v>11149.94</v>
      </c>
      <c r="D8">
        <v>406.44</v>
      </c>
      <c r="E8">
        <v>11371.91</v>
      </c>
      <c r="F8">
        <v>492.19</v>
      </c>
      <c r="G8">
        <v>12444.89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395.22</v>
      </c>
      <c r="C9">
        <v>10570.39</v>
      </c>
      <c r="D9">
        <v>400.23</v>
      </c>
      <c r="E9">
        <v>11279.92</v>
      </c>
      <c r="F9">
        <v>452.97</v>
      </c>
      <c r="G9">
        <v>11985.61</v>
      </c>
      <c r="H9">
        <v>-1</v>
      </c>
      <c r="I9">
        <v>0</v>
      </c>
      <c r="J9">
        <v>475.57</v>
      </c>
      <c r="K9">
        <v>10499.96</v>
      </c>
      <c r="L9">
        <v>-1</v>
      </c>
      <c r="M9">
        <v>0</v>
      </c>
    </row>
    <row r="10" spans="1:13">
      <c r="A10" t="s">
        <v>21</v>
      </c>
      <c r="B10">
        <v>408.23</v>
      </c>
      <c r="C10">
        <v>10896.54</v>
      </c>
      <c r="D10">
        <v>412.01</v>
      </c>
      <c r="E10">
        <v>11199.45</v>
      </c>
      <c r="F10">
        <v>-1</v>
      </c>
      <c r="G10">
        <v>2985.12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400.7</v>
      </c>
      <c r="C11">
        <v>10851.02</v>
      </c>
      <c r="D11">
        <v>404.16</v>
      </c>
      <c r="E11">
        <v>10982.2</v>
      </c>
      <c r="F11">
        <v>469.94</v>
      </c>
      <c r="G11">
        <v>12082.77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400.023</v>
      </c>
      <c r="B14" s="4">
        <f>IFERROR(AVERAGEIF($D$2:$D$11,"&lt;&gt; -1"),0)</f>
        <v>403.702</v>
      </c>
      <c r="C14" s="4">
        <f>IFERROR(AVERAGEIF($F$2:$F$11,"&lt;&gt; -1"),0)</f>
        <v>507.576666666667</v>
      </c>
      <c r="D14" s="4">
        <f>IFERROR(AVERAGEIF($H$2:$H$11,"&lt;&gt; -1"),0)</f>
        <v>0</v>
      </c>
      <c r="E14" s="4">
        <f>IFERROR(AVERAGEIF($J$2:$J$11,"&lt;&gt; -1"),0)</f>
        <v>475.57</v>
      </c>
      <c r="F14" s="4">
        <f>IFERROR(AVERAGEIF($L$2:$L$11,"&lt;&gt; -1"),0)</f>
        <v>0</v>
      </c>
      <c r="G14" s="4">
        <f>IFERROR(AVERAGEIFS($C$2:$C$11,$B$2:$B$11,"&lt;&gt; -1"),0)</f>
        <v>10922.137</v>
      </c>
      <c r="H14" s="4">
        <f>IFERROR(AVERAGEIFS($E$2:$E$11,$D$2:$D$11,"&lt;&gt; -1"),0)</f>
        <v>11075.923</v>
      </c>
      <c r="I14" s="4">
        <f>IFERROR(AVERAGEIFS($G$2:$G$11,$F$2:$F$11,"&lt;&gt; -1"),0)</f>
        <v>12184.1311111111</v>
      </c>
      <c r="J14" s="4">
        <f>IFERROR(AVERAGEIFS($I$2:$I$11,$H$2:$H$11,"&lt;&gt; -1"),0)</f>
        <v>0</v>
      </c>
      <c r="K14" s="4">
        <f>IFERROR(AVERAGEIFS($K$2:$K$11,$J$2:$J$11,"&lt;&gt; -1"),0)</f>
        <v>10499.96</v>
      </c>
      <c r="L14" s="4">
        <f>IFERROR(AVERAGEIFS($M$2:$M$11,$L$2:$L$11,"&lt;&gt; -1"),0)</f>
        <v>0</v>
      </c>
      <c r="M14" s="4">
        <f>IFERROR(_xlfn.MAXIFS($B$2:$B$11,$B$2:$B$11,"&lt;&gt; -1"),0)</f>
        <v>409.05</v>
      </c>
      <c r="N14" s="4">
        <f>IFERROR(_xlfn.MAXIFS($D$2:$D$11,$D$2:$D$11,"&lt;&gt;-1"),0)</f>
        <v>412.96</v>
      </c>
      <c r="O14" s="4">
        <f>IFERROR(_xlfn.MAXIFS($F$2:$F$11,$F$2:$F$11,"&lt;&gt; -1"),0)</f>
        <v>596.73</v>
      </c>
      <c r="P14" s="4">
        <f>IFERROR(_xlfn.MAXIFS($H$2:$H$11,$H$2:$H$11,"&lt;&gt; -1"),0)</f>
        <v>0</v>
      </c>
      <c r="Q14" s="4">
        <f>IFERROR(_xlfn.MAXIFS($J$2:$J$11,$J$2:$J$11,"&lt;&gt; -1"),0)</f>
        <v>475.57</v>
      </c>
      <c r="R14" s="4">
        <f>IFERROR(_xlfn.MAXIFS($L$2:$L$11,$L$2:$L$11,"&lt;&gt; -1"),0)</f>
        <v>0</v>
      </c>
      <c r="S14" s="4">
        <f>IFERROR(_xlfn.MINIFS($B$2:$B$11,$B$2:$B$11,"&lt;&gt; -1"),0)</f>
        <v>389.78</v>
      </c>
      <c r="T14" s="4">
        <f>IFERROR(_xlfn.MINIFS($D$2:$D$11,$D$2:$D$11,"&lt;&gt;-1"),0)</f>
        <v>392.61</v>
      </c>
      <c r="U14" s="4">
        <f>IFERROR(_xlfn.MINIFS($F$2:$F$11,$F$2:$F$11,"&lt;&gt; -1"),0)</f>
        <v>452.97</v>
      </c>
      <c r="V14" s="4">
        <f>IFERROR(_xlfn.MINIFS($H$2:$H$11,$H$2:$H$11,"&lt;&gt; -1"),0)</f>
        <v>0</v>
      </c>
      <c r="W14" s="4">
        <f>IFERROR(_xlfn.MINIFS($J$2:$J$11,$J$2:$J$11,"&lt;&gt; -1"),0)</f>
        <v>475.57</v>
      </c>
      <c r="X14" s="4">
        <f>IFERROR(_xlfn.MINIFS($L$2:$L$11,$L$2:$L$11,"&lt;&gt; -1"),0)</f>
        <v>0</v>
      </c>
      <c r="Y14" s="4">
        <f>IFERROR(_xlfn.MAXIFS($C$2:$C$11,$B$2:$B$11,"&lt;&gt; -1"),0)</f>
        <v>11186.81</v>
      </c>
      <c r="Z14" s="4">
        <f>IFERROR(_xlfn.MAXIFS($E$2:$E$11,$D$2:$D$11,"&lt;&gt; -1"),0)</f>
        <v>11371.91</v>
      </c>
      <c r="AA14" s="4">
        <f>IFERROR(_xlfn.MAXIFS($G$2:$G$11,$F$2:$F$11,"&lt;&gt; -1"),0)</f>
        <v>12469.14</v>
      </c>
      <c r="AB14" s="4">
        <f>IFERROR(_xlfn.MAXIFS($I$2:$I$11,$H$2:$H$11,"&lt;&gt; -1"),0)</f>
        <v>0</v>
      </c>
      <c r="AC14" s="4">
        <f>IFERROR(_xlfn.MAXIFS($K$2:$K$11,$J$2:$J$11,"&lt;&gt; -1"),0)</f>
        <v>10499.96</v>
      </c>
      <c r="AD14" s="4">
        <f>IFERROR(_xlfn.MAXIFS($M$2:$M$11,$L$2:$L$11,"&lt;&gt; -1"),0)</f>
        <v>0</v>
      </c>
      <c r="AE14" s="4">
        <f>IFERROR(_xlfn.MINIFS($C$2:$C$11,$B$2:$B$11,"&lt;&gt; -1"),0)</f>
        <v>10570.39</v>
      </c>
      <c r="AF14" s="4">
        <f>IFERROR(_xlfn.MINIFS($E$2:$E$11,$D$2:$D$11,"&lt;&gt; -1"),0)</f>
        <v>10802.93</v>
      </c>
      <c r="AG14" s="4">
        <f>IFERROR(_xlfn.MINIFS($G$2:$G$11,$F$2:$F$11,"&lt;&gt; -1"),0)</f>
        <v>11884.22</v>
      </c>
      <c r="AH14" s="4">
        <f>IFERROR(_xlfn.MINIFS($I$2:$I$11,$H$2:$H$11,"&lt;&gt; -1"),0)</f>
        <v>0</v>
      </c>
      <c r="AI14" s="4">
        <f>IFERROR(_xlfn.MINIFS($K$2:$K$11,$J$2:$J$11,"&lt;&gt; -1"),0)</f>
        <v>10499.96</v>
      </c>
      <c r="AJ14" s="4">
        <f>IFERROR(_xlfn.MINIFS($M$2:$M$11,$L$2:$L$11,"&lt;&gt; -1"),0)</f>
        <v>0</v>
      </c>
      <c r="AK14" s="4">
        <f>(COUNTIFS($B$2:$B$11,"&gt;0.0",$B$2:$B$11,"&lt;500.0"))/10</f>
        <v>1</v>
      </c>
      <c r="AL14" s="4">
        <f>(COUNTIFS($D$2:$D$11,"&gt;0.0",$D$2:$D$11,"&lt;500.0"))/10</f>
        <v>1</v>
      </c>
      <c r="AM14" s="4">
        <f>(COUNTIFS($F$2:$F$11,"&gt;0.0",$F$2:$F$11,"&lt;500.0"))/10</f>
        <v>0.6</v>
      </c>
      <c r="AN14" s="4">
        <f>(COUNTIFS($H$2:$H11,"&gt;0.0",$H$2:$H$11,"&lt;500.0"))/10</f>
        <v>0</v>
      </c>
      <c r="AO14" s="4">
        <f>(COUNTIFS($J$2:$J$11,"&gt;0.0",$J$2:$J$11,"&lt;500.0"))/10</f>
        <v>0.1</v>
      </c>
      <c r="AP14" s="4">
        <f>(COUNTIFS($L$2:$L$11,"&gt;0.0",$L$2:$L$11,"&lt;500.0"))/10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E12" sqref="E12"/>
    </sheetView>
  </sheetViews>
  <sheetFormatPr defaultColWidth="8.72727272727273" defaultRowHeight="14" outlineLevelRow="6"/>
  <sheetData>
    <row r="1" spans="1:4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</row>
    <row r="2" spans="1:42">
      <c r="A2">
        <v>339.988</v>
      </c>
      <c r="B2">
        <v>391.823</v>
      </c>
      <c r="C2">
        <v>379.968</v>
      </c>
      <c r="D2">
        <v>409.847</v>
      </c>
      <c r="E2">
        <v>367.985</v>
      </c>
      <c r="F2">
        <v>523.8675</v>
      </c>
      <c r="G2">
        <v>10496.377</v>
      </c>
      <c r="H2">
        <v>10506.406</v>
      </c>
      <c r="I2">
        <v>11983.851</v>
      </c>
      <c r="J2">
        <v>12013.391</v>
      </c>
      <c r="K2">
        <v>10458.956</v>
      </c>
      <c r="L2">
        <v>10419.955</v>
      </c>
      <c r="M2">
        <v>387.34</v>
      </c>
      <c r="N2">
        <v>445.4</v>
      </c>
      <c r="O2">
        <v>438.31</v>
      </c>
      <c r="P2">
        <v>465.5</v>
      </c>
      <c r="Q2">
        <v>430.87</v>
      </c>
      <c r="R2">
        <v>578.3</v>
      </c>
      <c r="S2">
        <v>258.71</v>
      </c>
      <c r="T2">
        <v>295.83</v>
      </c>
      <c r="U2">
        <v>296.76</v>
      </c>
      <c r="V2">
        <v>305.34</v>
      </c>
      <c r="W2">
        <v>270.27</v>
      </c>
      <c r="X2">
        <v>464.46</v>
      </c>
      <c r="Y2">
        <v>10963.01</v>
      </c>
      <c r="Z2">
        <v>10938.22</v>
      </c>
      <c r="AA2">
        <v>12554.77</v>
      </c>
      <c r="AB2">
        <v>12476.3</v>
      </c>
      <c r="AC2">
        <v>10891.86</v>
      </c>
      <c r="AD2">
        <v>10654.42</v>
      </c>
      <c r="AE2">
        <v>10112.87</v>
      </c>
      <c r="AF2">
        <v>10168.27</v>
      </c>
      <c r="AG2">
        <v>11699.77</v>
      </c>
      <c r="AH2">
        <v>11614.34</v>
      </c>
      <c r="AI2">
        <v>10064.93</v>
      </c>
      <c r="AJ2">
        <v>10257.49</v>
      </c>
      <c r="AK2">
        <v>1</v>
      </c>
      <c r="AL2">
        <v>1</v>
      </c>
      <c r="AM2">
        <v>1</v>
      </c>
      <c r="AN2">
        <v>1</v>
      </c>
      <c r="AO2">
        <v>1</v>
      </c>
      <c r="AP2">
        <v>0.2</v>
      </c>
    </row>
    <row r="3" spans="1:42">
      <c r="A3">
        <v>325.12</v>
      </c>
      <c r="B3">
        <v>367.232</v>
      </c>
      <c r="C3">
        <v>365.905</v>
      </c>
      <c r="D3">
        <v>427.914</v>
      </c>
      <c r="E3">
        <v>433.66</v>
      </c>
      <c r="F3">
        <v>0</v>
      </c>
      <c r="G3">
        <v>10639.924</v>
      </c>
      <c r="H3">
        <v>10574.431</v>
      </c>
      <c r="I3">
        <v>12025.826</v>
      </c>
      <c r="J3">
        <v>12032.549</v>
      </c>
      <c r="K3">
        <v>10575.946</v>
      </c>
      <c r="L3">
        <v>0</v>
      </c>
      <c r="M3">
        <v>412.49</v>
      </c>
      <c r="N3">
        <v>465.26</v>
      </c>
      <c r="O3">
        <v>459.88</v>
      </c>
      <c r="P3">
        <v>517.66</v>
      </c>
      <c r="Q3">
        <v>566.72</v>
      </c>
      <c r="R3">
        <v>0</v>
      </c>
      <c r="S3">
        <v>284.14</v>
      </c>
      <c r="T3">
        <v>321.75</v>
      </c>
      <c r="U3">
        <v>310.65</v>
      </c>
      <c r="V3">
        <v>346.91</v>
      </c>
      <c r="W3">
        <v>298.61</v>
      </c>
      <c r="X3">
        <v>0</v>
      </c>
      <c r="Y3">
        <v>11021.49</v>
      </c>
      <c r="Z3">
        <v>11043.88</v>
      </c>
      <c r="AA3">
        <v>12409.99</v>
      </c>
      <c r="AB3">
        <v>12534.79</v>
      </c>
      <c r="AC3">
        <v>10962.6</v>
      </c>
      <c r="AD3">
        <v>0</v>
      </c>
      <c r="AE3">
        <v>10331.01</v>
      </c>
      <c r="AF3">
        <v>10248.58</v>
      </c>
      <c r="AG3">
        <v>11724.16</v>
      </c>
      <c r="AH3">
        <v>11651.96</v>
      </c>
      <c r="AI3">
        <v>10226.23</v>
      </c>
      <c r="AJ3">
        <v>0</v>
      </c>
      <c r="AK3">
        <v>1</v>
      </c>
      <c r="AL3">
        <v>1</v>
      </c>
      <c r="AM3">
        <v>1</v>
      </c>
      <c r="AN3">
        <v>0.9</v>
      </c>
      <c r="AO3">
        <v>0.8</v>
      </c>
      <c r="AP3">
        <v>0</v>
      </c>
    </row>
    <row r="4" spans="1:42">
      <c r="A4">
        <v>313.604</v>
      </c>
      <c r="B4">
        <v>350.609</v>
      </c>
      <c r="C4">
        <v>347.618</v>
      </c>
      <c r="D4">
        <v>631.6</v>
      </c>
      <c r="E4">
        <v>379.0075</v>
      </c>
      <c r="F4">
        <v>0</v>
      </c>
      <c r="G4">
        <v>10578.49</v>
      </c>
      <c r="H4">
        <v>10627.322</v>
      </c>
      <c r="I4">
        <v>11993.515</v>
      </c>
      <c r="J4">
        <v>11867.68</v>
      </c>
      <c r="K4">
        <v>10560.78</v>
      </c>
      <c r="L4">
        <v>0</v>
      </c>
      <c r="M4">
        <v>326.28</v>
      </c>
      <c r="N4">
        <v>362.5</v>
      </c>
      <c r="O4">
        <v>380.89</v>
      </c>
      <c r="P4">
        <v>733.1</v>
      </c>
      <c r="Q4">
        <v>585.6</v>
      </c>
      <c r="R4">
        <v>0</v>
      </c>
      <c r="S4">
        <v>299.74</v>
      </c>
      <c r="T4">
        <v>337.06</v>
      </c>
      <c r="U4">
        <v>310.7</v>
      </c>
      <c r="V4">
        <v>530.1</v>
      </c>
      <c r="W4">
        <v>302.74</v>
      </c>
      <c r="X4">
        <v>0</v>
      </c>
      <c r="Y4">
        <v>10984.25</v>
      </c>
      <c r="Z4">
        <v>11081.42</v>
      </c>
      <c r="AA4">
        <v>12493.04</v>
      </c>
      <c r="AB4">
        <v>12009.86</v>
      </c>
      <c r="AC4">
        <v>10948.76</v>
      </c>
      <c r="AD4">
        <v>0</v>
      </c>
      <c r="AE4">
        <v>9873.01</v>
      </c>
      <c r="AF4">
        <v>10239.65</v>
      </c>
      <c r="AG4">
        <v>11157.63</v>
      </c>
      <c r="AH4">
        <v>11725.5</v>
      </c>
      <c r="AI4">
        <v>9877.65</v>
      </c>
      <c r="AJ4">
        <v>0</v>
      </c>
      <c r="AK4">
        <v>1</v>
      </c>
      <c r="AL4">
        <v>1</v>
      </c>
      <c r="AM4">
        <v>1</v>
      </c>
      <c r="AN4">
        <v>0</v>
      </c>
      <c r="AO4">
        <v>0.7</v>
      </c>
      <c r="AP4">
        <v>0</v>
      </c>
    </row>
    <row r="5" spans="1:42">
      <c r="A5">
        <v>340.07</v>
      </c>
      <c r="B5">
        <v>376.158</v>
      </c>
      <c r="C5">
        <v>393.182</v>
      </c>
      <c r="D5">
        <v>0</v>
      </c>
      <c r="E5">
        <v>383.435714285714</v>
      </c>
      <c r="F5">
        <v>0</v>
      </c>
      <c r="G5">
        <v>10653.326</v>
      </c>
      <c r="H5">
        <v>10794.343</v>
      </c>
      <c r="I5">
        <v>12047.173</v>
      </c>
      <c r="J5">
        <v>0</v>
      </c>
      <c r="K5">
        <v>10480.2414285714</v>
      </c>
      <c r="L5">
        <v>0</v>
      </c>
      <c r="M5">
        <v>350.94</v>
      </c>
      <c r="N5">
        <v>386.46</v>
      </c>
      <c r="O5">
        <v>487.1</v>
      </c>
      <c r="P5">
        <v>0</v>
      </c>
      <c r="Q5">
        <v>505.25</v>
      </c>
      <c r="R5">
        <v>0</v>
      </c>
      <c r="S5">
        <v>324.92</v>
      </c>
      <c r="T5">
        <v>360.99</v>
      </c>
      <c r="U5">
        <v>349.27</v>
      </c>
      <c r="V5">
        <v>0</v>
      </c>
      <c r="W5">
        <v>346.93</v>
      </c>
      <c r="X5">
        <v>0</v>
      </c>
      <c r="Y5">
        <v>11267.8</v>
      </c>
      <c r="Z5">
        <v>11408.97</v>
      </c>
      <c r="AA5">
        <v>12555.24</v>
      </c>
      <c r="AB5">
        <v>0</v>
      </c>
      <c r="AC5">
        <v>10887.6</v>
      </c>
      <c r="AD5">
        <v>0</v>
      </c>
      <c r="AE5">
        <v>10267.14</v>
      </c>
      <c r="AF5">
        <v>10388.08</v>
      </c>
      <c r="AG5">
        <v>11610.52</v>
      </c>
      <c r="AH5">
        <v>0</v>
      </c>
      <c r="AI5">
        <v>10222.87</v>
      </c>
      <c r="AJ5">
        <v>0</v>
      </c>
      <c r="AK5">
        <v>1</v>
      </c>
      <c r="AL5">
        <v>1</v>
      </c>
      <c r="AM5">
        <v>1</v>
      </c>
      <c r="AN5">
        <v>0</v>
      </c>
      <c r="AO5">
        <v>0.6</v>
      </c>
      <c r="AP5">
        <v>0</v>
      </c>
    </row>
    <row r="6" spans="1:42">
      <c r="A6">
        <v>373.968</v>
      </c>
      <c r="B6">
        <v>406.732</v>
      </c>
      <c r="C6">
        <v>430.006</v>
      </c>
      <c r="D6">
        <v>0</v>
      </c>
      <c r="E6">
        <v>506.971666666667</v>
      </c>
      <c r="F6">
        <v>0</v>
      </c>
      <c r="G6">
        <v>10597.774</v>
      </c>
      <c r="H6">
        <v>10729.494</v>
      </c>
      <c r="I6">
        <v>11983.052</v>
      </c>
      <c r="J6">
        <v>0</v>
      </c>
      <c r="K6">
        <v>10367.7183333333</v>
      </c>
      <c r="L6">
        <v>0</v>
      </c>
      <c r="M6">
        <v>391.35</v>
      </c>
      <c r="N6">
        <v>423.42</v>
      </c>
      <c r="O6">
        <v>478.34</v>
      </c>
      <c r="P6">
        <v>0</v>
      </c>
      <c r="Q6">
        <v>764.28</v>
      </c>
      <c r="R6">
        <v>0</v>
      </c>
      <c r="S6">
        <v>356.34</v>
      </c>
      <c r="T6">
        <v>390</v>
      </c>
      <c r="U6">
        <v>387.19</v>
      </c>
      <c r="V6">
        <v>0</v>
      </c>
      <c r="W6">
        <v>404.32</v>
      </c>
      <c r="X6">
        <v>0</v>
      </c>
      <c r="Y6">
        <v>11092.3</v>
      </c>
      <c r="Z6">
        <v>11285.14</v>
      </c>
      <c r="AA6">
        <v>12459.91</v>
      </c>
      <c r="AB6">
        <v>0</v>
      </c>
      <c r="AC6">
        <v>10735.68</v>
      </c>
      <c r="AD6">
        <v>0</v>
      </c>
      <c r="AE6">
        <v>9936.82</v>
      </c>
      <c r="AF6">
        <v>10278.46</v>
      </c>
      <c r="AG6">
        <v>11323.09</v>
      </c>
      <c r="AH6">
        <v>0</v>
      </c>
      <c r="AI6">
        <v>9904.66</v>
      </c>
      <c r="AJ6">
        <v>0</v>
      </c>
      <c r="AK6">
        <v>1</v>
      </c>
      <c r="AL6">
        <v>1</v>
      </c>
      <c r="AM6">
        <v>1</v>
      </c>
      <c r="AN6">
        <v>0</v>
      </c>
      <c r="AO6">
        <v>0.4</v>
      </c>
      <c r="AP6">
        <v>0</v>
      </c>
    </row>
    <row r="7" spans="1:42">
      <c r="A7">
        <v>400.023</v>
      </c>
      <c r="B7">
        <v>403.702</v>
      </c>
      <c r="C7">
        <v>507.576666666667</v>
      </c>
      <c r="D7">
        <v>0</v>
      </c>
      <c r="E7">
        <v>475.57</v>
      </c>
      <c r="F7">
        <v>0</v>
      </c>
      <c r="G7">
        <v>10922.137</v>
      </c>
      <c r="H7">
        <v>11075.923</v>
      </c>
      <c r="I7">
        <v>12184.1311111111</v>
      </c>
      <c r="J7">
        <v>0</v>
      </c>
      <c r="K7">
        <v>10499.96</v>
      </c>
      <c r="L7">
        <v>0</v>
      </c>
      <c r="M7">
        <v>409.05</v>
      </c>
      <c r="N7">
        <v>412.96</v>
      </c>
      <c r="O7">
        <v>596.73</v>
      </c>
      <c r="P7">
        <v>0</v>
      </c>
      <c r="Q7">
        <v>475.57</v>
      </c>
      <c r="R7">
        <v>0</v>
      </c>
      <c r="S7">
        <v>389.78</v>
      </c>
      <c r="T7">
        <v>392.61</v>
      </c>
      <c r="U7">
        <v>452.97</v>
      </c>
      <c r="V7">
        <v>0</v>
      </c>
      <c r="W7">
        <v>475.57</v>
      </c>
      <c r="X7">
        <v>0</v>
      </c>
      <c r="Y7">
        <v>11186.81</v>
      </c>
      <c r="Z7">
        <v>11371.91</v>
      </c>
      <c r="AA7">
        <v>12469.14</v>
      </c>
      <c r="AB7">
        <v>0</v>
      </c>
      <c r="AC7">
        <v>10499.96</v>
      </c>
      <c r="AD7">
        <v>0</v>
      </c>
      <c r="AE7">
        <v>10570.39</v>
      </c>
      <c r="AF7">
        <v>10802.93</v>
      </c>
      <c r="AG7">
        <v>11884.22</v>
      </c>
      <c r="AH7">
        <v>0</v>
      </c>
      <c r="AI7">
        <v>10499.96</v>
      </c>
      <c r="AJ7">
        <v>0</v>
      </c>
      <c r="AK7">
        <v>1</v>
      </c>
      <c r="AL7">
        <v>1</v>
      </c>
      <c r="AM7">
        <v>0.6</v>
      </c>
      <c r="AN7">
        <v>0</v>
      </c>
      <c r="AO7">
        <v>0.1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2024-09-06T12:19:00Z</dcterms:created>
  <dcterms:modified xsi:type="dcterms:W3CDTF">2024-09-08T09:52:33Z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60570248A58A49E3A2F1A21ACC8A3FF3_12</vt:lpwstr>
  </property>
  <property fmtid="{D5CDD505-2E9C-101B-9397-08002B2CF9AE}" pid="3" name="KSOProductBuildVer">
    <vt:lpwstr>2052-12.1.0.17827</vt:lpwstr>
  </property>
</Properties>
</file>