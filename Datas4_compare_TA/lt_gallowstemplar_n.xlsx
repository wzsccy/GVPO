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<sst xmlns="http://schemas.openxmlformats.org/spreadsheetml/2006/main" count="402" uniqueCount="60">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</sst>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topLeftCell="S1" workbookViewId="0">
      <selection activeCell="T9" sqref="A8:AP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1154.34</v>
      </c>
      <c r="C2">
        <v>38280.26</v>
      </c>
      <c r="D2">
        <v>1189.64</v>
      </c>
      <c r="E2">
        <v>38822.45</v>
      </c>
      <c r="F2">
        <v>-1</v>
      </c>
      <c r="G2">
        <v>18477.37</v>
      </c>
      <c r="H2">
        <v>-1</v>
      </c>
      <c r="I2">
        <v>11333</v>
      </c>
      <c r="J2">
        <v>-1</v>
      </c>
      <c r="K2">
        <v>1432.47</v>
      </c>
      <c r="L2">
        <v>-1</v>
      </c>
      <c r="M2">
        <v>0</v>
      </c>
    </row>
    <row r="3" spans="1:13">
      <c r="A3" t="s">
        <v>14</v>
      </c>
      <c r="B3">
        <v>1228.55</v>
      </c>
      <c r="C3">
        <v>40612.66</v>
      </c>
      <c r="D3">
        <v>1264.85</v>
      </c>
      <c r="E3">
        <v>40973.82</v>
      </c>
      <c r="F3">
        <v>-1</v>
      </c>
      <c r="G3">
        <v>0</v>
      </c>
      <c r="H3">
        <v>-1</v>
      </c>
      <c r="I3">
        <v>0</v>
      </c>
      <c r="J3">
        <v>-1</v>
      </c>
      <c r="K3">
        <v>4168.5</v>
      </c>
      <c r="L3">
        <v>-1</v>
      </c>
      <c r="M3">
        <v>0</v>
      </c>
    </row>
    <row r="4" spans="1:13">
      <c r="A4" t="s">
        <v>15</v>
      </c>
      <c r="B4">
        <v>1222.94</v>
      </c>
      <c r="C4">
        <v>39223.15</v>
      </c>
      <c r="D4">
        <v>1258.47</v>
      </c>
      <c r="E4">
        <v>40061.79</v>
      </c>
      <c r="F4">
        <v>-1</v>
      </c>
      <c r="G4">
        <v>1027.95</v>
      </c>
      <c r="H4">
        <v>-1</v>
      </c>
      <c r="I4">
        <v>8372.72</v>
      </c>
      <c r="J4">
        <v>1291.14</v>
      </c>
      <c r="K4">
        <v>39247.49</v>
      </c>
      <c r="L4">
        <v>-1</v>
      </c>
      <c r="M4">
        <v>0</v>
      </c>
    </row>
    <row r="5" spans="1:13">
      <c r="A5" t="s">
        <v>16</v>
      </c>
      <c r="B5">
        <v>1255.35</v>
      </c>
      <c r="C5">
        <v>40072.24</v>
      </c>
      <c r="D5">
        <v>1291.81</v>
      </c>
      <c r="E5">
        <v>41161.07</v>
      </c>
      <c r="F5">
        <v>1416.04</v>
      </c>
      <c r="G5">
        <v>48816.57</v>
      </c>
      <c r="H5">
        <v>-1</v>
      </c>
      <c r="I5">
        <v>0</v>
      </c>
      <c r="J5">
        <v>-1</v>
      </c>
      <c r="K5">
        <v>22567.65</v>
      </c>
      <c r="L5">
        <v>-1</v>
      </c>
      <c r="M5">
        <v>0</v>
      </c>
    </row>
    <row r="6" spans="1:13">
      <c r="A6" t="s">
        <v>17</v>
      </c>
      <c r="B6">
        <v>1248.71</v>
      </c>
      <c r="C6">
        <v>39525.89</v>
      </c>
      <c r="D6">
        <v>1284.88</v>
      </c>
      <c r="E6">
        <v>40176.83</v>
      </c>
      <c r="F6">
        <v>-1</v>
      </c>
      <c r="G6">
        <v>40753.89</v>
      </c>
      <c r="H6">
        <v>-1</v>
      </c>
      <c r="I6">
        <v>28695.19</v>
      </c>
      <c r="J6">
        <v>-1</v>
      </c>
      <c r="K6">
        <v>11818.59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1221.978</v>
      </c>
      <c r="B9" s="1">
        <f>IFERROR(AVERAGEIF($D$2:$D$6,"&lt;&gt; -1"),0)</f>
        <v>1257.93</v>
      </c>
      <c r="C9" s="1">
        <f>IFERROR(AVERAGEIF($F$2:$F$6,"&lt;&gt; -1"),0)</f>
        <v>1416.04</v>
      </c>
      <c r="D9" s="1">
        <f>IFERROR(AVERAGEIF($H$2:$H$6,"&lt;&gt; -1"),0)</f>
        <v>0</v>
      </c>
      <c r="E9" s="1">
        <f>IFERROR(AVERAGEIF($J$2:$J$6,"&lt;&gt; -1"),0)</f>
        <v>1291.14</v>
      </c>
      <c r="F9" s="1">
        <f>IFERROR(AVERAGEIF($L$2:$L$6,"&lt;&gt; -1"),0)</f>
        <v>0</v>
      </c>
      <c r="G9" s="1">
        <f>IFERROR(AVERAGEIFS($C$2:$C$6,$B$2:$B$6,"&lt;&gt; -1"),0)</f>
        <v>39542.84</v>
      </c>
      <c r="H9" s="1">
        <f>IFERROR(AVERAGEIFS($E$2:$E$6,$D$2:$D$6,"&lt;&gt; -1"),0)</f>
        <v>40239.192</v>
      </c>
      <c r="I9" s="1">
        <f>IFERROR(AVERAGEIFS($G$2:$G$6,$F$2:$F$6,"&lt;&gt; -1"),0)</f>
        <v>48816.57</v>
      </c>
      <c r="J9" s="1">
        <f>IFERROR(AVERAGEIFS($I$2:$I$6,$H$2:$H$6,"&lt;&gt; -1"),0)</f>
        <v>0</v>
      </c>
      <c r="K9" s="1">
        <f>IFERROR(AVERAGEIFS($K$2:$K$6,$J$2:$J$6,"&lt;&gt; -1"),0)</f>
        <v>39247.49</v>
      </c>
      <c r="L9" s="1">
        <f>IFERROR(AVERAGEIFS($M$2:$M$6,$L$2:$L$6,"&lt;&gt; -1"),0)</f>
        <v>0</v>
      </c>
      <c r="M9" s="1">
        <f>IFERROR(_xlfn.MAXIFS($B$2:$B$6,$B$2:$B$6,"&lt;&gt; -1"),0)</f>
        <v>1255.35</v>
      </c>
      <c r="N9" s="1">
        <f>IFERROR(_xlfn.MAXIFS($D$2:$D$6,$D$2:$D$6,"&lt;&gt;-1"),0)</f>
        <v>1291.81</v>
      </c>
      <c r="O9" s="1">
        <f>IFERROR(_xlfn.MAXIFS($F$2:$F$6,$F$2:$F$6,"&lt;&gt; -1"),0)</f>
        <v>1416.04</v>
      </c>
      <c r="P9" s="1">
        <f>IFERROR(_xlfn.MAXIFS($H$2:$H$6,$H$2:$H$6,"&lt;&gt; -1"),0)</f>
        <v>0</v>
      </c>
      <c r="Q9" s="1">
        <f>IFERROR(_xlfn.MAXIFS($J$2:$J$6,$J$2:$J$6,"&lt;&gt; -1"),0)</f>
        <v>1291.14</v>
      </c>
      <c r="R9" s="1">
        <f>IFERROR(_xlfn.MAXIFS($L$2:$L$6,$L$2:$L$6,"&lt;&gt; -1"),0)</f>
        <v>0</v>
      </c>
      <c r="S9" s="1">
        <f>IFERROR(_xlfn.MINIFS($B$2:$B$6,$B$2:$B$6,"&lt;&gt; -1"),0)</f>
        <v>1154.34</v>
      </c>
      <c r="T9" s="1">
        <f>IFERROR(_xlfn.MINIFS($D$2:$D$6,$D$2:$D$6,"&lt;&gt;-1"),0)</f>
        <v>1189.64</v>
      </c>
      <c r="U9" s="1">
        <f>IFERROR(_xlfn.MINIFS($F$2:$F$6,$F$2:$F$6,"&lt;&gt; -1"),0)</f>
        <v>1416.04</v>
      </c>
      <c r="V9" s="1">
        <f>IFERROR(_xlfn.MINIFS($H$2:$H$6,$H$2:$H$6,"&lt;&gt; -1"),0)</f>
        <v>0</v>
      </c>
      <c r="W9" s="1">
        <f>IFERROR(_xlfn.MINIFS($J$2:$J$6,$J$2:$J$6,"&lt;&gt; -1"),0)</f>
        <v>1291.14</v>
      </c>
      <c r="X9" s="1">
        <f>IFERROR(_xlfn.MINIFS($L$2:$L$6,$L$2:$L$6,"&lt;&gt; -1"),0)</f>
        <v>0</v>
      </c>
      <c r="Y9" s="1">
        <f>IFERROR(_xlfn.MAXIFS($C$2:$C$6,$B$2:$B$6,"&lt;&gt; -1"),0)</f>
        <v>40612.66</v>
      </c>
      <c r="Z9" s="1">
        <f>IFERROR(_xlfn.MAXIFS($E$2:$E$6,$D$2:$D$6,"&lt;&gt; -1"),0)</f>
        <v>41161.07</v>
      </c>
      <c r="AA9" s="1">
        <f>IFERROR(_xlfn.MAXIFS($G$2:$G$6,$F$2:$F$6,"&lt;&gt; -1"),0)</f>
        <v>48816.57</v>
      </c>
      <c r="AB9" s="1">
        <f>IFERROR(_xlfn.MAXIFS($I$2:$I$6,$H$2:$H$6,"&lt;&gt; -1"),0)</f>
        <v>0</v>
      </c>
      <c r="AC9" s="1">
        <f>IFERROR(_xlfn.MAXIFS($K$2:$K$6,$J$2:$J$6,"&lt;&gt; -1"),0)</f>
        <v>39247.49</v>
      </c>
      <c r="AD9" s="1">
        <f>IFERROR(_xlfn.MAXIFS($M$2:$M$6,$L$2:$L$6,"&lt;&gt; -1"),0)</f>
        <v>0</v>
      </c>
      <c r="AE9" s="1">
        <f>IFERROR(_xlfn.MINIFS($C$2:$C$6,$B$2:$B$6,"&lt;&gt; -1"),0)</f>
        <v>38280.26</v>
      </c>
      <c r="AF9" s="1">
        <f>IFERROR(_xlfn.MINIFS($E$2:$E$6,$D$2:$D$6,"&lt;&gt; -1"),0)</f>
        <v>38822.45</v>
      </c>
      <c r="AG9" s="1">
        <f>IFERROR(_xlfn.MINIFS($G$2:$G$6,$F$2:$F$6,"&lt;&gt; -1"),0)</f>
        <v>48816.57</v>
      </c>
      <c r="AH9" s="1">
        <f>IFERROR(_xlfn.MINIFS($I$2:$I$6,$H$2:$H$6,"&lt;&gt; -1"),0)</f>
        <v>0</v>
      </c>
      <c r="AI9" s="1">
        <f>IFERROR(_xlfn.MINIFS($K$2:$K$6,$J$2:$J$6,"&lt;&gt; -1"),0)</f>
        <v>39247.49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0.2</v>
      </c>
      <c r="AN9" s="1">
        <f>(COUNTIFS($H$2:$H$6,"&gt;0.0",$H$2:$H$6,"&lt;3000.0"))/5</f>
        <v>0</v>
      </c>
      <c r="AO9" s="1">
        <f>(COUNTIFS($J$2:$J$6,"&gt;0.0",$J$2:$J$6,"&lt;3000.0"))/5</f>
        <v>0.2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1313.5</v>
      </c>
      <c r="C2">
        <v>38068.24</v>
      </c>
      <c r="D2">
        <v>1350</v>
      </c>
      <c r="E2">
        <v>39207.95</v>
      </c>
      <c r="F2">
        <v>-1</v>
      </c>
      <c r="G2">
        <v>12908.76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1373.26</v>
      </c>
      <c r="C3">
        <v>41540.99</v>
      </c>
      <c r="D3">
        <v>1408.02</v>
      </c>
      <c r="E3">
        <v>40202.71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1726.94</v>
      </c>
      <c r="C4">
        <v>41130.28</v>
      </c>
      <c r="D4">
        <v>1762.85</v>
      </c>
      <c r="E4">
        <v>40523.2</v>
      </c>
      <c r="F4">
        <v>-1</v>
      </c>
      <c r="G4">
        <v>4150.46</v>
      </c>
      <c r="H4">
        <v>-1</v>
      </c>
      <c r="I4">
        <v>0</v>
      </c>
      <c r="J4">
        <v>-1</v>
      </c>
      <c r="K4">
        <v>0</v>
      </c>
      <c r="L4">
        <v>-1</v>
      </c>
      <c r="M4">
        <v>3835.26</v>
      </c>
    </row>
    <row r="5" spans="1:13">
      <c r="A5" t="s">
        <v>16</v>
      </c>
      <c r="B5">
        <v>1372.79</v>
      </c>
      <c r="C5">
        <v>39854.61</v>
      </c>
      <c r="D5">
        <v>1412.28</v>
      </c>
      <c r="E5">
        <v>40536.92</v>
      </c>
      <c r="F5">
        <v>1399.17</v>
      </c>
      <c r="G5">
        <v>48544.23</v>
      </c>
      <c r="H5">
        <v>-1</v>
      </c>
      <c r="I5">
        <v>4805.26</v>
      </c>
      <c r="J5">
        <v>1379.28</v>
      </c>
      <c r="K5">
        <v>39889.68</v>
      </c>
      <c r="L5">
        <v>-1</v>
      </c>
      <c r="M5">
        <v>0</v>
      </c>
    </row>
    <row r="6" spans="1:13">
      <c r="A6" t="s">
        <v>17</v>
      </c>
      <c r="B6">
        <v>1380.18</v>
      </c>
      <c r="C6">
        <v>39531.27</v>
      </c>
      <c r="D6">
        <v>1414.91</v>
      </c>
      <c r="E6">
        <v>41648.81</v>
      </c>
      <c r="F6">
        <v>-1</v>
      </c>
      <c r="G6">
        <v>11608.84</v>
      </c>
      <c r="H6">
        <v>-1</v>
      </c>
      <c r="I6">
        <v>0</v>
      </c>
      <c r="J6">
        <v>-1</v>
      </c>
      <c r="K6">
        <v>2343.15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1433.334</v>
      </c>
      <c r="B9" s="1">
        <f>IFERROR(AVERAGEIF($D$2:$D$6,"&lt;&gt; -1"),0)</f>
        <v>1469.612</v>
      </c>
      <c r="C9" s="1">
        <f>IFERROR(AVERAGEIF($F$2:$F$6,"&lt;&gt; -1"),0)</f>
        <v>1399.17</v>
      </c>
      <c r="D9" s="1">
        <f>IFERROR(AVERAGEIF($H$2:$H$6,"&lt;&gt; -1"),0)</f>
        <v>0</v>
      </c>
      <c r="E9" s="1">
        <f>IFERROR(AVERAGEIF($J$2:$J$6,"&lt;&gt; -1"),0)</f>
        <v>1379.28</v>
      </c>
      <c r="F9" s="1">
        <f>IFERROR(AVERAGEIF($L$2:$L$6,"&lt;&gt; -1"),0)</f>
        <v>0</v>
      </c>
      <c r="G9" s="1">
        <f>IFERROR(AVERAGEIFS($C$2:$C$6,$B$2:$B$6,"&lt;&gt; -1"),0)</f>
        <v>40025.078</v>
      </c>
      <c r="H9" s="1">
        <f>IFERROR(AVERAGEIFS($E$2:$E$6,$D$2:$D$6,"&lt;&gt; -1"),0)</f>
        <v>40423.918</v>
      </c>
      <c r="I9" s="1">
        <f>IFERROR(AVERAGEIFS($G$2:$G$6,$F$2:$F$6,"&lt;&gt; -1"),0)</f>
        <v>48544.23</v>
      </c>
      <c r="J9" s="1">
        <f>IFERROR(AVERAGEIFS($I$2:$I$6,$H$2:$H$6,"&lt;&gt; -1"),0)</f>
        <v>0</v>
      </c>
      <c r="K9" s="1">
        <f>IFERROR(AVERAGEIFS($K$2:$K$6,$J$2:$J$6,"&lt;&gt; -1"),0)</f>
        <v>39889.68</v>
      </c>
      <c r="L9" s="1">
        <f>IFERROR(AVERAGEIFS($M$2:$M$6,$L$2:$L$6,"&lt;&gt; -1"),0)</f>
        <v>0</v>
      </c>
      <c r="M9" s="1">
        <f>IFERROR(_xlfn.MAXIFS($B$2:$B$6,$B$2:$B$6,"&lt;&gt; -1"),0)</f>
        <v>1726.94</v>
      </c>
      <c r="N9" s="1">
        <f>IFERROR(_xlfn.MAXIFS($D$2:$D$6,$D$2:$D$6,"&lt;&gt;-1"),0)</f>
        <v>1762.85</v>
      </c>
      <c r="O9" s="1">
        <f>IFERROR(_xlfn.MAXIFS($F$2:$F$6,$F$2:$F$6,"&lt;&gt; -1"),0)</f>
        <v>1399.17</v>
      </c>
      <c r="P9" s="1">
        <f>IFERROR(_xlfn.MAXIFS($H$2:$H$6,$H$2:$H$6,"&lt;&gt; -1"),0)</f>
        <v>0</v>
      </c>
      <c r="Q9" s="1">
        <f>IFERROR(_xlfn.MAXIFS($J$2:$J$6,$J$2:$J$6,"&lt;&gt; -1"),0)</f>
        <v>1379.28</v>
      </c>
      <c r="R9" s="1">
        <f>IFERROR(_xlfn.MAXIFS($L$2:$L$6,$L$2:$L$6,"&lt;&gt; -1"),0)</f>
        <v>0</v>
      </c>
      <c r="S9" s="1">
        <f>IFERROR(_xlfn.MINIFS($B$2:$B$6,$B$2:$B$6,"&lt;&gt; -1"),0)</f>
        <v>1313.5</v>
      </c>
      <c r="T9" s="1">
        <f>IFERROR(_xlfn.MINIFS($D$2:$D$6,$D$2:$D$6,"&lt;&gt;-1"),0)</f>
        <v>1350</v>
      </c>
      <c r="U9" s="1">
        <f>IFERROR(_xlfn.MINIFS($F$2:$F$6,$F$2:$F$6,"&lt;&gt; -1"),0)</f>
        <v>1399.17</v>
      </c>
      <c r="V9" s="1">
        <f>IFERROR(_xlfn.MINIFS($H$2:$H$6,$H$2:$H$6,"&lt;&gt; -1"),0)</f>
        <v>0</v>
      </c>
      <c r="W9" s="1">
        <f>IFERROR(_xlfn.MINIFS($J$2:$J$6,$J$2:$J$6,"&lt;&gt; -1"),0)</f>
        <v>1379.28</v>
      </c>
      <c r="X9" s="1">
        <f>IFERROR(_xlfn.MINIFS($L$2:$L$6,$L$2:$L$6,"&lt;&gt; -1"),0)</f>
        <v>0</v>
      </c>
      <c r="Y9" s="1">
        <f>IFERROR(_xlfn.MAXIFS($C$2:$C$6,$B$2:$B$6,"&lt;&gt; -1"),0)</f>
        <v>41540.99</v>
      </c>
      <c r="Z9" s="1">
        <f>IFERROR(_xlfn.MAXIFS($E$2:$E$6,$D$2:$D$6,"&lt;&gt; -1"),0)</f>
        <v>41648.81</v>
      </c>
      <c r="AA9" s="1">
        <f>IFERROR(_xlfn.MAXIFS($G$2:$G$6,$F$2:$F$6,"&lt;&gt; -1"),0)</f>
        <v>48544.23</v>
      </c>
      <c r="AB9" s="1">
        <f>IFERROR(_xlfn.MAXIFS($I$2:$I$6,$H$2:$H$6,"&lt;&gt; -1"),0)</f>
        <v>0</v>
      </c>
      <c r="AC9" s="1">
        <f>IFERROR(_xlfn.MAXIFS($K$2:$K$6,$J$2:$J$6,"&lt;&gt; -1"),0)</f>
        <v>39889.68</v>
      </c>
      <c r="AD9" s="1">
        <f>IFERROR(_xlfn.MAXIFS($M$2:$M$6,$L$2:$L$6,"&lt;&gt; -1"),0)</f>
        <v>0</v>
      </c>
      <c r="AE9" s="1">
        <f>IFERROR(_xlfn.MINIFS($C$2:$C$6,$B$2:$B$6,"&lt;&gt; -1"),0)</f>
        <v>38068.24</v>
      </c>
      <c r="AF9" s="1">
        <f>IFERROR(_xlfn.MINIFS($E$2:$E$6,$D$2:$D$6,"&lt;&gt; -1"),0)</f>
        <v>39207.95</v>
      </c>
      <c r="AG9" s="1">
        <f>IFERROR(_xlfn.MINIFS($G$2:$G$6,$F$2:$F$6,"&lt;&gt; -1"),0)</f>
        <v>48544.23</v>
      </c>
      <c r="AH9" s="1">
        <f>IFERROR(_xlfn.MINIFS($I$2:$I$6,$H$2:$H$6,"&lt;&gt; -1"),0)</f>
        <v>0</v>
      </c>
      <c r="AI9" s="1">
        <f>IFERROR(_xlfn.MINIFS($K$2:$K$6,$J$2:$J$6,"&lt;&gt; -1"),0)</f>
        <v>39889.68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0.2</v>
      </c>
      <c r="AN9" s="1">
        <f>(COUNTIFS($H$2:$H$6,"&gt;0.0",$H$2:$H$6,"&lt;3000.0"))/5</f>
        <v>0</v>
      </c>
      <c r="AO9" s="1">
        <f>(COUNTIFS($J$2:$J$6,"&gt;0.0",$J$2:$J$6,"&lt;3000.0"))/5</f>
        <v>0.2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1436.79</v>
      </c>
      <c r="C2">
        <v>39242</v>
      </c>
      <c r="D2">
        <v>1466.77</v>
      </c>
      <c r="E2">
        <v>39350.11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1497.99</v>
      </c>
      <c r="C3">
        <v>40688.79</v>
      </c>
      <c r="D3">
        <v>1534.78</v>
      </c>
      <c r="E3">
        <v>41672.93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1490.37</v>
      </c>
      <c r="C4">
        <v>40132.63</v>
      </c>
      <c r="D4">
        <v>1523.69</v>
      </c>
      <c r="E4">
        <v>41261.09</v>
      </c>
      <c r="F4">
        <v>-1</v>
      </c>
      <c r="G4">
        <v>4926.94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1461.54</v>
      </c>
      <c r="C5">
        <v>39132.76</v>
      </c>
      <c r="D5">
        <v>1497.99</v>
      </c>
      <c r="E5">
        <v>40595.08</v>
      </c>
      <c r="F5">
        <v>-1</v>
      </c>
      <c r="G5">
        <v>22819.25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1466.59</v>
      </c>
      <c r="C6">
        <v>41143.5</v>
      </c>
      <c r="D6">
        <v>1506.45</v>
      </c>
      <c r="E6">
        <v>39535.02</v>
      </c>
      <c r="F6">
        <v>-1</v>
      </c>
      <c r="G6">
        <v>43607.77</v>
      </c>
      <c r="H6">
        <v>-1</v>
      </c>
      <c r="I6">
        <v>6238.65</v>
      </c>
      <c r="J6">
        <v>-1</v>
      </c>
      <c r="K6">
        <v>1451.25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1470.656</v>
      </c>
      <c r="B9" s="1">
        <f>IFERROR(AVERAGEIF($D$2:$D$6,"&lt;&gt; -1"),0)</f>
        <v>1505.936</v>
      </c>
      <c r="C9" s="1">
        <f>IFERROR(AVERAGEIF($F$2:$F$6,"&lt;&gt; -1"),0)</f>
        <v>0</v>
      </c>
      <c r="D9" s="1">
        <f>IFERROR(AVERAGEIF($H$2:$H$6,"&lt;&gt; -1"),0)</f>
        <v>0</v>
      </c>
      <c r="E9" s="1">
        <f>IFERROR(AVERAGEIF($J$2:$J$6,"&lt;&gt; -1"),0)</f>
        <v>0</v>
      </c>
      <c r="F9" s="1">
        <f>IFERROR(AVERAGEIF($L$2:$L$6,"&lt;&gt; -1"),0)</f>
        <v>0</v>
      </c>
      <c r="G9" s="1">
        <f>IFERROR(AVERAGEIFS($C$2:$C$6,$B$2:$B$6,"&lt;&gt; -1"),0)</f>
        <v>40067.936</v>
      </c>
      <c r="H9" s="1">
        <f>IFERROR(AVERAGEIFS($E$2:$E$6,$D$2:$D$6,"&lt;&gt; -1"),0)</f>
        <v>40482.846</v>
      </c>
      <c r="I9" s="1">
        <f>IFERROR(AVERAGEIFS($G$2:$G$6,$F$2:$F$6,"&lt;&gt; -1"),0)</f>
        <v>0</v>
      </c>
      <c r="J9" s="1">
        <f>IFERROR(AVERAGEIFS($I$2:$I$6,$H$2:$H$6,"&lt;&gt; -1"),0)</f>
        <v>0</v>
      </c>
      <c r="K9" s="1">
        <f>IFERROR(AVERAGEIFS($K$2:$K$6,$J$2:$J$6,"&lt;&gt; -1"),0)</f>
        <v>0</v>
      </c>
      <c r="L9" s="1">
        <f>IFERROR(AVERAGEIFS($M$2:$M$6,$L$2:$L$6,"&lt;&gt; -1"),0)</f>
        <v>0</v>
      </c>
      <c r="M9" s="1">
        <f>IFERROR(_xlfn.MAXIFS($B$2:$B$6,$B$2:$B$6,"&lt;&gt; -1"),0)</f>
        <v>1497.99</v>
      </c>
      <c r="N9" s="1">
        <f>IFERROR(_xlfn.MAXIFS($D$2:$D$6,$D$2:$D$6,"&lt;&gt;-1"),0)</f>
        <v>1534.78</v>
      </c>
      <c r="O9" s="1">
        <f>IFERROR(_xlfn.MAXIFS($F$2:$F$6,$F$2:$F$6,"&lt;&gt; -1"),0)</f>
        <v>0</v>
      </c>
      <c r="P9" s="1">
        <f>IFERROR(_xlfn.MAXIFS($H$2:$H$6,$H$2:$H$6,"&lt;&gt; -1"),0)</f>
        <v>0</v>
      </c>
      <c r="Q9" s="1">
        <f>IFERROR(_xlfn.MAXIFS($J$2:$J$6,$J$2:$J$6,"&lt;&gt; -1"),0)</f>
        <v>0</v>
      </c>
      <c r="R9" s="1">
        <f>IFERROR(_xlfn.MAXIFS($L$2:$L$6,$L$2:$L$6,"&lt;&gt; -1"),0)</f>
        <v>0</v>
      </c>
      <c r="S9" s="1">
        <f>IFERROR(_xlfn.MINIFS($B$2:$B$6,$B$2:$B$6,"&lt;&gt; -1"),0)</f>
        <v>1436.79</v>
      </c>
      <c r="T9" s="1">
        <f>IFERROR(_xlfn.MINIFS($D$2:$D$6,$D$2:$D$6,"&lt;&gt;-1"),0)</f>
        <v>1466.77</v>
      </c>
      <c r="U9" s="1">
        <f>IFERROR(_xlfn.MINIFS($F$2:$F$6,$F$2:$F$6,"&lt;&gt; -1"),0)</f>
        <v>0</v>
      </c>
      <c r="V9" s="1">
        <f>IFERROR(_xlfn.MINIFS($H$2:$H$6,$H$2:$H$6,"&lt;&gt; -1"),0)</f>
        <v>0</v>
      </c>
      <c r="W9" s="1">
        <f>IFERROR(_xlfn.MINIFS($J$2:$J$6,$J$2:$J$6,"&lt;&gt; -1"),0)</f>
        <v>0</v>
      </c>
      <c r="X9" s="1">
        <f>IFERROR(_xlfn.MINIFS($L$2:$L$6,$L$2:$L$6,"&lt;&gt; -1"),0)</f>
        <v>0</v>
      </c>
      <c r="Y9" s="1">
        <f>IFERROR(_xlfn.MAXIFS($C$2:$C$6,$B$2:$B$6,"&lt;&gt; -1"),0)</f>
        <v>41143.5</v>
      </c>
      <c r="Z9" s="1">
        <f>IFERROR(_xlfn.MAXIFS($E$2:$E$6,$D$2:$D$6,"&lt;&gt; -1"),0)</f>
        <v>41672.93</v>
      </c>
      <c r="AA9" s="1">
        <f>IFERROR(_xlfn.MAXIFS($G$2:$G$6,$F$2:$F$6,"&lt;&gt; -1"),0)</f>
        <v>0</v>
      </c>
      <c r="AB9" s="1">
        <f>IFERROR(_xlfn.MAXIFS($I$2:$I$6,$H$2:$H$6,"&lt;&gt; -1"),0)</f>
        <v>0</v>
      </c>
      <c r="AC9" s="1">
        <f>IFERROR(_xlfn.MAXIFS($K$2:$K$6,$J$2:$J$6,"&lt;&gt; -1"),0)</f>
        <v>0</v>
      </c>
      <c r="AD9" s="1">
        <f>IFERROR(_xlfn.MAXIFS($M$2:$M$6,$L$2:$L$6,"&lt;&gt; -1"),0)</f>
        <v>0</v>
      </c>
      <c r="AE9" s="1">
        <f>IFERROR(_xlfn.MINIFS($C$2:$C$6,$B$2:$B$6,"&lt;&gt; -1"),0)</f>
        <v>39132.76</v>
      </c>
      <c r="AF9" s="1">
        <f>IFERROR(_xlfn.MINIFS($E$2:$E$6,$D$2:$D$6,"&lt;&gt; -1"),0)</f>
        <v>39350.11</v>
      </c>
      <c r="AG9" s="1">
        <f>IFERROR(_xlfn.MINIFS($G$2:$G$6,$F$2:$F$6,"&lt;&gt; -1"),0)</f>
        <v>0</v>
      </c>
      <c r="AH9" s="1">
        <f>IFERROR(_xlfn.MINIFS($I$2:$I$6,$H$2:$H$6,"&lt;&gt; -1"),0)</f>
        <v>0</v>
      </c>
      <c r="AI9" s="1">
        <f>IFERROR(_xlfn.MINIFS($K$2:$K$6,$J$2:$J$6,"&lt;&gt; -1"),0)</f>
        <v>0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</v>
      </c>
      <c r="AN9" s="1">
        <f>(COUNTIFS($H$2:$H$6,"&gt;0.0",$H$2:$H$6,"&lt;3000.0"))/5</f>
        <v>0</v>
      </c>
      <c r="AO9" s="1">
        <f>(COUNTIFS($J$2:$J$6,"&gt;0.0",$J$2:$J$6,"&lt;3000.0"))/5</f>
        <v>0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1561.36</v>
      </c>
      <c r="C2">
        <v>38407.56</v>
      </c>
      <c r="D2">
        <v>1605.83</v>
      </c>
      <c r="E2">
        <v>40516.71</v>
      </c>
      <c r="F2">
        <v>-1</v>
      </c>
      <c r="G2">
        <v>36206.05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1585.71</v>
      </c>
      <c r="C3">
        <v>39606.21</v>
      </c>
      <c r="D3">
        <v>1629.1</v>
      </c>
      <c r="E3">
        <v>41031.83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1602.26</v>
      </c>
      <c r="C4">
        <v>39975.26</v>
      </c>
      <c r="D4">
        <v>1641.33</v>
      </c>
      <c r="E4">
        <v>41469.14</v>
      </c>
      <c r="F4">
        <v>-1</v>
      </c>
      <c r="G4">
        <v>4147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1571.24</v>
      </c>
      <c r="C5">
        <v>39091.37</v>
      </c>
      <c r="D5">
        <v>1613.39</v>
      </c>
      <c r="E5">
        <v>40997.51</v>
      </c>
      <c r="F5">
        <v>1793.83</v>
      </c>
      <c r="G5">
        <v>47362.34</v>
      </c>
      <c r="H5">
        <v>-1</v>
      </c>
      <c r="I5">
        <v>0</v>
      </c>
      <c r="J5">
        <v>-1</v>
      </c>
      <c r="K5">
        <v>1528.97</v>
      </c>
      <c r="L5">
        <v>-1</v>
      </c>
      <c r="M5">
        <v>0</v>
      </c>
    </row>
    <row r="6" spans="1:13">
      <c r="A6" t="s">
        <v>17</v>
      </c>
      <c r="B6">
        <v>1582.91</v>
      </c>
      <c r="C6">
        <v>39748.93</v>
      </c>
      <c r="D6">
        <v>1619.94</v>
      </c>
      <c r="E6">
        <v>40281.29</v>
      </c>
      <c r="F6">
        <v>-1</v>
      </c>
      <c r="G6">
        <v>30940.77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1580.696</v>
      </c>
      <c r="B9" s="1">
        <f>IFERROR(AVERAGEIF($D$2:$D$6,"&lt;&gt; -1"),0)</f>
        <v>1621.918</v>
      </c>
      <c r="C9" s="1">
        <f>IFERROR(AVERAGEIF($F$2:$F$6,"&lt;&gt; -1"),0)</f>
        <v>1793.83</v>
      </c>
      <c r="D9" s="1">
        <f>IFERROR(AVERAGEIF($H$2:$H$6,"&lt;&gt; -1"),0)</f>
        <v>0</v>
      </c>
      <c r="E9" s="1">
        <f>IFERROR(AVERAGEIF($J$2:$J$6,"&lt;&gt; -1"),0)</f>
        <v>0</v>
      </c>
      <c r="F9" s="1">
        <f>IFERROR(AVERAGEIF($L$2:$L$6,"&lt;&gt; -1"),0)</f>
        <v>0</v>
      </c>
      <c r="G9" s="1">
        <f>IFERROR(AVERAGEIFS($C$2:$C$6,$B$2:$B$6,"&lt;&gt; -1"),0)</f>
        <v>39365.866</v>
      </c>
      <c r="H9" s="1">
        <f>IFERROR(AVERAGEIFS($E$2:$E$6,$D$2:$D$6,"&lt;&gt; -1"),0)</f>
        <v>40859.296</v>
      </c>
      <c r="I9" s="1">
        <f>IFERROR(AVERAGEIFS($G$2:$G$6,$F$2:$F$6,"&lt;&gt; -1"),0)</f>
        <v>47362.34</v>
      </c>
      <c r="J9" s="1">
        <f>IFERROR(AVERAGEIFS($I$2:$I$6,$H$2:$H$6,"&lt;&gt; -1"),0)</f>
        <v>0</v>
      </c>
      <c r="K9" s="1">
        <f>IFERROR(AVERAGEIFS($K$2:$K$6,$J$2:$J$6,"&lt;&gt; -1"),0)</f>
        <v>0</v>
      </c>
      <c r="L9" s="1">
        <f>IFERROR(AVERAGEIFS($M$2:$M$6,$L$2:$L$6,"&lt;&gt; -1"),0)</f>
        <v>0</v>
      </c>
      <c r="M9" s="1">
        <f>IFERROR(_xlfn.MAXIFS($B$2:$B$6,$B$2:$B$6,"&lt;&gt; -1"),0)</f>
        <v>1602.26</v>
      </c>
      <c r="N9" s="1">
        <f>IFERROR(_xlfn.MAXIFS($D$2:$D$6,$D$2:$D$6,"&lt;&gt;-1"),0)</f>
        <v>1641.33</v>
      </c>
      <c r="O9" s="1">
        <f>IFERROR(_xlfn.MAXIFS($F$2:$F$6,$F$2:$F$6,"&lt;&gt; -1"),0)</f>
        <v>1793.83</v>
      </c>
      <c r="P9" s="1">
        <f>IFERROR(_xlfn.MAXIFS($H$2:$H$6,$H$2:$H$6,"&lt;&gt; -1"),0)</f>
        <v>0</v>
      </c>
      <c r="Q9" s="1">
        <f>IFERROR(_xlfn.MAXIFS($J$2:$J$6,$J$2:$J$6,"&lt;&gt; -1"),0)</f>
        <v>0</v>
      </c>
      <c r="R9" s="1">
        <f>IFERROR(_xlfn.MAXIFS($L$2:$L$6,$L$2:$L$6,"&lt;&gt; -1"),0)</f>
        <v>0</v>
      </c>
      <c r="S9" s="1">
        <f>IFERROR(_xlfn.MINIFS($B$2:$B$6,$B$2:$B$6,"&lt;&gt; -1"),0)</f>
        <v>1561.36</v>
      </c>
      <c r="T9" s="1">
        <f>IFERROR(_xlfn.MINIFS($D$2:$D$6,$D$2:$D$6,"&lt;&gt;-1"),0)</f>
        <v>1605.83</v>
      </c>
      <c r="U9" s="1">
        <f>IFERROR(_xlfn.MINIFS($F$2:$F$6,$F$2:$F$6,"&lt;&gt; -1"),0)</f>
        <v>1793.83</v>
      </c>
      <c r="V9" s="1">
        <f>IFERROR(_xlfn.MINIFS($H$2:$H$6,$H$2:$H$6,"&lt;&gt; -1"),0)</f>
        <v>0</v>
      </c>
      <c r="W9" s="1">
        <f>IFERROR(_xlfn.MINIFS($J$2:$J$6,$J$2:$J$6,"&lt;&gt; -1"),0)</f>
        <v>0</v>
      </c>
      <c r="X9" s="1">
        <f>IFERROR(_xlfn.MINIFS($L$2:$L$6,$L$2:$L$6,"&lt;&gt; -1"),0)</f>
        <v>0</v>
      </c>
      <c r="Y9" s="1">
        <f>IFERROR(_xlfn.MAXIFS($C$2:$C$6,$B$2:$B$6,"&lt;&gt; -1"),0)</f>
        <v>39975.26</v>
      </c>
      <c r="Z9" s="1">
        <f>IFERROR(_xlfn.MAXIFS($E$2:$E$6,$D$2:$D$6,"&lt;&gt; -1"),0)</f>
        <v>41469.14</v>
      </c>
      <c r="AA9" s="1">
        <f>IFERROR(_xlfn.MAXIFS($G$2:$G$6,$F$2:$F$6,"&lt;&gt; -1"),0)</f>
        <v>47362.34</v>
      </c>
      <c r="AB9" s="1">
        <f>IFERROR(_xlfn.MAXIFS($I$2:$I$6,$H$2:$H$6,"&lt;&gt; -1"),0)</f>
        <v>0</v>
      </c>
      <c r="AC9" s="1">
        <f>IFERROR(_xlfn.MAXIFS($K$2:$K$6,$J$2:$J$6,"&lt;&gt; -1"),0)</f>
        <v>0</v>
      </c>
      <c r="AD9" s="1">
        <f>IFERROR(_xlfn.MAXIFS($M$2:$M$6,$L$2:$L$6,"&lt;&gt; -1"),0)</f>
        <v>0</v>
      </c>
      <c r="AE9" s="1">
        <f>IFERROR(_xlfn.MINIFS($C$2:$C$6,$B$2:$B$6,"&lt;&gt; -1"),0)</f>
        <v>38407.56</v>
      </c>
      <c r="AF9" s="1">
        <f>IFERROR(_xlfn.MINIFS($E$2:$E$6,$D$2:$D$6,"&lt;&gt; -1"),0)</f>
        <v>40281.29</v>
      </c>
      <c r="AG9" s="1">
        <f>IFERROR(_xlfn.MINIFS($G$2:$G$6,$F$2:$F$6,"&lt;&gt; -1"),0)</f>
        <v>47362.34</v>
      </c>
      <c r="AH9" s="1">
        <f>IFERROR(_xlfn.MINIFS($I$2:$I$6,$H$2:$H$6,"&lt;&gt; -1"),0)</f>
        <v>0</v>
      </c>
      <c r="AI9" s="1">
        <f>IFERROR(_xlfn.MINIFS($K$2:$K$6,$J$2:$J$6,"&lt;&gt; -1"),0)</f>
        <v>0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0.2</v>
      </c>
      <c r="AN9" s="1">
        <f>(COUNTIFS($H$2:$H$6,"&gt;0.0",$H$2:$H$6,"&lt;3000.0"))/5</f>
        <v>0</v>
      </c>
      <c r="AO9" s="1">
        <f>(COUNTIFS($J$2:$J$6,"&gt;0.0",$J$2:$J$6,"&lt;3000.0"))/5</f>
        <v>0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1652.65</v>
      </c>
      <c r="C2">
        <v>37535.5</v>
      </c>
      <c r="D2">
        <v>1684.24</v>
      </c>
      <c r="E2">
        <v>40100.65</v>
      </c>
      <c r="F2">
        <v>-1</v>
      </c>
      <c r="G2">
        <v>11098.77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1693.41</v>
      </c>
      <c r="C3">
        <v>39761.35</v>
      </c>
      <c r="D3">
        <v>1724.14</v>
      </c>
      <c r="E3">
        <v>40938.62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1709.25</v>
      </c>
      <c r="C4">
        <v>40505.03</v>
      </c>
      <c r="D4">
        <v>1737.69</v>
      </c>
      <c r="E4">
        <v>41353.37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1669.46</v>
      </c>
      <c r="C5">
        <v>38668.57</v>
      </c>
      <c r="D5">
        <v>1701.02</v>
      </c>
      <c r="E5">
        <v>40379.33</v>
      </c>
      <c r="F5">
        <v>-1</v>
      </c>
      <c r="G5">
        <v>0</v>
      </c>
      <c r="H5">
        <v>-1</v>
      </c>
      <c r="I5">
        <v>0</v>
      </c>
      <c r="J5">
        <v>-1</v>
      </c>
      <c r="K5">
        <v>2749.35</v>
      </c>
      <c r="L5">
        <v>-1</v>
      </c>
      <c r="M5">
        <v>0</v>
      </c>
    </row>
    <row r="6" spans="1:13">
      <c r="A6" t="s">
        <v>17</v>
      </c>
      <c r="B6">
        <v>1682.68</v>
      </c>
      <c r="C6">
        <v>40525.98</v>
      </c>
      <c r="D6">
        <v>1702.16</v>
      </c>
      <c r="E6">
        <v>40802.23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1681.49</v>
      </c>
      <c r="B9" s="1">
        <f>IFERROR(AVERAGEIF($D$2:$D$6,"&lt;&gt; -1"),0)</f>
        <v>1709.85</v>
      </c>
      <c r="C9" s="1">
        <f>IFERROR(AVERAGEIF($F$2:$F$6,"&lt;&gt; -1"),0)</f>
        <v>0</v>
      </c>
      <c r="D9" s="1">
        <f>IFERROR(AVERAGEIF($H$2:$H$6,"&lt;&gt; -1"),0)</f>
        <v>0</v>
      </c>
      <c r="E9" s="1">
        <f>IFERROR(AVERAGEIF($J$2:$J$6,"&lt;&gt; -1"),0)</f>
        <v>0</v>
      </c>
      <c r="F9" s="1">
        <f>IFERROR(AVERAGEIF($L$2:$L$6,"&lt;&gt; -1"),0)</f>
        <v>0</v>
      </c>
      <c r="G9" s="1">
        <f>IFERROR(AVERAGEIFS($C$2:$C$6,$B$2:$B$6,"&lt;&gt; -1"),0)</f>
        <v>39399.286</v>
      </c>
      <c r="H9" s="1">
        <f>IFERROR(AVERAGEIFS($E$2:$E$6,$D$2:$D$6,"&lt;&gt; -1"),0)</f>
        <v>40714.84</v>
      </c>
      <c r="I9" s="1">
        <f>IFERROR(AVERAGEIFS($G$2:$G$6,$F$2:$F$6,"&lt;&gt; -1"),0)</f>
        <v>0</v>
      </c>
      <c r="J9" s="1">
        <f>IFERROR(AVERAGEIFS($I$2:$I$6,$H$2:$H$6,"&lt;&gt; -1"),0)</f>
        <v>0</v>
      </c>
      <c r="K9" s="1">
        <f>IFERROR(AVERAGEIFS($K$2:$K$6,$J$2:$J$6,"&lt;&gt; -1"),0)</f>
        <v>0</v>
      </c>
      <c r="L9" s="1">
        <f>IFERROR(AVERAGEIFS($M$2:$M$6,$L$2:$L$6,"&lt;&gt; -1"),0)</f>
        <v>0</v>
      </c>
      <c r="M9" s="1">
        <f>IFERROR(_xlfn.MAXIFS($B$2:$B$6,$B$2:$B$6,"&lt;&gt; -1"),0)</f>
        <v>1709.25</v>
      </c>
      <c r="N9" s="1">
        <f>IFERROR(_xlfn.MAXIFS($D$2:$D$6,$D$2:$D$6,"&lt;&gt;-1"),0)</f>
        <v>1737.69</v>
      </c>
      <c r="O9" s="1">
        <f>IFERROR(_xlfn.MAXIFS($F$2:$F$6,$F$2:$F$6,"&lt;&gt; -1"),0)</f>
        <v>0</v>
      </c>
      <c r="P9" s="1">
        <f>IFERROR(_xlfn.MAXIFS($H$2:$H$6,$H$2:$H$6,"&lt;&gt; -1"),0)</f>
        <v>0</v>
      </c>
      <c r="Q9" s="1">
        <f>IFERROR(_xlfn.MAXIFS($J$2:$J$6,$J$2:$J$6,"&lt;&gt; -1"),0)</f>
        <v>0</v>
      </c>
      <c r="R9" s="1">
        <f>IFERROR(_xlfn.MAXIFS($L$2:$L$6,$L$2:$L$6,"&lt;&gt; -1"),0)</f>
        <v>0</v>
      </c>
      <c r="S9" s="1">
        <f>IFERROR(_xlfn.MINIFS($B$2:$B$6,$B$2:$B$6,"&lt;&gt; -1"),0)</f>
        <v>1652.65</v>
      </c>
      <c r="T9" s="1">
        <f>IFERROR(_xlfn.MINIFS($D$2:$D$6,$D$2:$D$6,"&lt;&gt;-1"),0)</f>
        <v>1684.24</v>
      </c>
      <c r="U9" s="1">
        <f>IFERROR(_xlfn.MINIFS($F$2:$F$6,$F$2:$F$6,"&lt;&gt; -1"),0)</f>
        <v>0</v>
      </c>
      <c r="V9" s="1">
        <f>IFERROR(_xlfn.MINIFS($H$2:$H$6,$H$2:$H$6,"&lt;&gt; -1"),0)</f>
        <v>0</v>
      </c>
      <c r="W9" s="1">
        <f>IFERROR(_xlfn.MINIFS($J$2:$J$6,$J$2:$J$6,"&lt;&gt; -1"),0)</f>
        <v>0</v>
      </c>
      <c r="X9" s="1">
        <f>IFERROR(_xlfn.MINIFS($L$2:$L$6,$L$2:$L$6,"&lt;&gt; -1"),0)</f>
        <v>0</v>
      </c>
      <c r="Y9" s="1">
        <f>IFERROR(_xlfn.MAXIFS($C$2:$C$6,$B$2:$B$6,"&lt;&gt; -1"),0)</f>
        <v>40525.98</v>
      </c>
      <c r="Z9" s="1">
        <f>IFERROR(_xlfn.MAXIFS($E$2:$E$6,$D$2:$D$6,"&lt;&gt; -1"),0)</f>
        <v>41353.37</v>
      </c>
      <c r="AA9" s="1">
        <f>IFERROR(_xlfn.MAXIFS($G$2:$G$6,$F$2:$F$6,"&lt;&gt; -1"),0)</f>
        <v>0</v>
      </c>
      <c r="AB9" s="1">
        <f>IFERROR(_xlfn.MAXIFS($I$2:$I$6,$H$2:$H$6,"&lt;&gt; -1"),0)</f>
        <v>0</v>
      </c>
      <c r="AC9" s="1">
        <f>IFERROR(_xlfn.MAXIFS($K$2:$K$6,$J$2:$J$6,"&lt;&gt; -1"),0)</f>
        <v>0</v>
      </c>
      <c r="AD9" s="1">
        <f>IFERROR(_xlfn.MAXIFS($M$2:$M$6,$L$2:$L$6,"&lt;&gt; -1"),0)</f>
        <v>0</v>
      </c>
      <c r="AE9" s="1">
        <f>IFERROR(_xlfn.MINIFS($C$2:$C$6,$B$2:$B$6,"&lt;&gt; -1"),0)</f>
        <v>37535.5</v>
      </c>
      <c r="AF9" s="1">
        <f>IFERROR(_xlfn.MINIFS($E$2:$E$6,$D$2:$D$6,"&lt;&gt; -1"),0)</f>
        <v>40100.65</v>
      </c>
      <c r="AG9" s="1">
        <f>IFERROR(_xlfn.MINIFS($G$2:$G$6,$F$2:$F$6,"&lt;&gt; -1"),0)</f>
        <v>0</v>
      </c>
      <c r="AH9" s="1">
        <f>IFERROR(_xlfn.MINIFS($I$2:$I$6,$H$2:$H$6,"&lt;&gt; -1"),0)</f>
        <v>0</v>
      </c>
      <c r="AI9" s="1">
        <f>IFERROR(_xlfn.MINIFS($K$2:$K$6,$J$2:$J$6,"&lt;&gt; -1"),0)</f>
        <v>0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</v>
      </c>
      <c r="AN9" s="1">
        <f>(COUNTIFS($H$2:$H$6,"&gt;0.0",$H$2:$H$6,"&lt;3000.0"))/5</f>
        <v>0</v>
      </c>
      <c r="AO9" s="1">
        <f>(COUNTIFS($J$2:$J$6,"&gt;0.0",$J$2:$J$6,"&lt;3000.0"))/5</f>
        <v>0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cols>
    <col min="2" max="2" width="9.54545454545454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1751.19</v>
      </c>
      <c r="C2">
        <v>39008.27</v>
      </c>
      <c r="D2">
        <v>1770.43</v>
      </c>
      <c r="E2">
        <v>40056.42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2493.62</v>
      </c>
      <c r="C3">
        <v>37524.59</v>
      </c>
      <c r="D3">
        <v>2519.14</v>
      </c>
      <c r="E3">
        <v>39534.75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2553.93</v>
      </c>
      <c r="C4">
        <v>40822.57</v>
      </c>
      <c r="D4">
        <v>2586.84</v>
      </c>
      <c r="E4">
        <v>42448.81</v>
      </c>
      <c r="F4">
        <v>-1</v>
      </c>
      <c r="G4">
        <v>3598.34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2508.6</v>
      </c>
      <c r="C5">
        <v>38481.01</v>
      </c>
      <c r="D5">
        <v>2543.72</v>
      </c>
      <c r="E5">
        <v>41378.42</v>
      </c>
      <c r="F5">
        <v>-1</v>
      </c>
      <c r="G5">
        <v>2838.9</v>
      </c>
      <c r="H5">
        <v>-1</v>
      </c>
      <c r="I5">
        <v>0</v>
      </c>
      <c r="J5">
        <v>-1</v>
      </c>
      <c r="K5">
        <v>2355.84</v>
      </c>
      <c r="L5">
        <v>-1</v>
      </c>
      <c r="M5">
        <v>0</v>
      </c>
    </row>
    <row r="6" spans="1:13">
      <c r="A6" t="s">
        <v>17</v>
      </c>
      <c r="B6">
        <v>2624.36</v>
      </c>
      <c r="C6">
        <v>40140.62</v>
      </c>
      <c r="D6">
        <v>2640.62</v>
      </c>
      <c r="E6">
        <v>40544</v>
      </c>
      <c r="F6">
        <v>-1</v>
      </c>
      <c r="G6">
        <v>0</v>
      </c>
      <c r="H6">
        <v>-1</v>
      </c>
      <c r="I6">
        <v>0</v>
      </c>
      <c r="J6">
        <v>-1</v>
      </c>
      <c r="K6">
        <v>5283.6</v>
      </c>
      <c r="L6">
        <v>-1</v>
      </c>
      <c r="M6">
        <v>0</v>
      </c>
    </row>
    <row r="8" spans="1:42">
      <c r="A8" s="3" t="s">
        <v>18</v>
      </c>
      <c r="B8" s="3" t="s">
        <v>19</v>
      </c>
      <c r="C8" s="3" t="s">
        <v>20</v>
      </c>
      <c r="D8" s="4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4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4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40</v>
      </c>
      <c r="X8" s="3" t="s">
        <v>41</v>
      </c>
      <c r="Y8" s="3" t="s">
        <v>42</v>
      </c>
      <c r="Z8" s="3" t="s">
        <v>43</v>
      </c>
      <c r="AA8" s="3" t="s">
        <v>44</v>
      </c>
      <c r="AB8" s="4" t="s">
        <v>45</v>
      </c>
      <c r="AC8" s="3" t="s">
        <v>46</v>
      </c>
      <c r="AD8" s="3" t="s">
        <v>47</v>
      </c>
      <c r="AE8" s="3" t="s">
        <v>48</v>
      </c>
      <c r="AF8" s="3" t="s">
        <v>49</v>
      </c>
      <c r="AG8" s="3" t="s">
        <v>50</v>
      </c>
      <c r="AH8" s="4" t="s">
        <v>51</v>
      </c>
      <c r="AI8" s="3" t="s">
        <v>52</v>
      </c>
      <c r="AJ8" s="3" t="s">
        <v>53</v>
      </c>
      <c r="AK8" s="3" t="s">
        <v>54</v>
      </c>
      <c r="AL8" s="3" t="s">
        <v>55</v>
      </c>
      <c r="AM8" s="3" t="s">
        <v>56</v>
      </c>
      <c r="AN8" s="4" t="s">
        <v>57</v>
      </c>
      <c r="AO8" s="3" t="s">
        <v>58</v>
      </c>
      <c r="AP8" s="3" t="s">
        <v>59</v>
      </c>
    </row>
    <row r="9" spans="1:42">
      <c r="A9" s="1">
        <f>IFERROR(AVERAGEIF($B$2:$B$6,"&lt;&gt; -1"),0)</f>
        <v>2386.34</v>
      </c>
      <c r="B9" s="1">
        <f>IFERROR(AVERAGEIF($D$2:$D$6,"&lt;&gt; -1"),0)</f>
        <v>2412.15</v>
      </c>
      <c r="C9" s="1">
        <f>IFERROR(AVERAGEIF($F$2:$F$6,"&lt;&gt; -1"),0)</f>
        <v>0</v>
      </c>
      <c r="D9" s="1">
        <f>IFERROR(AVERAGEIF($H$2:$H$6,"&lt;&gt; -1"),0)</f>
        <v>0</v>
      </c>
      <c r="E9" s="1">
        <f>IFERROR(AVERAGEIF($J$2:$J$6,"&lt;&gt; -1"),0)</f>
        <v>0</v>
      </c>
      <c r="F9" s="1">
        <f>IFERROR(AVERAGEIF($L$2:$L$6,"&lt;&gt; -1"),0)</f>
        <v>0</v>
      </c>
      <c r="G9" s="1">
        <f>IFERROR(AVERAGEIFS($C$2:$C$6,$B$2:$B$6,"&lt;&gt; -1"),0)</f>
        <v>39195.412</v>
      </c>
      <c r="H9" s="1">
        <f>IFERROR(AVERAGEIFS($E$2:$E$6,$D$2:$D$6,"&lt;&gt; -1"),0)</f>
        <v>40792.48</v>
      </c>
      <c r="I9" s="1">
        <f>IFERROR(AVERAGEIFS($G$2:$G$6,$F$2:$F$6,"&lt;&gt; -1"),0)</f>
        <v>0</v>
      </c>
      <c r="J9" s="1">
        <f>IFERROR(AVERAGEIFS($I$2:$I$6,$H$2:$H$6,"&lt;&gt; -1"),0)</f>
        <v>0</v>
      </c>
      <c r="K9" s="1">
        <f>IFERROR(AVERAGEIFS($K$2:$K$6,$J$2:$J$6,"&lt;&gt; -1"),0)</f>
        <v>0</v>
      </c>
      <c r="L9" s="1">
        <f>IFERROR(AVERAGEIFS($M$2:$M$6,$L$2:$L$6,"&lt;&gt; -1"),0)</f>
        <v>0</v>
      </c>
      <c r="M9" s="1">
        <f>IFERROR(_xlfn.MAXIFS($B$2:$B$6,$B$2:$B$6,"&lt;&gt; -1"),0)</f>
        <v>2624.36</v>
      </c>
      <c r="N9" s="1">
        <f>IFERROR(_xlfn.MAXIFS($D$2:$D$6,$D$2:$D$6,"&lt;&gt;-1"),0)</f>
        <v>2640.62</v>
      </c>
      <c r="O9" s="1">
        <f>IFERROR(_xlfn.MAXIFS($F$2:$F$6,$F$2:$F$6,"&lt;&gt; -1"),0)</f>
        <v>0</v>
      </c>
      <c r="P9" s="1">
        <f>IFERROR(_xlfn.MAXIFS($H$2:$H$6,$H$2:$H$6,"&lt;&gt; -1"),0)</f>
        <v>0</v>
      </c>
      <c r="Q9" s="1">
        <f>IFERROR(_xlfn.MAXIFS($J$2:$J$6,$J$2:$J$6,"&lt;&gt; -1"),0)</f>
        <v>0</v>
      </c>
      <c r="R9" s="1">
        <f>IFERROR(_xlfn.MAXIFS($L$2:$L$6,$L$2:$L$6,"&lt;&gt; -1"),0)</f>
        <v>0</v>
      </c>
      <c r="S9" s="1">
        <f>IFERROR(_xlfn.MINIFS($B$2:$B$6,$B$2:$B$6,"&lt;&gt; -1"),0)</f>
        <v>1751.19</v>
      </c>
      <c r="T9" s="1">
        <f>IFERROR(_xlfn.MINIFS($D$2:$D$6,$D$2:$D$6,"&lt;&gt;-1"),0)</f>
        <v>1770.43</v>
      </c>
      <c r="U9" s="1">
        <f>IFERROR(_xlfn.MINIFS($F$2:$F$6,$F$2:$F$6,"&lt;&gt; -1"),0)</f>
        <v>0</v>
      </c>
      <c r="V9" s="1">
        <f>IFERROR(_xlfn.MINIFS($H$2:$H$6,$H$2:$H$6,"&lt;&gt; -1"),0)</f>
        <v>0</v>
      </c>
      <c r="W9" s="1">
        <f>IFERROR(_xlfn.MINIFS($J$2:$J$6,$J$2:$J$6,"&lt;&gt; -1"),0)</f>
        <v>0</v>
      </c>
      <c r="X9" s="1">
        <f>IFERROR(_xlfn.MINIFS($L$2:$L$6,$L$2:$L$6,"&lt;&gt; -1"),0)</f>
        <v>0</v>
      </c>
      <c r="Y9" s="1">
        <f>IFERROR(_xlfn.MAXIFS($C$2:$C$6,$B$2:$B$6,"&lt;&gt; -1"),0)</f>
        <v>40822.57</v>
      </c>
      <c r="Z9" s="1">
        <f>IFERROR(_xlfn.MAXIFS($E$2:$E$6,$D$2:$D$6,"&lt;&gt; -1"),0)</f>
        <v>42448.81</v>
      </c>
      <c r="AA9" s="1">
        <f>IFERROR(_xlfn.MAXIFS($G$2:$G$6,$F$2:$F$6,"&lt;&gt; -1"),0)</f>
        <v>0</v>
      </c>
      <c r="AB9" s="1">
        <f>IFERROR(_xlfn.MAXIFS($I$2:$I$6,$H$2:$H$6,"&lt;&gt; -1"),0)</f>
        <v>0</v>
      </c>
      <c r="AC9" s="1">
        <f>IFERROR(_xlfn.MAXIFS($K$2:$K$6,$J$2:$J$6,"&lt;&gt; -1"),0)</f>
        <v>0</v>
      </c>
      <c r="AD9" s="1">
        <f>IFERROR(_xlfn.MAXIFS($M$2:$M$6,$L$2:$L$6,"&lt;&gt; -1"),0)</f>
        <v>0</v>
      </c>
      <c r="AE9" s="1">
        <f>IFERROR(_xlfn.MINIFS($C$2:$C$6,$B$2:$B$6,"&lt;&gt; -1"),0)</f>
        <v>37524.59</v>
      </c>
      <c r="AF9" s="1">
        <f>IFERROR(_xlfn.MINIFS($E$2:$E$6,$D$2:$D$6,"&lt;&gt; -1"),0)</f>
        <v>39534.75</v>
      </c>
      <c r="AG9" s="1">
        <f>IFERROR(_xlfn.MINIFS($G$2:$G$6,$F$2:$F$6,"&lt;&gt; -1"),0)</f>
        <v>0</v>
      </c>
      <c r="AH9" s="1">
        <f>IFERROR(_xlfn.MINIFS($I$2:$I$6,$H$2:$H$6,"&lt;&gt; -1"),0)</f>
        <v>0</v>
      </c>
      <c r="AI9" s="1">
        <f>IFERROR(_xlfn.MINIFS($K$2:$K$6,$J$2:$J$6,"&lt;&gt; -1"),0)</f>
        <v>0</v>
      </c>
      <c r="AJ9" s="1">
        <f>IFERROR(_xlfn.MINIFS($M$2:$M$6,$L$2:$L$6,"&lt;&gt; -1"),0)</f>
        <v>0</v>
      </c>
      <c r="AK9" s="1">
        <f>(COUNTIFS($B$2:$B$6,"&gt;0.0",$B$2:$B$6,"&lt;3000.0"))/5</f>
        <v>1</v>
      </c>
      <c r="AL9" s="1">
        <f>(COUNTIFS($D$2:$D$6,"&gt;0.0",$D$2:$D$6,"&lt;3000.0"))/5</f>
        <v>1</v>
      </c>
      <c r="AM9" s="1">
        <f>(COUNTIFS($F$2:$F$6,"&gt;0.0",$F$2:$F$6,"&lt;3000.0"))/5</f>
        <v>0</v>
      </c>
      <c r="AN9" s="1">
        <f>(COUNTIFS($H$2:$H$6,"&gt;0.0",$H$2:$H$6,"&lt;3000.0"))/5</f>
        <v>0</v>
      </c>
      <c r="AO9" s="1">
        <f>(COUNTIFS($J$2:$J$6,"&gt;0.0",$J$2:$J$6,"&lt;3000.0"))/5</f>
        <v>0</v>
      </c>
      <c r="AP9" s="1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3" sqref="G13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1221.978</v>
      </c>
      <c r="B2">
        <v>1257.93</v>
      </c>
      <c r="C2">
        <v>1416.04</v>
      </c>
      <c r="D2">
        <v>0</v>
      </c>
      <c r="E2">
        <v>1291.14</v>
      </c>
      <c r="F2">
        <v>0</v>
      </c>
      <c r="G2">
        <v>39542.84</v>
      </c>
      <c r="H2">
        <v>40239.192</v>
      </c>
      <c r="I2">
        <v>48816.57</v>
      </c>
      <c r="J2">
        <v>0</v>
      </c>
      <c r="K2">
        <v>39247.49</v>
      </c>
      <c r="L2">
        <v>0</v>
      </c>
      <c r="M2">
        <v>1255.35</v>
      </c>
      <c r="N2">
        <v>1291.81</v>
      </c>
      <c r="O2">
        <v>1416.04</v>
      </c>
      <c r="P2">
        <v>0</v>
      </c>
      <c r="Q2">
        <v>1291.14</v>
      </c>
      <c r="R2">
        <v>0</v>
      </c>
      <c r="S2">
        <v>1154.34</v>
      </c>
      <c r="T2">
        <v>1189.64</v>
      </c>
      <c r="U2">
        <v>1416.04</v>
      </c>
      <c r="V2">
        <v>0</v>
      </c>
      <c r="W2">
        <v>1291.14</v>
      </c>
      <c r="X2">
        <v>0</v>
      </c>
      <c r="Y2">
        <v>40612.66</v>
      </c>
      <c r="Z2">
        <v>41161.07</v>
      </c>
      <c r="AA2">
        <v>48816.57</v>
      </c>
      <c r="AB2">
        <v>0</v>
      </c>
      <c r="AC2">
        <v>39247.49</v>
      </c>
      <c r="AD2">
        <v>0</v>
      </c>
      <c r="AE2">
        <v>38280.26</v>
      </c>
      <c r="AF2">
        <v>38822.45</v>
      </c>
      <c r="AG2">
        <v>48816.57</v>
      </c>
      <c r="AH2">
        <v>0</v>
      </c>
      <c r="AI2">
        <v>39247.49</v>
      </c>
      <c r="AJ2">
        <v>0</v>
      </c>
      <c r="AK2">
        <v>1</v>
      </c>
      <c r="AL2">
        <v>1</v>
      </c>
      <c r="AM2">
        <v>0.2</v>
      </c>
      <c r="AN2">
        <v>0</v>
      </c>
      <c r="AO2">
        <v>0.2</v>
      </c>
      <c r="AP2">
        <v>0</v>
      </c>
    </row>
    <row r="3" spans="1:42">
      <c r="A3">
        <v>1433.334</v>
      </c>
      <c r="B3">
        <v>1469.612</v>
      </c>
      <c r="C3">
        <v>1399.17</v>
      </c>
      <c r="D3">
        <v>0</v>
      </c>
      <c r="E3">
        <v>1379.28</v>
      </c>
      <c r="F3">
        <v>0</v>
      </c>
      <c r="G3">
        <v>40025.078</v>
      </c>
      <c r="H3">
        <v>40423.918</v>
      </c>
      <c r="I3">
        <v>48544.23</v>
      </c>
      <c r="J3">
        <v>0</v>
      </c>
      <c r="K3">
        <v>39889.68</v>
      </c>
      <c r="L3">
        <v>0</v>
      </c>
      <c r="M3">
        <v>1726.94</v>
      </c>
      <c r="N3">
        <v>1762.85</v>
      </c>
      <c r="O3">
        <v>1399.17</v>
      </c>
      <c r="P3">
        <v>0</v>
      </c>
      <c r="Q3">
        <v>1379.28</v>
      </c>
      <c r="R3">
        <v>0</v>
      </c>
      <c r="S3">
        <v>1313.5</v>
      </c>
      <c r="T3">
        <v>1350</v>
      </c>
      <c r="U3">
        <v>1399.17</v>
      </c>
      <c r="V3">
        <v>0</v>
      </c>
      <c r="W3">
        <v>1379.28</v>
      </c>
      <c r="X3">
        <v>0</v>
      </c>
      <c r="Y3">
        <v>41540.99</v>
      </c>
      <c r="Z3">
        <v>41648.81</v>
      </c>
      <c r="AA3">
        <v>48544.23</v>
      </c>
      <c r="AB3">
        <v>0</v>
      </c>
      <c r="AC3">
        <v>39889.68</v>
      </c>
      <c r="AD3">
        <v>0</v>
      </c>
      <c r="AE3">
        <v>38068.24</v>
      </c>
      <c r="AF3">
        <v>39207.95</v>
      </c>
      <c r="AG3">
        <v>48544.23</v>
      </c>
      <c r="AH3">
        <v>0</v>
      </c>
      <c r="AI3">
        <v>39889.68</v>
      </c>
      <c r="AJ3">
        <v>0</v>
      </c>
      <c r="AK3">
        <v>1</v>
      </c>
      <c r="AL3">
        <v>1</v>
      </c>
      <c r="AM3">
        <v>0.2</v>
      </c>
      <c r="AN3">
        <v>0</v>
      </c>
      <c r="AO3">
        <v>0.2</v>
      </c>
      <c r="AP3">
        <v>0</v>
      </c>
    </row>
    <row r="4" spans="1:42">
      <c r="A4">
        <v>1470.656</v>
      </c>
      <c r="B4">
        <v>1505.936</v>
      </c>
      <c r="C4">
        <v>0</v>
      </c>
      <c r="D4">
        <v>0</v>
      </c>
      <c r="E4">
        <v>0</v>
      </c>
      <c r="F4">
        <v>0</v>
      </c>
      <c r="G4">
        <v>40067.936</v>
      </c>
      <c r="H4">
        <v>40482.846</v>
      </c>
      <c r="I4">
        <v>0</v>
      </c>
      <c r="J4">
        <v>0</v>
      </c>
      <c r="K4">
        <v>0</v>
      </c>
      <c r="L4">
        <v>0</v>
      </c>
      <c r="M4">
        <v>1497.99</v>
      </c>
      <c r="N4">
        <v>1534.78</v>
      </c>
      <c r="O4">
        <v>0</v>
      </c>
      <c r="P4">
        <v>0</v>
      </c>
      <c r="Q4">
        <v>0</v>
      </c>
      <c r="R4">
        <v>0</v>
      </c>
      <c r="S4">
        <v>1436.79</v>
      </c>
      <c r="T4">
        <v>1466.77</v>
      </c>
      <c r="U4">
        <v>0</v>
      </c>
      <c r="V4">
        <v>0</v>
      </c>
      <c r="W4">
        <v>0</v>
      </c>
      <c r="X4">
        <v>0</v>
      </c>
      <c r="Y4">
        <v>41143.5</v>
      </c>
      <c r="Z4">
        <v>41672.93</v>
      </c>
      <c r="AA4">
        <v>0</v>
      </c>
      <c r="AB4">
        <v>0</v>
      </c>
      <c r="AC4">
        <v>0</v>
      </c>
      <c r="AD4">
        <v>0</v>
      </c>
      <c r="AE4">
        <v>39132.76</v>
      </c>
      <c r="AF4">
        <v>39350.11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1580.696</v>
      </c>
      <c r="B5">
        <v>1621.918</v>
      </c>
      <c r="C5">
        <v>1793.83</v>
      </c>
      <c r="D5">
        <v>0</v>
      </c>
      <c r="E5">
        <v>0</v>
      </c>
      <c r="F5">
        <v>0</v>
      </c>
      <c r="G5">
        <v>39365.866</v>
      </c>
      <c r="H5">
        <v>40859.296</v>
      </c>
      <c r="I5">
        <v>47362.34</v>
      </c>
      <c r="J5">
        <v>0</v>
      </c>
      <c r="K5">
        <v>0</v>
      </c>
      <c r="L5">
        <v>0</v>
      </c>
      <c r="M5">
        <v>1602.26</v>
      </c>
      <c r="N5">
        <v>1641.33</v>
      </c>
      <c r="O5">
        <v>1793.83</v>
      </c>
      <c r="P5">
        <v>0</v>
      </c>
      <c r="Q5">
        <v>0</v>
      </c>
      <c r="R5">
        <v>0</v>
      </c>
      <c r="S5">
        <v>1561.36</v>
      </c>
      <c r="T5">
        <v>1605.83</v>
      </c>
      <c r="U5">
        <v>1793.83</v>
      </c>
      <c r="V5">
        <v>0</v>
      </c>
      <c r="W5">
        <v>0</v>
      </c>
      <c r="X5">
        <v>0</v>
      </c>
      <c r="Y5">
        <v>39975.26</v>
      </c>
      <c r="Z5">
        <v>41469.14</v>
      </c>
      <c r="AA5">
        <v>47362.34</v>
      </c>
      <c r="AB5">
        <v>0</v>
      </c>
      <c r="AC5">
        <v>0</v>
      </c>
      <c r="AD5">
        <v>0</v>
      </c>
      <c r="AE5">
        <v>38407.56</v>
      </c>
      <c r="AF5">
        <v>40281.29</v>
      </c>
      <c r="AG5">
        <v>47362.34</v>
      </c>
      <c r="AH5">
        <v>0</v>
      </c>
      <c r="AI5">
        <v>0</v>
      </c>
      <c r="AJ5">
        <v>0</v>
      </c>
      <c r="AK5">
        <v>1</v>
      </c>
      <c r="AL5">
        <v>1</v>
      </c>
      <c r="AM5">
        <v>0.2</v>
      </c>
      <c r="AN5">
        <v>0</v>
      </c>
      <c r="AO5">
        <v>0</v>
      </c>
      <c r="AP5">
        <v>0</v>
      </c>
    </row>
    <row r="6" spans="1:42">
      <c r="A6">
        <v>1681.49</v>
      </c>
      <c r="B6">
        <v>1709.85</v>
      </c>
      <c r="C6">
        <v>0</v>
      </c>
      <c r="D6">
        <v>0</v>
      </c>
      <c r="E6">
        <v>0</v>
      </c>
      <c r="F6">
        <v>0</v>
      </c>
      <c r="G6">
        <v>39399.286</v>
      </c>
      <c r="H6">
        <v>40714.84</v>
      </c>
      <c r="I6">
        <v>0</v>
      </c>
      <c r="J6">
        <v>0</v>
      </c>
      <c r="K6">
        <v>0</v>
      </c>
      <c r="L6">
        <v>0</v>
      </c>
      <c r="M6">
        <v>1709.25</v>
      </c>
      <c r="N6">
        <v>1737.69</v>
      </c>
      <c r="O6">
        <v>0</v>
      </c>
      <c r="P6">
        <v>0</v>
      </c>
      <c r="Q6">
        <v>0</v>
      </c>
      <c r="R6">
        <v>0</v>
      </c>
      <c r="S6">
        <v>1652.65</v>
      </c>
      <c r="T6">
        <v>1684.24</v>
      </c>
      <c r="U6">
        <v>0</v>
      </c>
      <c r="V6">
        <v>0</v>
      </c>
      <c r="W6">
        <v>0</v>
      </c>
      <c r="X6">
        <v>0</v>
      </c>
      <c r="Y6">
        <v>40525.98</v>
      </c>
      <c r="Z6">
        <v>41353.37</v>
      </c>
      <c r="AA6">
        <v>0</v>
      </c>
      <c r="AB6">
        <v>0</v>
      </c>
      <c r="AC6">
        <v>0</v>
      </c>
      <c r="AD6">
        <v>0</v>
      </c>
      <c r="AE6">
        <v>37535.5</v>
      </c>
      <c r="AF6">
        <v>40100.65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 s="1">
        <v>2386.34</v>
      </c>
      <c r="B7" s="1">
        <v>2412.15</v>
      </c>
      <c r="C7" s="1">
        <v>0</v>
      </c>
      <c r="D7" s="1">
        <v>0</v>
      </c>
      <c r="E7" s="1">
        <v>0</v>
      </c>
      <c r="F7" s="1">
        <v>0</v>
      </c>
      <c r="G7" s="1">
        <v>39195.412</v>
      </c>
      <c r="H7" s="1">
        <v>40792.48</v>
      </c>
      <c r="I7" s="1">
        <v>0</v>
      </c>
      <c r="J7" s="1">
        <v>0</v>
      </c>
      <c r="K7" s="1">
        <v>0</v>
      </c>
      <c r="L7" s="1">
        <v>0</v>
      </c>
      <c r="M7" s="1">
        <v>2624.36</v>
      </c>
      <c r="N7" s="1">
        <v>2640.62</v>
      </c>
      <c r="O7" s="1">
        <v>0</v>
      </c>
      <c r="P7" s="1">
        <v>0</v>
      </c>
      <c r="Q7" s="1">
        <v>0</v>
      </c>
      <c r="R7" s="1">
        <v>0</v>
      </c>
      <c r="S7" s="1">
        <v>1751.19</v>
      </c>
      <c r="T7" s="1">
        <v>1770.43</v>
      </c>
      <c r="U7" s="1">
        <v>0</v>
      </c>
      <c r="V7" s="1">
        <v>0</v>
      </c>
      <c r="W7" s="1">
        <v>0</v>
      </c>
      <c r="X7" s="1">
        <v>0</v>
      </c>
      <c r="Y7" s="1">
        <v>40822.57</v>
      </c>
      <c r="Z7" s="1">
        <v>42448.81</v>
      </c>
      <c r="AA7" s="1">
        <v>0</v>
      </c>
      <c r="AB7" s="1">
        <v>0</v>
      </c>
      <c r="AC7" s="1">
        <v>0</v>
      </c>
      <c r="AD7" s="1">
        <v>0</v>
      </c>
      <c r="AE7" s="1">
        <v>37524.59</v>
      </c>
      <c r="AF7" s="1">
        <v>39534.75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2024-09-07T12:58:00Z</dcterms:created>
  <dcterms:modified xsi:type="dcterms:W3CDTF">2024-09-08T10:37:35Z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537014580654456C96927D7F5D1A17EF_12</vt:lpwstr>
  </property>
  <property fmtid="{D5CDD505-2E9C-101B-9397-08002B2CF9AE}" pid="3" name="KSOProductBuildVer">
    <vt:lpwstr>2052-12.1.0.17827</vt:lpwstr>
  </property>
</Properties>
</file>