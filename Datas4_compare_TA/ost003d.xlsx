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<sst xmlns="http://schemas.openxmlformats.org/spreadsheetml/2006/main" count="432" uniqueCount="65">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</sst>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topLeftCell="S1" workbookViewId="0">
      <selection activeCell="S14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1604.38</v>
      </c>
      <c r="C2">
        <v>49406.32</v>
      </c>
      <c r="D2">
        <v>1639.34</v>
      </c>
      <c r="E2">
        <v>52155.5</v>
      </c>
      <c r="F2">
        <v>-1</v>
      </c>
      <c r="G2">
        <v>5610.59</v>
      </c>
      <c r="H2">
        <v>-1</v>
      </c>
      <c r="I2">
        <v>9192.01</v>
      </c>
      <c r="J2">
        <v>-1</v>
      </c>
      <c r="K2">
        <v>5089.12</v>
      </c>
      <c r="L2">
        <v>-1</v>
      </c>
      <c r="M2">
        <v>8597.55</v>
      </c>
    </row>
    <row r="3" spans="1:13">
      <c r="A3" t="s">
        <v>14</v>
      </c>
      <c r="B3">
        <v>2271.7</v>
      </c>
      <c r="C3">
        <v>53118.45</v>
      </c>
      <c r="D3">
        <v>2325.08</v>
      </c>
      <c r="E3">
        <v>52725.25</v>
      </c>
      <c r="F3">
        <v>-1</v>
      </c>
      <c r="G3">
        <v>18535.98</v>
      </c>
      <c r="H3">
        <v>-1</v>
      </c>
      <c r="I3">
        <v>22293.84</v>
      </c>
      <c r="J3">
        <v>-1</v>
      </c>
      <c r="K3">
        <v>35403.34</v>
      </c>
      <c r="L3">
        <v>-1</v>
      </c>
      <c r="M3">
        <v>3079.01</v>
      </c>
    </row>
    <row r="4" spans="1:13">
      <c r="A4" t="s">
        <v>15</v>
      </c>
      <c r="B4">
        <v>2203.38</v>
      </c>
      <c r="C4">
        <v>51373.57</v>
      </c>
      <c r="D4">
        <v>2253.02</v>
      </c>
      <c r="E4">
        <v>50702.54</v>
      </c>
      <c r="F4">
        <v>-1</v>
      </c>
      <c r="G4">
        <v>3977.71</v>
      </c>
      <c r="H4">
        <v>-1</v>
      </c>
      <c r="I4">
        <v>8519.11</v>
      </c>
      <c r="J4">
        <v>-1</v>
      </c>
      <c r="K4">
        <v>7777.49</v>
      </c>
      <c r="L4">
        <v>-1</v>
      </c>
      <c r="M4">
        <v>7537.17</v>
      </c>
    </row>
    <row r="5" spans="1:13">
      <c r="A5" t="s">
        <v>16</v>
      </c>
      <c r="B5">
        <v>1575.67</v>
      </c>
      <c r="C5">
        <v>49163.71</v>
      </c>
      <c r="D5">
        <v>1611.58</v>
      </c>
      <c r="E5">
        <v>49874.04</v>
      </c>
      <c r="F5">
        <v>-1</v>
      </c>
      <c r="G5">
        <v>14818.62</v>
      </c>
      <c r="H5">
        <v>-1</v>
      </c>
      <c r="I5">
        <v>0</v>
      </c>
      <c r="J5">
        <v>1911.58</v>
      </c>
      <c r="K5">
        <v>49227.54</v>
      </c>
      <c r="L5">
        <v>-1</v>
      </c>
      <c r="M5">
        <v>0</v>
      </c>
    </row>
    <row r="6" spans="1:13">
      <c r="A6" t="s">
        <v>17</v>
      </c>
      <c r="B6">
        <v>1573.14</v>
      </c>
      <c r="C6">
        <v>49334.85</v>
      </c>
      <c r="D6">
        <v>1608.35</v>
      </c>
      <c r="E6">
        <v>48759.03</v>
      </c>
      <c r="F6">
        <v>-1</v>
      </c>
      <c r="G6">
        <v>2355.02</v>
      </c>
      <c r="H6">
        <v>-1</v>
      </c>
      <c r="I6">
        <v>2804.07</v>
      </c>
      <c r="J6">
        <v>-1</v>
      </c>
      <c r="K6">
        <v>2109.09</v>
      </c>
      <c r="L6">
        <v>-1</v>
      </c>
      <c r="M6">
        <v>0</v>
      </c>
    </row>
    <row r="7" spans="1:13">
      <c r="A7" t="s">
        <v>18</v>
      </c>
      <c r="B7">
        <v>1620.44</v>
      </c>
      <c r="C7">
        <v>51391.32</v>
      </c>
      <c r="D7">
        <v>1656.7</v>
      </c>
      <c r="E7">
        <v>49787.18</v>
      </c>
      <c r="F7">
        <v>-1</v>
      </c>
      <c r="G7">
        <v>17991.47</v>
      </c>
      <c r="H7">
        <v>-1</v>
      </c>
      <c r="I7">
        <v>2376.28</v>
      </c>
      <c r="J7">
        <v>-1</v>
      </c>
      <c r="K7">
        <v>25419.59</v>
      </c>
      <c r="L7">
        <v>-1</v>
      </c>
      <c r="M7">
        <v>2139.15</v>
      </c>
    </row>
    <row r="8" spans="1:13">
      <c r="A8" t="s">
        <v>19</v>
      </c>
      <c r="B8">
        <v>1566.31</v>
      </c>
      <c r="C8">
        <v>50331.75</v>
      </c>
      <c r="D8">
        <v>1602.38</v>
      </c>
      <c r="E8">
        <v>51048.86</v>
      </c>
      <c r="F8">
        <v>-1</v>
      </c>
      <c r="G8">
        <v>22626.74</v>
      </c>
      <c r="H8">
        <v>-1</v>
      </c>
      <c r="I8">
        <v>0</v>
      </c>
      <c r="J8">
        <v>1608.85</v>
      </c>
      <c r="K8">
        <v>50526.58</v>
      </c>
      <c r="L8">
        <v>-1</v>
      </c>
      <c r="M8">
        <v>0</v>
      </c>
    </row>
    <row r="9" spans="1:13">
      <c r="A9" t="s">
        <v>20</v>
      </c>
      <c r="B9">
        <v>1629.3</v>
      </c>
      <c r="C9">
        <v>52606.96</v>
      </c>
      <c r="D9">
        <v>1664.02</v>
      </c>
      <c r="E9">
        <v>51738.32</v>
      </c>
      <c r="F9">
        <v>-1</v>
      </c>
      <c r="G9">
        <v>16535.55</v>
      </c>
      <c r="H9">
        <v>-1</v>
      </c>
      <c r="I9">
        <v>9109.44</v>
      </c>
      <c r="J9">
        <v>-1</v>
      </c>
      <c r="K9">
        <v>11006.28</v>
      </c>
      <c r="L9">
        <v>-1</v>
      </c>
      <c r="M9">
        <v>0</v>
      </c>
    </row>
    <row r="10" spans="1:13">
      <c r="A10" t="s">
        <v>21</v>
      </c>
      <c r="B10">
        <v>1562.84</v>
      </c>
      <c r="C10">
        <v>48890.61</v>
      </c>
      <c r="D10">
        <v>1599.06</v>
      </c>
      <c r="E10">
        <v>50178.07</v>
      </c>
      <c r="F10">
        <v>1690.84</v>
      </c>
      <c r="G10">
        <v>54898.97</v>
      </c>
      <c r="H10">
        <v>-1</v>
      </c>
      <c r="I10">
        <v>0</v>
      </c>
      <c r="J10">
        <v>1608.9</v>
      </c>
      <c r="K10">
        <v>49062.5</v>
      </c>
      <c r="L10">
        <v>-1</v>
      </c>
      <c r="M10">
        <v>0</v>
      </c>
    </row>
    <row r="11" spans="1:13">
      <c r="A11" t="s">
        <v>22</v>
      </c>
      <c r="B11">
        <v>1574.83</v>
      </c>
      <c r="C11">
        <v>49977.2</v>
      </c>
      <c r="D11">
        <v>1610.73</v>
      </c>
      <c r="E11">
        <v>50271.82</v>
      </c>
      <c r="F11">
        <v>-1</v>
      </c>
      <c r="G11">
        <v>37229.81</v>
      </c>
      <c r="H11">
        <v>-1</v>
      </c>
      <c r="I11">
        <v>0</v>
      </c>
      <c r="J11">
        <v>-1</v>
      </c>
      <c r="K11">
        <v>3314.66</v>
      </c>
      <c r="L11">
        <v>-1</v>
      </c>
      <c r="M11">
        <v>10058.87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1718.199</v>
      </c>
      <c r="B14" s="4">
        <f>IFERROR(AVERAGEIF($D$2:$D$11,"&lt;&gt; -1"),0)</f>
        <v>1757.026</v>
      </c>
      <c r="C14" s="4">
        <f>IFERROR(AVERAGEIF($F$2:$F$11,"&lt;&gt; -1"),0)</f>
        <v>1690.84</v>
      </c>
      <c r="D14" s="4">
        <f>IFERROR(AVERAGEIF($H$2:$H$11,"&lt;&gt; -1"),0)</f>
        <v>0</v>
      </c>
      <c r="E14" s="4">
        <f>IFERROR(AVERAGEIF($J$2:$J$11,"&lt;&gt; -1"),0)</f>
        <v>1709.77666666667</v>
      </c>
      <c r="F14" s="4">
        <f>IFERROR(AVERAGEIF($L$2:$L$11,"&lt;&gt; -1"),0)</f>
        <v>0</v>
      </c>
      <c r="G14" s="4">
        <f>IFERROR(AVERAGEIFS($C$2:$C$11,$B$2:$B$11,"&lt;&gt; -1"),0)</f>
        <v>50559.474</v>
      </c>
      <c r="H14" s="4">
        <f>IFERROR(AVERAGEIFS($E$2:$E$11,$D$2:$D$11,"&lt;&gt; -1"),0)</f>
        <v>50724.061</v>
      </c>
      <c r="I14" s="4">
        <f>IFERROR(AVERAGEIFS($G$2:$G$11,$F$2:$F$11,"&lt;&gt; -1"),0)</f>
        <v>54898.97</v>
      </c>
      <c r="J14" s="4">
        <f>IFERROR(AVERAGEIFS($I$2:$I$11,$H$2:$H$11,"&lt;&gt; -1"),0)</f>
        <v>0</v>
      </c>
      <c r="K14" s="4">
        <f>IFERROR(AVERAGEIFS($K$2:$K$11,$J$2:$J$11,"&lt;&gt; -1"),0)</f>
        <v>49605.54</v>
      </c>
      <c r="L14" s="4">
        <f>IFERROR(AVERAGEIFS($M$2:$M$11,$L$2:$L$11,"&lt;&gt; -1"),0)</f>
        <v>0</v>
      </c>
      <c r="M14" s="4">
        <f>IFERROR(_xlfn.MAXIFS($B$2:$B$11,$B$2:$B$11,"&lt;&gt; -1"),0)</f>
        <v>2271.7</v>
      </c>
      <c r="N14" s="4">
        <f>IFERROR(_xlfn.MAXIFS($D$2:$D$11,$D$2:$D$11,"&lt;&gt;-1"),0)</f>
        <v>2325.08</v>
      </c>
      <c r="O14" s="4">
        <f>IFERROR(_xlfn.MAXIFS($F$2:$F$11,$F$2:$F$11,"&lt;&gt; -1"),0)</f>
        <v>1690.84</v>
      </c>
      <c r="P14" s="4">
        <f>IFERROR(_xlfn.MAXIFS($H$2:$H$11,$H$2:$H$11,"&lt;&gt; -1"),0)</f>
        <v>0</v>
      </c>
      <c r="Q14" s="4">
        <f>IFERROR(_xlfn.MAXIFS($J$2:$J$11,$J$2:$J$11,"&lt;&gt; -1"),0)</f>
        <v>1911.58</v>
      </c>
      <c r="R14" s="4">
        <f>IFERROR(_xlfn.MAXIFS($L$2:$L$11,$L$2:$L$11,"&lt;&gt; -1"),0)</f>
        <v>0</v>
      </c>
      <c r="S14" s="4">
        <f>IFERROR(_xlfn.MINIFS($B$2:$B$11,$B$2:$B$11,"&lt;&gt; -1"),0)</f>
        <v>1562.84</v>
      </c>
      <c r="T14" s="4">
        <f>IFERROR(_xlfn.MINIFS($D$2:$D$11,$D$2:$D$11,"&lt;&gt;-1"),0)</f>
        <v>1599.06</v>
      </c>
      <c r="U14" s="4">
        <f>IFERROR(_xlfn.MINIFS($F$2:$F$11,$F$2:$F$11,"&lt;&gt; -1"),0)</f>
        <v>1690.84</v>
      </c>
      <c r="V14" s="4">
        <f>IFERROR(_xlfn.MINIFS($H$2:$H$11,$H$2:$H$11,"&lt;&gt; -1"),0)</f>
        <v>0</v>
      </c>
      <c r="W14" s="4">
        <f>IFERROR(_xlfn.MINIFS($J$2:$J$11,$J$2:$J$11,"&lt;&gt; -1"),0)</f>
        <v>1608.85</v>
      </c>
      <c r="X14" s="4">
        <f>IFERROR(_xlfn.MINIFS($L$2:$L$11,$L$2:$L$11,"&lt;&gt; -1"),0)</f>
        <v>0</v>
      </c>
      <c r="Y14" s="4">
        <f>IFERROR(_xlfn.MAXIFS($C$2:$C$11,$B$2:$B$11,"&lt;&gt; -1"),0)</f>
        <v>53118.45</v>
      </c>
      <c r="Z14" s="4">
        <f>IFERROR(_xlfn.MAXIFS($E$2:$E$11,$D$2:$D$11,"&lt;&gt; -1"),0)</f>
        <v>52725.25</v>
      </c>
      <c r="AA14" s="4">
        <f>IFERROR(_xlfn.MAXIFS($G$2:$G$11,$F$2:$F$11,"&lt;&gt; -1"),0)</f>
        <v>54898.97</v>
      </c>
      <c r="AB14" s="4">
        <f>IFERROR(_xlfn.MAXIFS($I$2:$I$11,$H$2:$H$11,"&lt;&gt; -1"),0)</f>
        <v>0</v>
      </c>
      <c r="AC14" s="4">
        <f>IFERROR(_xlfn.MAXIFS($K$2:$K$11,$J$2:$J$11,"&lt;&gt; -1"),0)</f>
        <v>50526.58</v>
      </c>
      <c r="AD14" s="4">
        <f>IFERROR(_xlfn.MAXIFS($M$2:$M$11,$L$2:$L$11,"&lt;&gt; -1"),0)</f>
        <v>0</v>
      </c>
      <c r="AE14" s="4">
        <f>IFERROR(_xlfn.MINIFS($C$2:$C$11,$B$2:$B$11,"&lt;&gt; -1"),0)</f>
        <v>48890.61</v>
      </c>
      <c r="AF14" s="4">
        <f>IFERROR(_xlfn.MINIFS($E$2:$E$11,$D$2:$D$11,"&lt;&gt; -1"),0)</f>
        <v>48759.03</v>
      </c>
      <c r="AG14" s="4">
        <f>IFERROR(_xlfn.MINIFS($G$2:$G$11,$F$2:$F$11,"&lt;&gt; -1"),0)</f>
        <v>54898.97</v>
      </c>
      <c r="AH14" s="4">
        <f>IFERROR(_xlfn.MINIFS($I$2:$I$11,$H$2:$H$11,"&lt;&gt; -1"),0)</f>
        <v>0</v>
      </c>
      <c r="AI14" s="4">
        <f>IFERROR(_xlfn.MINIFS($K$2:$K$11,$J$2:$J$11,"&lt;&gt; -1"),0)</f>
        <v>49062.5</v>
      </c>
      <c r="AJ14" s="4">
        <f>IFERROR(_xlfn.MINIFS($M$2:$M$11,$L$2:$L$11,"&lt;&gt; -1"),0)</f>
        <v>0</v>
      </c>
      <c r="AK14" s="4">
        <f>(COUNTIFS($B$2:$B$11,"&gt;0.0",$B$2:$B$11,"&lt;3000.0"))/10</f>
        <v>1</v>
      </c>
      <c r="AL14" s="4">
        <f>(COUNTIFS($D$2:$D$11,"&gt;0.0",$D$2:$D$11,"&lt;3000.0"))/10</f>
        <v>1</v>
      </c>
      <c r="AM14" s="4">
        <f>(COUNTIFS($F$2:$F$11,"&gt;0.0",$F$2:$F$11,"&lt;3000.0"))/10</f>
        <v>0.1</v>
      </c>
      <c r="AN14" s="4">
        <f>(COUNTIFS($H$2:$H11,"&gt;0.0",$H$2:$H$11,"&lt;3000.0"))/10</f>
        <v>0</v>
      </c>
      <c r="AO14" s="4">
        <f>(COUNTIFS($J$2:$J$11,"&gt;0.0",$J$2:$J$11,"&lt;3000.0"))/10</f>
        <v>0.3</v>
      </c>
      <c r="AP14" s="4">
        <f>(COUNTIFS($L$2:$L$11,"&gt;0.0",$L$2:$L$11,"&lt;3000.0"))/10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1753.05</v>
      </c>
      <c r="C2">
        <v>52729.79</v>
      </c>
      <c r="D2">
        <v>1786.94</v>
      </c>
      <c r="E2">
        <v>50650.75</v>
      </c>
      <c r="F2">
        <v>-1</v>
      </c>
      <c r="G2">
        <v>2631.2</v>
      </c>
      <c r="H2">
        <v>-1</v>
      </c>
      <c r="I2">
        <v>5199.33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1778.9</v>
      </c>
      <c r="C3">
        <v>51293.64</v>
      </c>
      <c r="D3">
        <v>1812.04</v>
      </c>
      <c r="E3">
        <v>52617.49</v>
      </c>
      <c r="F3">
        <v>-1</v>
      </c>
      <c r="G3">
        <v>4224.42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1756.43</v>
      </c>
      <c r="C4">
        <v>49855.41</v>
      </c>
      <c r="D4">
        <v>1785.7</v>
      </c>
      <c r="E4">
        <v>50340.1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1735.81</v>
      </c>
      <c r="C5">
        <v>49490.12</v>
      </c>
      <c r="D5">
        <v>1772.88</v>
      </c>
      <c r="E5">
        <v>49928.84</v>
      </c>
      <c r="F5">
        <v>-1</v>
      </c>
      <c r="G5">
        <v>25964.33</v>
      </c>
      <c r="H5">
        <v>-1</v>
      </c>
      <c r="I5">
        <v>5690.12</v>
      </c>
      <c r="J5">
        <v>2031.77</v>
      </c>
      <c r="K5">
        <v>49679.88</v>
      </c>
      <c r="L5">
        <v>-1</v>
      </c>
      <c r="M5">
        <v>0</v>
      </c>
    </row>
    <row r="6" spans="1:13">
      <c r="A6" t="s">
        <v>17</v>
      </c>
      <c r="B6">
        <v>1754.37</v>
      </c>
      <c r="C6">
        <v>49979.84</v>
      </c>
      <c r="D6">
        <v>1785.42</v>
      </c>
      <c r="E6">
        <v>49560.51</v>
      </c>
      <c r="F6">
        <v>-1</v>
      </c>
      <c r="G6">
        <v>4675.66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1812.43</v>
      </c>
      <c r="C7">
        <v>50662.32</v>
      </c>
      <c r="D7">
        <v>1845.17</v>
      </c>
      <c r="E7">
        <v>51592.58</v>
      </c>
      <c r="F7">
        <v>-1</v>
      </c>
      <c r="G7">
        <v>22692.53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1746.84</v>
      </c>
      <c r="C8">
        <v>49169.25</v>
      </c>
      <c r="D8">
        <v>1785.34</v>
      </c>
      <c r="E8">
        <v>50460.63</v>
      </c>
      <c r="F8">
        <v>-1</v>
      </c>
      <c r="G8">
        <v>38150.83</v>
      </c>
      <c r="H8">
        <v>-1</v>
      </c>
      <c r="I8">
        <v>11496.72</v>
      </c>
      <c r="J8">
        <v>-1</v>
      </c>
      <c r="K8">
        <v>34178.91</v>
      </c>
      <c r="L8">
        <v>-1</v>
      </c>
      <c r="M8">
        <v>0</v>
      </c>
    </row>
    <row r="9" spans="1:13">
      <c r="A9" t="s">
        <v>20</v>
      </c>
      <c r="B9">
        <v>1814.51</v>
      </c>
      <c r="C9">
        <v>51210.95</v>
      </c>
      <c r="D9">
        <v>1848.53</v>
      </c>
      <c r="E9">
        <v>51732.62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1769.48</v>
      </c>
      <c r="C10">
        <v>48753.31</v>
      </c>
      <c r="D10">
        <v>1802.83</v>
      </c>
      <c r="E10">
        <v>51034.63</v>
      </c>
      <c r="F10">
        <v>-1</v>
      </c>
      <c r="G10">
        <v>3771.13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1749.97</v>
      </c>
      <c r="C11">
        <v>49973.52</v>
      </c>
      <c r="D11">
        <v>1785.57</v>
      </c>
      <c r="E11">
        <v>50119.18</v>
      </c>
      <c r="F11">
        <v>-1</v>
      </c>
      <c r="G11">
        <v>33259.52</v>
      </c>
      <c r="H11">
        <v>-1</v>
      </c>
      <c r="I11">
        <v>18352.27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1767.179</v>
      </c>
      <c r="B14" s="4">
        <f>IFERROR(AVERAGEIF($D$2:$D$11,"&lt;&gt; -1"),0)</f>
        <v>1801.042</v>
      </c>
      <c r="C14" s="4">
        <f>IFERROR(AVERAGEIF($F$2:$F$11,"&lt;&gt; -1"),0)</f>
        <v>0</v>
      </c>
      <c r="D14" s="4">
        <f>IFERROR(AVERAGEIF($H$2:$H$11,"&lt;&gt; -1"),0)</f>
        <v>0</v>
      </c>
      <c r="E14" s="4">
        <f>IFERROR(AVERAGEIF($J$2:$J$11,"&lt;&gt; -1"),0)</f>
        <v>2031.77</v>
      </c>
      <c r="F14" s="4">
        <f>IFERROR(AVERAGEIF($L$2:$L$11,"&lt;&gt; -1"),0)</f>
        <v>0</v>
      </c>
      <c r="G14" s="4">
        <f>IFERROR(AVERAGEIFS($C$2:$C$11,$B$2:$B$11,"&lt;&gt; -1"),0)</f>
        <v>50311.815</v>
      </c>
      <c r="H14" s="4">
        <f>IFERROR(AVERAGEIFS($E$2:$E$11,$D$2:$D$11,"&lt;&gt; -1"),0)</f>
        <v>50803.733</v>
      </c>
      <c r="I14" s="4">
        <f>IFERROR(AVERAGEIFS($G$2:$G$11,$F$2:$F$11,"&lt;&gt; -1"),0)</f>
        <v>0</v>
      </c>
      <c r="J14" s="4">
        <f>IFERROR(AVERAGEIFS($I$2:$I$11,$H$2:$H$11,"&lt;&gt; -1"),0)</f>
        <v>0</v>
      </c>
      <c r="K14" s="4">
        <f>IFERROR(AVERAGEIFS($K$2:$K$11,$J$2:$J$11,"&lt;&gt; -1"),0)</f>
        <v>49679.88</v>
      </c>
      <c r="L14" s="4">
        <f>IFERROR(AVERAGEIFS($M$2:$M$11,$L$2:$L$11,"&lt;&gt; -1"),0)</f>
        <v>0</v>
      </c>
      <c r="M14" s="4">
        <f>IFERROR(_xlfn.MAXIFS($B$2:$B$11,$B$2:$B$11,"&lt;&gt; -1"),0)</f>
        <v>1814.51</v>
      </c>
      <c r="N14" s="4">
        <f>IFERROR(_xlfn.MAXIFS($D$2:$D$11,$D$2:$D$11,"&lt;&gt;-1"),0)</f>
        <v>1848.53</v>
      </c>
      <c r="O14" s="4">
        <f>IFERROR(_xlfn.MAXIFS($F$2:$F$11,$F$2:$F$11,"&lt;&gt; -1"),0)</f>
        <v>0</v>
      </c>
      <c r="P14" s="4">
        <f>IFERROR(_xlfn.MAXIFS($H$2:$H$11,$H$2:$H$11,"&lt;&gt; -1"),0)</f>
        <v>0</v>
      </c>
      <c r="Q14" s="4">
        <f>IFERROR(_xlfn.MAXIFS($J$2:$J$11,$J$2:$J$11,"&lt;&gt; -1"),0)</f>
        <v>2031.77</v>
      </c>
      <c r="R14" s="4">
        <f>IFERROR(_xlfn.MAXIFS($L$2:$L$11,$L$2:$L$11,"&lt;&gt; -1"),0)</f>
        <v>0</v>
      </c>
      <c r="S14" s="4">
        <f>IFERROR(_xlfn.MINIFS($B$2:$B$11,$B$2:$B$11,"&lt;&gt; -1"),0)</f>
        <v>1735.81</v>
      </c>
      <c r="T14" s="4">
        <f>IFERROR(_xlfn.MINIFS($D$2:$D$11,$D$2:$D$11,"&lt;&gt;-1"),0)</f>
        <v>1772.88</v>
      </c>
      <c r="U14" s="4">
        <f>IFERROR(_xlfn.MINIFS($F$2:$F$11,$F$2:$F$11,"&lt;&gt; -1"),0)</f>
        <v>0</v>
      </c>
      <c r="V14" s="4">
        <f>IFERROR(_xlfn.MINIFS($H$2:$H$11,$H$2:$H$11,"&lt;&gt; -1"),0)</f>
        <v>0</v>
      </c>
      <c r="W14" s="4">
        <f>IFERROR(_xlfn.MINIFS($J$2:$J$11,$J$2:$J$11,"&lt;&gt; -1"),0)</f>
        <v>2031.77</v>
      </c>
      <c r="X14" s="4">
        <f>IFERROR(_xlfn.MINIFS($L$2:$L$11,$L$2:$L$11,"&lt;&gt; -1"),0)</f>
        <v>0</v>
      </c>
      <c r="Y14" s="4">
        <f>IFERROR(_xlfn.MAXIFS($C$2:$C$11,$B$2:$B$11,"&lt;&gt; -1"),0)</f>
        <v>52729.79</v>
      </c>
      <c r="Z14" s="4">
        <f>IFERROR(_xlfn.MAXIFS($E$2:$E$11,$D$2:$D$11,"&lt;&gt; -1"),0)</f>
        <v>52617.49</v>
      </c>
      <c r="AA14" s="4">
        <f>IFERROR(_xlfn.MAXIFS($G$2:$G$11,$F$2:$F$11,"&lt;&gt; -1"),0)</f>
        <v>0</v>
      </c>
      <c r="AB14" s="4">
        <f>IFERROR(_xlfn.MAXIFS($I$2:$I$11,$H$2:$H$11,"&lt;&gt; -1"),0)</f>
        <v>0</v>
      </c>
      <c r="AC14" s="4">
        <f>IFERROR(_xlfn.MAXIFS($K$2:$K$11,$J$2:$J$11,"&lt;&gt; -1"),0)</f>
        <v>49679.88</v>
      </c>
      <c r="AD14" s="4">
        <f>IFERROR(_xlfn.MAXIFS($M$2:$M$11,$L$2:$L$11,"&lt;&gt; -1"),0)</f>
        <v>0</v>
      </c>
      <c r="AE14" s="4">
        <f>IFERROR(_xlfn.MINIFS($C$2:$C$11,$B$2:$B$11,"&lt;&gt; -1"),0)</f>
        <v>48753.31</v>
      </c>
      <c r="AF14" s="4">
        <f>IFERROR(_xlfn.MINIFS($E$2:$E$11,$D$2:$D$11,"&lt;&gt; -1"),0)</f>
        <v>49560.51</v>
      </c>
      <c r="AG14" s="4">
        <f>IFERROR(_xlfn.MINIFS($G$2:$G$11,$F$2:$F$11,"&lt;&gt; -1"),0)</f>
        <v>0</v>
      </c>
      <c r="AH14" s="4">
        <f>IFERROR(_xlfn.MINIFS($I$2:$I$11,$H$2:$H$11,"&lt;&gt; -1"),0)</f>
        <v>0</v>
      </c>
      <c r="AI14" s="4">
        <f>IFERROR(_xlfn.MINIFS($K$2:$K$11,$J$2:$J$11,"&lt;&gt; -1"),0)</f>
        <v>49679.88</v>
      </c>
      <c r="AJ14" s="4">
        <f>IFERROR(_xlfn.MINIFS($M$2:$M$11,$L$2:$L$11,"&lt;&gt; -1"),0)</f>
        <v>0</v>
      </c>
      <c r="AK14" s="4">
        <f>(COUNTIFS($B$2:$B$11,"&gt;0.0",$B$2:$B$11,"&lt;3000.0"))/10</f>
        <v>1</v>
      </c>
      <c r="AL14" s="4">
        <f>(COUNTIFS($D$2:$D$11,"&gt;0.0",$D$2:$D$11,"&lt;3000.0"))/10</f>
        <v>1</v>
      </c>
      <c r="AM14" s="4">
        <f>(COUNTIFS($F$2:$F$11,"&gt;0.0",$F$2:$F$11,"&lt;3000.0"))/10</f>
        <v>0</v>
      </c>
      <c r="AN14" s="4">
        <f>(COUNTIFS($H$2:$H11,"&gt;0.0",$H$2:$H$11,"&lt;3000.0"))/10</f>
        <v>0</v>
      </c>
      <c r="AO14" s="4">
        <f>(COUNTIFS($J$2:$J$11,"&gt;0.0",$J$2:$J$11,"&lt;3000.0"))/10</f>
        <v>0.1</v>
      </c>
      <c r="AP14" s="4">
        <f>(COUNTIFS($L$2:$L$11,"&gt;0.0",$L$2:$L$11,"&lt;3000.0"))/10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1930.96</v>
      </c>
      <c r="C2">
        <v>52144.47</v>
      </c>
      <c r="D2">
        <v>1966.43</v>
      </c>
      <c r="E2">
        <v>50068.83</v>
      </c>
      <c r="F2">
        <v>-1</v>
      </c>
      <c r="G2">
        <v>10917.48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1944.24</v>
      </c>
      <c r="C3">
        <v>53381.56</v>
      </c>
      <c r="D3">
        <v>1982.54</v>
      </c>
      <c r="E3">
        <v>52138.85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1925.24</v>
      </c>
      <c r="C4">
        <v>50865.75</v>
      </c>
      <c r="D4">
        <v>1959.97</v>
      </c>
      <c r="E4">
        <v>50386.05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1886.83</v>
      </c>
      <c r="C5">
        <v>51458.18</v>
      </c>
      <c r="D5">
        <v>1924.21</v>
      </c>
      <c r="E5">
        <v>49320.98</v>
      </c>
      <c r="F5">
        <v>-1</v>
      </c>
      <c r="G5">
        <v>0</v>
      </c>
      <c r="H5">
        <v>-1</v>
      </c>
      <c r="I5">
        <v>0</v>
      </c>
      <c r="J5">
        <v>-1</v>
      </c>
      <c r="K5">
        <v>46222.93</v>
      </c>
      <c r="L5">
        <v>-1</v>
      </c>
      <c r="M5">
        <v>0</v>
      </c>
    </row>
    <row r="6" spans="1:13">
      <c r="A6" t="s">
        <v>17</v>
      </c>
      <c r="B6">
        <v>1859.11</v>
      </c>
      <c r="C6">
        <v>49610.37</v>
      </c>
      <c r="D6">
        <v>1894.39</v>
      </c>
      <c r="E6">
        <v>50564.58</v>
      </c>
      <c r="F6">
        <v>-1</v>
      </c>
      <c r="G6">
        <v>5532.2</v>
      </c>
      <c r="H6">
        <v>-1</v>
      </c>
      <c r="I6">
        <v>9134.44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1985.86</v>
      </c>
      <c r="C7">
        <v>50176.14</v>
      </c>
      <c r="D7">
        <v>2019.27</v>
      </c>
      <c r="E7">
        <v>51101.42</v>
      </c>
      <c r="F7">
        <v>-1</v>
      </c>
      <c r="G7">
        <v>4188.23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1886.4</v>
      </c>
      <c r="C8">
        <v>49823.86</v>
      </c>
      <c r="D8">
        <v>1921.47</v>
      </c>
      <c r="E8">
        <v>49446.3</v>
      </c>
      <c r="F8">
        <v>-1</v>
      </c>
      <c r="G8">
        <v>7860.44</v>
      </c>
      <c r="H8">
        <v>-1</v>
      </c>
      <c r="I8">
        <v>0</v>
      </c>
      <c r="J8">
        <v>-1</v>
      </c>
      <c r="K8">
        <v>2842.17</v>
      </c>
      <c r="L8">
        <v>-1</v>
      </c>
      <c r="M8">
        <v>0</v>
      </c>
    </row>
    <row r="9" spans="1:13">
      <c r="A9" t="s">
        <v>20</v>
      </c>
      <c r="B9">
        <v>1984.63</v>
      </c>
      <c r="C9">
        <v>50991.72</v>
      </c>
      <c r="D9">
        <v>2023.97</v>
      </c>
      <c r="E9">
        <v>52838.63</v>
      </c>
      <c r="F9">
        <v>-1</v>
      </c>
      <c r="G9">
        <v>6875.3</v>
      </c>
      <c r="H9">
        <v>-1</v>
      </c>
      <c r="I9">
        <v>0</v>
      </c>
      <c r="J9">
        <v>-1</v>
      </c>
      <c r="K9">
        <v>2759.08</v>
      </c>
      <c r="L9">
        <v>-1</v>
      </c>
      <c r="M9">
        <v>0</v>
      </c>
    </row>
    <row r="10" spans="1:13">
      <c r="A10" t="s">
        <v>21</v>
      </c>
      <c r="B10">
        <v>1946.54</v>
      </c>
      <c r="C10">
        <v>49219.87</v>
      </c>
      <c r="D10">
        <v>1978.07</v>
      </c>
      <c r="E10">
        <v>51527.88</v>
      </c>
      <c r="F10">
        <v>-1</v>
      </c>
      <c r="G10">
        <v>0</v>
      </c>
      <c r="H10">
        <v>-1</v>
      </c>
      <c r="I10">
        <v>9751.2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1926.07</v>
      </c>
      <c r="C11">
        <v>48139</v>
      </c>
      <c r="D11">
        <v>1964.5</v>
      </c>
      <c r="E11">
        <v>50032.35</v>
      </c>
      <c r="F11">
        <v>2083.99</v>
      </c>
      <c r="G11">
        <v>54260.45</v>
      </c>
      <c r="H11">
        <v>-1</v>
      </c>
      <c r="I11">
        <v>10185.04</v>
      </c>
      <c r="J11">
        <v>-1</v>
      </c>
      <c r="K11">
        <v>7221.47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1927.588</v>
      </c>
      <c r="B14" s="4">
        <f>IFERROR(AVERAGEIF($D$2:$D$11,"&lt;&gt; -1"),0)</f>
        <v>1963.482</v>
      </c>
      <c r="C14" s="4">
        <f>IFERROR(AVERAGEIF($F$2:$F$11,"&lt;&gt; -1"),0)</f>
        <v>2083.99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50581.092</v>
      </c>
      <c r="H14" s="4">
        <f>IFERROR(AVERAGEIFS($E$2:$E$11,$D$2:$D$11,"&lt;&gt; -1"),0)</f>
        <v>50742.587</v>
      </c>
      <c r="I14" s="4">
        <f>IFERROR(AVERAGEIFS($G$2:$G$11,$F$2:$F$11,"&lt;&gt; -1"),0)</f>
        <v>54260.45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1985.86</v>
      </c>
      <c r="N14" s="4">
        <f>IFERROR(_xlfn.MAXIFS($D$2:$D$11,$D$2:$D$11,"&lt;&gt;-1"),0)</f>
        <v>2023.97</v>
      </c>
      <c r="O14" s="4">
        <f>IFERROR(_xlfn.MAXIFS($F$2:$F$11,$F$2:$F$11,"&lt;&gt; -1"),0)</f>
        <v>2083.99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1859.11</v>
      </c>
      <c r="T14" s="4">
        <f>IFERROR(_xlfn.MINIFS($D$2:$D$11,$D$2:$D$11,"&lt;&gt;-1"),0)</f>
        <v>1894.39</v>
      </c>
      <c r="U14" s="4">
        <f>IFERROR(_xlfn.MINIFS($F$2:$F$11,$F$2:$F$11,"&lt;&gt; -1"),0)</f>
        <v>2083.99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53381.56</v>
      </c>
      <c r="Z14" s="4">
        <f>IFERROR(_xlfn.MAXIFS($E$2:$E$11,$D$2:$D$11,"&lt;&gt; -1"),0)</f>
        <v>52838.63</v>
      </c>
      <c r="AA14" s="4">
        <f>IFERROR(_xlfn.MAXIFS($G$2:$G$11,$F$2:$F$11,"&lt;&gt; -1"),0)</f>
        <v>54260.45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48139</v>
      </c>
      <c r="AF14" s="4">
        <f>IFERROR(_xlfn.MINIFS($E$2:$E$11,$D$2:$D$11,"&lt;&gt; -1"),0)</f>
        <v>49320.98</v>
      </c>
      <c r="AG14" s="4">
        <f>IFERROR(_xlfn.MINIFS($G$2:$G$11,$F$2:$F$11,"&lt;&gt; -1"),0)</f>
        <v>54260.45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(COUNTIFS($B$2:$B$11,"&gt;0.0",$B$2:$B$11,"&lt;3000.0"))/10</f>
        <v>1</v>
      </c>
      <c r="AL14" s="4">
        <f>(COUNTIFS($D$2:$D$11,"&gt;0.0",$D$2:$D$11,"&lt;3000.0"))/10</f>
        <v>1</v>
      </c>
      <c r="AM14" s="4">
        <f>(COUNTIFS($F$2:$F$11,"&gt;0.0",$F$2:$F$11,"&lt;3000.0"))/10</f>
        <v>0.1</v>
      </c>
      <c r="AN14" s="4">
        <f>(COUNTIFS($H$2:$H11,"&gt;0.0",$H$2:$H$11,"&lt;3000.0"))/10</f>
        <v>0</v>
      </c>
      <c r="AO14" s="4">
        <f>(COUNTIFS($J$2:$J$11,"&gt;0.0",$J$2:$J$11,"&lt;3000.0"))/10</f>
        <v>0</v>
      </c>
      <c r="AP14" s="4">
        <f>(COUNTIFS($L$2:$L$11,"&gt;0.0",$L$2:$L$11,"&lt;3000.0"))/10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2099.63</v>
      </c>
      <c r="C2">
        <v>51596.06</v>
      </c>
      <c r="D2">
        <v>2143.45</v>
      </c>
      <c r="E2">
        <v>50025.37</v>
      </c>
      <c r="F2">
        <v>2262.38</v>
      </c>
      <c r="G2">
        <v>57703.71</v>
      </c>
      <c r="H2">
        <v>-1</v>
      </c>
      <c r="I2">
        <v>0</v>
      </c>
      <c r="J2">
        <v>-1</v>
      </c>
      <c r="K2">
        <v>20443.99</v>
      </c>
      <c r="L2">
        <v>-1</v>
      </c>
      <c r="M2">
        <v>0</v>
      </c>
    </row>
    <row r="3" spans="1:13">
      <c r="A3" t="s">
        <v>14</v>
      </c>
      <c r="B3">
        <v>2103.1</v>
      </c>
      <c r="C3">
        <v>50800</v>
      </c>
      <c r="D3">
        <v>2142.73</v>
      </c>
      <c r="E3">
        <v>51572.64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2086.16</v>
      </c>
      <c r="C4">
        <v>48915.01</v>
      </c>
      <c r="D4">
        <v>2122.35</v>
      </c>
      <c r="E4">
        <v>51258.35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2068.61</v>
      </c>
      <c r="C5">
        <v>50778.05</v>
      </c>
      <c r="D5">
        <v>2105.25</v>
      </c>
      <c r="E5">
        <v>49484.66</v>
      </c>
      <c r="F5">
        <v>-1</v>
      </c>
      <c r="G5">
        <v>4666.5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2066.5</v>
      </c>
      <c r="C6">
        <v>50640.92</v>
      </c>
      <c r="D6">
        <v>2111.6</v>
      </c>
      <c r="E6">
        <v>51659.86</v>
      </c>
      <c r="F6">
        <v>2270.63</v>
      </c>
      <c r="G6">
        <v>56729.97</v>
      </c>
      <c r="H6">
        <v>-1</v>
      </c>
      <c r="I6">
        <v>0</v>
      </c>
      <c r="J6">
        <v>-1</v>
      </c>
      <c r="K6">
        <v>4882.28</v>
      </c>
      <c r="L6">
        <v>-1</v>
      </c>
      <c r="M6">
        <v>0</v>
      </c>
    </row>
    <row r="7" spans="1:13">
      <c r="A7" t="s">
        <v>18</v>
      </c>
      <c r="B7">
        <v>2112.73</v>
      </c>
      <c r="C7">
        <v>50549.6</v>
      </c>
      <c r="D7">
        <v>2156.63</v>
      </c>
      <c r="E7">
        <v>51441.95</v>
      </c>
      <c r="F7">
        <v>-1</v>
      </c>
      <c r="G7">
        <v>5232.58</v>
      </c>
      <c r="H7">
        <v>-1</v>
      </c>
      <c r="I7">
        <v>0</v>
      </c>
      <c r="J7">
        <v>-1</v>
      </c>
      <c r="K7">
        <v>2087.79</v>
      </c>
      <c r="L7">
        <v>-1</v>
      </c>
      <c r="M7">
        <v>0</v>
      </c>
    </row>
    <row r="8" spans="1:13">
      <c r="A8" t="s">
        <v>19</v>
      </c>
      <c r="B8">
        <v>2013.7</v>
      </c>
      <c r="C8">
        <v>47898.83</v>
      </c>
      <c r="D8">
        <v>2055.86</v>
      </c>
      <c r="E8">
        <v>50015.23</v>
      </c>
      <c r="F8">
        <v>-1</v>
      </c>
      <c r="G8">
        <v>9656.76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2103.87</v>
      </c>
      <c r="C9">
        <v>52801.69</v>
      </c>
      <c r="D9">
        <v>2145.73</v>
      </c>
      <c r="E9">
        <v>50771.87</v>
      </c>
      <c r="F9">
        <v>-1</v>
      </c>
      <c r="G9">
        <v>21355.91</v>
      </c>
      <c r="H9">
        <v>-1</v>
      </c>
      <c r="I9">
        <v>0</v>
      </c>
      <c r="J9">
        <v>-1</v>
      </c>
      <c r="K9">
        <v>2226.68</v>
      </c>
      <c r="L9">
        <v>-1</v>
      </c>
      <c r="M9">
        <v>0</v>
      </c>
    </row>
    <row r="10" spans="1:13">
      <c r="A10" t="s">
        <v>21</v>
      </c>
      <c r="B10">
        <v>2153.82</v>
      </c>
      <c r="C10">
        <v>49911.4</v>
      </c>
      <c r="D10">
        <v>2195.22</v>
      </c>
      <c r="E10">
        <v>51196.88</v>
      </c>
      <c r="F10">
        <v>-1</v>
      </c>
      <c r="G10">
        <v>4302.48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2039.01</v>
      </c>
      <c r="C11">
        <v>50273.65</v>
      </c>
      <c r="D11">
        <v>2077.18</v>
      </c>
      <c r="E11">
        <v>49168.69</v>
      </c>
      <c r="F11">
        <v>-1</v>
      </c>
      <c r="G11">
        <v>13155.38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2084.713</v>
      </c>
      <c r="B14" s="4">
        <f>IFERROR(AVERAGEIF($D$2:$D$11,"&lt;&gt; -1"),0)</f>
        <v>2125.6</v>
      </c>
      <c r="C14" s="4">
        <f>IFERROR(AVERAGEIF($F$2:$F$11,"&lt;&gt; -1"),0)</f>
        <v>2266.505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50416.521</v>
      </c>
      <c r="H14" s="4">
        <f>IFERROR(AVERAGEIFS($E$2:$E$11,$D$2:$D$11,"&lt;&gt; -1"),0)</f>
        <v>50659.55</v>
      </c>
      <c r="I14" s="4">
        <f>IFERROR(AVERAGEIFS($G$2:$G$11,$F$2:$F$11,"&lt;&gt; -1"),0)</f>
        <v>57216.84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2153.82</v>
      </c>
      <c r="N14" s="4">
        <f>IFERROR(_xlfn.MAXIFS($D$2:$D$11,$D$2:$D$11,"&lt;&gt;-1"),0)</f>
        <v>2195.22</v>
      </c>
      <c r="O14" s="4">
        <f>IFERROR(_xlfn.MAXIFS($F$2:$F$11,$F$2:$F$11,"&lt;&gt; -1"),0)</f>
        <v>2270.63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2013.7</v>
      </c>
      <c r="T14" s="4">
        <f>IFERROR(_xlfn.MINIFS($D$2:$D$11,$D$2:$D$11,"&lt;&gt;-1"),0)</f>
        <v>2055.86</v>
      </c>
      <c r="U14" s="4">
        <f>IFERROR(_xlfn.MINIFS($F$2:$F$11,$F$2:$F$11,"&lt;&gt; -1"),0)</f>
        <v>2262.38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52801.69</v>
      </c>
      <c r="Z14" s="4">
        <f>IFERROR(_xlfn.MAXIFS($E$2:$E$11,$D$2:$D$11,"&lt;&gt; -1"),0)</f>
        <v>51659.86</v>
      </c>
      <c r="AA14" s="4">
        <f>IFERROR(_xlfn.MAXIFS($G$2:$G$11,$F$2:$F$11,"&lt;&gt; -1"),0)</f>
        <v>57703.71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47898.83</v>
      </c>
      <c r="AF14" s="4">
        <f>IFERROR(_xlfn.MINIFS($E$2:$E$11,$D$2:$D$11,"&lt;&gt; -1"),0)</f>
        <v>49168.69</v>
      </c>
      <c r="AG14" s="4">
        <f>IFERROR(_xlfn.MINIFS($G$2:$G$11,$F$2:$F$11,"&lt;&gt; -1"),0)</f>
        <v>56729.97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(COUNTIFS($B$2:$B$11,"&gt;0.0",$B$2:$B$11,"&lt;3000.0"))/10</f>
        <v>1</v>
      </c>
      <c r="AL14" s="4">
        <f>(COUNTIFS($D$2:$D$11,"&gt;0.0",$D$2:$D$11,"&lt;3000.0"))/10</f>
        <v>1</v>
      </c>
      <c r="AM14" s="4">
        <f>(COUNTIFS($F$2:$F$11,"&gt;0.0",$F$2:$F$11,"&lt;3000.0"))/10</f>
        <v>0.2</v>
      </c>
      <c r="AN14" s="4">
        <f>(COUNTIFS($H$2:$H11,"&gt;0.0",$H$2:$H$11,"&lt;3000.0"))/10</f>
        <v>0</v>
      </c>
      <c r="AO14" s="4">
        <f>(COUNTIFS($J$2:$J$11,"&gt;0.0",$J$2:$J$11,"&lt;3000.0"))/10</f>
        <v>0</v>
      </c>
      <c r="AP14" s="4">
        <f>(COUNTIFS($L$2:$L$11,"&gt;0.0",$L$2:$L$11,"&lt;3000.0"))/10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2223.17</v>
      </c>
      <c r="C2">
        <v>49004.17</v>
      </c>
      <c r="D2">
        <v>2252.71</v>
      </c>
      <c r="E2">
        <v>49447.03</v>
      </c>
      <c r="F2">
        <v>-1</v>
      </c>
      <c r="G2">
        <v>3852.1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2264.25</v>
      </c>
      <c r="C3">
        <v>52933.88</v>
      </c>
      <c r="D3">
        <v>2296.67</v>
      </c>
      <c r="E3">
        <v>51917.07</v>
      </c>
      <c r="F3">
        <v>-1</v>
      </c>
      <c r="G3">
        <v>6602.36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2161.2</v>
      </c>
      <c r="C4">
        <v>49781.22</v>
      </c>
      <c r="D4">
        <v>2188.9</v>
      </c>
      <c r="E4">
        <v>51348.37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3121.66</v>
      </c>
      <c r="C5">
        <v>51752.41</v>
      </c>
      <c r="D5">
        <v>3166.79</v>
      </c>
      <c r="E5">
        <v>50838.45</v>
      </c>
      <c r="F5">
        <v>-1</v>
      </c>
      <c r="G5">
        <v>3492.45</v>
      </c>
      <c r="H5">
        <v>-1</v>
      </c>
      <c r="I5">
        <v>0</v>
      </c>
      <c r="J5">
        <v>-1</v>
      </c>
      <c r="K5">
        <v>6711.56</v>
      </c>
      <c r="L5">
        <v>-1</v>
      </c>
      <c r="M5">
        <v>0</v>
      </c>
    </row>
    <row r="6" spans="1:13">
      <c r="A6" t="s">
        <v>17</v>
      </c>
      <c r="B6">
        <v>3082.9</v>
      </c>
      <c r="C6">
        <v>49523.2</v>
      </c>
      <c r="D6">
        <v>3135.72</v>
      </c>
      <c r="E6">
        <v>47987.73</v>
      </c>
      <c r="F6">
        <v>3398.49</v>
      </c>
      <c r="G6">
        <v>55745.27</v>
      </c>
      <c r="H6">
        <v>-1</v>
      </c>
      <c r="I6">
        <v>0</v>
      </c>
      <c r="J6">
        <v>-1</v>
      </c>
      <c r="K6">
        <v>9390.27</v>
      </c>
      <c r="L6">
        <v>-1</v>
      </c>
      <c r="M6">
        <v>0</v>
      </c>
    </row>
    <row r="7" spans="1:13">
      <c r="A7" t="s">
        <v>18</v>
      </c>
      <c r="B7">
        <v>3153.04</v>
      </c>
      <c r="C7">
        <v>49420.76</v>
      </c>
      <c r="D7">
        <v>3191.4</v>
      </c>
      <c r="E7">
        <v>50347.27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2550.07</v>
      </c>
      <c r="C8">
        <v>49950.84</v>
      </c>
      <c r="D8">
        <v>2591.53</v>
      </c>
      <c r="E8">
        <v>48781.86</v>
      </c>
      <c r="F8">
        <v>-1</v>
      </c>
      <c r="G8">
        <v>29601.31</v>
      </c>
      <c r="H8">
        <v>-1</v>
      </c>
      <c r="I8">
        <v>0</v>
      </c>
      <c r="J8">
        <v>-1</v>
      </c>
      <c r="K8">
        <v>2444.2</v>
      </c>
      <c r="L8">
        <v>-1</v>
      </c>
      <c r="M8">
        <v>0</v>
      </c>
    </row>
    <row r="9" spans="1:13">
      <c r="A9" t="s">
        <v>20</v>
      </c>
      <c r="B9">
        <v>2668.02</v>
      </c>
      <c r="C9">
        <v>51323.82</v>
      </c>
      <c r="D9">
        <v>2705.01</v>
      </c>
      <c r="E9">
        <v>48961.59</v>
      </c>
      <c r="F9">
        <v>-1</v>
      </c>
      <c r="G9">
        <v>2794.44</v>
      </c>
      <c r="H9">
        <v>-1</v>
      </c>
      <c r="I9">
        <v>0</v>
      </c>
      <c r="J9">
        <v>-1</v>
      </c>
      <c r="K9">
        <v>8734.13</v>
      </c>
      <c r="L9">
        <v>-1</v>
      </c>
      <c r="M9">
        <v>0</v>
      </c>
    </row>
    <row r="10" spans="1:13">
      <c r="A10" t="s">
        <v>21</v>
      </c>
      <c r="B10">
        <v>2683.25</v>
      </c>
      <c r="C10">
        <v>50772.64</v>
      </c>
      <c r="D10">
        <v>2714.18</v>
      </c>
      <c r="E10">
        <v>51642.16</v>
      </c>
      <c r="F10">
        <v>-1</v>
      </c>
      <c r="G10">
        <v>5708.12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2546.39</v>
      </c>
      <c r="C11">
        <v>49913.79</v>
      </c>
      <c r="D11">
        <v>2583.47</v>
      </c>
      <c r="E11">
        <v>50550.09</v>
      </c>
      <c r="F11">
        <v>-1</v>
      </c>
      <c r="G11">
        <v>21458.89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2645.395</v>
      </c>
      <c r="B14" s="4">
        <f>IFERROR(AVERAGEIF($D$2:$D$11,"&lt;&gt; -1"),0)</f>
        <v>2682.638</v>
      </c>
      <c r="C14" s="4">
        <f>IFERROR(AVERAGEIF($F$2:$F$11,"&lt;&gt; -1"),0)</f>
        <v>3398.49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50437.673</v>
      </c>
      <c r="H14" s="4">
        <f>IFERROR(AVERAGEIFS($E$2:$E$11,$D$2:$D$11,"&lt;&gt; -1"),0)</f>
        <v>50182.162</v>
      </c>
      <c r="I14" s="4">
        <f>IFERROR(AVERAGEIFS($G$2:$G$11,$F$2:$F$11,"&lt;&gt; -1"),0)</f>
        <v>55745.27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3153.04</v>
      </c>
      <c r="N14" s="4">
        <f>IFERROR(_xlfn.MAXIFS($D$2:$D$11,$D$2:$D$11,"&lt;&gt;-1"),0)</f>
        <v>3191.4</v>
      </c>
      <c r="O14" s="4">
        <f>IFERROR(_xlfn.MAXIFS($F$2:$F$11,$F$2:$F$11,"&lt;&gt; -1"),0)</f>
        <v>3398.49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2161.2</v>
      </c>
      <c r="T14" s="4">
        <f>IFERROR(_xlfn.MINIFS($D$2:$D$11,$D$2:$D$11,"&lt;&gt;-1"),0)</f>
        <v>2188.9</v>
      </c>
      <c r="U14" s="4">
        <f>IFERROR(_xlfn.MINIFS($F$2:$F$11,$F$2:$F$11,"&lt;&gt; -1"),0)</f>
        <v>3398.49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52933.88</v>
      </c>
      <c r="Z14" s="4">
        <f>IFERROR(_xlfn.MAXIFS($E$2:$E$11,$D$2:$D$11,"&lt;&gt; -1"),0)</f>
        <v>51917.07</v>
      </c>
      <c r="AA14" s="4">
        <f>IFERROR(_xlfn.MAXIFS($G$2:$G$11,$F$2:$F$11,"&lt;&gt; -1"),0)</f>
        <v>55745.27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49004.17</v>
      </c>
      <c r="AF14" s="4">
        <f>IFERROR(_xlfn.MINIFS($E$2:$E$11,$D$2:$D$11,"&lt;&gt; -1"),0)</f>
        <v>47987.73</v>
      </c>
      <c r="AG14" s="4">
        <f>IFERROR(_xlfn.MINIFS($G$2:$G$11,$F$2:$F$11,"&lt;&gt; -1"),0)</f>
        <v>55745.27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(COUNTIFS($B$2:$B$11,"&gt;0.0",$B$2:$B$11,"&lt;3000.0"))/10</f>
        <v>0.7</v>
      </c>
      <c r="AL14" s="4">
        <f>(COUNTIFS($D$2:$D$11,"&gt;0.0",$D$2:$D$11,"&lt;3000.0"))/10</f>
        <v>0.7</v>
      </c>
      <c r="AM14" s="4">
        <f>(COUNTIFS($F$2:$F$11,"&gt;0.0",$F$2:$F$11,"&lt;3000.0"))/10</f>
        <v>0</v>
      </c>
      <c r="AN14" s="4">
        <f>(COUNTIFS($H$2:$H11,"&gt;0.0",$H$2:$H$11,"&lt;3000.0"))/10</f>
        <v>0</v>
      </c>
      <c r="AO14" s="4">
        <f>(COUNTIFS($J$2:$J$11,"&gt;0.0",$J$2:$J$11,"&lt;3000.0"))/10</f>
        <v>0</v>
      </c>
      <c r="AP14" s="4">
        <f>(COUNTIFS($L$2:$L$11,"&gt;0.0",$L$2:$L$11,"&lt;3000.0"))/10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2950.23</v>
      </c>
      <c r="C2">
        <v>51322.03</v>
      </c>
      <c r="D2">
        <v>2977.65</v>
      </c>
      <c r="E2">
        <v>49751.81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2947.59</v>
      </c>
      <c r="C3">
        <v>52540.93</v>
      </c>
      <c r="D3">
        <v>2979.52</v>
      </c>
      <c r="E3">
        <v>52113.61</v>
      </c>
      <c r="F3">
        <v>-1</v>
      </c>
      <c r="G3">
        <v>6619.68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2946.04</v>
      </c>
      <c r="C4">
        <v>51200.94</v>
      </c>
      <c r="D4">
        <v>2973.91</v>
      </c>
      <c r="E4">
        <v>49669.63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3053.42</v>
      </c>
      <c r="C5">
        <v>51207.03</v>
      </c>
      <c r="D5">
        <v>3077.34</v>
      </c>
      <c r="E5">
        <v>51411.34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16569.55</v>
      </c>
    </row>
    <row r="6" spans="1:13">
      <c r="A6" t="s">
        <v>17</v>
      </c>
      <c r="B6">
        <v>2948.39</v>
      </c>
      <c r="C6">
        <v>49260.84</v>
      </c>
      <c r="D6">
        <v>2979.12</v>
      </c>
      <c r="E6">
        <v>50723.39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2151.47</v>
      </c>
      <c r="C7">
        <v>52126.9</v>
      </c>
      <c r="D7">
        <v>2175.57</v>
      </c>
      <c r="E7">
        <v>51959.84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2174.43</v>
      </c>
      <c r="C8">
        <v>50288.37</v>
      </c>
      <c r="D8">
        <v>2193.9</v>
      </c>
      <c r="E8">
        <v>49844.08</v>
      </c>
      <c r="F8">
        <v>-1</v>
      </c>
      <c r="G8">
        <v>4545.3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2308.03</v>
      </c>
      <c r="C9">
        <v>51005.71</v>
      </c>
      <c r="D9">
        <v>2328.62</v>
      </c>
      <c r="E9">
        <v>52015.94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2289.17</v>
      </c>
      <c r="C10">
        <v>49769.15</v>
      </c>
      <c r="D10">
        <v>2308.78</v>
      </c>
      <c r="E10">
        <v>51134.84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2261.82</v>
      </c>
      <c r="C11">
        <v>50156.5</v>
      </c>
      <c r="D11">
        <v>2283.82</v>
      </c>
      <c r="E11">
        <v>49723.19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2603.059</v>
      </c>
      <c r="B14" s="4">
        <f>IFERROR(AVERAGEIF($D$2:$D$11,"&lt;&gt; -1"),0)</f>
        <v>2627.823</v>
      </c>
      <c r="C14" s="4">
        <f>IFERROR(AVERAGEIF($F$2:$F$11,"&lt;&gt; -1"),0)</f>
        <v>0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50887.84</v>
      </c>
      <c r="H14" s="4">
        <f>IFERROR(AVERAGEIFS($E$2:$E$11,$D$2:$D$11,"&lt;&gt; -1"),0)</f>
        <v>50834.767</v>
      </c>
      <c r="I14" s="4">
        <f>IFERROR(AVERAGEIFS($G$2:$G$11,$F$2:$F$11,"&lt;&gt; -1"),0)</f>
        <v>0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3053.42</v>
      </c>
      <c r="N14" s="4">
        <f>IFERROR(_xlfn.MAXIFS($D$2:$D$11,$D$2:$D$11,"&lt;&gt;-1"),0)</f>
        <v>3077.34</v>
      </c>
      <c r="O14" s="4">
        <f>IFERROR(_xlfn.MAXIFS($F$2:$F$11,$F$2:$F$11,"&lt;&gt; -1"),0)</f>
        <v>0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2151.47</v>
      </c>
      <c r="T14" s="4">
        <f>IFERROR(_xlfn.MINIFS($D$2:$D$11,$D$2:$D$11,"&lt;&gt;-1"),0)</f>
        <v>2175.57</v>
      </c>
      <c r="U14" s="4">
        <f>IFERROR(_xlfn.MINIFS($F$2:$F$11,$F$2:$F$11,"&lt;&gt; -1"),0)</f>
        <v>0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52540.93</v>
      </c>
      <c r="Z14" s="4">
        <f>IFERROR(_xlfn.MAXIFS($E$2:$E$11,$D$2:$D$11,"&lt;&gt; -1"),0)</f>
        <v>52113.61</v>
      </c>
      <c r="AA14" s="4">
        <f>IFERROR(_xlfn.MAXIFS($G$2:$G$11,$F$2:$F$11,"&lt;&gt; -1"),0)</f>
        <v>0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49260.84</v>
      </c>
      <c r="AF14" s="4">
        <f>IFERROR(_xlfn.MINIFS($E$2:$E$11,$D$2:$D$11,"&lt;&gt; -1"),0)</f>
        <v>49669.63</v>
      </c>
      <c r="AG14" s="4">
        <f>IFERROR(_xlfn.MINIFS($G$2:$G$11,$F$2:$F$11,"&lt;&gt; -1"),0)</f>
        <v>0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(COUNTIFS($B$2:$B$11,"&gt;0.0",$B$2:$B$11,"&lt;3000.0"))/10</f>
        <v>0.9</v>
      </c>
      <c r="AL14" s="4">
        <f>(COUNTIFS($D$2:$D$11,"&gt;0.0",$D$2:$D$11,"&lt;3000.0"))/10</f>
        <v>0.9</v>
      </c>
      <c r="AM14" s="4">
        <f>(COUNTIFS($F$2:$F$11,"&gt;0.0",$F$2:$F$11,"&lt;3000.0"))/10</f>
        <v>0</v>
      </c>
      <c r="AN14" s="4">
        <f>(COUNTIFS($H$2:$H11,"&gt;0.0",$H$2:$H$11,"&lt;3000.0"))/10</f>
        <v>0</v>
      </c>
      <c r="AO14" s="4">
        <f>(COUNTIFS($J$2:$J$11,"&gt;0.0",$J$2:$J$11,"&lt;3000.0"))/10</f>
        <v>0</v>
      </c>
      <c r="AP14" s="4">
        <f>(COUNTIFS($L$2:$L$11,"&gt;0.0",$L$2:$L$11,"&lt;3000.0"))/10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G12" sqref="G12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1718.199</v>
      </c>
      <c r="B2">
        <v>1757.026</v>
      </c>
      <c r="C2">
        <v>1690.84</v>
      </c>
      <c r="D2">
        <v>0</v>
      </c>
      <c r="E2">
        <v>1709.77666666667</v>
      </c>
      <c r="F2">
        <v>0</v>
      </c>
      <c r="G2">
        <v>50559.474</v>
      </c>
      <c r="H2">
        <v>50724.061</v>
      </c>
      <c r="I2">
        <v>54898.97</v>
      </c>
      <c r="J2">
        <v>0</v>
      </c>
      <c r="K2">
        <v>49605.54</v>
      </c>
      <c r="L2">
        <v>0</v>
      </c>
      <c r="M2">
        <v>2271.7</v>
      </c>
      <c r="N2">
        <v>2325.08</v>
      </c>
      <c r="O2">
        <v>1690.84</v>
      </c>
      <c r="P2">
        <v>0</v>
      </c>
      <c r="Q2">
        <v>1911.58</v>
      </c>
      <c r="R2">
        <v>0</v>
      </c>
      <c r="S2">
        <v>1562.84</v>
      </c>
      <c r="T2">
        <v>1599.06</v>
      </c>
      <c r="U2">
        <v>1690.84</v>
      </c>
      <c r="V2">
        <v>0</v>
      </c>
      <c r="W2">
        <v>1608.85</v>
      </c>
      <c r="X2">
        <v>0</v>
      </c>
      <c r="Y2">
        <v>53118.45</v>
      </c>
      <c r="Z2">
        <v>52725.25</v>
      </c>
      <c r="AA2">
        <v>54898.97</v>
      </c>
      <c r="AB2">
        <v>0</v>
      </c>
      <c r="AC2">
        <v>50526.58</v>
      </c>
      <c r="AD2">
        <v>0</v>
      </c>
      <c r="AE2">
        <v>48890.61</v>
      </c>
      <c r="AF2">
        <v>48759.03</v>
      </c>
      <c r="AG2">
        <v>54898.97</v>
      </c>
      <c r="AH2">
        <v>0</v>
      </c>
      <c r="AI2">
        <v>49062.5</v>
      </c>
      <c r="AJ2">
        <v>0</v>
      </c>
      <c r="AK2">
        <v>1</v>
      </c>
      <c r="AL2">
        <v>1</v>
      </c>
      <c r="AM2">
        <v>0.1</v>
      </c>
      <c r="AN2">
        <v>0</v>
      </c>
      <c r="AO2">
        <v>0.3</v>
      </c>
      <c r="AP2">
        <v>0</v>
      </c>
    </row>
    <row r="3" spans="1:42">
      <c r="A3">
        <v>1767.179</v>
      </c>
      <c r="B3">
        <v>1801.042</v>
      </c>
      <c r="C3">
        <v>0</v>
      </c>
      <c r="D3">
        <v>0</v>
      </c>
      <c r="E3">
        <v>2031.77</v>
      </c>
      <c r="F3">
        <v>0</v>
      </c>
      <c r="G3">
        <v>50311.815</v>
      </c>
      <c r="H3">
        <v>50803.733</v>
      </c>
      <c r="I3">
        <v>0</v>
      </c>
      <c r="J3">
        <v>0</v>
      </c>
      <c r="K3">
        <v>49679.88</v>
      </c>
      <c r="L3">
        <v>0</v>
      </c>
      <c r="M3">
        <v>1814.51</v>
      </c>
      <c r="N3">
        <v>1848.53</v>
      </c>
      <c r="O3">
        <v>0</v>
      </c>
      <c r="P3">
        <v>0</v>
      </c>
      <c r="Q3">
        <v>2031.77</v>
      </c>
      <c r="R3">
        <v>0</v>
      </c>
      <c r="S3">
        <v>1735.81</v>
      </c>
      <c r="T3">
        <v>1772.88</v>
      </c>
      <c r="U3">
        <v>0</v>
      </c>
      <c r="V3">
        <v>0</v>
      </c>
      <c r="W3">
        <v>2031.77</v>
      </c>
      <c r="X3">
        <v>0</v>
      </c>
      <c r="Y3">
        <v>52729.79</v>
      </c>
      <c r="Z3">
        <v>52617.49</v>
      </c>
      <c r="AA3">
        <v>0</v>
      </c>
      <c r="AB3">
        <v>0</v>
      </c>
      <c r="AC3">
        <v>49679.88</v>
      </c>
      <c r="AD3">
        <v>0</v>
      </c>
      <c r="AE3">
        <v>48753.31</v>
      </c>
      <c r="AF3">
        <v>49560.51</v>
      </c>
      <c r="AG3">
        <v>0</v>
      </c>
      <c r="AH3">
        <v>0</v>
      </c>
      <c r="AI3">
        <v>49679.88</v>
      </c>
      <c r="AJ3">
        <v>0</v>
      </c>
      <c r="AK3">
        <v>1</v>
      </c>
      <c r="AL3">
        <v>1</v>
      </c>
      <c r="AM3">
        <v>0</v>
      </c>
      <c r="AN3">
        <v>0</v>
      </c>
      <c r="AO3">
        <v>0.1</v>
      </c>
      <c r="AP3">
        <v>0</v>
      </c>
    </row>
    <row r="4" spans="1:42">
      <c r="A4">
        <v>1927.588</v>
      </c>
      <c r="B4">
        <v>1963.482</v>
      </c>
      <c r="C4">
        <v>2083.99</v>
      </c>
      <c r="D4">
        <v>0</v>
      </c>
      <c r="E4">
        <v>0</v>
      </c>
      <c r="F4">
        <v>0</v>
      </c>
      <c r="G4">
        <v>50581.092</v>
      </c>
      <c r="H4">
        <v>50742.587</v>
      </c>
      <c r="I4">
        <v>54260.45</v>
      </c>
      <c r="J4">
        <v>0</v>
      </c>
      <c r="K4">
        <v>0</v>
      </c>
      <c r="L4">
        <v>0</v>
      </c>
      <c r="M4">
        <v>1985.86</v>
      </c>
      <c r="N4">
        <v>2023.97</v>
      </c>
      <c r="O4">
        <v>2083.99</v>
      </c>
      <c r="P4">
        <v>0</v>
      </c>
      <c r="Q4">
        <v>0</v>
      </c>
      <c r="R4">
        <v>0</v>
      </c>
      <c r="S4">
        <v>1859.11</v>
      </c>
      <c r="T4">
        <v>1894.39</v>
      </c>
      <c r="U4">
        <v>2083.99</v>
      </c>
      <c r="V4">
        <v>0</v>
      </c>
      <c r="W4">
        <v>0</v>
      </c>
      <c r="X4">
        <v>0</v>
      </c>
      <c r="Y4">
        <v>53381.56</v>
      </c>
      <c r="Z4">
        <v>52838.63</v>
      </c>
      <c r="AA4">
        <v>54260.45</v>
      </c>
      <c r="AB4">
        <v>0</v>
      </c>
      <c r="AC4">
        <v>0</v>
      </c>
      <c r="AD4">
        <v>0</v>
      </c>
      <c r="AE4">
        <v>48139</v>
      </c>
      <c r="AF4">
        <v>49320.98</v>
      </c>
      <c r="AG4">
        <v>54260.45</v>
      </c>
      <c r="AH4">
        <v>0</v>
      </c>
      <c r="AI4">
        <v>0</v>
      </c>
      <c r="AJ4">
        <v>0</v>
      </c>
      <c r="AK4">
        <v>1</v>
      </c>
      <c r="AL4">
        <v>1</v>
      </c>
      <c r="AM4">
        <v>0.1</v>
      </c>
      <c r="AN4">
        <v>0</v>
      </c>
      <c r="AO4">
        <v>0</v>
      </c>
      <c r="AP4">
        <v>0</v>
      </c>
    </row>
    <row r="5" spans="1:42">
      <c r="A5">
        <v>2084.713</v>
      </c>
      <c r="B5">
        <v>2125.6</v>
      </c>
      <c r="C5">
        <v>2266.505</v>
      </c>
      <c r="D5">
        <v>0</v>
      </c>
      <c r="E5">
        <v>0</v>
      </c>
      <c r="F5">
        <v>0</v>
      </c>
      <c r="G5">
        <v>50416.521</v>
      </c>
      <c r="H5">
        <v>50659.55</v>
      </c>
      <c r="I5">
        <v>57216.84</v>
      </c>
      <c r="J5">
        <v>0</v>
      </c>
      <c r="K5">
        <v>0</v>
      </c>
      <c r="L5">
        <v>0</v>
      </c>
      <c r="M5">
        <v>2153.82</v>
      </c>
      <c r="N5">
        <v>2195.22</v>
      </c>
      <c r="O5">
        <v>2270.63</v>
      </c>
      <c r="P5">
        <v>0</v>
      </c>
      <c r="Q5">
        <v>0</v>
      </c>
      <c r="R5">
        <v>0</v>
      </c>
      <c r="S5">
        <v>2013.7</v>
      </c>
      <c r="T5">
        <v>2055.86</v>
      </c>
      <c r="U5">
        <v>2262.38</v>
      </c>
      <c r="V5">
        <v>0</v>
      </c>
      <c r="W5">
        <v>0</v>
      </c>
      <c r="X5">
        <v>0</v>
      </c>
      <c r="Y5">
        <v>52801.69</v>
      </c>
      <c r="Z5">
        <v>51659.86</v>
      </c>
      <c r="AA5">
        <v>57703.71</v>
      </c>
      <c r="AB5">
        <v>0</v>
      </c>
      <c r="AC5">
        <v>0</v>
      </c>
      <c r="AD5">
        <v>0</v>
      </c>
      <c r="AE5">
        <v>47898.83</v>
      </c>
      <c r="AF5">
        <v>49168.69</v>
      </c>
      <c r="AG5">
        <v>56729.97</v>
      </c>
      <c r="AH5">
        <v>0</v>
      </c>
      <c r="AI5">
        <v>0</v>
      </c>
      <c r="AJ5">
        <v>0</v>
      </c>
      <c r="AK5">
        <v>1</v>
      </c>
      <c r="AL5">
        <v>1</v>
      </c>
      <c r="AM5">
        <v>0.2</v>
      </c>
      <c r="AN5">
        <v>0</v>
      </c>
      <c r="AO5">
        <v>0</v>
      </c>
      <c r="AP5">
        <v>0</v>
      </c>
    </row>
    <row r="6" spans="1:42">
      <c r="A6">
        <v>2645.395</v>
      </c>
      <c r="B6">
        <v>2682.638</v>
      </c>
      <c r="C6">
        <v>3398.49</v>
      </c>
      <c r="D6">
        <v>0</v>
      </c>
      <c r="E6">
        <v>0</v>
      </c>
      <c r="F6">
        <v>0</v>
      </c>
      <c r="G6">
        <v>50437.673</v>
      </c>
      <c r="H6">
        <v>50182.162</v>
      </c>
      <c r="I6">
        <v>55745.27</v>
      </c>
      <c r="J6">
        <v>0</v>
      </c>
      <c r="K6">
        <v>0</v>
      </c>
      <c r="L6">
        <v>0</v>
      </c>
      <c r="M6">
        <v>3153.04</v>
      </c>
      <c r="N6">
        <v>3191.4</v>
      </c>
      <c r="O6">
        <v>3398.49</v>
      </c>
      <c r="P6">
        <v>0</v>
      </c>
      <c r="Q6">
        <v>0</v>
      </c>
      <c r="R6">
        <v>0</v>
      </c>
      <c r="S6">
        <v>2161.2</v>
      </c>
      <c r="T6">
        <v>2188.9</v>
      </c>
      <c r="U6">
        <v>3398.49</v>
      </c>
      <c r="V6">
        <v>0</v>
      </c>
      <c r="W6">
        <v>0</v>
      </c>
      <c r="X6">
        <v>0</v>
      </c>
      <c r="Y6">
        <v>52933.88</v>
      </c>
      <c r="Z6">
        <v>51917.07</v>
      </c>
      <c r="AA6">
        <v>55745.27</v>
      </c>
      <c r="AB6">
        <v>0</v>
      </c>
      <c r="AC6">
        <v>0</v>
      </c>
      <c r="AD6">
        <v>0</v>
      </c>
      <c r="AE6">
        <v>49004.17</v>
      </c>
      <c r="AF6">
        <v>47987.73</v>
      </c>
      <c r="AG6">
        <v>55745.27</v>
      </c>
      <c r="AH6">
        <v>0</v>
      </c>
      <c r="AI6">
        <v>0</v>
      </c>
      <c r="AJ6">
        <v>0</v>
      </c>
      <c r="AK6">
        <v>0.7</v>
      </c>
      <c r="AL6">
        <v>0.7</v>
      </c>
      <c r="AM6">
        <v>0</v>
      </c>
      <c r="AN6">
        <v>0</v>
      </c>
      <c r="AO6">
        <v>0</v>
      </c>
      <c r="AP6">
        <v>0</v>
      </c>
    </row>
    <row r="7" spans="1:42">
      <c r="A7">
        <v>2603.059</v>
      </c>
      <c r="B7">
        <v>2627.823</v>
      </c>
      <c r="C7">
        <v>0</v>
      </c>
      <c r="D7">
        <v>0</v>
      </c>
      <c r="E7">
        <v>0</v>
      </c>
      <c r="F7">
        <v>0</v>
      </c>
      <c r="G7">
        <v>50887.84</v>
      </c>
      <c r="H7">
        <v>50834.767</v>
      </c>
      <c r="I7">
        <v>0</v>
      </c>
      <c r="J7">
        <v>0</v>
      </c>
      <c r="K7">
        <v>0</v>
      </c>
      <c r="L7">
        <v>0</v>
      </c>
      <c r="M7">
        <v>3053.42</v>
      </c>
      <c r="N7">
        <v>3077.34</v>
      </c>
      <c r="O7">
        <v>0</v>
      </c>
      <c r="P7">
        <v>0</v>
      </c>
      <c r="Q7">
        <v>0</v>
      </c>
      <c r="R7">
        <v>0</v>
      </c>
      <c r="S7">
        <v>2151.47</v>
      </c>
      <c r="T7">
        <v>2175.57</v>
      </c>
      <c r="U7">
        <v>0</v>
      </c>
      <c r="V7">
        <v>0</v>
      </c>
      <c r="W7">
        <v>0</v>
      </c>
      <c r="X7">
        <v>0</v>
      </c>
      <c r="Y7">
        <v>52540.93</v>
      </c>
      <c r="Z7">
        <v>52113.61</v>
      </c>
      <c r="AA7">
        <v>0</v>
      </c>
      <c r="AB7">
        <v>0</v>
      </c>
      <c r="AC7">
        <v>0</v>
      </c>
      <c r="AD7">
        <v>0</v>
      </c>
      <c r="AE7">
        <v>49260.84</v>
      </c>
      <c r="AF7">
        <v>49669.63</v>
      </c>
      <c r="AG7">
        <v>0</v>
      </c>
      <c r="AH7">
        <v>0</v>
      </c>
      <c r="AI7">
        <v>0</v>
      </c>
      <c r="AJ7">
        <v>0</v>
      </c>
      <c r="AK7">
        <v>0.9</v>
      </c>
      <c r="AL7">
        <v>0.9</v>
      </c>
      <c r="AM7">
        <v>0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2024-09-08T05:25:00Z</dcterms:created>
  <dcterms:modified xsi:type="dcterms:W3CDTF">2024-09-08T10:41:09Z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57A2C7373FC643FAAEF182CC8A19A855_12</vt:lpwstr>
  </property>
  <property fmtid="{D5CDD505-2E9C-101B-9397-08002B2CF9AE}" pid="3" name="KSOProductBuildVer">
    <vt:lpwstr>2052-12.1.0.17827</vt:lpwstr>
  </property>
</Properties>
</file>