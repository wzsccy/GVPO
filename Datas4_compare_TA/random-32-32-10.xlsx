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<sst xmlns="http://schemas.openxmlformats.org/spreadsheetml/2006/main" count="432" uniqueCount="65">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</sst>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116.09</v>
      </c>
      <c r="C2">
        <v>7548.03</v>
      </c>
      <c r="D2">
        <v>153.79</v>
      </c>
      <c r="E2">
        <v>7325.59</v>
      </c>
      <c r="F2">
        <v>127.66</v>
      </c>
      <c r="G2">
        <v>8376.49</v>
      </c>
      <c r="H2">
        <v>157.4</v>
      </c>
      <c r="I2">
        <v>8205.94</v>
      </c>
      <c r="J2">
        <v>130.3</v>
      </c>
      <c r="K2">
        <v>7479.11</v>
      </c>
      <c r="L2">
        <v>-1</v>
      </c>
      <c r="M2">
        <v>5488.68</v>
      </c>
    </row>
    <row r="3" spans="1:13">
      <c r="A3" t="s">
        <v>14</v>
      </c>
      <c r="B3">
        <v>117.49</v>
      </c>
      <c r="C3">
        <v>7386.34</v>
      </c>
      <c r="D3">
        <v>155.65</v>
      </c>
      <c r="E3">
        <v>7150.74</v>
      </c>
      <c r="F3">
        <v>123.51</v>
      </c>
      <c r="G3">
        <v>8241.87</v>
      </c>
      <c r="H3">
        <v>162.2</v>
      </c>
      <c r="I3">
        <v>7959.18</v>
      </c>
      <c r="J3">
        <v>119.74</v>
      </c>
      <c r="K3">
        <v>7306.29</v>
      </c>
      <c r="L3">
        <v>-1</v>
      </c>
      <c r="M3">
        <v>250.04</v>
      </c>
    </row>
    <row r="4" spans="1:13">
      <c r="A4" t="s">
        <v>15</v>
      </c>
      <c r="B4">
        <v>121.53</v>
      </c>
      <c r="C4">
        <v>7637.07</v>
      </c>
      <c r="D4">
        <v>160.73</v>
      </c>
      <c r="E4">
        <v>7556.5</v>
      </c>
      <c r="F4">
        <v>134.03</v>
      </c>
      <c r="G4">
        <v>8397.32</v>
      </c>
      <c r="H4">
        <v>165.19</v>
      </c>
      <c r="I4">
        <v>8440.61</v>
      </c>
      <c r="J4">
        <v>128.14</v>
      </c>
      <c r="K4">
        <v>7517.91</v>
      </c>
      <c r="L4">
        <v>-1</v>
      </c>
      <c r="M4">
        <v>3333.48</v>
      </c>
    </row>
    <row r="5" spans="1:13">
      <c r="A5" t="s">
        <v>16</v>
      </c>
      <c r="B5">
        <v>120.66</v>
      </c>
      <c r="C5">
        <v>7350.85</v>
      </c>
      <c r="D5">
        <v>159.08</v>
      </c>
      <c r="E5">
        <v>7423.42</v>
      </c>
      <c r="F5">
        <v>133.36</v>
      </c>
      <c r="G5">
        <v>8218.2</v>
      </c>
      <c r="H5">
        <v>166.47</v>
      </c>
      <c r="I5">
        <v>8388.47</v>
      </c>
      <c r="J5">
        <v>125.67</v>
      </c>
      <c r="K5">
        <v>7248.93</v>
      </c>
      <c r="L5">
        <v>-1</v>
      </c>
      <c r="M5">
        <v>1163.15</v>
      </c>
    </row>
    <row r="6" spans="1:13">
      <c r="A6" t="s">
        <v>17</v>
      </c>
      <c r="B6">
        <v>118.69</v>
      </c>
      <c r="C6">
        <v>7309.26</v>
      </c>
      <c r="D6">
        <v>157.73</v>
      </c>
      <c r="E6">
        <v>7166.8</v>
      </c>
      <c r="F6">
        <v>123.76</v>
      </c>
      <c r="G6">
        <v>8166.58</v>
      </c>
      <c r="H6">
        <v>162.3</v>
      </c>
      <c r="I6">
        <v>8001.37</v>
      </c>
      <c r="J6">
        <v>120.22</v>
      </c>
      <c r="K6">
        <v>7295.3</v>
      </c>
      <c r="L6">
        <v>401.71</v>
      </c>
      <c r="M6">
        <v>7267.32</v>
      </c>
    </row>
    <row r="7" spans="1:13">
      <c r="A7" t="s">
        <v>18</v>
      </c>
      <c r="B7">
        <v>119.47</v>
      </c>
      <c r="C7">
        <v>7533.85</v>
      </c>
      <c r="D7">
        <v>158.04</v>
      </c>
      <c r="E7">
        <v>7487.55</v>
      </c>
      <c r="F7">
        <v>130.89</v>
      </c>
      <c r="G7">
        <v>8277.59</v>
      </c>
      <c r="H7">
        <v>162.88</v>
      </c>
      <c r="I7">
        <v>8413.09</v>
      </c>
      <c r="J7">
        <v>133.94</v>
      </c>
      <c r="K7">
        <v>7429.8</v>
      </c>
      <c r="L7">
        <v>-1</v>
      </c>
      <c r="M7">
        <v>1543.48</v>
      </c>
    </row>
    <row r="8" spans="1:13">
      <c r="A8" t="s">
        <v>19</v>
      </c>
      <c r="B8">
        <v>117.69</v>
      </c>
      <c r="C8">
        <v>7361.62</v>
      </c>
      <c r="D8">
        <v>156.06</v>
      </c>
      <c r="E8">
        <v>7601.39</v>
      </c>
      <c r="F8">
        <v>126.59</v>
      </c>
      <c r="G8">
        <v>8133.86</v>
      </c>
      <c r="H8">
        <v>162.53</v>
      </c>
      <c r="I8">
        <v>8466.32</v>
      </c>
      <c r="J8">
        <v>120.34</v>
      </c>
      <c r="K8">
        <v>7221.86</v>
      </c>
      <c r="L8">
        <v>-1</v>
      </c>
      <c r="M8">
        <v>4629.72</v>
      </c>
    </row>
    <row r="9" spans="1:13">
      <c r="A9" t="s">
        <v>20</v>
      </c>
      <c r="B9">
        <v>115.49</v>
      </c>
      <c r="C9">
        <v>7311.18</v>
      </c>
      <c r="D9">
        <v>154.42</v>
      </c>
      <c r="E9">
        <v>6970.16</v>
      </c>
      <c r="F9">
        <v>126.31</v>
      </c>
      <c r="G9">
        <v>8006.73</v>
      </c>
      <c r="H9">
        <v>158.39</v>
      </c>
      <c r="I9">
        <v>7845.5</v>
      </c>
      <c r="J9">
        <v>119.83</v>
      </c>
      <c r="K9">
        <v>7204</v>
      </c>
      <c r="L9">
        <v>-1</v>
      </c>
      <c r="M9">
        <v>5926</v>
      </c>
    </row>
    <row r="10" spans="1:13">
      <c r="A10" t="s">
        <v>21</v>
      </c>
      <c r="B10">
        <v>117.35</v>
      </c>
      <c r="C10">
        <v>7343.27</v>
      </c>
      <c r="D10">
        <v>156.35</v>
      </c>
      <c r="E10">
        <v>7290.19</v>
      </c>
      <c r="F10">
        <v>125.84</v>
      </c>
      <c r="G10">
        <v>8060.97</v>
      </c>
      <c r="H10">
        <v>161.09</v>
      </c>
      <c r="I10">
        <v>8054.38</v>
      </c>
      <c r="J10">
        <v>119.81</v>
      </c>
      <c r="K10">
        <v>7253.04</v>
      </c>
      <c r="L10">
        <v>-1</v>
      </c>
      <c r="M10">
        <v>3789.35</v>
      </c>
    </row>
    <row r="11" spans="1:13">
      <c r="A11" t="s">
        <v>22</v>
      </c>
      <c r="B11">
        <v>117.26</v>
      </c>
      <c r="C11">
        <v>7233.28</v>
      </c>
      <c r="D11">
        <v>155.73</v>
      </c>
      <c r="E11">
        <v>7319.86</v>
      </c>
      <c r="F11">
        <v>124.51</v>
      </c>
      <c r="G11">
        <v>7993.53</v>
      </c>
      <c r="H11">
        <v>162.01</v>
      </c>
      <c r="I11">
        <v>8135.5</v>
      </c>
      <c r="J11">
        <v>119.52</v>
      </c>
      <c r="K11">
        <v>7110.33</v>
      </c>
      <c r="L11">
        <v>372.12</v>
      </c>
      <c r="M11">
        <v>7422.16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118.172</v>
      </c>
      <c r="B14" s="4">
        <f>IFERROR(AVERAGEIF($D$2:$D$11,"&lt;&gt; -1"),0)</f>
        <v>156.758</v>
      </c>
      <c r="C14" s="4">
        <f>IFERROR(AVERAGEIF($F$2:$F$11,"&lt;&gt; -1"),0)</f>
        <v>127.646</v>
      </c>
      <c r="D14" s="4">
        <f>IFERROR(AVERAGEIF($H$2:$H$11,"&lt;&gt; -1"),0)</f>
        <v>162.046</v>
      </c>
      <c r="E14" s="4">
        <f>IFERROR(AVERAGEIF($J$2:$J$11,"&lt;&gt; -1"),0)</f>
        <v>123.751</v>
      </c>
      <c r="F14" s="4">
        <f>IFERROR(AVERAGEIF($L$2:$L$11,"&lt;&gt; -1"),0)</f>
        <v>386.915</v>
      </c>
      <c r="G14" s="4">
        <f>IFERROR(AVERAGEIFS($C$2:$C$11,$B$2:$B$11,"&lt;&gt; -1"),0)</f>
        <v>7401.475</v>
      </c>
      <c r="H14" s="4">
        <f>IFERROR(AVERAGEIFS($E$2:$E$11,$D$2:$D$11,"&lt;&gt; -1"),0)</f>
        <v>7329.22</v>
      </c>
      <c r="I14" s="4">
        <f>IFERROR(AVERAGEIFS($G$2:$G$11,$F$2:$F$11,"&lt;&gt; -1"),0)</f>
        <v>8187.314</v>
      </c>
      <c r="J14" s="4">
        <f>IFERROR(AVERAGEIFS($I$2:$I$11,$H$2:$H$11,"&lt;&gt; -1"),0)</f>
        <v>8191.036</v>
      </c>
      <c r="K14" s="4">
        <f>IFERROR(AVERAGEIFS($K$2:$K$11,$J$2:$J$11,"&lt;&gt; -1"),0)</f>
        <v>7306.657</v>
      </c>
      <c r="L14" s="4">
        <f>IFERROR(AVERAGEIFS($M$2:$M$11,$L$2:$L$11,"&lt;&gt; -1"),0)</f>
        <v>7344.74</v>
      </c>
      <c r="M14" s="4">
        <f>IFERROR(_xlfn.MAXIFS($B$2:$B$11,$B$2:$B$11,"&lt;&gt; -1"),0)</f>
        <v>121.53</v>
      </c>
      <c r="N14" s="4">
        <f>IFERROR(_xlfn.MAXIFS($D$2:$D$11,$D$2:$D$11,"&lt;&gt;-1"),0)</f>
        <v>160.73</v>
      </c>
      <c r="O14" s="4">
        <f>IFERROR(_xlfn.MAXIFS($F$2:$F$11,$F$2:$F$11,"&lt;&gt; -1"),0)</f>
        <v>134.03</v>
      </c>
      <c r="P14" s="4">
        <f>IFERROR(_xlfn.MAXIFS($H$2:$H$11,$H$2:$H$11,"&lt;&gt; -1"),0)</f>
        <v>166.47</v>
      </c>
      <c r="Q14" s="4">
        <f>IFERROR(_xlfn.MAXIFS($J$2:$J$11,$J$2:$J$11,"&lt;&gt; -1"),0)</f>
        <v>133.94</v>
      </c>
      <c r="R14" s="4">
        <f>IFERROR(_xlfn.MAXIFS($L$2:$L$11,$L$2:$L$11,"&lt;&gt; -1"),0)</f>
        <v>401.71</v>
      </c>
      <c r="S14" s="4">
        <f>IFERROR(_xlfn.MINIFS($B$2:$B$11,$B$2:$B$11,"&lt;&gt; -1"),0)</f>
        <v>115.49</v>
      </c>
      <c r="T14" s="4">
        <f>IFERROR(_xlfn.MINIFS($D$2:$D$11,$D$2:$D$11,"&lt;&gt;-1"),0)</f>
        <v>153.79</v>
      </c>
      <c r="U14" s="4">
        <f>IFERROR(_xlfn.MINIFS($F$2:$F$11,$F$2:$F$11,"&lt;&gt; -1"),0)</f>
        <v>123.51</v>
      </c>
      <c r="V14" s="4">
        <f>IFERROR(_xlfn.MINIFS($H$2:$H$11,$H$2:$H$11,"&lt;&gt; -1"),0)</f>
        <v>157.4</v>
      </c>
      <c r="W14" s="4">
        <f>IFERROR(_xlfn.MINIFS($J$2:$J$11,$J$2:$J$11,"&lt;&gt; -1"),0)</f>
        <v>119.52</v>
      </c>
      <c r="X14" s="4">
        <f>IFERROR(_xlfn.MINIFS($L$2:$L$11,$L$2:$L$11,"&lt;&gt; -1"),0)</f>
        <v>372.12</v>
      </c>
      <c r="Y14" s="4">
        <f>IFERROR(_xlfn.MAXIFS($C$2:$C$11,$B$2:$B$11,"&lt;&gt; -1"),0)</f>
        <v>7637.07</v>
      </c>
      <c r="Z14" s="4">
        <f>IFERROR(_xlfn.MAXIFS($E$2:$E$11,$D$2:$D$11,"&lt;&gt; -1"),0)</f>
        <v>7601.39</v>
      </c>
      <c r="AA14" s="4">
        <f>IFERROR(_xlfn.MAXIFS($G$2:$G$11,$F$2:$F$11,"&lt;&gt; -1"),0)</f>
        <v>8397.32</v>
      </c>
      <c r="AB14" s="4">
        <f>IFERROR(_xlfn.MAXIFS($I$2:$I$11,$H$2:$H$11,"&lt;&gt; -1"),0)</f>
        <v>8466.32</v>
      </c>
      <c r="AC14" s="4">
        <f>IFERROR(_xlfn.MAXIFS($K$2:$K$11,$J$2:$J$11,"&lt;&gt; -1"),0)</f>
        <v>7517.91</v>
      </c>
      <c r="AD14" s="4">
        <f>IFERROR(_xlfn.MAXIFS($M$2:$M$11,$L$2:$L$11,"&lt;&gt; -1"),0)</f>
        <v>7422.16</v>
      </c>
      <c r="AE14" s="4">
        <f>IFERROR(_xlfn.MINIFS($C$2:$C$11,$B$2:$B$11,"&lt;&gt; -1"),0)</f>
        <v>7233.28</v>
      </c>
      <c r="AF14" s="4">
        <f>IFERROR(_xlfn.MINIFS($E$2:$E$11,$D$2:$D$11,"&lt;&gt; -1"),0)</f>
        <v>6970.16</v>
      </c>
      <c r="AG14" s="4">
        <f>IFERROR(_xlfn.MINIFS($G$2:$G$11,$F$2:$F$11,"&lt;&gt; -1"),0)</f>
        <v>7993.53</v>
      </c>
      <c r="AH14" s="4">
        <f>IFERROR(_xlfn.MINIFS($I$2:$I$11,$H$2:$H$11,"&lt;&gt; -1"),0)</f>
        <v>7845.5</v>
      </c>
      <c r="AI14" s="4">
        <f>IFERROR(_xlfn.MINIFS($K$2:$K$11,$J$2:$J$11,"&lt;&gt; -1"),0)</f>
        <v>7110.33</v>
      </c>
      <c r="AJ14" s="4">
        <f>IFERROR(_xlfn.MINIFS($M$2:$M$11,$L$2:$L$11,"&lt;&gt; -1"),0)</f>
        <v>7267.32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1</v>
      </c>
      <c r="AO14" s="4">
        <f>(COUNTIFS($J$2:$J$11,"&gt;0.0",$J$2:$J$11,"&lt;200.0"))/10</f>
        <v>1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128.38</v>
      </c>
      <c r="C2">
        <v>7531.58</v>
      </c>
      <c r="D2">
        <v>166.81</v>
      </c>
      <c r="E2">
        <v>7508.24</v>
      </c>
      <c r="F2">
        <v>144.65</v>
      </c>
      <c r="G2">
        <v>8255.04</v>
      </c>
      <c r="H2">
        <v>196.9</v>
      </c>
      <c r="I2">
        <v>8413.46</v>
      </c>
      <c r="J2">
        <v>153.02</v>
      </c>
      <c r="K2">
        <v>7394.58</v>
      </c>
      <c r="L2">
        <v>-1</v>
      </c>
      <c r="M2">
        <v>0</v>
      </c>
    </row>
    <row r="3" spans="1:13">
      <c r="A3" t="s">
        <v>14</v>
      </c>
      <c r="B3">
        <v>125.52</v>
      </c>
      <c r="C3">
        <v>7534.32</v>
      </c>
      <c r="D3">
        <v>162.82</v>
      </c>
      <c r="E3">
        <v>7316.78</v>
      </c>
      <c r="F3">
        <v>145.2</v>
      </c>
      <c r="G3">
        <v>8112.79</v>
      </c>
      <c r="H3">
        <v>210.32</v>
      </c>
      <c r="I3">
        <v>8135.98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133.25</v>
      </c>
      <c r="C4">
        <v>7659.88</v>
      </c>
      <c r="D4">
        <v>172.65</v>
      </c>
      <c r="E4">
        <v>7550.46</v>
      </c>
      <c r="F4">
        <v>155.19</v>
      </c>
      <c r="G4">
        <v>8302.9</v>
      </c>
      <c r="H4">
        <v>240.81</v>
      </c>
      <c r="I4">
        <v>8331.3</v>
      </c>
      <c r="J4">
        <v>-1</v>
      </c>
      <c r="K4">
        <v>505.46</v>
      </c>
      <c r="L4">
        <v>-1</v>
      </c>
      <c r="M4">
        <v>0</v>
      </c>
    </row>
    <row r="5" spans="1:13">
      <c r="A5" t="s">
        <v>16</v>
      </c>
      <c r="B5">
        <v>136.65</v>
      </c>
      <c r="C5">
        <v>7832.88</v>
      </c>
      <c r="D5">
        <v>174.59</v>
      </c>
      <c r="E5">
        <v>7462.83</v>
      </c>
      <c r="F5">
        <v>161.08</v>
      </c>
      <c r="G5">
        <v>8503.53</v>
      </c>
      <c r="H5">
        <v>243.34</v>
      </c>
      <c r="I5">
        <v>8402.57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131.17</v>
      </c>
      <c r="C6">
        <v>7448.5</v>
      </c>
      <c r="D6">
        <v>169.6</v>
      </c>
      <c r="E6">
        <v>7283.59</v>
      </c>
      <c r="F6">
        <v>153.33</v>
      </c>
      <c r="G6">
        <v>8063.07</v>
      </c>
      <c r="H6">
        <v>203.53</v>
      </c>
      <c r="I6">
        <v>8129.58</v>
      </c>
      <c r="J6">
        <v>227.2</v>
      </c>
      <c r="K6">
        <v>7282.73</v>
      </c>
      <c r="L6">
        <v>-1</v>
      </c>
      <c r="M6">
        <v>0</v>
      </c>
    </row>
    <row r="7" spans="1:13">
      <c r="A7" t="s">
        <v>18</v>
      </c>
      <c r="B7">
        <v>133.69</v>
      </c>
      <c r="C7">
        <v>7366.67</v>
      </c>
      <c r="D7">
        <v>172.55</v>
      </c>
      <c r="E7">
        <v>7662.44</v>
      </c>
      <c r="F7">
        <v>148.67</v>
      </c>
      <c r="G7">
        <v>8000.02</v>
      </c>
      <c r="H7">
        <v>300.32</v>
      </c>
      <c r="I7">
        <v>8539.64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132.04</v>
      </c>
      <c r="C8">
        <v>7519.33</v>
      </c>
      <c r="D8">
        <v>169.6</v>
      </c>
      <c r="E8">
        <v>7602</v>
      </c>
      <c r="F8">
        <v>159.29</v>
      </c>
      <c r="G8">
        <v>8072.46</v>
      </c>
      <c r="H8">
        <v>335.42</v>
      </c>
      <c r="I8">
        <v>8403.75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127.4</v>
      </c>
      <c r="C9">
        <v>7426.11</v>
      </c>
      <c r="D9">
        <v>166.16</v>
      </c>
      <c r="E9">
        <v>7107.45</v>
      </c>
      <c r="F9">
        <v>146.24</v>
      </c>
      <c r="G9">
        <v>8027.07</v>
      </c>
      <c r="H9">
        <v>454</v>
      </c>
      <c r="I9">
        <v>7961.76</v>
      </c>
      <c r="J9">
        <v>483.63</v>
      </c>
      <c r="K9">
        <v>7257.63</v>
      </c>
      <c r="L9">
        <v>-1</v>
      </c>
      <c r="M9">
        <v>0</v>
      </c>
    </row>
    <row r="10" spans="1:13">
      <c r="A10" t="s">
        <v>21</v>
      </c>
      <c r="B10">
        <v>132.77</v>
      </c>
      <c r="C10">
        <v>7453.13</v>
      </c>
      <c r="D10">
        <v>171.9</v>
      </c>
      <c r="E10">
        <v>7445.03</v>
      </c>
      <c r="F10">
        <v>142.88</v>
      </c>
      <c r="G10">
        <v>8211.91</v>
      </c>
      <c r="H10">
        <v>208.26</v>
      </c>
      <c r="I10">
        <v>8207.63</v>
      </c>
      <c r="J10">
        <v>138.55</v>
      </c>
      <c r="K10">
        <v>7416.14</v>
      </c>
      <c r="L10">
        <v>-1</v>
      </c>
      <c r="M10">
        <v>0</v>
      </c>
    </row>
    <row r="11" spans="1:13">
      <c r="A11" t="s">
        <v>22</v>
      </c>
      <c r="B11">
        <v>128.85</v>
      </c>
      <c r="C11">
        <v>7185.88</v>
      </c>
      <c r="D11">
        <v>168.97</v>
      </c>
      <c r="E11">
        <v>7279.18</v>
      </c>
      <c r="F11">
        <v>139.86</v>
      </c>
      <c r="G11">
        <v>7855.45</v>
      </c>
      <c r="H11">
        <v>444.03</v>
      </c>
      <c r="I11">
        <v>8076.57</v>
      </c>
      <c r="J11">
        <v>134.49</v>
      </c>
      <c r="K11">
        <v>7092.72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130.972</v>
      </c>
      <c r="B14" s="4">
        <f>IFERROR(AVERAGEIF($D$2:$D$11,"&lt;&gt; -1"),0)</f>
        <v>169.565</v>
      </c>
      <c r="C14" s="4">
        <f>IFERROR(AVERAGEIF($F$2:$F$11,"&lt;&gt; -1"),0)</f>
        <v>149.639</v>
      </c>
      <c r="D14" s="4">
        <f>IFERROR(AVERAGEIF($H$2:$H$11,"&lt;&gt; -1"),0)</f>
        <v>283.693</v>
      </c>
      <c r="E14" s="4">
        <f>IFERROR(AVERAGEIF($J$2:$J$11,"&lt;&gt; -1"),0)</f>
        <v>227.378</v>
      </c>
      <c r="F14" s="4">
        <f>IFERROR(AVERAGEIF($L$2:$L$11,"&lt;&gt; -1"),0)</f>
        <v>0</v>
      </c>
      <c r="G14" s="4">
        <f>IFERROR(AVERAGEIFS($C$2:$C$11,$B$2:$B$11,"&lt;&gt; -1"),0)</f>
        <v>7495.828</v>
      </c>
      <c r="H14" s="4">
        <f>IFERROR(AVERAGEIFS($E$2:$E$11,$D$2:$D$11,"&lt;&gt; -1"),0)</f>
        <v>7421.8</v>
      </c>
      <c r="I14" s="4">
        <f>IFERROR(AVERAGEIFS($G$2:$G$11,$F$2:$F$11,"&lt;&gt; -1"),0)</f>
        <v>8140.424</v>
      </c>
      <c r="J14" s="4">
        <f>IFERROR(AVERAGEIFS($I$2:$I$11,$H$2:$H$11,"&lt;&gt; -1"),0)</f>
        <v>8260.224</v>
      </c>
      <c r="K14" s="4">
        <f>IFERROR(AVERAGEIFS($K$2:$K$11,$J$2:$J$11,"&lt;&gt; -1"),0)</f>
        <v>7288.76</v>
      </c>
      <c r="L14" s="4">
        <f>IFERROR(AVERAGEIFS($M$2:$M$11,$L$2:$L$11,"&lt;&gt; -1"),0)</f>
        <v>0</v>
      </c>
      <c r="M14" s="4">
        <f>IFERROR(_xlfn.MAXIFS($B$2:$B$11,$B$2:$B$11,"&lt;&gt; -1"),0)</f>
        <v>136.65</v>
      </c>
      <c r="N14" s="4">
        <f>IFERROR(_xlfn.MAXIFS($D$2:$D$11,$D$2:$D$11,"&lt;&gt;-1"),0)</f>
        <v>174.59</v>
      </c>
      <c r="O14" s="4">
        <f>IFERROR(_xlfn.MAXIFS($F$2:$F$11,$F$2:$F$11,"&lt;&gt; -1"),0)</f>
        <v>161.08</v>
      </c>
      <c r="P14" s="4">
        <f>IFERROR(_xlfn.MAXIFS($H$2:$H$11,$H$2:$H$11,"&lt;&gt; -1"),0)</f>
        <v>454</v>
      </c>
      <c r="Q14" s="4">
        <f>IFERROR(_xlfn.MAXIFS($J$2:$J$11,$J$2:$J$11,"&lt;&gt; -1"),0)</f>
        <v>483.63</v>
      </c>
      <c r="R14" s="4">
        <f>IFERROR(_xlfn.MAXIFS($L$2:$L$11,$L$2:$L$11,"&lt;&gt; -1"),0)</f>
        <v>0</v>
      </c>
      <c r="S14" s="4">
        <f>IFERROR(_xlfn.MINIFS($B$2:$B$11,$B$2:$B$11,"&lt;&gt; -1"),0)</f>
        <v>125.52</v>
      </c>
      <c r="T14" s="4">
        <f>IFERROR(_xlfn.MINIFS($D$2:$D$11,$D$2:$D$11,"&lt;&gt;-1"),0)</f>
        <v>162.82</v>
      </c>
      <c r="U14" s="4">
        <f>IFERROR(_xlfn.MINIFS($F$2:$F$11,$F$2:$F$11,"&lt;&gt; -1"),0)</f>
        <v>139.86</v>
      </c>
      <c r="V14" s="4">
        <f>IFERROR(_xlfn.MINIFS($H$2:$H$11,$H$2:$H$11,"&lt;&gt; -1"),0)</f>
        <v>196.9</v>
      </c>
      <c r="W14" s="4">
        <f>IFERROR(_xlfn.MINIFS($J$2:$J$11,$J$2:$J$11,"&lt;&gt; -1"),0)</f>
        <v>134.49</v>
      </c>
      <c r="X14" s="4">
        <f>IFERROR(_xlfn.MINIFS($L$2:$L$11,$L$2:$L$11,"&lt;&gt; -1"),0)</f>
        <v>0</v>
      </c>
      <c r="Y14" s="4">
        <f>IFERROR(_xlfn.MAXIFS($C$2:$C$11,$B$2:$B$11,"&lt;&gt; -1"),0)</f>
        <v>7832.88</v>
      </c>
      <c r="Z14" s="4">
        <f>IFERROR(_xlfn.MAXIFS($E$2:$E$11,$D$2:$D$11,"&lt;&gt; -1"),0)</f>
        <v>7662.44</v>
      </c>
      <c r="AA14" s="4">
        <f>IFERROR(_xlfn.MAXIFS($G$2:$G$11,$F$2:$F$11,"&lt;&gt; -1"),0)</f>
        <v>8503.53</v>
      </c>
      <c r="AB14" s="4">
        <f>IFERROR(_xlfn.MAXIFS($I$2:$I$11,$H$2:$H$11,"&lt;&gt; -1"),0)</f>
        <v>8539.64</v>
      </c>
      <c r="AC14" s="4">
        <f>IFERROR(_xlfn.MAXIFS($K$2:$K$11,$J$2:$J$11,"&lt;&gt; -1"),0)</f>
        <v>7416.14</v>
      </c>
      <c r="AD14" s="4">
        <f>IFERROR(_xlfn.MAXIFS($M$2:$M$11,$L$2:$L$11,"&lt;&gt; -1"),0)</f>
        <v>0</v>
      </c>
      <c r="AE14" s="4">
        <f>IFERROR(_xlfn.MINIFS($C$2:$C$11,$B$2:$B$11,"&lt;&gt; -1"),0)</f>
        <v>7185.88</v>
      </c>
      <c r="AF14" s="4">
        <f>IFERROR(_xlfn.MINIFS($E$2:$E$11,$D$2:$D$11,"&lt;&gt; -1"),0)</f>
        <v>7107.45</v>
      </c>
      <c r="AG14" s="4">
        <f>IFERROR(_xlfn.MINIFS($G$2:$G$11,$F$2:$F$11,"&lt;&gt; -1"),0)</f>
        <v>7855.45</v>
      </c>
      <c r="AH14" s="4">
        <f>IFERROR(_xlfn.MINIFS($I$2:$I$11,$H$2:$H$11,"&lt;&gt; -1"),0)</f>
        <v>7961.76</v>
      </c>
      <c r="AI14" s="4">
        <f>IFERROR(_xlfn.MINIFS($K$2:$K$11,$J$2:$J$11,"&lt;&gt; -1"),0)</f>
        <v>7092.72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0.1</v>
      </c>
      <c r="AO14" s="4">
        <f>(COUNTIFS($J$2:$J$11,"&gt;0.0",$J$2:$J$11,"&lt;200.0"))/10</f>
        <v>0.3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141.48</v>
      </c>
      <c r="C2">
        <v>7413.54</v>
      </c>
      <c r="D2">
        <v>179.35</v>
      </c>
      <c r="E2">
        <v>7350.48</v>
      </c>
      <c r="F2">
        <v>161.63</v>
      </c>
      <c r="G2">
        <v>8000.07</v>
      </c>
      <c r="H2">
        <v>-1</v>
      </c>
      <c r="I2">
        <v>1223.69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141.33</v>
      </c>
      <c r="C3">
        <v>7400.82</v>
      </c>
      <c r="D3">
        <v>179.38</v>
      </c>
      <c r="E3">
        <v>7473.43</v>
      </c>
      <c r="F3">
        <v>156.79</v>
      </c>
      <c r="G3">
        <v>8070.81</v>
      </c>
      <c r="H3">
        <v>-1</v>
      </c>
      <c r="I3">
        <v>1239.77</v>
      </c>
      <c r="J3">
        <v>-1</v>
      </c>
      <c r="K3">
        <v>519.13</v>
      </c>
      <c r="L3">
        <v>-1</v>
      </c>
      <c r="M3">
        <v>0</v>
      </c>
    </row>
    <row r="4" spans="1:13">
      <c r="A4" t="s">
        <v>15</v>
      </c>
      <c r="B4">
        <v>203.61</v>
      </c>
      <c r="C4">
        <v>7787.78</v>
      </c>
      <c r="D4">
        <v>258.22</v>
      </c>
      <c r="E4">
        <v>7759.87</v>
      </c>
      <c r="F4">
        <v>253.62</v>
      </c>
      <c r="G4">
        <v>8275.13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149.71</v>
      </c>
      <c r="C5">
        <v>7803.86</v>
      </c>
      <c r="D5">
        <v>187.98</v>
      </c>
      <c r="E5">
        <v>7873.65</v>
      </c>
      <c r="F5">
        <v>171.98</v>
      </c>
      <c r="G5">
        <v>8369.74</v>
      </c>
      <c r="H5">
        <v>-1</v>
      </c>
      <c r="I5">
        <v>3907.13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144.53</v>
      </c>
      <c r="C6">
        <v>7512.27</v>
      </c>
      <c r="D6">
        <v>182.95</v>
      </c>
      <c r="E6">
        <v>7271.56</v>
      </c>
      <c r="F6">
        <v>163.01</v>
      </c>
      <c r="G6">
        <v>8042.24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144.22</v>
      </c>
      <c r="C7">
        <v>7390.08</v>
      </c>
      <c r="D7">
        <v>182.25</v>
      </c>
      <c r="E7">
        <v>7783.62</v>
      </c>
      <c r="F7">
        <v>161.44</v>
      </c>
      <c r="G7">
        <v>8089.98</v>
      </c>
      <c r="H7">
        <v>-1</v>
      </c>
      <c r="I7">
        <v>0</v>
      </c>
      <c r="J7">
        <v>153.28</v>
      </c>
      <c r="K7">
        <v>7262.38</v>
      </c>
      <c r="L7">
        <v>-1</v>
      </c>
      <c r="M7">
        <v>0</v>
      </c>
    </row>
    <row r="8" spans="1:13">
      <c r="A8" t="s">
        <v>19</v>
      </c>
      <c r="B8">
        <v>143.17</v>
      </c>
      <c r="C8">
        <v>7603.21</v>
      </c>
      <c r="D8">
        <v>182.64</v>
      </c>
      <c r="E8">
        <v>7839.13</v>
      </c>
      <c r="F8">
        <v>153.41</v>
      </c>
      <c r="G8">
        <v>8348.01</v>
      </c>
      <c r="H8">
        <v>-1</v>
      </c>
      <c r="I8">
        <v>0</v>
      </c>
      <c r="J8">
        <v>194.39</v>
      </c>
      <c r="K8">
        <v>7514.78</v>
      </c>
      <c r="L8">
        <v>-1</v>
      </c>
      <c r="M8">
        <v>0</v>
      </c>
    </row>
    <row r="9" spans="1:13">
      <c r="A9" t="s">
        <v>20</v>
      </c>
      <c r="B9">
        <v>141.76</v>
      </c>
      <c r="C9">
        <v>7726.21</v>
      </c>
      <c r="D9">
        <v>178.06</v>
      </c>
      <c r="E9">
        <v>7282.02</v>
      </c>
      <c r="F9">
        <v>452.35</v>
      </c>
      <c r="G9">
        <v>7992.98</v>
      </c>
      <c r="H9">
        <v>-1</v>
      </c>
      <c r="I9">
        <v>3562.48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142.25</v>
      </c>
      <c r="C10">
        <v>7224.27</v>
      </c>
      <c r="D10">
        <v>181.57</v>
      </c>
      <c r="E10">
        <v>7680.17</v>
      </c>
      <c r="F10">
        <v>152.6</v>
      </c>
      <c r="G10">
        <v>7964.39</v>
      </c>
      <c r="H10">
        <v>-1</v>
      </c>
      <c r="I10">
        <v>0</v>
      </c>
      <c r="J10">
        <v>149.58</v>
      </c>
      <c r="K10">
        <v>7136.14</v>
      </c>
      <c r="L10">
        <v>-1</v>
      </c>
      <c r="M10">
        <v>0</v>
      </c>
    </row>
    <row r="11" spans="1:13">
      <c r="A11" t="s">
        <v>22</v>
      </c>
      <c r="B11">
        <v>140.64</v>
      </c>
      <c r="C11">
        <v>7230.65</v>
      </c>
      <c r="D11">
        <v>179.49</v>
      </c>
      <c r="E11">
        <v>7454.85</v>
      </c>
      <c r="F11">
        <v>148.55</v>
      </c>
      <c r="G11">
        <v>8005.02</v>
      </c>
      <c r="H11">
        <v>-1</v>
      </c>
      <c r="I11">
        <v>1158.95</v>
      </c>
      <c r="J11">
        <v>143.51</v>
      </c>
      <c r="K11">
        <v>7181.87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149.27</v>
      </c>
      <c r="B14" s="4">
        <f>IFERROR(AVERAGEIF($D$2:$D$11,"&lt;&gt; -1"),0)</f>
        <v>189.189</v>
      </c>
      <c r="C14" s="4">
        <f>IFERROR(AVERAGEIF($F$2:$F$11,"&lt;&gt; -1"),0)</f>
        <v>197.538</v>
      </c>
      <c r="D14" s="4">
        <f>IFERROR(AVERAGEIF($H$2:$H$11,"&lt;&gt; -1"),0)</f>
        <v>0</v>
      </c>
      <c r="E14" s="4">
        <f>IFERROR(AVERAGEIF($J$2:$J$11,"&lt;&gt; -1"),0)</f>
        <v>160.19</v>
      </c>
      <c r="F14" s="4">
        <f>IFERROR(AVERAGEIF($L$2:$L$11,"&lt;&gt; -1"),0)</f>
        <v>0</v>
      </c>
      <c r="G14" s="4">
        <f>IFERROR(AVERAGEIFS($C$2:$C$11,$B$2:$B$11,"&lt;&gt; -1"),0)</f>
        <v>7509.269</v>
      </c>
      <c r="H14" s="4">
        <f>IFERROR(AVERAGEIFS($E$2:$E$11,$D$2:$D$11,"&lt;&gt; -1"),0)</f>
        <v>7576.878</v>
      </c>
      <c r="I14" s="4">
        <f>IFERROR(AVERAGEIFS($G$2:$G$11,$F$2:$F$11,"&lt;&gt; -1"),0)</f>
        <v>8115.837</v>
      </c>
      <c r="J14" s="4">
        <f>IFERROR(AVERAGEIFS($I$2:$I$11,$H$2:$H$11,"&lt;&gt; -1"),0)</f>
        <v>0</v>
      </c>
      <c r="K14" s="4">
        <f>IFERROR(AVERAGEIFS($K$2:$K$11,$J$2:$J$11,"&lt;&gt; -1"),0)</f>
        <v>7273.7925</v>
      </c>
      <c r="L14" s="4">
        <f>IFERROR(AVERAGEIFS($M$2:$M$11,$L$2:$L$11,"&lt;&gt; -1"),0)</f>
        <v>0</v>
      </c>
      <c r="M14" s="4">
        <f>IFERROR(_xlfn.MAXIFS($B$2:$B$11,$B$2:$B$11,"&lt;&gt; -1"),0)</f>
        <v>203.61</v>
      </c>
      <c r="N14" s="4">
        <f>IFERROR(_xlfn.MAXIFS($D$2:$D$11,$D$2:$D$11,"&lt;&gt;-1"),0)</f>
        <v>258.22</v>
      </c>
      <c r="O14" s="4">
        <f>IFERROR(_xlfn.MAXIFS($F$2:$F$11,$F$2:$F$11,"&lt;&gt; -1"),0)</f>
        <v>452.35</v>
      </c>
      <c r="P14" s="4">
        <f>IFERROR(_xlfn.MAXIFS($H$2:$H$11,$H$2:$H$11,"&lt;&gt; -1"),0)</f>
        <v>0</v>
      </c>
      <c r="Q14" s="4">
        <f>IFERROR(_xlfn.MAXIFS($J$2:$J$11,$J$2:$J$11,"&lt;&gt; -1"),0)</f>
        <v>194.39</v>
      </c>
      <c r="R14" s="4">
        <f>IFERROR(_xlfn.MAXIFS($L$2:$L$11,$L$2:$L$11,"&lt;&gt; -1"),0)</f>
        <v>0</v>
      </c>
      <c r="S14" s="4">
        <f>IFERROR(_xlfn.MINIFS($B$2:$B$11,$B$2:$B$11,"&lt;&gt; -1"),0)</f>
        <v>140.64</v>
      </c>
      <c r="T14" s="4">
        <f>IFERROR(_xlfn.MINIFS($D$2:$D$11,$D$2:$D$11,"&lt;&gt;-1"),0)</f>
        <v>178.06</v>
      </c>
      <c r="U14" s="4">
        <f>IFERROR(_xlfn.MINIFS($F$2:$F$11,$F$2:$F$11,"&lt;&gt; -1"),0)</f>
        <v>148.55</v>
      </c>
      <c r="V14" s="4">
        <f>IFERROR(_xlfn.MINIFS($H$2:$H$11,$H$2:$H$11,"&lt;&gt; -1"),0)</f>
        <v>0</v>
      </c>
      <c r="W14" s="4">
        <f>IFERROR(_xlfn.MINIFS($J$2:$J$11,$J$2:$J$11,"&lt;&gt; -1"),0)</f>
        <v>143.51</v>
      </c>
      <c r="X14" s="4">
        <f>IFERROR(_xlfn.MINIFS($L$2:$L$11,$L$2:$L$11,"&lt;&gt; -1"),0)</f>
        <v>0</v>
      </c>
      <c r="Y14" s="4">
        <f>IFERROR(_xlfn.MAXIFS($C$2:$C$11,$B$2:$B$11,"&lt;&gt; -1"),0)</f>
        <v>7803.86</v>
      </c>
      <c r="Z14" s="4">
        <f>IFERROR(_xlfn.MAXIFS($E$2:$E$11,$D$2:$D$11,"&lt;&gt; -1"),0)</f>
        <v>7873.65</v>
      </c>
      <c r="AA14" s="4">
        <f>IFERROR(_xlfn.MAXIFS($G$2:$G$11,$F$2:$F$11,"&lt;&gt; -1"),0)</f>
        <v>8369.74</v>
      </c>
      <c r="AB14" s="4">
        <f>IFERROR(_xlfn.MAXIFS($I$2:$I$11,$H$2:$H$11,"&lt;&gt; -1"),0)</f>
        <v>0</v>
      </c>
      <c r="AC14" s="4">
        <f>IFERROR(_xlfn.MAXIFS($K$2:$K$11,$J$2:$J$11,"&lt;&gt; -1"),0)</f>
        <v>7514.78</v>
      </c>
      <c r="AD14" s="4">
        <f>IFERROR(_xlfn.MAXIFS($M$2:$M$11,$L$2:$L$11,"&lt;&gt; -1"),0)</f>
        <v>0</v>
      </c>
      <c r="AE14" s="4">
        <f>IFERROR(_xlfn.MINIFS($C$2:$C$11,$B$2:$B$11,"&lt;&gt; -1"),0)</f>
        <v>7224.27</v>
      </c>
      <c r="AF14" s="4">
        <f>IFERROR(_xlfn.MINIFS($E$2:$E$11,$D$2:$D$11,"&lt;&gt; -1"),0)</f>
        <v>7271.56</v>
      </c>
      <c r="AG14" s="4">
        <f>IFERROR(_xlfn.MINIFS($G$2:$G$11,$F$2:$F$11,"&lt;&gt; -1"),0)</f>
        <v>7964.39</v>
      </c>
      <c r="AH14" s="4">
        <f>IFERROR(_xlfn.MINIFS($I$2:$I$11,$H$2:$H$11,"&lt;&gt; -1"),0)</f>
        <v>0</v>
      </c>
      <c r="AI14" s="4">
        <f>IFERROR(_xlfn.MINIFS($K$2:$K$11,$J$2:$J$11,"&lt;&gt; -1"),0)</f>
        <v>7136.14</v>
      </c>
      <c r="AJ14" s="4">
        <f>IFERROR(_xlfn.MINIFS($M$2:$M$11,$L$2:$L$11,"&lt;&gt; -1"),0)</f>
        <v>0</v>
      </c>
      <c r="AK14" s="4">
        <f>(COUNTIFS($B$2:$B$11,"&gt;0.0",$B$2:$B$11,"&lt;200.0"))/10</f>
        <v>0.9</v>
      </c>
      <c r="AL14" s="4">
        <f>(COUNTIFS($D$2:$D$11,"&gt;0.0",$D$2:$D$11,"&lt;200.0"))/10</f>
        <v>0.9</v>
      </c>
      <c r="AM14" s="4">
        <f>(COUNTIFS($F$2:$F$11,"&gt;0.0",$F$2:$F$11,"&lt;200.0"))/10</f>
        <v>0.8</v>
      </c>
      <c r="AN14" s="4">
        <f>(COUNTIFS($H$2:$H11,"&gt;0.0",$H$2:$H$11,"&lt;200.0"))/10</f>
        <v>0</v>
      </c>
      <c r="AO14" s="4">
        <f>(COUNTIFS($J$2:$J$11,"&gt;0.0",$J$2:$J$11,"&lt;200.0"))/10</f>
        <v>0.4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155.98</v>
      </c>
      <c r="C2">
        <v>7623.26</v>
      </c>
      <c r="D2">
        <v>192.4</v>
      </c>
      <c r="E2">
        <v>7875.9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151.08</v>
      </c>
      <c r="C3">
        <v>7386.51</v>
      </c>
      <c r="D3">
        <v>189.22</v>
      </c>
      <c r="E3">
        <v>7648.96</v>
      </c>
      <c r="F3">
        <v>167.62</v>
      </c>
      <c r="G3">
        <v>8039.58</v>
      </c>
      <c r="H3">
        <v>-1</v>
      </c>
      <c r="I3">
        <v>0</v>
      </c>
      <c r="J3">
        <v>-1</v>
      </c>
      <c r="K3">
        <v>612.97</v>
      </c>
      <c r="L3">
        <v>-1</v>
      </c>
      <c r="M3">
        <v>0</v>
      </c>
    </row>
    <row r="4" spans="1:13">
      <c r="A4" t="s">
        <v>15</v>
      </c>
      <c r="B4">
        <v>156.95</v>
      </c>
      <c r="C4">
        <v>7573.15</v>
      </c>
      <c r="D4">
        <v>194.19</v>
      </c>
      <c r="E4">
        <v>7937.47</v>
      </c>
      <c r="F4">
        <v>168.84</v>
      </c>
      <c r="G4">
        <v>8251.82</v>
      </c>
      <c r="H4">
        <v>-1</v>
      </c>
      <c r="I4">
        <v>0</v>
      </c>
      <c r="J4">
        <v>165.31</v>
      </c>
      <c r="K4">
        <v>7420.19</v>
      </c>
      <c r="L4">
        <v>-1</v>
      </c>
      <c r="M4">
        <v>0</v>
      </c>
    </row>
    <row r="5" spans="1:13">
      <c r="A5" t="s">
        <v>16</v>
      </c>
      <c r="B5">
        <v>161.36</v>
      </c>
      <c r="C5">
        <v>7817.21</v>
      </c>
      <c r="D5">
        <v>198.29</v>
      </c>
      <c r="E5">
        <v>8081.62</v>
      </c>
      <c r="F5">
        <v>175.17</v>
      </c>
      <c r="G5">
        <v>8511.52</v>
      </c>
      <c r="H5">
        <v>-1</v>
      </c>
      <c r="I5">
        <v>0</v>
      </c>
      <c r="J5">
        <v>347.05</v>
      </c>
      <c r="K5">
        <v>7615.02</v>
      </c>
      <c r="L5">
        <v>-1</v>
      </c>
      <c r="M5">
        <v>0</v>
      </c>
    </row>
    <row r="6" spans="1:13">
      <c r="A6" t="s">
        <v>17</v>
      </c>
      <c r="B6">
        <v>153.4</v>
      </c>
      <c r="C6">
        <v>7594.42</v>
      </c>
      <c r="D6">
        <v>191.45</v>
      </c>
      <c r="E6">
        <v>7481.96</v>
      </c>
      <c r="F6">
        <v>161.57</v>
      </c>
      <c r="G6">
        <v>8278.95</v>
      </c>
      <c r="H6">
        <v>-1</v>
      </c>
      <c r="I6">
        <v>0</v>
      </c>
      <c r="J6">
        <v>171.51</v>
      </c>
      <c r="K6">
        <v>7503.6</v>
      </c>
      <c r="L6">
        <v>-1</v>
      </c>
      <c r="M6">
        <v>0</v>
      </c>
    </row>
    <row r="7" spans="1:13">
      <c r="A7" t="s">
        <v>18</v>
      </c>
      <c r="B7">
        <v>154.78</v>
      </c>
      <c r="C7">
        <v>7109.56</v>
      </c>
      <c r="D7">
        <v>192.63</v>
      </c>
      <c r="E7">
        <v>7737.45</v>
      </c>
      <c r="F7">
        <v>165.66</v>
      </c>
      <c r="G7">
        <v>7839.45</v>
      </c>
      <c r="H7">
        <v>-1</v>
      </c>
      <c r="I7">
        <v>0</v>
      </c>
      <c r="J7">
        <v>166.9</v>
      </c>
      <c r="K7">
        <v>7025.07</v>
      </c>
      <c r="L7">
        <v>-1</v>
      </c>
      <c r="M7">
        <v>0</v>
      </c>
    </row>
    <row r="8" spans="1:13">
      <c r="A8" t="s">
        <v>19</v>
      </c>
      <c r="B8">
        <v>154.26</v>
      </c>
      <c r="C8">
        <v>7621.46</v>
      </c>
      <c r="D8">
        <v>191.06</v>
      </c>
      <c r="E8">
        <v>7796.64</v>
      </c>
      <c r="F8">
        <v>172.33</v>
      </c>
      <c r="G8">
        <v>8289.22</v>
      </c>
      <c r="H8">
        <v>-1</v>
      </c>
      <c r="I8">
        <v>0</v>
      </c>
      <c r="J8">
        <v>-1</v>
      </c>
      <c r="K8">
        <v>512.02</v>
      </c>
      <c r="L8">
        <v>-1</v>
      </c>
      <c r="M8">
        <v>0</v>
      </c>
    </row>
    <row r="9" spans="1:13">
      <c r="A9" t="s">
        <v>20</v>
      </c>
      <c r="B9">
        <v>153.36</v>
      </c>
      <c r="C9">
        <v>7341.09</v>
      </c>
      <c r="D9">
        <v>191.47</v>
      </c>
      <c r="E9">
        <v>7611.77</v>
      </c>
      <c r="F9">
        <v>168.25</v>
      </c>
      <c r="G9">
        <v>8124.84</v>
      </c>
      <c r="H9">
        <v>-1</v>
      </c>
      <c r="I9">
        <v>0</v>
      </c>
      <c r="J9">
        <v>167.03</v>
      </c>
      <c r="K9">
        <v>7267.59</v>
      </c>
      <c r="L9">
        <v>-1</v>
      </c>
      <c r="M9">
        <v>0</v>
      </c>
    </row>
    <row r="10" spans="1:13">
      <c r="A10" t="s">
        <v>21</v>
      </c>
      <c r="B10">
        <v>152.27</v>
      </c>
      <c r="C10">
        <v>7614.74</v>
      </c>
      <c r="D10">
        <v>189.99</v>
      </c>
      <c r="E10">
        <v>7778.72</v>
      </c>
      <c r="F10">
        <v>162.54</v>
      </c>
      <c r="G10">
        <v>8288.79</v>
      </c>
      <c r="H10">
        <v>-1</v>
      </c>
      <c r="I10">
        <v>0</v>
      </c>
      <c r="J10">
        <v>157.96</v>
      </c>
      <c r="K10">
        <v>7548.34</v>
      </c>
      <c r="L10">
        <v>-1</v>
      </c>
      <c r="M10">
        <v>0</v>
      </c>
    </row>
    <row r="11" spans="1:13">
      <c r="A11" t="s">
        <v>22</v>
      </c>
      <c r="B11">
        <v>153.49</v>
      </c>
      <c r="C11">
        <v>7325.9</v>
      </c>
      <c r="D11">
        <v>190.1</v>
      </c>
      <c r="E11">
        <v>7674.44</v>
      </c>
      <c r="F11">
        <v>169.26</v>
      </c>
      <c r="G11">
        <v>8035.36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154.693</v>
      </c>
      <c r="B14" s="4">
        <f>IFERROR(AVERAGEIF($D$2:$D$11,"&lt;&gt; -1"),0)</f>
        <v>192.08</v>
      </c>
      <c r="C14" s="4">
        <f>IFERROR(AVERAGEIF($F$2:$F$11,"&lt;&gt; -1"),0)</f>
        <v>167.915555555556</v>
      </c>
      <c r="D14" s="4">
        <f>IFERROR(AVERAGEIF($H$2:$H$11,"&lt;&gt; -1"),0)</f>
        <v>0</v>
      </c>
      <c r="E14" s="4">
        <f>IFERROR(AVERAGEIF($J$2:$J$11,"&lt;&gt; -1"),0)</f>
        <v>195.96</v>
      </c>
      <c r="F14" s="4">
        <f>IFERROR(AVERAGEIF($L$2:$L$11,"&lt;&gt; -1"),0)</f>
        <v>0</v>
      </c>
      <c r="G14" s="4">
        <f>IFERROR(AVERAGEIFS($C$2:$C$11,$B$2:$B$11,"&lt;&gt; -1"),0)</f>
        <v>7500.73</v>
      </c>
      <c r="H14" s="4">
        <f>IFERROR(AVERAGEIFS($E$2:$E$11,$D$2:$D$11,"&lt;&gt; -1"),0)</f>
        <v>7762.493</v>
      </c>
      <c r="I14" s="4">
        <f>IFERROR(AVERAGEIFS($G$2:$G$11,$F$2:$F$11,"&lt;&gt; -1"),0)</f>
        <v>8184.39222222222</v>
      </c>
      <c r="J14" s="4">
        <f>IFERROR(AVERAGEIFS($I$2:$I$11,$H$2:$H$11,"&lt;&gt; -1"),0)</f>
        <v>0</v>
      </c>
      <c r="K14" s="4">
        <f>IFERROR(AVERAGEIFS($K$2:$K$11,$J$2:$J$11,"&lt;&gt; -1"),0)</f>
        <v>7396.635</v>
      </c>
      <c r="L14" s="4">
        <f>IFERROR(AVERAGEIFS($M$2:$M$11,$L$2:$L$11,"&lt;&gt; -1"),0)</f>
        <v>0</v>
      </c>
      <c r="M14" s="4">
        <f>IFERROR(_xlfn.MAXIFS($B$2:$B$11,$B$2:$B$11,"&lt;&gt; -1"),0)</f>
        <v>161.36</v>
      </c>
      <c r="N14" s="4">
        <f>IFERROR(_xlfn.MAXIFS($D$2:$D$11,$D$2:$D$11,"&lt;&gt;-1"),0)</f>
        <v>198.29</v>
      </c>
      <c r="O14" s="4">
        <f>IFERROR(_xlfn.MAXIFS($F$2:$F$11,$F$2:$F$11,"&lt;&gt; -1"),0)</f>
        <v>175.17</v>
      </c>
      <c r="P14" s="4">
        <f>IFERROR(_xlfn.MAXIFS($H$2:$H$11,$H$2:$H$11,"&lt;&gt; -1"),0)</f>
        <v>0</v>
      </c>
      <c r="Q14" s="4">
        <f>IFERROR(_xlfn.MAXIFS($J$2:$J$11,$J$2:$J$11,"&lt;&gt; -1"),0)</f>
        <v>347.05</v>
      </c>
      <c r="R14" s="4">
        <f>IFERROR(_xlfn.MAXIFS($L$2:$L$11,$L$2:$L$11,"&lt;&gt; -1"),0)</f>
        <v>0</v>
      </c>
      <c r="S14" s="4">
        <f>IFERROR(_xlfn.MINIFS($B$2:$B$11,$B$2:$B$11,"&lt;&gt; -1"),0)</f>
        <v>151.08</v>
      </c>
      <c r="T14" s="4">
        <f>IFERROR(_xlfn.MINIFS($D$2:$D$11,$D$2:$D$11,"&lt;&gt;-1"),0)</f>
        <v>189.22</v>
      </c>
      <c r="U14" s="4">
        <f>IFERROR(_xlfn.MINIFS($F$2:$F$11,$F$2:$F$11,"&lt;&gt; -1"),0)</f>
        <v>161.57</v>
      </c>
      <c r="V14" s="4">
        <f>IFERROR(_xlfn.MINIFS($H$2:$H$11,$H$2:$H$11,"&lt;&gt; -1"),0)</f>
        <v>0</v>
      </c>
      <c r="W14" s="4">
        <f>IFERROR(_xlfn.MINIFS($J$2:$J$11,$J$2:$J$11,"&lt;&gt; -1"),0)</f>
        <v>157.96</v>
      </c>
      <c r="X14" s="4">
        <f>IFERROR(_xlfn.MINIFS($L$2:$L$11,$L$2:$L$11,"&lt;&gt; -1"),0)</f>
        <v>0</v>
      </c>
      <c r="Y14" s="4">
        <f>IFERROR(_xlfn.MAXIFS($C$2:$C$11,$B$2:$B$11,"&lt;&gt; -1"),0)</f>
        <v>7817.21</v>
      </c>
      <c r="Z14" s="4">
        <f>IFERROR(_xlfn.MAXIFS($E$2:$E$11,$D$2:$D$11,"&lt;&gt; -1"),0)</f>
        <v>8081.62</v>
      </c>
      <c r="AA14" s="4">
        <f>IFERROR(_xlfn.MAXIFS($G$2:$G$11,$F$2:$F$11,"&lt;&gt; -1"),0)</f>
        <v>8511.52</v>
      </c>
      <c r="AB14" s="4">
        <f>IFERROR(_xlfn.MAXIFS($I$2:$I$11,$H$2:$H$11,"&lt;&gt; -1"),0)</f>
        <v>0</v>
      </c>
      <c r="AC14" s="4">
        <f>IFERROR(_xlfn.MAXIFS($K$2:$K$11,$J$2:$J$11,"&lt;&gt; -1"),0)</f>
        <v>7615.02</v>
      </c>
      <c r="AD14" s="4">
        <f>IFERROR(_xlfn.MAXIFS($M$2:$M$11,$L$2:$L$11,"&lt;&gt; -1"),0)</f>
        <v>0</v>
      </c>
      <c r="AE14" s="4">
        <f>IFERROR(_xlfn.MINIFS($C$2:$C$11,$B$2:$B$11,"&lt;&gt; -1"),0)</f>
        <v>7109.56</v>
      </c>
      <c r="AF14" s="4">
        <f>IFERROR(_xlfn.MINIFS($E$2:$E$11,$D$2:$D$11,"&lt;&gt; -1"),0)</f>
        <v>7481.96</v>
      </c>
      <c r="AG14" s="4">
        <f>IFERROR(_xlfn.MINIFS($G$2:$G$11,$F$2:$F$11,"&lt;&gt; -1"),0)</f>
        <v>7839.45</v>
      </c>
      <c r="AH14" s="4">
        <f>IFERROR(_xlfn.MINIFS($I$2:$I$11,$H$2:$H$11,"&lt;&gt; -1"),0)</f>
        <v>0</v>
      </c>
      <c r="AI14" s="4">
        <f>IFERROR(_xlfn.MINIFS($K$2:$K$11,$J$2:$J$11,"&lt;&gt; -1"),0)</f>
        <v>7025.07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0.9</v>
      </c>
      <c r="AN14" s="4">
        <f>(COUNTIFS($H$2:$H11,"&gt;0.0",$H$2:$H$11,"&lt;200.0"))/10</f>
        <v>0</v>
      </c>
      <c r="AO14" s="4">
        <f>(COUNTIFS($J$2:$J$11,"&gt;0.0",$J$2:$J$11,"&lt;200.0"))/10</f>
        <v>0.5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165.83</v>
      </c>
      <c r="C2">
        <v>7466.27</v>
      </c>
      <c r="D2">
        <v>200.45</v>
      </c>
      <c r="E2">
        <v>7741.13</v>
      </c>
      <c r="F2">
        <v>181.7</v>
      </c>
      <c r="G2">
        <v>8188.47</v>
      </c>
      <c r="H2">
        <v>-1</v>
      </c>
      <c r="I2">
        <v>0</v>
      </c>
      <c r="J2">
        <v>175.94</v>
      </c>
      <c r="K2">
        <v>7321.73</v>
      </c>
      <c r="L2">
        <v>-1</v>
      </c>
      <c r="M2">
        <v>0</v>
      </c>
    </row>
    <row r="3" spans="1:13">
      <c r="A3" t="s">
        <v>14</v>
      </c>
      <c r="B3">
        <v>160.45</v>
      </c>
      <c r="C3">
        <v>7304.65</v>
      </c>
      <c r="D3">
        <v>195.25</v>
      </c>
      <c r="E3">
        <v>7486.35</v>
      </c>
      <c r="F3">
        <v>172.08</v>
      </c>
      <c r="G3">
        <v>8036.58</v>
      </c>
      <c r="H3">
        <v>-1</v>
      </c>
      <c r="I3">
        <v>0</v>
      </c>
      <c r="J3">
        <v>361.43</v>
      </c>
      <c r="K3">
        <v>7294.15</v>
      </c>
      <c r="L3">
        <v>-1</v>
      </c>
      <c r="M3">
        <v>0</v>
      </c>
    </row>
    <row r="4" spans="1:13">
      <c r="A4" t="s">
        <v>15</v>
      </c>
      <c r="B4">
        <v>168.22</v>
      </c>
      <c r="C4">
        <v>7768.4</v>
      </c>
      <c r="D4">
        <v>201.9</v>
      </c>
      <c r="E4">
        <v>7701.88</v>
      </c>
      <c r="F4">
        <v>189.55</v>
      </c>
      <c r="G4">
        <v>8183.78</v>
      </c>
      <c r="H4">
        <v>-1</v>
      </c>
      <c r="I4">
        <v>0</v>
      </c>
      <c r="J4">
        <v>-1</v>
      </c>
      <c r="K4">
        <v>593.57</v>
      </c>
      <c r="L4">
        <v>-1</v>
      </c>
      <c r="M4">
        <v>0</v>
      </c>
    </row>
    <row r="5" spans="1:13">
      <c r="A5" t="s">
        <v>16</v>
      </c>
      <c r="B5">
        <v>169.83</v>
      </c>
      <c r="C5">
        <v>7757.99</v>
      </c>
      <c r="D5">
        <v>203.91</v>
      </c>
      <c r="E5">
        <v>7824.61</v>
      </c>
      <c r="F5">
        <v>205.76</v>
      </c>
      <c r="G5">
        <v>8256.23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162.68</v>
      </c>
      <c r="C6">
        <v>7386.16</v>
      </c>
      <c r="D6">
        <v>197.34</v>
      </c>
      <c r="E6">
        <v>7578.35</v>
      </c>
      <c r="F6">
        <v>171.38</v>
      </c>
      <c r="G6">
        <v>8136.48</v>
      </c>
      <c r="H6">
        <v>-1</v>
      </c>
      <c r="I6">
        <v>0</v>
      </c>
      <c r="J6">
        <v>168.05</v>
      </c>
      <c r="K6">
        <v>7310.37</v>
      </c>
      <c r="L6">
        <v>-1</v>
      </c>
      <c r="M6">
        <v>0</v>
      </c>
    </row>
    <row r="7" spans="1:13">
      <c r="A7" t="s">
        <v>18</v>
      </c>
      <c r="B7">
        <v>166.71</v>
      </c>
      <c r="C7">
        <v>7545.44</v>
      </c>
      <c r="D7">
        <v>201.09</v>
      </c>
      <c r="E7">
        <v>7556.94</v>
      </c>
      <c r="F7">
        <v>182.28</v>
      </c>
      <c r="G7">
        <v>8071.09</v>
      </c>
      <c r="H7">
        <v>-1</v>
      </c>
      <c r="I7">
        <v>0</v>
      </c>
      <c r="J7">
        <v>204.08</v>
      </c>
      <c r="K7">
        <v>7351.77</v>
      </c>
      <c r="L7">
        <v>-1</v>
      </c>
      <c r="M7">
        <v>0</v>
      </c>
    </row>
    <row r="8" spans="1:13">
      <c r="A8" t="s">
        <v>19</v>
      </c>
      <c r="B8">
        <v>166.43</v>
      </c>
      <c r="C8">
        <v>7993.36</v>
      </c>
      <c r="D8">
        <v>200.47</v>
      </c>
      <c r="E8">
        <v>7819.07</v>
      </c>
      <c r="F8">
        <v>193.33</v>
      </c>
      <c r="G8">
        <v>8448.51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164.84</v>
      </c>
      <c r="C9">
        <v>7400.47</v>
      </c>
      <c r="D9">
        <v>199.03</v>
      </c>
      <c r="E9">
        <v>7714.14</v>
      </c>
      <c r="F9">
        <v>183.65</v>
      </c>
      <c r="G9">
        <v>8076.55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165.16</v>
      </c>
      <c r="C10">
        <v>7437.17</v>
      </c>
      <c r="D10">
        <v>199.5</v>
      </c>
      <c r="E10">
        <v>7767.51</v>
      </c>
      <c r="F10">
        <v>186.42</v>
      </c>
      <c r="G10">
        <v>8011.93</v>
      </c>
      <c r="H10">
        <v>-1</v>
      </c>
      <c r="I10">
        <v>0</v>
      </c>
      <c r="J10">
        <v>-1</v>
      </c>
      <c r="K10">
        <v>482.71</v>
      </c>
      <c r="L10">
        <v>-1</v>
      </c>
      <c r="M10">
        <v>0</v>
      </c>
    </row>
    <row r="11" spans="1:13">
      <c r="A11" t="s">
        <v>22</v>
      </c>
      <c r="B11">
        <v>163.88</v>
      </c>
      <c r="C11">
        <v>7314.48</v>
      </c>
      <c r="D11">
        <v>198.58</v>
      </c>
      <c r="E11">
        <v>7573.44</v>
      </c>
      <c r="F11">
        <v>179.75</v>
      </c>
      <c r="G11">
        <v>8024.63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165.403</v>
      </c>
      <c r="B14" s="4">
        <f>IFERROR(AVERAGEIF($D$2:$D$11,"&lt;&gt; -1"),0)</f>
        <v>199.752</v>
      </c>
      <c r="C14" s="4">
        <f>IFERROR(AVERAGEIF($F$2:$F$11,"&lt;&gt; -1"),0)</f>
        <v>184.59</v>
      </c>
      <c r="D14" s="4">
        <f>IFERROR(AVERAGEIF($H$2:$H$11,"&lt;&gt; -1"),0)</f>
        <v>0</v>
      </c>
      <c r="E14" s="4">
        <f>IFERROR(AVERAGEIF($J$2:$J$11,"&lt;&gt; -1"),0)</f>
        <v>227.375</v>
      </c>
      <c r="F14" s="4">
        <f>IFERROR(AVERAGEIF($L$2:$L$11,"&lt;&gt; -1"),0)</f>
        <v>0</v>
      </c>
      <c r="G14" s="4">
        <f>IFERROR(AVERAGEIFS($C$2:$C$11,$B$2:$B$11,"&lt;&gt; -1"),0)</f>
        <v>7537.439</v>
      </c>
      <c r="H14" s="4">
        <f>IFERROR(AVERAGEIFS($E$2:$E$11,$D$2:$D$11,"&lt;&gt; -1"),0)</f>
        <v>7676.342</v>
      </c>
      <c r="I14" s="4">
        <f>IFERROR(AVERAGEIFS($G$2:$G$11,$F$2:$F$11,"&lt;&gt; -1"),0)</f>
        <v>8143.425</v>
      </c>
      <c r="J14" s="4">
        <f>IFERROR(AVERAGEIFS($I$2:$I$11,$H$2:$H$11,"&lt;&gt; -1"),0)</f>
        <v>0</v>
      </c>
      <c r="K14" s="4">
        <f>IFERROR(AVERAGEIFS($K$2:$K$11,$J$2:$J$11,"&lt;&gt; -1"),0)</f>
        <v>7319.505</v>
      </c>
      <c r="L14" s="4">
        <f>IFERROR(AVERAGEIFS($M$2:$M$11,$L$2:$L$11,"&lt;&gt; -1"),0)</f>
        <v>0</v>
      </c>
      <c r="M14" s="4">
        <f>IFERROR(_xlfn.MAXIFS($B$2:$B$11,$B$2:$B$11,"&lt;&gt; -1"),0)</f>
        <v>169.83</v>
      </c>
      <c r="N14" s="4">
        <f>IFERROR(_xlfn.MAXIFS($D$2:$D$11,$D$2:$D$11,"&lt;&gt;-1"),0)</f>
        <v>203.91</v>
      </c>
      <c r="O14" s="4">
        <f>IFERROR(_xlfn.MAXIFS($F$2:$F$11,$F$2:$F$11,"&lt;&gt; -1"),0)</f>
        <v>205.76</v>
      </c>
      <c r="P14" s="4">
        <f>IFERROR(_xlfn.MAXIFS($H$2:$H$11,$H$2:$H$11,"&lt;&gt; -1"),0)</f>
        <v>0</v>
      </c>
      <c r="Q14" s="4">
        <f>IFERROR(_xlfn.MAXIFS($J$2:$J$11,$J$2:$J$11,"&lt;&gt; -1"),0)</f>
        <v>361.43</v>
      </c>
      <c r="R14" s="4">
        <f>IFERROR(_xlfn.MAXIFS($L$2:$L$11,$L$2:$L$11,"&lt;&gt; -1"),0)</f>
        <v>0</v>
      </c>
      <c r="S14" s="4">
        <f>IFERROR(_xlfn.MINIFS($B$2:$B$11,$B$2:$B$11,"&lt;&gt; -1"),0)</f>
        <v>160.45</v>
      </c>
      <c r="T14" s="4">
        <f>IFERROR(_xlfn.MINIFS($D$2:$D$11,$D$2:$D$11,"&lt;&gt;-1"),0)</f>
        <v>195.25</v>
      </c>
      <c r="U14" s="4">
        <f>IFERROR(_xlfn.MINIFS($F$2:$F$11,$F$2:$F$11,"&lt;&gt; -1"),0)</f>
        <v>171.38</v>
      </c>
      <c r="V14" s="4">
        <f>IFERROR(_xlfn.MINIFS($H$2:$H$11,$H$2:$H$11,"&lt;&gt; -1"),0)</f>
        <v>0</v>
      </c>
      <c r="W14" s="4">
        <f>IFERROR(_xlfn.MINIFS($J$2:$J$11,$J$2:$J$11,"&lt;&gt; -1"),0)</f>
        <v>168.05</v>
      </c>
      <c r="X14" s="4">
        <f>IFERROR(_xlfn.MINIFS($L$2:$L$11,$L$2:$L$11,"&lt;&gt; -1"),0)</f>
        <v>0</v>
      </c>
      <c r="Y14" s="4">
        <f>IFERROR(_xlfn.MAXIFS($C$2:$C$11,$B$2:$B$11,"&lt;&gt; -1"),0)</f>
        <v>7993.36</v>
      </c>
      <c r="Z14" s="4">
        <f>IFERROR(_xlfn.MAXIFS($E$2:$E$11,$D$2:$D$11,"&lt;&gt; -1"),0)</f>
        <v>7824.61</v>
      </c>
      <c r="AA14" s="4">
        <f>IFERROR(_xlfn.MAXIFS($G$2:$G$11,$F$2:$F$11,"&lt;&gt; -1"),0)</f>
        <v>8448.51</v>
      </c>
      <c r="AB14" s="4">
        <f>IFERROR(_xlfn.MAXIFS($I$2:$I$11,$H$2:$H$11,"&lt;&gt; -1"),0)</f>
        <v>0</v>
      </c>
      <c r="AC14" s="4">
        <f>IFERROR(_xlfn.MAXIFS($K$2:$K$11,$J$2:$J$11,"&lt;&gt; -1"),0)</f>
        <v>7351.77</v>
      </c>
      <c r="AD14" s="4">
        <f>IFERROR(_xlfn.MAXIFS($M$2:$M$11,$L$2:$L$11,"&lt;&gt; -1"),0)</f>
        <v>0</v>
      </c>
      <c r="AE14" s="4">
        <f>IFERROR(_xlfn.MINIFS($C$2:$C$11,$B$2:$B$11,"&lt;&gt; -1"),0)</f>
        <v>7304.65</v>
      </c>
      <c r="AF14" s="4">
        <f>IFERROR(_xlfn.MINIFS($E$2:$E$11,$D$2:$D$11,"&lt;&gt; -1"),0)</f>
        <v>7486.35</v>
      </c>
      <c r="AG14" s="4">
        <f>IFERROR(_xlfn.MINIFS($G$2:$G$11,$F$2:$F$11,"&lt;&gt; -1"),0)</f>
        <v>8011.93</v>
      </c>
      <c r="AH14" s="4">
        <f>IFERROR(_xlfn.MINIFS($I$2:$I$11,$H$2:$H$11,"&lt;&gt; -1"),0)</f>
        <v>0</v>
      </c>
      <c r="AI14" s="4">
        <f>IFERROR(_xlfn.MINIFS($K$2:$K$11,$J$2:$J$11,"&lt;&gt; -1"),0)</f>
        <v>7294.15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0.5</v>
      </c>
      <c r="AM14" s="4">
        <f>(COUNTIFS($F$2:$F$11,"&gt;0.0",$F$2:$F$11,"&lt;200.0"))/10</f>
        <v>0.9</v>
      </c>
      <c r="AN14" s="4">
        <f>(COUNTIFS($H$2:$H11,"&gt;0.0",$H$2:$H$11,"&lt;200.0"))/10</f>
        <v>0</v>
      </c>
      <c r="AO14" s="4">
        <f>(COUNTIFS($J$2:$J$11,"&gt;0.0",$J$2:$J$11,"&lt;200.0"))/10</f>
        <v>0.2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173.69</v>
      </c>
      <c r="C2">
        <v>7585.51</v>
      </c>
      <c r="D2">
        <v>175.58</v>
      </c>
      <c r="E2">
        <v>8230.55</v>
      </c>
      <c r="F2">
        <v>292.45</v>
      </c>
      <c r="G2">
        <v>7979.72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173.29</v>
      </c>
      <c r="C3">
        <v>7663.16</v>
      </c>
      <c r="D3">
        <v>175.45</v>
      </c>
      <c r="E3">
        <v>8251.06</v>
      </c>
      <c r="F3">
        <v>202.07</v>
      </c>
      <c r="G3">
        <v>8283.19</v>
      </c>
      <c r="H3">
        <v>-1</v>
      </c>
      <c r="I3">
        <v>0</v>
      </c>
      <c r="J3">
        <v>517.31</v>
      </c>
      <c r="K3">
        <v>7476.57</v>
      </c>
      <c r="L3">
        <v>-1</v>
      </c>
      <c r="M3">
        <v>0</v>
      </c>
    </row>
    <row r="4" spans="1:13">
      <c r="A4" t="s">
        <v>15</v>
      </c>
      <c r="B4">
        <v>176.01</v>
      </c>
      <c r="C4">
        <v>7421.57</v>
      </c>
      <c r="D4">
        <v>178.16</v>
      </c>
      <c r="E4">
        <v>8035.83</v>
      </c>
      <c r="F4">
        <v>238.28</v>
      </c>
      <c r="G4">
        <v>7956.39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181.02</v>
      </c>
      <c r="C5">
        <v>7594.95</v>
      </c>
      <c r="D5">
        <v>183.23</v>
      </c>
      <c r="E5">
        <v>8405.72</v>
      </c>
      <c r="F5">
        <v>205.57</v>
      </c>
      <c r="G5">
        <v>8186.05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171.17</v>
      </c>
      <c r="C6">
        <v>7574.21</v>
      </c>
      <c r="D6">
        <v>173.42</v>
      </c>
      <c r="E6">
        <v>8088.36</v>
      </c>
      <c r="F6">
        <v>197.44</v>
      </c>
      <c r="G6">
        <v>8064.66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175.38</v>
      </c>
      <c r="C7">
        <v>7845.97</v>
      </c>
      <c r="D7">
        <v>176.89</v>
      </c>
      <c r="E7">
        <v>8214.24</v>
      </c>
      <c r="F7">
        <v>241.08</v>
      </c>
      <c r="G7">
        <v>8118.07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174.96</v>
      </c>
      <c r="C8">
        <v>7681.55</v>
      </c>
      <c r="D8">
        <v>176.74</v>
      </c>
      <c r="E8">
        <v>8149.28</v>
      </c>
      <c r="F8">
        <v>-1</v>
      </c>
      <c r="G8">
        <v>1114.23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176.56</v>
      </c>
      <c r="C9">
        <v>7854.04</v>
      </c>
      <c r="D9">
        <v>178.92</v>
      </c>
      <c r="E9">
        <v>8495.55</v>
      </c>
      <c r="F9">
        <v>211.59</v>
      </c>
      <c r="G9">
        <v>8264.8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177.39</v>
      </c>
      <c r="C10">
        <v>7766.38</v>
      </c>
      <c r="D10">
        <v>179.85</v>
      </c>
      <c r="E10">
        <v>8165.16</v>
      </c>
      <c r="F10">
        <v>197.97</v>
      </c>
      <c r="G10">
        <v>8296.8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175.89</v>
      </c>
      <c r="C11">
        <v>7242.47</v>
      </c>
      <c r="D11">
        <v>178.65</v>
      </c>
      <c r="E11">
        <v>8297.34</v>
      </c>
      <c r="F11">
        <v>199.82</v>
      </c>
      <c r="G11">
        <v>7900.87</v>
      </c>
      <c r="H11">
        <v>-1</v>
      </c>
      <c r="I11">
        <v>0</v>
      </c>
      <c r="J11">
        <v>196.33</v>
      </c>
      <c r="K11">
        <v>7100.28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175.536</v>
      </c>
      <c r="B14" s="4">
        <f>IFERROR(AVERAGEIF($D$2:$D$11,"&lt;&gt; -1"),0)</f>
        <v>177.689</v>
      </c>
      <c r="C14" s="4">
        <f>IFERROR(AVERAGEIF($F$2:$F$11,"&lt;&gt; -1"),0)</f>
        <v>220.696666666667</v>
      </c>
      <c r="D14" s="4">
        <f>IFERROR(AVERAGEIF($H$2:$H$11,"&lt;&gt; -1"),0)</f>
        <v>0</v>
      </c>
      <c r="E14" s="4">
        <f>IFERROR(AVERAGEIF($J$2:$J$11,"&lt;&gt; -1"),0)</f>
        <v>356.82</v>
      </c>
      <c r="F14" s="4">
        <f>IFERROR(AVERAGEIF($L$2:$L$11,"&lt;&gt; -1"),0)</f>
        <v>0</v>
      </c>
      <c r="G14" s="4">
        <f>IFERROR(AVERAGEIFS($C$2:$C$11,$B$2:$B$11,"&lt;&gt; -1"),0)</f>
        <v>7622.981</v>
      </c>
      <c r="H14" s="4">
        <f>IFERROR(AVERAGEIFS($E$2:$E$11,$D$2:$D$11,"&lt;&gt; -1"),0)</f>
        <v>8233.309</v>
      </c>
      <c r="I14" s="4">
        <f>IFERROR(AVERAGEIFS($G$2:$G$11,$F$2:$F$11,"&lt;&gt; -1"),0)</f>
        <v>8116.72777777778</v>
      </c>
      <c r="J14" s="4">
        <f>IFERROR(AVERAGEIFS($I$2:$I$11,$H$2:$H$11,"&lt;&gt; -1"),0)</f>
        <v>0</v>
      </c>
      <c r="K14" s="4">
        <f>IFERROR(AVERAGEIFS($K$2:$K$11,$J$2:$J$11,"&lt;&gt; -1"),0)</f>
        <v>7288.425</v>
      </c>
      <c r="L14" s="4">
        <f>IFERROR(AVERAGEIFS($M$2:$M$11,$L$2:$L$11,"&lt;&gt; -1"),0)</f>
        <v>0</v>
      </c>
      <c r="M14" s="4">
        <f>IFERROR(_xlfn.MAXIFS($B$2:$B$11,$B$2:$B$11,"&lt;&gt; -1"),0)</f>
        <v>181.02</v>
      </c>
      <c r="N14" s="4">
        <f>IFERROR(_xlfn.MAXIFS($D$2:$D$11,$D$2:$D$11,"&lt;&gt;-1"),0)</f>
        <v>183.23</v>
      </c>
      <c r="O14" s="4">
        <f>IFERROR(_xlfn.MAXIFS($F$2:$F$11,$F$2:$F$11,"&lt;&gt; -1"),0)</f>
        <v>292.45</v>
      </c>
      <c r="P14" s="4">
        <f>IFERROR(_xlfn.MAXIFS($H$2:$H$11,$H$2:$H$11,"&lt;&gt; -1"),0)</f>
        <v>0</v>
      </c>
      <c r="Q14" s="4">
        <f>IFERROR(_xlfn.MAXIFS($J$2:$J$11,$J$2:$J$11,"&lt;&gt; -1"),0)</f>
        <v>517.31</v>
      </c>
      <c r="R14" s="4">
        <f>IFERROR(_xlfn.MAXIFS($L$2:$L$11,$L$2:$L$11,"&lt;&gt; -1"),0)</f>
        <v>0</v>
      </c>
      <c r="S14" s="4">
        <f>IFERROR(_xlfn.MINIFS($B$2:$B$11,$B$2:$B$11,"&lt;&gt; -1"),0)</f>
        <v>171.17</v>
      </c>
      <c r="T14" s="4">
        <f>IFERROR(_xlfn.MINIFS($D$2:$D$11,$D$2:$D$11,"&lt;&gt;-1"),0)</f>
        <v>173.42</v>
      </c>
      <c r="U14" s="4">
        <f>IFERROR(_xlfn.MINIFS($F$2:$F$11,$F$2:$F$11,"&lt;&gt; -1"),0)</f>
        <v>197.44</v>
      </c>
      <c r="V14" s="4">
        <f>IFERROR(_xlfn.MINIFS($H$2:$H$11,$H$2:$H$11,"&lt;&gt; -1"),0)</f>
        <v>0</v>
      </c>
      <c r="W14" s="4">
        <f>IFERROR(_xlfn.MINIFS($J$2:$J$11,$J$2:$J$11,"&lt;&gt; -1"),0)</f>
        <v>196.33</v>
      </c>
      <c r="X14" s="4">
        <f>IFERROR(_xlfn.MINIFS($L$2:$L$11,$L$2:$L$11,"&lt;&gt; -1"),0)</f>
        <v>0</v>
      </c>
      <c r="Y14" s="4">
        <f>IFERROR(_xlfn.MAXIFS($C$2:$C$11,$B$2:$B$11,"&lt;&gt; -1"),0)</f>
        <v>7854.04</v>
      </c>
      <c r="Z14" s="4">
        <f>IFERROR(_xlfn.MAXIFS($E$2:$E$11,$D$2:$D$11,"&lt;&gt; -1"),0)</f>
        <v>8495.55</v>
      </c>
      <c r="AA14" s="4">
        <f>IFERROR(_xlfn.MAXIFS($G$2:$G$11,$F$2:$F$11,"&lt;&gt; -1"),0)</f>
        <v>8296.8</v>
      </c>
      <c r="AB14" s="4">
        <f>IFERROR(_xlfn.MAXIFS($I$2:$I$11,$H$2:$H$11,"&lt;&gt; -1"),0)</f>
        <v>0</v>
      </c>
      <c r="AC14" s="4">
        <f>IFERROR(_xlfn.MAXIFS($K$2:$K$11,$J$2:$J$11,"&lt;&gt; -1"),0)</f>
        <v>7476.57</v>
      </c>
      <c r="AD14" s="4">
        <f>IFERROR(_xlfn.MAXIFS($M$2:$M$11,$L$2:$L$11,"&lt;&gt; -1"),0)</f>
        <v>0</v>
      </c>
      <c r="AE14" s="4">
        <f>IFERROR(_xlfn.MINIFS($C$2:$C$11,$B$2:$B$11,"&lt;&gt; -1"),0)</f>
        <v>7242.47</v>
      </c>
      <c r="AF14" s="4">
        <f>IFERROR(_xlfn.MINIFS($E$2:$E$11,$D$2:$D$11,"&lt;&gt; -1"),0)</f>
        <v>8035.83</v>
      </c>
      <c r="AG14" s="4">
        <f>IFERROR(_xlfn.MINIFS($G$2:$G$11,$F$2:$F$11,"&lt;&gt; -1"),0)</f>
        <v>7900.87</v>
      </c>
      <c r="AH14" s="4">
        <f>IFERROR(_xlfn.MINIFS($I$2:$I$11,$H$2:$H$11,"&lt;&gt; -1"),0)</f>
        <v>0</v>
      </c>
      <c r="AI14" s="4">
        <f>IFERROR(_xlfn.MINIFS($K$2:$K$11,$J$2:$J$11,"&lt;&gt; -1"),0)</f>
        <v>7100.28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0.3</v>
      </c>
      <c r="AN14" s="4">
        <f>(COUNTIFS($H$2:$H11,"&gt;0.0",$H$2:$H$11,"&lt;200.0"))/10</f>
        <v>0</v>
      </c>
      <c r="AO14" s="4">
        <f>(COUNTIFS($J$2:$J$11,"&gt;0.0",$J$2:$J$11,"&lt;200.0"))/10</f>
        <v>0.1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topLeftCell="R1" workbookViewId="0">
      <selection activeCell="AG18" sqref="AG18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118.172</v>
      </c>
      <c r="B2">
        <v>156.758</v>
      </c>
      <c r="C2">
        <v>127.646</v>
      </c>
      <c r="D2">
        <v>162.046</v>
      </c>
      <c r="E2">
        <v>123.751</v>
      </c>
      <c r="F2">
        <v>386.915</v>
      </c>
      <c r="G2">
        <v>7401.475</v>
      </c>
      <c r="H2">
        <v>7329.22</v>
      </c>
      <c r="I2">
        <v>8187.314</v>
      </c>
      <c r="J2">
        <v>8191.036</v>
      </c>
      <c r="K2">
        <v>7306.657</v>
      </c>
      <c r="L2">
        <v>7344.74</v>
      </c>
      <c r="M2">
        <v>121.53</v>
      </c>
      <c r="N2">
        <v>160.73</v>
      </c>
      <c r="O2">
        <v>134.03</v>
      </c>
      <c r="P2">
        <v>166.47</v>
      </c>
      <c r="Q2">
        <v>133.94</v>
      </c>
      <c r="R2">
        <v>401.71</v>
      </c>
      <c r="S2">
        <v>115.49</v>
      </c>
      <c r="T2">
        <v>153.79</v>
      </c>
      <c r="U2">
        <v>123.51</v>
      </c>
      <c r="V2">
        <v>157.4</v>
      </c>
      <c r="W2">
        <v>119.52</v>
      </c>
      <c r="X2">
        <v>372.12</v>
      </c>
      <c r="Y2">
        <v>7637.07</v>
      </c>
      <c r="Z2">
        <v>7601.39</v>
      </c>
      <c r="AA2">
        <v>8397.32</v>
      </c>
      <c r="AB2">
        <v>8466.32</v>
      </c>
      <c r="AC2">
        <v>7517.91</v>
      </c>
      <c r="AD2">
        <v>7422.16</v>
      </c>
      <c r="AE2">
        <v>7233.28</v>
      </c>
      <c r="AF2">
        <v>6970.16</v>
      </c>
      <c r="AG2">
        <v>7993.53</v>
      </c>
      <c r="AH2">
        <v>7845.5</v>
      </c>
      <c r="AI2">
        <v>7110.33</v>
      </c>
      <c r="AJ2">
        <v>7267.32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</row>
    <row r="3" spans="1:42">
      <c r="A3">
        <v>130.972</v>
      </c>
      <c r="B3">
        <v>169.565</v>
      </c>
      <c r="C3">
        <v>149.639</v>
      </c>
      <c r="D3">
        <v>283.693</v>
      </c>
      <c r="E3">
        <v>227.378</v>
      </c>
      <c r="F3">
        <v>0</v>
      </c>
      <c r="G3">
        <v>7495.828</v>
      </c>
      <c r="H3">
        <v>7421.8</v>
      </c>
      <c r="I3">
        <v>8140.424</v>
      </c>
      <c r="J3">
        <v>8260.224</v>
      </c>
      <c r="K3">
        <v>7288.76</v>
      </c>
      <c r="L3">
        <v>0</v>
      </c>
      <c r="M3">
        <v>136.65</v>
      </c>
      <c r="N3">
        <v>174.59</v>
      </c>
      <c r="O3">
        <v>161.08</v>
      </c>
      <c r="P3">
        <v>454</v>
      </c>
      <c r="Q3">
        <v>483.63</v>
      </c>
      <c r="R3">
        <v>0</v>
      </c>
      <c r="S3">
        <v>125.52</v>
      </c>
      <c r="T3">
        <v>162.82</v>
      </c>
      <c r="U3">
        <v>139.86</v>
      </c>
      <c r="V3">
        <v>196.9</v>
      </c>
      <c r="W3">
        <v>134.49</v>
      </c>
      <c r="X3">
        <v>0</v>
      </c>
      <c r="Y3">
        <v>7832.88</v>
      </c>
      <c r="Z3">
        <v>7662.44</v>
      </c>
      <c r="AA3">
        <v>8503.53</v>
      </c>
      <c r="AB3">
        <v>8539.64</v>
      </c>
      <c r="AC3">
        <v>7416.14</v>
      </c>
      <c r="AD3">
        <v>0</v>
      </c>
      <c r="AE3">
        <v>7185.88</v>
      </c>
      <c r="AF3">
        <v>7107.45</v>
      </c>
      <c r="AG3">
        <v>7855.45</v>
      </c>
      <c r="AH3">
        <v>7961.76</v>
      </c>
      <c r="AI3">
        <v>7092.72</v>
      </c>
      <c r="AJ3">
        <v>0</v>
      </c>
      <c r="AK3">
        <v>1</v>
      </c>
      <c r="AL3">
        <v>1</v>
      </c>
      <c r="AM3">
        <v>1</v>
      </c>
      <c r="AN3">
        <v>0.1</v>
      </c>
      <c r="AO3">
        <v>0.3</v>
      </c>
      <c r="AP3">
        <v>0</v>
      </c>
    </row>
    <row r="4" spans="1:42">
      <c r="A4">
        <v>149.27</v>
      </c>
      <c r="B4">
        <v>189.189</v>
      </c>
      <c r="C4">
        <v>197.538</v>
      </c>
      <c r="D4">
        <v>0</v>
      </c>
      <c r="E4">
        <v>160.19</v>
      </c>
      <c r="F4">
        <v>0</v>
      </c>
      <c r="G4">
        <v>7509.269</v>
      </c>
      <c r="H4">
        <v>7576.878</v>
      </c>
      <c r="I4">
        <v>8115.837</v>
      </c>
      <c r="J4">
        <v>0</v>
      </c>
      <c r="K4">
        <v>7273.7925</v>
      </c>
      <c r="L4">
        <v>0</v>
      </c>
      <c r="M4">
        <v>203.61</v>
      </c>
      <c r="N4">
        <v>258.22</v>
      </c>
      <c r="O4">
        <v>452.35</v>
      </c>
      <c r="P4">
        <v>0</v>
      </c>
      <c r="Q4">
        <v>194.39</v>
      </c>
      <c r="R4">
        <v>0</v>
      </c>
      <c r="S4">
        <v>140.64</v>
      </c>
      <c r="T4">
        <v>178.06</v>
      </c>
      <c r="U4">
        <v>148.55</v>
      </c>
      <c r="V4">
        <v>0</v>
      </c>
      <c r="W4">
        <v>143.51</v>
      </c>
      <c r="X4">
        <v>0</v>
      </c>
      <c r="Y4">
        <v>7803.86</v>
      </c>
      <c r="Z4">
        <v>7873.65</v>
      </c>
      <c r="AA4">
        <v>8369.74</v>
      </c>
      <c r="AB4">
        <v>0</v>
      </c>
      <c r="AC4">
        <v>7514.78</v>
      </c>
      <c r="AD4">
        <v>0</v>
      </c>
      <c r="AE4">
        <v>7224.27</v>
      </c>
      <c r="AF4">
        <v>7271.56</v>
      </c>
      <c r="AG4">
        <v>7964.39</v>
      </c>
      <c r="AH4">
        <v>0</v>
      </c>
      <c r="AI4">
        <v>7136.14</v>
      </c>
      <c r="AJ4">
        <v>0</v>
      </c>
      <c r="AK4">
        <v>0.9</v>
      </c>
      <c r="AL4">
        <v>0.9</v>
      </c>
      <c r="AM4">
        <v>0.8</v>
      </c>
      <c r="AN4">
        <v>0</v>
      </c>
      <c r="AO4">
        <v>0.4</v>
      </c>
      <c r="AP4">
        <v>0</v>
      </c>
    </row>
    <row r="5" spans="1:42">
      <c r="A5">
        <v>154.693</v>
      </c>
      <c r="B5">
        <v>192.08</v>
      </c>
      <c r="C5">
        <v>167.915555555556</v>
      </c>
      <c r="D5">
        <v>0</v>
      </c>
      <c r="E5">
        <v>195.96</v>
      </c>
      <c r="F5">
        <v>0</v>
      </c>
      <c r="G5">
        <v>7500.73</v>
      </c>
      <c r="H5">
        <v>7762.493</v>
      </c>
      <c r="I5">
        <v>8184.39222222222</v>
      </c>
      <c r="J5">
        <v>0</v>
      </c>
      <c r="K5">
        <v>7396.635</v>
      </c>
      <c r="L5">
        <v>0</v>
      </c>
      <c r="M5">
        <v>161.36</v>
      </c>
      <c r="N5">
        <v>198.29</v>
      </c>
      <c r="O5">
        <v>175.17</v>
      </c>
      <c r="P5">
        <v>0</v>
      </c>
      <c r="Q5">
        <v>347.05</v>
      </c>
      <c r="R5">
        <v>0</v>
      </c>
      <c r="S5">
        <v>151.08</v>
      </c>
      <c r="T5">
        <v>189.22</v>
      </c>
      <c r="U5">
        <v>161.57</v>
      </c>
      <c r="V5">
        <v>0</v>
      </c>
      <c r="W5">
        <v>157.96</v>
      </c>
      <c r="X5">
        <v>0</v>
      </c>
      <c r="Y5">
        <v>7817.21</v>
      </c>
      <c r="Z5">
        <v>8081.62</v>
      </c>
      <c r="AA5">
        <v>8511.52</v>
      </c>
      <c r="AB5">
        <v>0</v>
      </c>
      <c r="AC5">
        <v>7615.02</v>
      </c>
      <c r="AD5">
        <v>0</v>
      </c>
      <c r="AE5">
        <v>7109.56</v>
      </c>
      <c r="AF5">
        <v>7481.96</v>
      </c>
      <c r="AG5">
        <v>7839.45</v>
      </c>
      <c r="AH5">
        <v>0</v>
      </c>
      <c r="AI5">
        <v>7025.07</v>
      </c>
      <c r="AJ5">
        <v>0</v>
      </c>
      <c r="AK5">
        <v>1</v>
      </c>
      <c r="AL5">
        <v>1</v>
      </c>
      <c r="AM5">
        <v>0.9</v>
      </c>
      <c r="AN5">
        <v>0</v>
      </c>
      <c r="AO5">
        <v>0.5</v>
      </c>
      <c r="AP5">
        <v>0</v>
      </c>
    </row>
    <row r="6" spans="1:42">
      <c r="A6">
        <v>165.403</v>
      </c>
      <c r="B6">
        <v>199.752</v>
      </c>
      <c r="C6">
        <v>184.59</v>
      </c>
      <c r="D6">
        <v>0</v>
      </c>
      <c r="E6">
        <v>227.375</v>
      </c>
      <c r="F6">
        <v>0</v>
      </c>
      <c r="G6">
        <v>7537.439</v>
      </c>
      <c r="H6">
        <v>7676.342</v>
      </c>
      <c r="I6">
        <v>8143.425</v>
      </c>
      <c r="J6">
        <v>0</v>
      </c>
      <c r="K6">
        <v>7319.505</v>
      </c>
      <c r="L6">
        <v>0</v>
      </c>
      <c r="M6">
        <v>169.83</v>
      </c>
      <c r="N6">
        <v>203.91</v>
      </c>
      <c r="O6">
        <v>205.76</v>
      </c>
      <c r="P6">
        <v>0</v>
      </c>
      <c r="Q6">
        <v>361.43</v>
      </c>
      <c r="R6">
        <v>0</v>
      </c>
      <c r="S6">
        <v>160.45</v>
      </c>
      <c r="T6">
        <v>195.25</v>
      </c>
      <c r="U6">
        <v>171.38</v>
      </c>
      <c r="V6">
        <v>0</v>
      </c>
      <c r="W6">
        <v>168.05</v>
      </c>
      <c r="X6">
        <v>0</v>
      </c>
      <c r="Y6">
        <v>7993.36</v>
      </c>
      <c r="Z6">
        <v>7824.61</v>
      </c>
      <c r="AA6">
        <v>8448.51</v>
      </c>
      <c r="AB6">
        <v>0</v>
      </c>
      <c r="AC6">
        <v>7351.77</v>
      </c>
      <c r="AD6">
        <v>0</v>
      </c>
      <c r="AE6">
        <v>7304.65</v>
      </c>
      <c r="AF6">
        <v>7486.35</v>
      </c>
      <c r="AG6">
        <v>8011.93</v>
      </c>
      <c r="AH6">
        <v>0</v>
      </c>
      <c r="AI6">
        <v>7294.15</v>
      </c>
      <c r="AJ6">
        <v>0</v>
      </c>
      <c r="AK6">
        <v>1</v>
      </c>
      <c r="AL6">
        <v>0.5</v>
      </c>
      <c r="AM6">
        <v>0.9</v>
      </c>
      <c r="AN6">
        <v>0</v>
      </c>
      <c r="AO6">
        <v>0.2</v>
      </c>
      <c r="AP6">
        <v>0</v>
      </c>
    </row>
    <row r="7" spans="1:42">
      <c r="A7">
        <v>175.536</v>
      </c>
      <c r="B7">
        <v>177.689</v>
      </c>
      <c r="C7">
        <v>220.696666666667</v>
      </c>
      <c r="D7">
        <v>0</v>
      </c>
      <c r="E7">
        <v>356.82</v>
      </c>
      <c r="F7">
        <v>0</v>
      </c>
      <c r="G7">
        <v>7622.981</v>
      </c>
      <c r="H7">
        <v>8233.309</v>
      </c>
      <c r="I7">
        <v>8116.72777777778</v>
      </c>
      <c r="J7">
        <v>0</v>
      </c>
      <c r="K7">
        <v>7288.425</v>
      </c>
      <c r="L7">
        <v>0</v>
      </c>
      <c r="M7">
        <v>181.02</v>
      </c>
      <c r="N7">
        <v>183.23</v>
      </c>
      <c r="O7">
        <v>292.45</v>
      </c>
      <c r="P7">
        <v>0</v>
      </c>
      <c r="Q7">
        <v>517.31</v>
      </c>
      <c r="R7">
        <v>0</v>
      </c>
      <c r="S7">
        <v>171.17</v>
      </c>
      <c r="T7">
        <v>173.42</v>
      </c>
      <c r="U7">
        <v>197.44</v>
      </c>
      <c r="V7">
        <v>0</v>
      </c>
      <c r="W7">
        <v>196.33</v>
      </c>
      <c r="X7">
        <v>0</v>
      </c>
      <c r="Y7">
        <v>7854.04</v>
      </c>
      <c r="Z7">
        <v>8495.55</v>
      </c>
      <c r="AA7">
        <v>8296.8</v>
      </c>
      <c r="AB7">
        <v>0</v>
      </c>
      <c r="AC7">
        <v>7476.57</v>
      </c>
      <c r="AD7">
        <v>0</v>
      </c>
      <c r="AE7">
        <v>7242.47</v>
      </c>
      <c r="AF7">
        <v>8035.83</v>
      </c>
      <c r="AG7">
        <v>7900.87</v>
      </c>
      <c r="AH7">
        <v>0</v>
      </c>
      <c r="AI7">
        <v>7100.28</v>
      </c>
      <c r="AJ7">
        <v>0</v>
      </c>
      <c r="AK7">
        <v>1</v>
      </c>
      <c r="AL7">
        <v>1</v>
      </c>
      <c r="AM7">
        <v>0.3</v>
      </c>
      <c r="AN7">
        <v>0</v>
      </c>
      <c r="AO7">
        <v>0.1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2024-09-07T07:02:00Z</dcterms:created>
  <dcterms:modified xsi:type="dcterms:W3CDTF">2024-09-08T10:13:37Z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AA74EA799537453BA156B0C2889ECBDE_12</vt:lpwstr>
  </property>
  <property fmtid="{D5CDD505-2E9C-101B-9397-08002B2CF9AE}" pid="3" name="KSOProductBuildVer">
    <vt:lpwstr>2052-12.1.0.17827</vt:lpwstr>
  </property>
</Properties>
</file>