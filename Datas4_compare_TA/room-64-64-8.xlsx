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<sst xmlns="http://schemas.openxmlformats.org/spreadsheetml/2006/main" count="432" uniqueCount="65">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</sst>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3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395.29</v>
      </c>
      <c r="C2">
        <v>19427.61</v>
      </c>
      <c r="D2">
        <v>433.49</v>
      </c>
      <c r="E2">
        <v>19599</v>
      </c>
      <c r="F2">
        <v>487.94</v>
      </c>
      <c r="G2">
        <v>22219.13</v>
      </c>
      <c r="H2">
        <v>806.69</v>
      </c>
      <c r="I2">
        <v>22528.89</v>
      </c>
      <c r="J2">
        <v>509.37</v>
      </c>
      <c r="K2">
        <v>19344.16</v>
      </c>
      <c r="L2">
        <v>-1</v>
      </c>
      <c r="M2">
        <v>767.97</v>
      </c>
    </row>
    <row r="3" spans="1:13">
      <c r="A3" t="s">
        <v>14</v>
      </c>
      <c r="B3">
        <v>414.16</v>
      </c>
      <c r="C3">
        <v>20697.09</v>
      </c>
      <c r="D3">
        <v>453.11</v>
      </c>
      <c r="E3">
        <v>20832.26</v>
      </c>
      <c r="F3">
        <v>454.79</v>
      </c>
      <c r="G3">
        <v>23774.2</v>
      </c>
      <c r="H3">
        <v>587.89</v>
      </c>
      <c r="I3">
        <v>23862.49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387.07</v>
      </c>
      <c r="C4">
        <v>19942.27</v>
      </c>
      <c r="D4">
        <v>425.87</v>
      </c>
      <c r="E4">
        <v>19101.75</v>
      </c>
      <c r="F4">
        <v>555.2</v>
      </c>
      <c r="G4">
        <v>22806.39</v>
      </c>
      <c r="H4">
        <v>490.22</v>
      </c>
      <c r="I4">
        <v>21860.26</v>
      </c>
      <c r="J4">
        <v>-1</v>
      </c>
      <c r="K4">
        <v>482.06</v>
      </c>
      <c r="L4">
        <v>-1</v>
      </c>
      <c r="M4">
        <v>0</v>
      </c>
    </row>
    <row r="5" spans="1:13">
      <c r="A5" t="s">
        <v>16</v>
      </c>
      <c r="B5">
        <v>397.64</v>
      </c>
      <c r="C5">
        <v>20355.74</v>
      </c>
      <c r="D5">
        <v>436.81</v>
      </c>
      <c r="E5">
        <v>20115.9</v>
      </c>
      <c r="F5">
        <v>453.67</v>
      </c>
      <c r="G5">
        <v>23366.39</v>
      </c>
      <c r="H5">
        <v>-1</v>
      </c>
      <c r="I5">
        <v>19557.03</v>
      </c>
      <c r="J5">
        <v>-1</v>
      </c>
      <c r="K5">
        <v>440.85</v>
      </c>
      <c r="L5">
        <v>-1</v>
      </c>
      <c r="M5">
        <v>0</v>
      </c>
    </row>
    <row r="6" spans="1:13">
      <c r="A6" t="s">
        <v>17</v>
      </c>
      <c r="B6">
        <v>413.61</v>
      </c>
      <c r="C6">
        <v>20422.88</v>
      </c>
      <c r="D6">
        <v>451.77</v>
      </c>
      <c r="E6">
        <v>20585.9</v>
      </c>
      <c r="F6">
        <v>618.02</v>
      </c>
      <c r="G6">
        <v>23356.08</v>
      </c>
      <c r="H6">
        <v>742.5</v>
      </c>
      <c r="I6">
        <v>23527.33</v>
      </c>
      <c r="J6">
        <v>696.93</v>
      </c>
      <c r="K6">
        <v>20439.44</v>
      </c>
      <c r="L6">
        <v>-1</v>
      </c>
      <c r="M6">
        <v>0</v>
      </c>
    </row>
    <row r="7" spans="1:13">
      <c r="A7" t="s">
        <v>18</v>
      </c>
      <c r="B7">
        <v>380.73</v>
      </c>
      <c r="C7">
        <v>19020.46</v>
      </c>
      <c r="D7">
        <v>419.89</v>
      </c>
      <c r="E7">
        <v>18876.27</v>
      </c>
      <c r="F7">
        <v>502.07</v>
      </c>
      <c r="G7">
        <v>21829.14</v>
      </c>
      <c r="H7">
        <v>512.72</v>
      </c>
      <c r="I7">
        <v>21641.42</v>
      </c>
      <c r="J7">
        <v>-1</v>
      </c>
      <c r="K7">
        <v>652.57</v>
      </c>
      <c r="L7">
        <v>-1</v>
      </c>
      <c r="M7">
        <v>0</v>
      </c>
    </row>
    <row r="8" spans="1:13">
      <c r="A8" t="s">
        <v>19</v>
      </c>
      <c r="B8">
        <v>528.44</v>
      </c>
      <c r="C8">
        <v>19334.88</v>
      </c>
      <c r="D8">
        <v>584.22</v>
      </c>
      <c r="E8">
        <v>18919.67</v>
      </c>
      <c r="F8">
        <v>-1</v>
      </c>
      <c r="G8">
        <v>10362.19</v>
      </c>
      <c r="H8">
        <v>834.1</v>
      </c>
      <c r="I8">
        <v>21704.54</v>
      </c>
      <c r="J8">
        <v>-1</v>
      </c>
      <c r="K8">
        <v>9519.92</v>
      </c>
      <c r="L8">
        <v>-1</v>
      </c>
      <c r="M8">
        <v>0</v>
      </c>
    </row>
    <row r="9" spans="1:13">
      <c r="A9" t="s">
        <v>20</v>
      </c>
      <c r="B9">
        <v>404.51</v>
      </c>
      <c r="C9">
        <v>20387.32</v>
      </c>
      <c r="D9">
        <v>443.19</v>
      </c>
      <c r="E9">
        <v>20416.93</v>
      </c>
      <c r="F9">
        <v>472</v>
      </c>
      <c r="G9">
        <v>23338.75</v>
      </c>
      <c r="H9">
        <v>553.07</v>
      </c>
      <c r="I9">
        <v>23419.24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395.22</v>
      </c>
      <c r="C10">
        <v>20402.64</v>
      </c>
      <c r="D10">
        <v>433.88</v>
      </c>
      <c r="E10">
        <v>20358.9</v>
      </c>
      <c r="F10">
        <v>438.87</v>
      </c>
      <c r="G10">
        <v>23463.68</v>
      </c>
      <c r="H10">
        <v>642.41</v>
      </c>
      <c r="I10">
        <v>23321.05</v>
      </c>
      <c r="J10">
        <v>436.68</v>
      </c>
      <c r="K10">
        <v>20381.36</v>
      </c>
      <c r="L10">
        <v>-1</v>
      </c>
      <c r="M10">
        <v>0</v>
      </c>
    </row>
    <row r="11" spans="1:13">
      <c r="A11" t="s">
        <v>22</v>
      </c>
      <c r="B11">
        <v>398.84</v>
      </c>
      <c r="C11">
        <v>20062.99</v>
      </c>
      <c r="D11">
        <v>437.93</v>
      </c>
      <c r="E11">
        <v>20449.5</v>
      </c>
      <c r="F11">
        <v>538.76</v>
      </c>
      <c r="G11">
        <v>23142.29</v>
      </c>
      <c r="H11">
        <v>747.25</v>
      </c>
      <c r="I11">
        <v>23472.08</v>
      </c>
      <c r="J11">
        <v>418.74</v>
      </c>
      <c r="K11">
        <v>20102.68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411.551</v>
      </c>
      <c r="B14" s="4">
        <f>IFERROR(AVERAGEIF($D$2:$D$11,"&lt;&gt; -1"),0)</f>
        <v>452.016</v>
      </c>
      <c r="C14" s="4">
        <f>IFERROR(AVERAGEIF($F$2:$F$11,"&lt;&gt; -1"),0)</f>
        <v>502.368888888889</v>
      </c>
      <c r="D14" s="4">
        <f>IFERROR(AVERAGEIF($H$2:$H$11,"&lt;&gt; -1"),0)</f>
        <v>657.427777777778</v>
      </c>
      <c r="E14" s="4">
        <f>IFERROR(AVERAGEIF($J$2:$J$11,"&lt;&gt; -1"),0)</f>
        <v>515.43</v>
      </c>
      <c r="F14" s="4">
        <f>IFERROR(AVERAGEIF($L$2:$L$11,"&lt;&gt; -1"),0)</f>
        <v>0</v>
      </c>
      <c r="G14" s="4">
        <f>IFERROR(AVERAGEIFS($C$2:$C$11,$B$2:$B$11,"&lt;&gt; -1"),0)</f>
        <v>20005.388</v>
      </c>
      <c r="H14" s="4">
        <f>IFERROR(AVERAGEIFS($E$2:$E$11,$D$2:$D$11,"&lt;&gt; -1"),0)</f>
        <v>19925.608</v>
      </c>
      <c r="I14" s="4">
        <f>IFERROR(AVERAGEIFS($G$2:$G$11,$F$2:$F$11,"&lt;&gt; -1"),0)</f>
        <v>23032.8944444444</v>
      </c>
      <c r="J14" s="4">
        <f>IFERROR(AVERAGEIFS($I$2:$I$11,$H$2:$H$11,"&lt;&gt; -1"),0)</f>
        <v>22815.2555555556</v>
      </c>
      <c r="K14" s="4">
        <f>IFERROR(AVERAGEIFS($K$2:$K$11,$J$2:$J$11,"&lt;&gt; -1"),0)</f>
        <v>20066.91</v>
      </c>
      <c r="L14" s="4">
        <f>IFERROR(AVERAGEIFS($M$2:$M$11,$L$2:$L$11,"&lt;&gt; -1"),0)</f>
        <v>0</v>
      </c>
      <c r="M14" s="4">
        <f>IFERROR(_xlfn.MAXIFS($B$2:$B$11,$B$2:$B$11,"&lt;&gt; -1"),0)</f>
        <v>528.44</v>
      </c>
      <c r="N14" s="4">
        <f>IFERROR(_xlfn.MAXIFS($D$2:$D$11,$D$2:$D$11,"&lt;&gt;-1"),0)</f>
        <v>584.22</v>
      </c>
      <c r="O14" s="4">
        <f>IFERROR(_xlfn.MAXIFS($F$2:$F$11,$F$2:$F$11,"&lt;&gt; -1"),0)</f>
        <v>618.02</v>
      </c>
      <c r="P14" s="4">
        <f>IFERROR(_xlfn.MAXIFS($H$2:$H$11,$H$2:$H$11,"&lt;&gt; -1"),0)</f>
        <v>834.1</v>
      </c>
      <c r="Q14" s="4">
        <f>IFERROR(_xlfn.MAXIFS($J$2:$J$11,$J$2:$J$11,"&lt;&gt; -1"),0)</f>
        <v>696.93</v>
      </c>
      <c r="R14" s="4">
        <f>IFERROR(_xlfn.MAXIFS($L$2:$L$11,$L$2:$L$11,"&lt;&gt; -1"),0)</f>
        <v>0</v>
      </c>
      <c r="S14" s="4">
        <f>IFERROR(_xlfn.MINIFS($B$2:$B$11,$B$2:$B$11,"&lt;&gt; -1"),0)</f>
        <v>380.73</v>
      </c>
      <c r="T14" s="4">
        <f>IFERROR(_xlfn.MINIFS($D$2:$D$11,$D$2:$D$11,"&lt;&gt;-1"),0)</f>
        <v>419.89</v>
      </c>
      <c r="U14" s="4">
        <f>IFERROR(_xlfn.MINIFS($F$2:$F$11,$F$2:$F$11,"&lt;&gt; -1"),0)</f>
        <v>438.87</v>
      </c>
      <c r="V14" s="4">
        <f>IFERROR(_xlfn.MINIFS($H$2:$H$11,$H$2:$H$11,"&lt;&gt; -1"),0)</f>
        <v>490.22</v>
      </c>
      <c r="W14" s="4">
        <f>IFERROR(_xlfn.MINIFS($J$2:$J$11,$J$2:$J$11,"&lt;&gt; -1"),0)</f>
        <v>418.74</v>
      </c>
      <c r="X14" s="4">
        <f>IFERROR(_xlfn.MINIFS($L$2:$L$11,$L$2:$L$11,"&lt;&gt; -1"),0)</f>
        <v>0</v>
      </c>
      <c r="Y14" s="4">
        <f>IFERROR(_xlfn.MAXIFS($C$2:$C$11,$B$2:$B$11,"&lt;&gt; -1"),0)</f>
        <v>20697.09</v>
      </c>
      <c r="Z14" s="4">
        <f>IFERROR(_xlfn.MAXIFS($E$2:$E$11,$D$2:$D$11,"&lt;&gt; -1"),0)</f>
        <v>20832.26</v>
      </c>
      <c r="AA14" s="4">
        <f>IFERROR(_xlfn.MAXIFS($G$2:$G$11,$F$2:$F$11,"&lt;&gt; -1"),0)</f>
        <v>23774.2</v>
      </c>
      <c r="AB14" s="4">
        <f>IFERROR(_xlfn.MAXIFS($I$2:$I$11,$H$2:$H$11,"&lt;&gt; -1"),0)</f>
        <v>23862.49</v>
      </c>
      <c r="AC14" s="4">
        <f>IFERROR(_xlfn.MAXIFS($K$2:$K$11,$J$2:$J$11,"&lt;&gt; -1"),0)</f>
        <v>20439.44</v>
      </c>
      <c r="AD14" s="4">
        <f>IFERROR(_xlfn.MAXIFS($M$2:$M$11,$L$2:$L$11,"&lt;&gt; -1"),0)</f>
        <v>0</v>
      </c>
      <c r="AE14" s="4">
        <f>IFERROR(_xlfn.MINIFS($C$2:$C$11,$B$2:$B$11,"&lt;&gt; -1"),0)</f>
        <v>19020.46</v>
      </c>
      <c r="AF14" s="4">
        <f>IFERROR(_xlfn.MINIFS($E$2:$E$11,$D$2:$D$11,"&lt;&gt; -1"),0)</f>
        <v>18876.27</v>
      </c>
      <c r="AG14" s="4">
        <f>IFERROR(_xlfn.MINIFS($G$2:$G$11,$F$2:$F$11,"&lt;&gt; -1"),0)</f>
        <v>21829.14</v>
      </c>
      <c r="AH14" s="4">
        <f>IFERROR(_xlfn.MINIFS($I$2:$I$11,$H$2:$H$11,"&lt;&gt; -1"),0)</f>
        <v>21641.42</v>
      </c>
      <c r="AI14" s="4">
        <f>IFERROR(_xlfn.MINIFS($K$2:$K$11,$J$2:$J$11,"&lt;&gt; -1"),0)</f>
        <v>19344.16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0.9</v>
      </c>
      <c r="AN14" s="4">
        <f>(COUNTIFS($H$2:$H11,"&gt;0.0",$H$2:$H$11,"&lt;700.0"))/10</f>
        <v>0.5</v>
      </c>
      <c r="AO14" s="4">
        <f>(COUNTIFS($J$2:$J$11,"&gt;0.0",$J$2:$J$11,"&lt;700.0"))/10</f>
        <v>0.4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435.21</v>
      </c>
      <c r="C2">
        <v>19933.28</v>
      </c>
      <c r="D2">
        <v>471.7</v>
      </c>
      <c r="E2">
        <v>20163.85</v>
      </c>
      <c r="F2">
        <v>721.79</v>
      </c>
      <c r="G2">
        <v>22892.69</v>
      </c>
      <c r="H2">
        <v>-1</v>
      </c>
      <c r="I2">
        <v>2166.75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446.02</v>
      </c>
      <c r="C3">
        <v>20517.58</v>
      </c>
      <c r="D3">
        <v>483.32</v>
      </c>
      <c r="E3">
        <v>20757.43</v>
      </c>
      <c r="F3">
        <v>-1</v>
      </c>
      <c r="G3">
        <v>10668.94</v>
      </c>
      <c r="H3">
        <v>-1</v>
      </c>
      <c r="I3">
        <v>2353.86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425.47</v>
      </c>
      <c r="C4">
        <v>19508.16</v>
      </c>
      <c r="D4">
        <v>462.38</v>
      </c>
      <c r="E4">
        <v>19256.25</v>
      </c>
      <c r="F4">
        <v>-1</v>
      </c>
      <c r="G4">
        <v>0</v>
      </c>
      <c r="H4">
        <v>-1</v>
      </c>
      <c r="I4">
        <v>2306.73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427.66</v>
      </c>
      <c r="C5">
        <v>19959.81</v>
      </c>
      <c r="D5">
        <v>464.17</v>
      </c>
      <c r="E5">
        <v>20222.28</v>
      </c>
      <c r="F5">
        <v>528.18</v>
      </c>
      <c r="G5">
        <v>22556.32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454.02</v>
      </c>
      <c r="C6">
        <v>20600.46</v>
      </c>
      <c r="D6">
        <v>492.64</v>
      </c>
      <c r="E6">
        <v>20762.25</v>
      </c>
      <c r="F6">
        <v>-1</v>
      </c>
      <c r="G6">
        <v>19457.36</v>
      </c>
      <c r="H6">
        <v>-1</v>
      </c>
      <c r="I6">
        <v>0</v>
      </c>
      <c r="J6">
        <v>471.42</v>
      </c>
      <c r="K6">
        <v>20684.63</v>
      </c>
      <c r="L6">
        <v>-1</v>
      </c>
      <c r="M6">
        <v>0</v>
      </c>
    </row>
    <row r="7" spans="1:13">
      <c r="A7" t="s">
        <v>18</v>
      </c>
      <c r="B7">
        <v>416.04</v>
      </c>
      <c r="C7">
        <v>19290.62</v>
      </c>
      <c r="D7">
        <v>454.72</v>
      </c>
      <c r="E7">
        <v>18893.74</v>
      </c>
      <c r="F7">
        <v>536.45</v>
      </c>
      <c r="G7">
        <v>22143.29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412.08</v>
      </c>
      <c r="C8">
        <v>18849.86</v>
      </c>
      <c r="D8">
        <v>448.84</v>
      </c>
      <c r="E8">
        <v>18931.11</v>
      </c>
      <c r="F8">
        <v>713.88</v>
      </c>
      <c r="G8">
        <v>21548.52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447.01</v>
      </c>
      <c r="C9">
        <v>20624.59</v>
      </c>
      <c r="D9">
        <v>485.15</v>
      </c>
      <c r="E9">
        <v>20923.3</v>
      </c>
      <c r="F9">
        <v>-1</v>
      </c>
      <c r="G9">
        <v>1864.49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433.24</v>
      </c>
      <c r="C10">
        <v>20277.09</v>
      </c>
      <c r="D10">
        <v>471.22</v>
      </c>
      <c r="E10">
        <v>20564.64</v>
      </c>
      <c r="F10">
        <v>615.84</v>
      </c>
      <c r="G10">
        <v>23232.67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436.19</v>
      </c>
      <c r="C11">
        <v>19817.08</v>
      </c>
      <c r="D11">
        <v>474.06</v>
      </c>
      <c r="E11">
        <v>20162.9</v>
      </c>
      <c r="F11">
        <v>629.51</v>
      </c>
      <c r="G11">
        <v>22706.75</v>
      </c>
      <c r="H11">
        <v>-1</v>
      </c>
      <c r="I11">
        <v>4664.06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433.294</v>
      </c>
      <c r="B14" s="4">
        <f>IFERROR(AVERAGEIF($D$2:$D$11,"&lt;&gt; -1"),0)</f>
        <v>470.82</v>
      </c>
      <c r="C14" s="4">
        <f>IFERROR(AVERAGEIF($F$2:$F$11,"&lt;&gt; -1"),0)</f>
        <v>624.275</v>
      </c>
      <c r="D14" s="4">
        <f>IFERROR(AVERAGEIF($H$2:$H$11,"&lt;&gt; -1"),0)</f>
        <v>0</v>
      </c>
      <c r="E14" s="4">
        <f>IFERROR(AVERAGEIF($J$2:$J$11,"&lt;&gt; -1"),0)</f>
        <v>471.42</v>
      </c>
      <c r="F14" s="4">
        <f>IFERROR(AVERAGEIF($L$2:$L$11,"&lt;&gt; -1"),0)</f>
        <v>0</v>
      </c>
      <c r="G14" s="4">
        <f>IFERROR(AVERAGEIFS($C$2:$C$11,$B$2:$B$11,"&lt;&gt; -1"),0)</f>
        <v>19937.853</v>
      </c>
      <c r="H14" s="4">
        <f>IFERROR(AVERAGEIFS($E$2:$E$11,$D$2:$D$11,"&lt;&gt; -1"),0)</f>
        <v>20063.775</v>
      </c>
      <c r="I14" s="4">
        <f>IFERROR(AVERAGEIFS($G$2:$G$11,$F$2:$F$11,"&lt;&gt; -1"),0)</f>
        <v>22513.3733333333</v>
      </c>
      <c r="J14" s="4">
        <f>IFERROR(AVERAGEIFS($I$2:$I$11,$H$2:$H$11,"&lt;&gt; -1"),0)</f>
        <v>0</v>
      </c>
      <c r="K14" s="4">
        <f>IFERROR(AVERAGEIFS($K$2:$K$11,$J$2:$J$11,"&lt;&gt; -1"),0)</f>
        <v>20684.63</v>
      </c>
      <c r="L14" s="4">
        <f>IFERROR(AVERAGEIFS($M$2:$M$11,$L$2:$L$11,"&lt;&gt; -1"),0)</f>
        <v>0</v>
      </c>
      <c r="M14" s="4">
        <f>IFERROR(_xlfn.MAXIFS($B$2:$B$11,$B$2:$B$11,"&lt;&gt; -1"),0)</f>
        <v>454.02</v>
      </c>
      <c r="N14" s="4">
        <f>IFERROR(_xlfn.MAXIFS($D$2:$D$11,$D$2:$D$11,"&lt;&gt;-1"),0)</f>
        <v>492.64</v>
      </c>
      <c r="O14" s="4">
        <f>IFERROR(_xlfn.MAXIFS($F$2:$F$11,$F$2:$F$11,"&lt;&gt; -1"),0)</f>
        <v>721.79</v>
      </c>
      <c r="P14" s="4">
        <f>IFERROR(_xlfn.MAXIFS($H$2:$H$11,$H$2:$H$11,"&lt;&gt; -1"),0)</f>
        <v>0</v>
      </c>
      <c r="Q14" s="4">
        <f>IFERROR(_xlfn.MAXIFS($J$2:$J$11,$J$2:$J$11,"&lt;&gt; -1"),0)</f>
        <v>471.42</v>
      </c>
      <c r="R14" s="4">
        <f>IFERROR(_xlfn.MAXIFS($L$2:$L$11,$L$2:$L$11,"&lt;&gt; -1"),0)</f>
        <v>0</v>
      </c>
      <c r="S14" s="4">
        <f>IFERROR(_xlfn.MINIFS($B$2:$B$11,$B$2:$B$11,"&lt;&gt; -1"),0)</f>
        <v>412.08</v>
      </c>
      <c r="T14" s="4">
        <f>IFERROR(_xlfn.MINIFS($D$2:$D$11,$D$2:$D$11,"&lt;&gt;-1"),0)</f>
        <v>448.84</v>
      </c>
      <c r="U14" s="4">
        <f>IFERROR(_xlfn.MINIFS($F$2:$F$11,$F$2:$F$11,"&lt;&gt; -1"),0)</f>
        <v>528.18</v>
      </c>
      <c r="V14" s="4">
        <f>IFERROR(_xlfn.MINIFS($H$2:$H$11,$H$2:$H$11,"&lt;&gt; -1"),0)</f>
        <v>0</v>
      </c>
      <c r="W14" s="4">
        <f>IFERROR(_xlfn.MINIFS($J$2:$J$11,$J$2:$J$11,"&lt;&gt; -1"),0)</f>
        <v>471.42</v>
      </c>
      <c r="X14" s="4">
        <f>IFERROR(_xlfn.MINIFS($L$2:$L$11,$L$2:$L$11,"&lt;&gt; -1"),0)</f>
        <v>0</v>
      </c>
      <c r="Y14" s="4">
        <f>IFERROR(_xlfn.MAXIFS($C$2:$C$11,$B$2:$B$11,"&lt;&gt; -1"),0)</f>
        <v>20624.59</v>
      </c>
      <c r="Z14" s="4">
        <f>IFERROR(_xlfn.MAXIFS($E$2:$E$11,$D$2:$D$11,"&lt;&gt; -1"),0)</f>
        <v>20923.3</v>
      </c>
      <c r="AA14" s="4">
        <f>IFERROR(_xlfn.MAXIFS($G$2:$G$11,$F$2:$F$11,"&lt;&gt; -1"),0)</f>
        <v>23232.67</v>
      </c>
      <c r="AB14" s="4">
        <f>IFERROR(_xlfn.MAXIFS($I$2:$I$11,$H$2:$H$11,"&lt;&gt; -1"),0)</f>
        <v>0</v>
      </c>
      <c r="AC14" s="4">
        <f>IFERROR(_xlfn.MAXIFS($K$2:$K$11,$J$2:$J$11,"&lt;&gt; -1"),0)</f>
        <v>20684.63</v>
      </c>
      <c r="AD14" s="4">
        <f>IFERROR(_xlfn.MAXIFS($M$2:$M$11,$L$2:$L$11,"&lt;&gt; -1"),0)</f>
        <v>0</v>
      </c>
      <c r="AE14" s="4">
        <f>IFERROR(_xlfn.MINIFS($C$2:$C$11,$B$2:$B$11,"&lt;&gt; -1"),0)</f>
        <v>18849.86</v>
      </c>
      <c r="AF14" s="4">
        <f>IFERROR(_xlfn.MINIFS($E$2:$E$11,$D$2:$D$11,"&lt;&gt; -1"),0)</f>
        <v>18893.74</v>
      </c>
      <c r="AG14" s="4">
        <f>IFERROR(_xlfn.MINIFS($G$2:$G$11,$F$2:$F$11,"&lt;&gt; -1"),0)</f>
        <v>21548.52</v>
      </c>
      <c r="AH14" s="4">
        <f>IFERROR(_xlfn.MINIFS($I$2:$I$11,$H$2:$H$11,"&lt;&gt; -1"),0)</f>
        <v>0</v>
      </c>
      <c r="AI14" s="4">
        <f>IFERROR(_xlfn.MINIFS($K$2:$K$11,$J$2:$J$11,"&lt;&gt; -1"),0)</f>
        <v>20684.63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0.4</v>
      </c>
      <c r="AN14" s="4">
        <f>(COUNTIFS($H$2:$H11,"&gt;0.0",$H$2:$H$11,"&lt;700.0"))/10</f>
        <v>0</v>
      </c>
      <c r="AO14" s="4">
        <f>(COUNTIFS($J$2:$J$11,"&gt;0.0",$J$2:$J$11,"&lt;700.0"))/10</f>
        <v>0.1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478.79</v>
      </c>
      <c r="C2">
        <v>20330.83</v>
      </c>
      <c r="D2">
        <v>516.07</v>
      </c>
      <c r="E2">
        <v>20378.87</v>
      </c>
      <c r="F2">
        <v>-1</v>
      </c>
      <c r="G2">
        <v>0</v>
      </c>
      <c r="H2">
        <v>-1</v>
      </c>
      <c r="I2">
        <v>3349.62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492.83</v>
      </c>
      <c r="C3">
        <v>21275.88</v>
      </c>
      <c r="D3">
        <v>529.79</v>
      </c>
      <c r="E3">
        <v>21166.98</v>
      </c>
      <c r="F3">
        <v>-1</v>
      </c>
      <c r="G3">
        <v>2206.34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463.73</v>
      </c>
      <c r="C4">
        <v>19733.88</v>
      </c>
      <c r="D4">
        <v>502.21</v>
      </c>
      <c r="E4">
        <v>19996.11</v>
      </c>
      <c r="F4">
        <v>612.52</v>
      </c>
      <c r="G4">
        <v>22536.19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463.45</v>
      </c>
      <c r="C5">
        <v>19506.79</v>
      </c>
      <c r="D5">
        <v>503.87</v>
      </c>
      <c r="E5">
        <v>19983.17</v>
      </c>
      <c r="F5">
        <v>483.63</v>
      </c>
      <c r="G5">
        <v>22294.48</v>
      </c>
      <c r="H5">
        <v>-1</v>
      </c>
      <c r="I5">
        <v>0</v>
      </c>
      <c r="J5">
        <v>-1</v>
      </c>
      <c r="K5">
        <v>7638.89</v>
      </c>
      <c r="L5">
        <v>-1</v>
      </c>
      <c r="M5">
        <v>0</v>
      </c>
    </row>
    <row r="6" spans="1:13">
      <c r="A6" t="s">
        <v>17</v>
      </c>
      <c r="B6">
        <v>488.06</v>
      </c>
      <c r="C6">
        <v>20152.68</v>
      </c>
      <c r="D6">
        <v>525.29</v>
      </c>
      <c r="E6">
        <v>20659.43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449.25</v>
      </c>
      <c r="C7">
        <v>18518.87</v>
      </c>
      <c r="D7">
        <v>488.11</v>
      </c>
      <c r="E7">
        <v>18820.3</v>
      </c>
      <c r="F7">
        <v>528.43</v>
      </c>
      <c r="G7">
        <v>21259.13</v>
      </c>
      <c r="H7">
        <v>-1</v>
      </c>
      <c r="I7">
        <v>0</v>
      </c>
      <c r="J7">
        <v>477.81</v>
      </c>
      <c r="K7">
        <v>18506.45</v>
      </c>
      <c r="L7">
        <v>-1</v>
      </c>
      <c r="M7">
        <v>0</v>
      </c>
    </row>
    <row r="8" spans="1:13">
      <c r="A8" t="s">
        <v>19</v>
      </c>
      <c r="B8">
        <v>446.86</v>
      </c>
      <c r="C8">
        <v>19453.03</v>
      </c>
      <c r="D8">
        <v>485.25</v>
      </c>
      <c r="E8">
        <v>19403.27</v>
      </c>
      <c r="F8">
        <v>-1</v>
      </c>
      <c r="G8">
        <v>1264.81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475.17</v>
      </c>
      <c r="C9">
        <v>20793.53</v>
      </c>
      <c r="D9">
        <v>513.13</v>
      </c>
      <c r="E9">
        <v>20916.99</v>
      </c>
      <c r="F9">
        <v>548.85</v>
      </c>
      <c r="G9">
        <v>23653.02</v>
      </c>
      <c r="H9">
        <v>-1</v>
      </c>
      <c r="I9">
        <v>3573.9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460.79</v>
      </c>
      <c r="C10">
        <v>20233.81</v>
      </c>
      <c r="D10">
        <v>496.97</v>
      </c>
      <c r="E10">
        <v>20498.08</v>
      </c>
      <c r="F10">
        <v>758.48</v>
      </c>
      <c r="G10">
        <v>23077.42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466.53</v>
      </c>
      <c r="C11">
        <v>20039.52</v>
      </c>
      <c r="D11">
        <v>503.78</v>
      </c>
      <c r="E11">
        <v>20251.42</v>
      </c>
      <c r="F11">
        <v>-1</v>
      </c>
      <c r="G11">
        <v>9523.66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468.546</v>
      </c>
      <c r="B14" s="4">
        <f>IFERROR(AVERAGEIF($D$2:$D$11,"&lt;&gt; -1"),0)</f>
        <v>506.447</v>
      </c>
      <c r="C14" s="4">
        <f>IFERROR(AVERAGEIF($F$2:$F$11,"&lt;&gt; -1"),0)</f>
        <v>586.382</v>
      </c>
      <c r="D14" s="4">
        <f>IFERROR(AVERAGEIF($H$2:$H$11,"&lt;&gt; -1"),0)</f>
        <v>0</v>
      </c>
      <c r="E14" s="4">
        <f>IFERROR(AVERAGEIF($J$2:$J$11,"&lt;&gt; -1"),0)</f>
        <v>477.81</v>
      </c>
      <c r="F14" s="4">
        <f>IFERROR(AVERAGEIF($L$2:$L$11,"&lt;&gt; -1"),0)</f>
        <v>0</v>
      </c>
      <c r="G14" s="4">
        <f>IFERROR(AVERAGEIFS($C$2:$C$11,$B$2:$B$11,"&lt;&gt; -1"),0)</f>
        <v>20003.882</v>
      </c>
      <c r="H14" s="4">
        <f>IFERROR(AVERAGEIFS($E$2:$E$11,$D$2:$D$11,"&lt;&gt; -1"),0)</f>
        <v>20207.462</v>
      </c>
      <c r="I14" s="4">
        <f>IFERROR(AVERAGEIFS($G$2:$G$11,$F$2:$F$11,"&lt;&gt; -1"),0)</f>
        <v>22564.048</v>
      </c>
      <c r="J14" s="4">
        <f>IFERROR(AVERAGEIFS($I$2:$I$11,$H$2:$H$11,"&lt;&gt; -1"),0)</f>
        <v>0</v>
      </c>
      <c r="K14" s="4">
        <f>IFERROR(AVERAGEIFS($K$2:$K$11,$J$2:$J$11,"&lt;&gt; -1"),0)</f>
        <v>18506.45</v>
      </c>
      <c r="L14" s="4">
        <f>IFERROR(AVERAGEIFS($M$2:$M$11,$L$2:$L$11,"&lt;&gt; -1"),0)</f>
        <v>0</v>
      </c>
      <c r="M14" s="4">
        <f>IFERROR(_xlfn.MAXIFS($B$2:$B$11,$B$2:$B$11,"&lt;&gt; -1"),0)</f>
        <v>492.83</v>
      </c>
      <c r="N14" s="4">
        <f>IFERROR(_xlfn.MAXIFS($D$2:$D$11,$D$2:$D$11,"&lt;&gt;-1"),0)</f>
        <v>529.79</v>
      </c>
      <c r="O14" s="4">
        <f>IFERROR(_xlfn.MAXIFS($F$2:$F$11,$F$2:$F$11,"&lt;&gt; -1"),0)</f>
        <v>758.48</v>
      </c>
      <c r="P14" s="4">
        <f>IFERROR(_xlfn.MAXIFS($H$2:$H$11,$H$2:$H$11,"&lt;&gt; -1"),0)</f>
        <v>0</v>
      </c>
      <c r="Q14" s="4">
        <f>IFERROR(_xlfn.MAXIFS($J$2:$J$11,$J$2:$J$11,"&lt;&gt; -1"),0)</f>
        <v>477.81</v>
      </c>
      <c r="R14" s="4">
        <f>IFERROR(_xlfn.MAXIFS($L$2:$L$11,$L$2:$L$11,"&lt;&gt; -1"),0)</f>
        <v>0</v>
      </c>
      <c r="S14" s="4">
        <f>IFERROR(_xlfn.MINIFS($B$2:$B$11,$B$2:$B$11,"&lt;&gt; -1"),0)</f>
        <v>446.86</v>
      </c>
      <c r="T14" s="4">
        <f>IFERROR(_xlfn.MINIFS($D$2:$D$11,$D$2:$D$11,"&lt;&gt;-1"),0)</f>
        <v>485.25</v>
      </c>
      <c r="U14" s="4">
        <f>IFERROR(_xlfn.MINIFS($F$2:$F$11,$F$2:$F$11,"&lt;&gt; -1"),0)</f>
        <v>483.63</v>
      </c>
      <c r="V14" s="4">
        <f>IFERROR(_xlfn.MINIFS($H$2:$H$11,$H$2:$H$11,"&lt;&gt; -1"),0)</f>
        <v>0</v>
      </c>
      <c r="W14" s="4">
        <f>IFERROR(_xlfn.MINIFS($J$2:$J$11,$J$2:$J$11,"&lt;&gt; -1"),0)</f>
        <v>477.81</v>
      </c>
      <c r="X14" s="4">
        <f>IFERROR(_xlfn.MINIFS($L$2:$L$11,$L$2:$L$11,"&lt;&gt; -1"),0)</f>
        <v>0</v>
      </c>
      <c r="Y14" s="4">
        <f>IFERROR(_xlfn.MAXIFS($C$2:$C$11,$B$2:$B$11,"&lt;&gt; -1"),0)</f>
        <v>21275.88</v>
      </c>
      <c r="Z14" s="4">
        <f>IFERROR(_xlfn.MAXIFS($E$2:$E$11,$D$2:$D$11,"&lt;&gt; -1"),0)</f>
        <v>21166.98</v>
      </c>
      <c r="AA14" s="4">
        <f>IFERROR(_xlfn.MAXIFS($G$2:$G$11,$F$2:$F$11,"&lt;&gt; -1"),0)</f>
        <v>23653.02</v>
      </c>
      <c r="AB14" s="4">
        <f>IFERROR(_xlfn.MAXIFS($I$2:$I$11,$H$2:$H$11,"&lt;&gt; -1"),0)</f>
        <v>0</v>
      </c>
      <c r="AC14" s="4">
        <f>IFERROR(_xlfn.MAXIFS($K$2:$K$11,$J$2:$J$11,"&lt;&gt; -1"),0)</f>
        <v>18506.45</v>
      </c>
      <c r="AD14" s="4">
        <f>IFERROR(_xlfn.MAXIFS($M$2:$M$11,$L$2:$L$11,"&lt;&gt; -1"),0)</f>
        <v>0</v>
      </c>
      <c r="AE14" s="4">
        <f>IFERROR(_xlfn.MINIFS($C$2:$C$11,$B$2:$B$11,"&lt;&gt; -1"),0)</f>
        <v>18518.87</v>
      </c>
      <c r="AF14" s="4">
        <f>IFERROR(_xlfn.MINIFS($E$2:$E$11,$D$2:$D$11,"&lt;&gt; -1"),0)</f>
        <v>18820.3</v>
      </c>
      <c r="AG14" s="4">
        <f>IFERROR(_xlfn.MINIFS($G$2:$G$11,$F$2:$F$11,"&lt;&gt; -1"),0)</f>
        <v>21259.13</v>
      </c>
      <c r="AH14" s="4">
        <f>IFERROR(_xlfn.MINIFS($I$2:$I$11,$H$2:$H$11,"&lt;&gt; -1"),0)</f>
        <v>0</v>
      </c>
      <c r="AI14" s="4">
        <f>IFERROR(_xlfn.MINIFS($K$2:$K$11,$J$2:$J$11,"&lt;&gt; -1"),0)</f>
        <v>18506.45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0.4</v>
      </c>
      <c r="AN14" s="4">
        <f>(COUNTIFS($H$2:$H11,"&gt;0.0",$H$2:$H$11,"&lt;700.0"))/10</f>
        <v>0</v>
      </c>
      <c r="AO14" s="4">
        <f>(COUNTIFS($J$2:$J$11,"&gt;0.0",$J$2:$J$11,"&lt;700.0"))/10</f>
        <v>0.1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507.83</v>
      </c>
      <c r="C2">
        <v>19342.07</v>
      </c>
      <c r="D2">
        <v>545.56</v>
      </c>
      <c r="E2">
        <v>20605.47</v>
      </c>
      <c r="F2">
        <v>-1</v>
      </c>
      <c r="G2">
        <v>1454.1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529.32</v>
      </c>
      <c r="C3">
        <v>21503.77</v>
      </c>
      <c r="D3">
        <v>565.95</v>
      </c>
      <c r="E3">
        <v>21536.89</v>
      </c>
      <c r="F3">
        <v>-1</v>
      </c>
      <c r="G3">
        <v>16166.34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501.53</v>
      </c>
      <c r="C4">
        <v>19577.25</v>
      </c>
      <c r="D4">
        <v>541.62</v>
      </c>
      <c r="E4">
        <v>20187.07</v>
      </c>
      <c r="F4">
        <v>642.61</v>
      </c>
      <c r="G4">
        <v>22295.43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482.7</v>
      </c>
      <c r="C5">
        <v>19802.3</v>
      </c>
      <c r="D5">
        <v>519.74</v>
      </c>
      <c r="E5">
        <v>20365.51</v>
      </c>
      <c r="F5">
        <v>-1</v>
      </c>
      <c r="G5">
        <v>15400.22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504.33</v>
      </c>
      <c r="C6">
        <v>20647.16</v>
      </c>
      <c r="D6">
        <v>543.05</v>
      </c>
      <c r="E6">
        <v>20098.62</v>
      </c>
      <c r="F6">
        <v>605.14</v>
      </c>
      <c r="G6">
        <v>23742.76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471.46</v>
      </c>
      <c r="C7">
        <v>19381.22</v>
      </c>
      <c r="D7">
        <v>509.42</v>
      </c>
      <c r="E7">
        <v>19495.86</v>
      </c>
      <c r="F7">
        <v>-1</v>
      </c>
      <c r="G7">
        <v>15086.82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665.67</v>
      </c>
      <c r="C8">
        <v>19600.32</v>
      </c>
      <c r="D8">
        <v>715.76</v>
      </c>
      <c r="E8">
        <v>19634.67</v>
      </c>
      <c r="F8">
        <v>-1</v>
      </c>
      <c r="G8">
        <v>2968.07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735.06</v>
      </c>
      <c r="C9">
        <v>20696.47</v>
      </c>
      <c r="D9">
        <v>789.33</v>
      </c>
      <c r="E9">
        <v>21189.36</v>
      </c>
      <c r="F9">
        <v>1002.05</v>
      </c>
      <c r="G9">
        <v>23417.78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715.34</v>
      </c>
      <c r="C10">
        <v>20140.82</v>
      </c>
      <c r="D10">
        <v>774.46</v>
      </c>
      <c r="E10">
        <v>21389.43</v>
      </c>
      <c r="F10">
        <v>967.71</v>
      </c>
      <c r="G10">
        <v>23014.41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704.77</v>
      </c>
      <c r="C11">
        <v>21344.87</v>
      </c>
      <c r="D11">
        <v>756.3</v>
      </c>
      <c r="E11">
        <v>20328.55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581.801</v>
      </c>
      <c r="B14" s="4">
        <f>IFERROR(AVERAGEIF($D$2:$D$11,"&lt;&gt; -1"),0)</f>
        <v>626.119</v>
      </c>
      <c r="C14" s="4">
        <f>IFERROR(AVERAGEIF($F$2:$F$11,"&lt;&gt; -1"),0)</f>
        <v>804.3775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20203.625</v>
      </c>
      <c r="H14" s="4">
        <f>IFERROR(AVERAGEIFS($E$2:$E$11,$D$2:$D$11,"&lt;&gt; -1"),0)</f>
        <v>20483.143</v>
      </c>
      <c r="I14" s="4">
        <f>IFERROR(AVERAGEIFS($G$2:$G$11,$F$2:$F$11,"&lt;&gt; -1"),0)</f>
        <v>23117.595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735.06</v>
      </c>
      <c r="N14" s="4">
        <f>IFERROR(_xlfn.MAXIFS($D$2:$D$11,$D$2:$D$11,"&lt;&gt;-1"),0)</f>
        <v>789.33</v>
      </c>
      <c r="O14" s="4">
        <f>IFERROR(_xlfn.MAXIFS($F$2:$F$11,$F$2:$F$11,"&lt;&gt; -1"),0)</f>
        <v>1002.05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471.46</v>
      </c>
      <c r="T14" s="4">
        <f>IFERROR(_xlfn.MINIFS($D$2:$D$11,$D$2:$D$11,"&lt;&gt;-1"),0)</f>
        <v>509.42</v>
      </c>
      <c r="U14" s="4">
        <f>IFERROR(_xlfn.MINIFS($F$2:$F$11,$F$2:$F$11,"&lt;&gt; -1"),0)</f>
        <v>605.14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21503.77</v>
      </c>
      <c r="Z14" s="4">
        <f>IFERROR(_xlfn.MAXIFS($E$2:$E$11,$D$2:$D$11,"&lt;&gt; -1"),0)</f>
        <v>21536.89</v>
      </c>
      <c r="AA14" s="4">
        <f>IFERROR(_xlfn.MAXIFS($G$2:$G$11,$F$2:$F$11,"&lt;&gt; -1"),0)</f>
        <v>23742.76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19342.07</v>
      </c>
      <c r="AF14" s="4">
        <f>IFERROR(_xlfn.MINIFS($E$2:$E$11,$D$2:$D$11,"&lt;&gt; -1"),0)</f>
        <v>19495.86</v>
      </c>
      <c r="AG14" s="4">
        <f>IFERROR(_xlfn.MINIFS($G$2:$G$11,$F$2:$F$11,"&lt;&gt; -1"),0)</f>
        <v>22295.43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0.7</v>
      </c>
      <c r="AL14" s="4">
        <f>(COUNTIFS($D$2:$D$11,"&gt;0.0",$D$2:$D$11,"&lt;700.0"))/10</f>
        <v>0.6</v>
      </c>
      <c r="AM14" s="4">
        <f>(COUNTIFS($F$2:$F$11,"&gt;0.0",$F$2:$F$11,"&lt;700.0"))/10</f>
        <v>0.2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755.96</v>
      </c>
      <c r="C2">
        <v>20464.36</v>
      </c>
      <c r="D2">
        <v>808.87</v>
      </c>
      <c r="E2">
        <v>20277.23</v>
      </c>
      <c r="F2">
        <v>819.72</v>
      </c>
      <c r="G2">
        <v>23416.06</v>
      </c>
      <c r="H2">
        <v>-1</v>
      </c>
      <c r="I2">
        <v>0</v>
      </c>
      <c r="J2">
        <v>-1</v>
      </c>
      <c r="K2">
        <v>768.33</v>
      </c>
      <c r="L2">
        <v>-1</v>
      </c>
      <c r="M2">
        <v>0</v>
      </c>
    </row>
    <row r="3" spans="1:13">
      <c r="A3" t="s">
        <v>14</v>
      </c>
      <c r="B3">
        <v>820.99</v>
      </c>
      <c r="C3">
        <v>21036.38</v>
      </c>
      <c r="D3">
        <v>866.23</v>
      </c>
      <c r="E3">
        <v>21582.16</v>
      </c>
      <c r="F3">
        <v>964.74</v>
      </c>
      <c r="G3">
        <v>24060.61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524.87</v>
      </c>
      <c r="C4">
        <v>19383.92</v>
      </c>
      <c r="D4">
        <v>566.12</v>
      </c>
      <c r="E4">
        <v>20153.09</v>
      </c>
      <c r="F4">
        <v>-1</v>
      </c>
      <c r="G4">
        <v>21106.76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559.74</v>
      </c>
      <c r="C5">
        <v>19632.72</v>
      </c>
      <c r="D5">
        <v>602.1</v>
      </c>
      <c r="E5">
        <v>20069.87</v>
      </c>
      <c r="F5">
        <v>702.67</v>
      </c>
      <c r="G5">
        <v>22402.2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651.37</v>
      </c>
      <c r="C6">
        <v>20168.43</v>
      </c>
      <c r="D6">
        <v>689.03</v>
      </c>
      <c r="E6">
        <v>20546.88</v>
      </c>
      <c r="F6">
        <v>805.52</v>
      </c>
      <c r="G6">
        <v>23158.53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608.99</v>
      </c>
      <c r="C7">
        <v>19541.65</v>
      </c>
      <c r="D7">
        <v>649.39</v>
      </c>
      <c r="E7">
        <v>19157.91</v>
      </c>
      <c r="F7">
        <v>767.39</v>
      </c>
      <c r="G7">
        <v>22104.3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603.53</v>
      </c>
      <c r="C8">
        <v>19927.53</v>
      </c>
      <c r="D8">
        <v>643.69</v>
      </c>
      <c r="E8">
        <v>19917.06</v>
      </c>
      <c r="F8">
        <v>963.72</v>
      </c>
      <c r="G8">
        <v>22536.17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671.58</v>
      </c>
      <c r="C9">
        <v>20840.45</v>
      </c>
      <c r="D9">
        <v>714.2</v>
      </c>
      <c r="E9">
        <v>21121.24</v>
      </c>
      <c r="F9">
        <v>806.05</v>
      </c>
      <c r="G9">
        <v>23756.31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651.2</v>
      </c>
      <c r="C10">
        <v>20614.78</v>
      </c>
      <c r="D10">
        <v>689.77</v>
      </c>
      <c r="E10">
        <v>21326.58</v>
      </c>
      <c r="F10">
        <v>761.96</v>
      </c>
      <c r="G10">
        <v>23420.57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677.47</v>
      </c>
      <c r="C11">
        <v>20524.61</v>
      </c>
      <c r="D11">
        <v>719.25</v>
      </c>
      <c r="E11">
        <v>20824.2</v>
      </c>
      <c r="F11">
        <v>760.39</v>
      </c>
      <c r="G11">
        <v>23500.53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652.57</v>
      </c>
      <c r="B14" s="4">
        <f>IFERROR(AVERAGEIF($D$2:$D$11,"&lt;&gt; -1"),0)</f>
        <v>694.865</v>
      </c>
      <c r="C14" s="4">
        <f>IFERROR(AVERAGEIF($F$2:$F$11,"&lt;&gt; -1"),0)</f>
        <v>816.906666666667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20213.483</v>
      </c>
      <c r="H14" s="4">
        <f>IFERROR(AVERAGEIFS($E$2:$E$11,$D$2:$D$11,"&lt;&gt; -1"),0)</f>
        <v>20497.622</v>
      </c>
      <c r="I14" s="4">
        <f>IFERROR(AVERAGEIFS($G$2:$G$11,$F$2:$F$11,"&lt;&gt; -1"),0)</f>
        <v>23150.5866666667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820.99</v>
      </c>
      <c r="N14" s="4">
        <f>IFERROR(_xlfn.MAXIFS($D$2:$D$11,$D$2:$D$11,"&lt;&gt;-1"),0)</f>
        <v>866.23</v>
      </c>
      <c r="O14" s="4">
        <f>IFERROR(_xlfn.MAXIFS($F$2:$F$11,$F$2:$F$11,"&lt;&gt; -1"),0)</f>
        <v>964.74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524.87</v>
      </c>
      <c r="T14" s="4">
        <f>IFERROR(_xlfn.MINIFS($D$2:$D$11,$D$2:$D$11,"&lt;&gt;-1"),0)</f>
        <v>566.12</v>
      </c>
      <c r="U14" s="4">
        <f>IFERROR(_xlfn.MINIFS($F$2:$F$11,$F$2:$F$11,"&lt;&gt; -1"),0)</f>
        <v>702.67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21036.38</v>
      </c>
      <c r="Z14" s="4">
        <f>IFERROR(_xlfn.MAXIFS($E$2:$E$11,$D$2:$D$11,"&lt;&gt; -1"),0)</f>
        <v>21582.16</v>
      </c>
      <c r="AA14" s="4">
        <f>IFERROR(_xlfn.MAXIFS($G$2:$G$11,$F$2:$F$11,"&lt;&gt; -1"),0)</f>
        <v>24060.61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19383.92</v>
      </c>
      <c r="AF14" s="4">
        <f>IFERROR(_xlfn.MINIFS($E$2:$E$11,$D$2:$D$11,"&lt;&gt; -1"),0)</f>
        <v>19157.91</v>
      </c>
      <c r="AG14" s="4">
        <f>IFERROR(_xlfn.MINIFS($G$2:$G$11,$F$2:$F$11,"&lt;&gt; -1"),0)</f>
        <v>22104.3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0.8</v>
      </c>
      <c r="AL14" s="4">
        <f>(COUNTIFS($D$2:$D$11,"&gt;0.0",$D$2:$D$11,"&lt;700.0"))/10</f>
        <v>0.6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684.43</v>
      </c>
      <c r="C2">
        <v>21279.54</v>
      </c>
      <c r="D2">
        <v>694.33</v>
      </c>
      <c r="E2">
        <v>20504.71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709.75</v>
      </c>
      <c r="C3">
        <v>21123.08</v>
      </c>
      <c r="D3">
        <v>720.42</v>
      </c>
      <c r="E3">
        <v>21820.41</v>
      </c>
      <c r="F3">
        <v>-1</v>
      </c>
      <c r="G3">
        <v>13617.84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659.59</v>
      </c>
      <c r="C4">
        <v>19761.17</v>
      </c>
      <c r="D4">
        <v>671.08</v>
      </c>
      <c r="E4">
        <v>20592.99</v>
      </c>
      <c r="F4">
        <v>-1</v>
      </c>
      <c r="G4">
        <v>21377.48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660.77</v>
      </c>
      <c r="C5">
        <v>19317.38</v>
      </c>
      <c r="D5">
        <v>670.1</v>
      </c>
      <c r="E5">
        <v>19987.8</v>
      </c>
      <c r="F5">
        <v>852.65</v>
      </c>
      <c r="G5">
        <v>21807.55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688.34</v>
      </c>
      <c r="C6">
        <v>20549.78</v>
      </c>
      <c r="D6">
        <v>701.65</v>
      </c>
      <c r="E6">
        <v>21163.41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669.72</v>
      </c>
      <c r="C7">
        <v>19495.09</v>
      </c>
      <c r="D7">
        <v>678.21</v>
      </c>
      <c r="E7">
        <v>20472.06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689.67</v>
      </c>
      <c r="C8">
        <v>19191.11</v>
      </c>
      <c r="D8">
        <v>701.65</v>
      </c>
      <c r="E8">
        <v>20565.61</v>
      </c>
      <c r="F8">
        <v>-1</v>
      </c>
      <c r="G8">
        <v>1701.33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766.98</v>
      </c>
      <c r="C9">
        <v>20994.8</v>
      </c>
      <c r="D9">
        <v>776.93</v>
      </c>
      <c r="E9">
        <v>21823.36</v>
      </c>
      <c r="F9">
        <v>-1</v>
      </c>
      <c r="G9">
        <v>2402.92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758.48</v>
      </c>
      <c r="C10">
        <v>20769.76</v>
      </c>
      <c r="D10">
        <v>771.85</v>
      </c>
      <c r="E10">
        <v>21920.16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746.68</v>
      </c>
      <c r="C11">
        <v>19611.89</v>
      </c>
      <c r="D11">
        <v>758.83</v>
      </c>
      <c r="E11">
        <v>21416.3</v>
      </c>
      <c r="F11">
        <v>-1</v>
      </c>
      <c r="G11">
        <v>17619.04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703.441</v>
      </c>
      <c r="B14" s="4">
        <f>IFERROR(AVERAGEIF($D$2:$D$11,"&lt;&gt; -1"),0)</f>
        <v>714.505</v>
      </c>
      <c r="C14" s="4">
        <f>IFERROR(AVERAGEIF($F$2:$F$11,"&lt;&gt; -1"),0)</f>
        <v>852.65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20209.36</v>
      </c>
      <c r="H14" s="4">
        <f>IFERROR(AVERAGEIFS($E$2:$E$11,$D$2:$D$11,"&lt;&gt; -1"),0)</f>
        <v>21026.681</v>
      </c>
      <c r="I14" s="4">
        <f>IFERROR(AVERAGEIFS($G$2:$G$11,$F$2:$F$11,"&lt;&gt; -1"),0)</f>
        <v>21807.55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766.98</v>
      </c>
      <c r="N14" s="4">
        <f>IFERROR(_xlfn.MAXIFS($D$2:$D$11,$D$2:$D$11,"&lt;&gt;-1"),0)</f>
        <v>776.93</v>
      </c>
      <c r="O14" s="4">
        <f>IFERROR(_xlfn.MAXIFS($F$2:$F$11,$F$2:$F$11,"&lt;&gt; -1"),0)</f>
        <v>852.65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659.59</v>
      </c>
      <c r="T14" s="4">
        <f>IFERROR(_xlfn.MINIFS($D$2:$D$11,$D$2:$D$11,"&lt;&gt;-1"),0)</f>
        <v>670.1</v>
      </c>
      <c r="U14" s="4">
        <f>IFERROR(_xlfn.MINIFS($F$2:$F$11,$F$2:$F$11,"&lt;&gt; -1"),0)</f>
        <v>852.65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21279.54</v>
      </c>
      <c r="Z14" s="4">
        <f>IFERROR(_xlfn.MAXIFS($E$2:$E$11,$D$2:$D$11,"&lt;&gt; -1"),0)</f>
        <v>21920.16</v>
      </c>
      <c r="AA14" s="4">
        <f>IFERROR(_xlfn.MAXIFS($G$2:$G$11,$F$2:$F$11,"&lt;&gt; -1"),0)</f>
        <v>21807.55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19191.11</v>
      </c>
      <c r="AF14" s="4">
        <f>IFERROR(_xlfn.MINIFS($E$2:$E$11,$D$2:$D$11,"&lt;&gt; -1"),0)</f>
        <v>19987.8</v>
      </c>
      <c r="AG14" s="4">
        <f>IFERROR(_xlfn.MINIFS($G$2:$G$11,$F$2:$F$11,"&lt;&gt; -1"),0)</f>
        <v>21807.55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0.6</v>
      </c>
      <c r="AL14" s="4">
        <f>(COUNTIFS($D$2:$D$11,"&gt;0.0",$D$2:$D$11,"&lt;700.0"))/10</f>
        <v>0.4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9" sqref="D9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411.551</v>
      </c>
      <c r="B2">
        <v>452.016</v>
      </c>
      <c r="C2">
        <v>502.368888888889</v>
      </c>
      <c r="D2">
        <v>657.427777777778</v>
      </c>
      <c r="E2">
        <v>515.43</v>
      </c>
      <c r="F2">
        <v>0</v>
      </c>
      <c r="G2">
        <v>20005.388</v>
      </c>
      <c r="H2">
        <v>19925.608</v>
      </c>
      <c r="I2">
        <v>23032.8944444444</v>
      </c>
      <c r="J2">
        <v>22815.2555555556</v>
      </c>
      <c r="K2">
        <v>20066.91</v>
      </c>
      <c r="L2">
        <v>0</v>
      </c>
      <c r="M2">
        <v>528.44</v>
      </c>
      <c r="N2">
        <v>584.22</v>
      </c>
      <c r="O2">
        <v>618.02</v>
      </c>
      <c r="P2">
        <v>834.1</v>
      </c>
      <c r="Q2">
        <v>696.93</v>
      </c>
      <c r="R2">
        <v>0</v>
      </c>
      <c r="S2">
        <v>380.73</v>
      </c>
      <c r="T2">
        <v>419.89</v>
      </c>
      <c r="U2">
        <v>438.87</v>
      </c>
      <c r="V2">
        <v>490.22</v>
      </c>
      <c r="W2">
        <v>418.74</v>
      </c>
      <c r="X2">
        <v>0</v>
      </c>
      <c r="Y2">
        <v>20697.09</v>
      </c>
      <c r="Z2">
        <v>20832.26</v>
      </c>
      <c r="AA2">
        <v>23774.2</v>
      </c>
      <c r="AB2">
        <v>23862.49</v>
      </c>
      <c r="AC2">
        <v>20439.44</v>
      </c>
      <c r="AD2">
        <v>0</v>
      </c>
      <c r="AE2">
        <v>19020.46</v>
      </c>
      <c r="AF2">
        <v>18876.27</v>
      </c>
      <c r="AG2">
        <v>21829.14</v>
      </c>
      <c r="AH2">
        <v>21641.42</v>
      </c>
      <c r="AI2">
        <v>19344.16</v>
      </c>
      <c r="AJ2">
        <v>0</v>
      </c>
      <c r="AK2">
        <v>1</v>
      </c>
      <c r="AL2">
        <v>1</v>
      </c>
      <c r="AM2">
        <v>0.9</v>
      </c>
      <c r="AN2">
        <v>0.5</v>
      </c>
      <c r="AO2">
        <v>0.4</v>
      </c>
      <c r="AP2">
        <v>0</v>
      </c>
    </row>
    <row r="3" spans="1:42">
      <c r="A3">
        <v>433.294</v>
      </c>
      <c r="B3">
        <v>470.82</v>
      </c>
      <c r="C3">
        <v>624.275</v>
      </c>
      <c r="D3">
        <v>0</v>
      </c>
      <c r="E3">
        <v>471.42</v>
      </c>
      <c r="F3">
        <v>0</v>
      </c>
      <c r="G3">
        <v>19937.853</v>
      </c>
      <c r="H3">
        <v>20063.775</v>
      </c>
      <c r="I3">
        <v>22513.3733333333</v>
      </c>
      <c r="J3">
        <v>0</v>
      </c>
      <c r="K3">
        <v>20684.63</v>
      </c>
      <c r="L3">
        <v>0</v>
      </c>
      <c r="M3">
        <v>454.02</v>
      </c>
      <c r="N3">
        <v>492.64</v>
      </c>
      <c r="O3">
        <v>721.79</v>
      </c>
      <c r="P3">
        <v>0</v>
      </c>
      <c r="Q3">
        <v>471.42</v>
      </c>
      <c r="R3">
        <v>0</v>
      </c>
      <c r="S3">
        <v>412.08</v>
      </c>
      <c r="T3">
        <v>448.84</v>
      </c>
      <c r="U3">
        <v>528.18</v>
      </c>
      <c r="V3">
        <v>0</v>
      </c>
      <c r="W3">
        <v>471.42</v>
      </c>
      <c r="X3">
        <v>0</v>
      </c>
      <c r="Y3">
        <v>20624.59</v>
      </c>
      <c r="Z3">
        <v>20923.3</v>
      </c>
      <c r="AA3">
        <v>23232.67</v>
      </c>
      <c r="AB3">
        <v>0</v>
      </c>
      <c r="AC3">
        <v>20684.63</v>
      </c>
      <c r="AD3">
        <v>0</v>
      </c>
      <c r="AE3">
        <v>18849.86</v>
      </c>
      <c r="AF3">
        <v>18893.74</v>
      </c>
      <c r="AG3">
        <v>21548.52</v>
      </c>
      <c r="AH3">
        <v>0</v>
      </c>
      <c r="AI3">
        <v>20684.63</v>
      </c>
      <c r="AJ3">
        <v>0</v>
      </c>
      <c r="AK3">
        <v>1</v>
      </c>
      <c r="AL3">
        <v>1</v>
      </c>
      <c r="AM3">
        <v>0.4</v>
      </c>
      <c r="AN3">
        <v>0</v>
      </c>
      <c r="AO3">
        <v>0.1</v>
      </c>
      <c r="AP3">
        <v>0</v>
      </c>
    </row>
    <row r="4" spans="1:42">
      <c r="A4">
        <v>468.546</v>
      </c>
      <c r="B4">
        <v>506.447</v>
      </c>
      <c r="C4">
        <v>586.382</v>
      </c>
      <c r="D4">
        <v>0</v>
      </c>
      <c r="E4">
        <v>477.81</v>
      </c>
      <c r="F4">
        <v>0</v>
      </c>
      <c r="G4">
        <v>20003.882</v>
      </c>
      <c r="H4">
        <v>20207.462</v>
      </c>
      <c r="I4">
        <v>22564.048</v>
      </c>
      <c r="J4">
        <v>0</v>
      </c>
      <c r="K4">
        <v>18506.45</v>
      </c>
      <c r="L4">
        <v>0</v>
      </c>
      <c r="M4">
        <v>492.83</v>
      </c>
      <c r="N4">
        <v>529.79</v>
      </c>
      <c r="O4">
        <v>758.48</v>
      </c>
      <c r="P4">
        <v>0</v>
      </c>
      <c r="Q4">
        <v>477.81</v>
      </c>
      <c r="R4">
        <v>0</v>
      </c>
      <c r="S4">
        <v>446.86</v>
      </c>
      <c r="T4">
        <v>485.25</v>
      </c>
      <c r="U4">
        <v>483.63</v>
      </c>
      <c r="V4">
        <v>0</v>
      </c>
      <c r="W4">
        <v>477.81</v>
      </c>
      <c r="X4">
        <v>0</v>
      </c>
      <c r="Y4">
        <v>21275.88</v>
      </c>
      <c r="Z4">
        <v>21166.98</v>
      </c>
      <c r="AA4">
        <v>23653.02</v>
      </c>
      <c r="AB4">
        <v>0</v>
      </c>
      <c r="AC4">
        <v>18506.45</v>
      </c>
      <c r="AD4">
        <v>0</v>
      </c>
      <c r="AE4">
        <v>18518.87</v>
      </c>
      <c r="AF4">
        <v>18820.3</v>
      </c>
      <c r="AG4">
        <v>21259.13</v>
      </c>
      <c r="AH4">
        <v>0</v>
      </c>
      <c r="AI4">
        <v>18506.45</v>
      </c>
      <c r="AJ4">
        <v>0</v>
      </c>
      <c r="AK4">
        <v>1</v>
      </c>
      <c r="AL4">
        <v>1</v>
      </c>
      <c r="AM4">
        <v>0.4</v>
      </c>
      <c r="AN4">
        <v>0</v>
      </c>
      <c r="AO4">
        <v>0.1</v>
      </c>
      <c r="AP4">
        <v>0</v>
      </c>
    </row>
    <row r="5" spans="1:42">
      <c r="A5">
        <v>581.801</v>
      </c>
      <c r="B5">
        <v>626.119</v>
      </c>
      <c r="C5">
        <v>804.3775</v>
      </c>
      <c r="D5">
        <v>0</v>
      </c>
      <c r="E5">
        <v>0</v>
      </c>
      <c r="F5">
        <v>0</v>
      </c>
      <c r="G5">
        <v>20203.625</v>
      </c>
      <c r="H5">
        <v>20483.143</v>
      </c>
      <c r="I5">
        <v>23117.595</v>
      </c>
      <c r="J5">
        <v>0</v>
      </c>
      <c r="K5">
        <v>0</v>
      </c>
      <c r="L5">
        <v>0</v>
      </c>
      <c r="M5">
        <v>735.06</v>
      </c>
      <c r="N5">
        <v>789.33</v>
      </c>
      <c r="O5">
        <v>1002.05</v>
      </c>
      <c r="P5">
        <v>0</v>
      </c>
      <c r="Q5">
        <v>0</v>
      </c>
      <c r="R5">
        <v>0</v>
      </c>
      <c r="S5">
        <v>471.46</v>
      </c>
      <c r="T5">
        <v>509.42</v>
      </c>
      <c r="U5">
        <v>605.14</v>
      </c>
      <c r="V5">
        <v>0</v>
      </c>
      <c r="W5">
        <v>0</v>
      </c>
      <c r="X5">
        <v>0</v>
      </c>
      <c r="Y5">
        <v>21503.77</v>
      </c>
      <c r="Z5">
        <v>21536.89</v>
      </c>
      <c r="AA5">
        <v>23742.76</v>
      </c>
      <c r="AB5">
        <v>0</v>
      </c>
      <c r="AC5">
        <v>0</v>
      </c>
      <c r="AD5">
        <v>0</v>
      </c>
      <c r="AE5">
        <v>19342.07</v>
      </c>
      <c r="AF5">
        <v>19495.86</v>
      </c>
      <c r="AG5">
        <v>22295.43</v>
      </c>
      <c r="AH5">
        <v>0</v>
      </c>
      <c r="AI5">
        <v>0</v>
      </c>
      <c r="AJ5">
        <v>0</v>
      </c>
      <c r="AK5">
        <v>0.7</v>
      </c>
      <c r="AL5">
        <v>0.6</v>
      </c>
      <c r="AM5">
        <v>0.2</v>
      </c>
      <c r="AN5">
        <v>0</v>
      </c>
      <c r="AO5">
        <v>0</v>
      </c>
      <c r="AP5">
        <v>0</v>
      </c>
    </row>
    <row r="6" spans="1:42">
      <c r="A6">
        <v>652.57</v>
      </c>
      <c r="B6">
        <v>694.865</v>
      </c>
      <c r="C6">
        <v>816.906666666667</v>
      </c>
      <c r="D6">
        <v>0</v>
      </c>
      <c r="E6">
        <v>0</v>
      </c>
      <c r="F6">
        <v>0</v>
      </c>
      <c r="G6">
        <v>20213.483</v>
      </c>
      <c r="H6">
        <v>20497.622</v>
      </c>
      <c r="I6">
        <v>23150.5866666667</v>
      </c>
      <c r="J6">
        <v>0</v>
      </c>
      <c r="K6">
        <v>0</v>
      </c>
      <c r="L6">
        <v>0</v>
      </c>
      <c r="M6">
        <v>820.99</v>
      </c>
      <c r="N6">
        <v>866.23</v>
      </c>
      <c r="O6">
        <v>964.74</v>
      </c>
      <c r="P6">
        <v>0</v>
      </c>
      <c r="Q6">
        <v>0</v>
      </c>
      <c r="R6">
        <v>0</v>
      </c>
      <c r="S6">
        <v>524.87</v>
      </c>
      <c r="T6">
        <v>566.12</v>
      </c>
      <c r="U6">
        <v>702.67</v>
      </c>
      <c r="V6">
        <v>0</v>
      </c>
      <c r="W6">
        <v>0</v>
      </c>
      <c r="X6">
        <v>0</v>
      </c>
      <c r="Y6">
        <v>21036.38</v>
      </c>
      <c r="Z6">
        <v>21582.16</v>
      </c>
      <c r="AA6">
        <v>24060.61</v>
      </c>
      <c r="AB6">
        <v>0</v>
      </c>
      <c r="AC6">
        <v>0</v>
      </c>
      <c r="AD6">
        <v>0</v>
      </c>
      <c r="AE6">
        <v>19383.92</v>
      </c>
      <c r="AF6">
        <v>19157.91</v>
      </c>
      <c r="AG6">
        <v>22104.3</v>
      </c>
      <c r="AH6">
        <v>0</v>
      </c>
      <c r="AI6">
        <v>0</v>
      </c>
      <c r="AJ6">
        <v>0</v>
      </c>
      <c r="AK6">
        <v>0.8</v>
      </c>
      <c r="AL6">
        <v>0.6</v>
      </c>
      <c r="AM6">
        <v>0</v>
      </c>
      <c r="AN6">
        <v>0</v>
      </c>
      <c r="AO6">
        <v>0</v>
      </c>
      <c r="AP6">
        <v>0</v>
      </c>
    </row>
    <row r="7" spans="1:42">
      <c r="A7">
        <v>703.441</v>
      </c>
      <c r="B7">
        <v>714.505</v>
      </c>
      <c r="C7">
        <v>852.65</v>
      </c>
      <c r="D7">
        <v>0</v>
      </c>
      <c r="E7">
        <v>0</v>
      </c>
      <c r="F7">
        <v>0</v>
      </c>
      <c r="G7">
        <v>20209.36</v>
      </c>
      <c r="H7">
        <v>21026.681</v>
      </c>
      <c r="I7">
        <v>21807.55</v>
      </c>
      <c r="J7">
        <v>0</v>
      </c>
      <c r="K7">
        <v>0</v>
      </c>
      <c r="L7">
        <v>0</v>
      </c>
      <c r="M7">
        <v>766.98</v>
      </c>
      <c r="N7">
        <v>776.93</v>
      </c>
      <c r="O7">
        <v>852.65</v>
      </c>
      <c r="P7">
        <v>0</v>
      </c>
      <c r="Q7">
        <v>0</v>
      </c>
      <c r="R7">
        <v>0</v>
      </c>
      <c r="S7">
        <v>659.59</v>
      </c>
      <c r="T7">
        <v>670.1</v>
      </c>
      <c r="U7">
        <v>852.65</v>
      </c>
      <c r="V7">
        <v>0</v>
      </c>
      <c r="W7">
        <v>0</v>
      </c>
      <c r="X7">
        <v>0</v>
      </c>
      <c r="Y7">
        <v>21279.54</v>
      </c>
      <c r="Z7">
        <v>21920.16</v>
      </c>
      <c r="AA7">
        <v>21807.55</v>
      </c>
      <c r="AB7">
        <v>0</v>
      </c>
      <c r="AC7">
        <v>0</v>
      </c>
      <c r="AD7">
        <v>0</v>
      </c>
      <c r="AE7">
        <v>19191.11</v>
      </c>
      <c r="AF7">
        <v>19987.8</v>
      </c>
      <c r="AG7">
        <v>21807.55</v>
      </c>
      <c r="AH7">
        <v>0</v>
      </c>
      <c r="AI7">
        <v>0</v>
      </c>
      <c r="AJ7">
        <v>0</v>
      </c>
      <c r="AK7">
        <v>0.6</v>
      </c>
      <c r="AL7">
        <v>0.4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2024-09-07T23:40:00Z</dcterms:created>
  <dcterms:modified xsi:type="dcterms:W3CDTF">2024-09-08T10:25:34Z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390419180F7E48DC8098CB51EE401D8A_12</vt:lpwstr>
  </property>
  <property fmtid="{D5CDD505-2E9C-101B-9397-08002B2CF9AE}" pid="3" name="KSOProductBuildVer">
    <vt:lpwstr>2052-12.1.0.17827</vt:lpwstr>
  </property>
</Properties>
</file>