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<sst xmlns="http://schemas.openxmlformats.org/spreadsheetml/2006/main" count="432" uniqueCount="65">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</sst>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B13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435.35</v>
      </c>
      <c r="C2">
        <v>18726.42</v>
      </c>
      <c r="D2">
        <v>334.65</v>
      </c>
      <c r="E2">
        <v>18541.75</v>
      </c>
      <c r="F2">
        <v>440.86</v>
      </c>
      <c r="G2">
        <v>21923.91</v>
      </c>
      <c r="H2">
        <v>-1</v>
      </c>
      <c r="I2">
        <v>6095.37</v>
      </c>
      <c r="J2">
        <v>-1</v>
      </c>
      <c r="K2">
        <v>6348.46</v>
      </c>
      <c r="L2">
        <v>-1</v>
      </c>
      <c r="M2">
        <v>2722.24</v>
      </c>
    </row>
    <row r="3" spans="1:13">
      <c r="A3" t="s">
        <v>14</v>
      </c>
      <c r="B3">
        <v>690.6</v>
      </c>
      <c r="C3">
        <v>19063.09</v>
      </c>
      <c r="D3">
        <v>517.85</v>
      </c>
      <c r="E3">
        <v>18972.2</v>
      </c>
      <c r="F3">
        <v>-1</v>
      </c>
      <c r="G3">
        <v>14984.91</v>
      </c>
      <c r="H3">
        <v>-1</v>
      </c>
      <c r="I3">
        <v>8847.25</v>
      </c>
      <c r="J3">
        <v>697.66</v>
      </c>
      <c r="K3">
        <v>19114.88</v>
      </c>
      <c r="L3">
        <v>-1</v>
      </c>
      <c r="M3">
        <v>1404.68</v>
      </c>
    </row>
    <row r="4" spans="1:13">
      <c r="A4" t="s">
        <v>15</v>
      </c>
      <c r="B4">
        <v>696.49</v>
      </c>
      <c r="C4">
        <v>19020.56</v>
      </c>
      <c r="D4">
        <v>527.88</v>
      </c>
      <c r="E4">
        <v>19084.88</v>
      </c>
      <c r="F4">
        <v>722.4</v>
      </c>
      <c r="G4">
        <v>22178.57</v>
      </c>
      <c r="H4">
        <v>-1</v>
      </c>
      <c r="I4">
        <v>13396.72</v>
      </c>
      <c r="J4">
        <v>-1</v>
      </c>
      <c r="K4">
        <v>660.79</v>
      </c>
      <c r="L4">
        <v>-1</v>
      </c>
      <c r="M4">
        <v>13147.99</v>
      </c>
    </row>
    <row r="5" spans="1:13">
      <c r="A5" t="s">
        <v>16</v>
      </c>
      <c r="B5">
        <v>693.16</v>
      </c>
      <c r="C5">
        <v>18991.01</v>
      </c>
      <c r="D5">
        <v>515.62</v>
      </c>
      <c r="E5">
        <v>18993.27</v>
      </c>
      <c r="F5">
        <v>710.18</v>
      </c>
      <c r="G5">
        <v>22255.22</v>
      </c>
      <c r="H5">
        <v>-1</v>
      </c>
      <c r="I5">
        <v>7362.29</v>
      </c>
      <c r="J5">
        <v>-1</v>
      </c>
      <c r="K5">
        <v>8934.82</v>
      </c>
      <c r="L5">
        <v>-1</v>
      </c>
      <c r="M5">
        <v>4126.43</v>
      </c>
    </row>
    <row r="6" spans="1:13">
      <c r="A6" t="s">
        <v>17</v>
      </c>
      <c r="B6">
        <v>696.15</v>
      </c>
      <c r="C6">
        <v>18961.19</v>
      </c>
      <c r="D6">
        <v>531.74</v>
      </c>
      <c r="E6">
        <v>19473.76</v>
      </c>
      <c r="F6">
        <v>-1</v>
      </c>
      <c r="G6">
        <v>11317.98</v>
      </c>
      <c r="H6">
        <v>-1</v>
      </c>
      <c r="I6">
        <v>9660.79</v>
      </c>
      <c r="J6">
        <v>-1</v>
      </c>
      <c r="K6">
        <v>2503.15</v>
      </c>
      <c r="L6">
        <v>-1</v>
      </c>
      <c r="M6">
        <v>8413.03</v>
      </c>
    </row>
    <row r="7" spans="1:13">
      <c r="A7" t="s">
        <v>18</v>
      </c>
      <c r="B7">
        <v>697.66</v>
      </c>
      <c r="C7">
        <v>18936.24</v>
      </c>
      <c r="D7">
        <v>508.87</v>
      </c>
      <c r="E7">
        <v>18968.32</v>
      </c>
      <c r="F7">
        <v>-1</v>
      </c>
      <c r="G7">
        <v>15645.81</v>
      </c>
      <c r="H7">
        <v>516.68</v>
      </c>
      <c r="I7">
        <v>22193.81</v>
      </c>
      <c r="J7">
        <v>-1</v>
      </c>
      <c r="K7">
        <v>18111.96</v>
      </c>
      <c r="L7">
        <v>509.65</v>
      </c>
      <c r="M7">
        <v>18969.71</v>
      </c>
    </row>
    <row r="8" spans="1:13">
      <c r="A8" t="s">
        <v>19</v>
      </c>
      <c r="B8">
        <v>674.13</v>
      </c>
      <c r="C8">
        <v>17707.6</v>
      </c>
      <c r="D8">
        <v>502.4</v>
      </c>
      <c r="E8">
        <v>18338.05</v>
      </c>
      <c r="F8">
        <v>-1</v>
      </c>
      <c r="G8">
        <v>18124.82</v>
      </c>
      <c r="H8">
        <v>-1</v>
      </c>
      <c r="I8">
        <v>2288.49</v>
      </c>
      <c r="J8">
        <v>682.6</v>
      </c>
      <c r="K8">
        <v>17771.39</v>
      </c>
      <c r="L8">
        <v>-1</v>
      </c>
      <c r="M8">
        <v>509.5</v>
      </c>
    </row>
    <row r="9" spans="1:13">
      <c r="A9" t="s">
        <v>20</v>
      </c>
      <c r="B9">
        <v>696.96</v>
      </c>
      <c r="C9">
        <v>19310.42</v>
      </c>
      <c r="D9">
        <v>528.3</v>
      </c>
      <c r="E9">
        <v>19283.44</v>
      </c>
      <c r="F9">
        <v>-1</v>
      </c>
      <c r="G9">
        <v>3633.5</v>
      </c>
      <c r="H9">
        <v>-1</v>
      </c>
      <c r="I9">
        <v>19143.05</v>
      </c>
      <c r="J9">
        <v>-1</v>
      </c>
      <c r="K9">
        <v>14230.76</v>
      </c>
      <c r="L9">
        <v>-1</v>
      </c>
      <c r="M9">
        <v>2859.15</v>
      </c>
    </row>
    <row r="10" spans="1:13">
      <c r="A10" t="s">
        <v>21</v>
      </c>
      <c r="B10">
        <v>695.22</v>
      </c>
      <c r="C10">
        <v>19151.73</v>
      </c>
      <c r="D10">
        <v>518.55</v>
      </c>
      <c r="E10">
        <v>18884.05</v>
      </c>
      <c r="F10">
        <v>715.52</v>
      </c>
      <c r="G10">
        <v>22237.54</v>
      </c>
      <c r="H10">
        <v>-1</v>
      </c>
      <c r="I10">
        <v>5078.4</v>
      </c>
      <c r="J10">
        <v>712.81</v>
      </c>
      <c r="K10">
        <v>19144.5</v>
      </c>
      <c r="L10">
        <v>-1</v>
      </c>
      <c r="M10">
        <v>3281.66</v>
      </c>
    </row>
    <row r="11" spans="1:13">
      <c r="A11" t="s">
        <v>22</v>
      </c>
      <c r="B11">
        <v>751.92</v>
      </c>
      <c r="C11">
        <v>20090.52</v>
      </c>
      <c r="D11">
        <v>574.16</v>
      </c>
      <c r="E11">
        <v>20423.48</v>
      </c>
      <c r="F11">
        <v>774.47</v>
      </c>
      <c r="G11">
        <v>23606.73</v>
      </c>
      <c r="H11">
        <v>-1</v>
      </c>
      <c r="I11">
        <v>8059.43</v>
      </c>
      <c r="J11">
        <v>-1</v>
      </c>
      <c r="K11">
        <v>4404.87</v>
      </c>
      <c r="L11">
        <v>-1</v>
      </c>
      <c r="M11">
        <v>578.48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642.35</v>
      </c>
      <c r="B14" s="4">
        <f>IFERROR(AVERAGEIF($D$2:$D$6,"&lt;&gt; -1"),0)</f>
        <v>485.548</v>
      </c>
      <c r="C14" s="4">
        <f>IFERROR(AVERAGEIF($F$2:$F$6,"&lt;&gt; -1"),0)</f>
        <v>624.48</v>
      </c>
      <c r="D14" s="4">
        <f>IFERROR(AVERAGEIF($H$2:$H$6,"&lt;&gt; -1"),0)</f>
        <v>0</v>
      </c>
      <c r="E14" s="4">
        <f>IFERROR(AVERAGEIF($J$2:$J$6,"&lt;&gt; -1"),0)</f>
        <v>697.66</v>
      </c>
      <c r="F14" s="4">
        <f>IFERROR(AVERAGEIF($L$2:$L$6,"&lt;&gt; -1"),0)</f>
        <v>0</v>
      </c>
      <c r="G14" s="4">
        <f>IFERROR(AVERAGEIFS($C$2:$C$6,$B$2:$B$6,"&lt;&gt; -1"),0)</f>
        <v>18952.454</v>
      </c>
      <c r="H14" s="4">
        <f>IFERROR(AVERAGEIFS($E$2:$E$6,$D$2:$D$6,"&lt;&gt; -1"),0)</f>
        <v>19013.172</v>
      </c>
      <c r="I14" s="4">
        <f>IFERROR(AVERAGEIFS($G$2:$G$6,$F$2:$F$6,"&lt;&gt; -1"),0)</f>
        <v>22119.2333333333</v>
      </c>
      <c r="J14" s="4">
        <f>IFERROR(AVERAGEIFS($I$2:$I$6,$H$2:$H$6,"&lt;&gt; -1"),0)</f>
        <v>0</v>
      </c>
      <c r="K14" s="4">
        <f>IFERROR(AVERAGEIFS($K$2:$K$6,$J$2:$J$6,"&lt;&gt; -1"),0)</f>
        <v>19114.88</v>
      </c>
      <c r="L14" s="4">
        <f>IFERROR(AVERAGEIFS($M$2:$M$6,$L$2:$L$6,"&lt;&gt; -1"),0)</f>
        <v>0</v>
      </c>
      <c r="M14" s="4">
        <f>IFERROR(_xlfn.MAXIFS($B$2:$B$6,$B$2:$B$6,"&lt;&gt; -1"),0)</f>
        <v>696.49</v>
      </c>
      <c r="N14" s="4">
        <f>IFERROR(_xlfn.MAXIFS($D$2:$D$6,$D$2:$D$6,"&lt;&gt;-1"),0)</f>
        <v>531.74</v>
      </c>
      <c r="O14" s="4">
        <f>IFERROR(_xlfn.MAXIFS($F$2:$F$6,$F$2:$F$6,"&lt;&gt; -1"),0)</f>
        <v>722.4</v>
      </c>
      <c r="P14" s="4">
        <f>IFERROR(_xlfn.MAXIFS($H$2:$H$6,$H$2:$H$6,"&lt;&gt; -1"),0)</f>
        <v>0</v>
      </c>
      <c r="Q14" s="4">
        <f>IFERROR(_xlfn.MAXIFS($J$2:$J$6,$J$2:$J$6,"&lt;&gt; -1"),0)</f>
        <v>697.66</v>
      </c>
      <c r="R14" s="4">
        <f>IFERROR(_xlfn.MAXIFS($L$2:$L$6,$L$2:$L$6,"&lt;&gt; -1"),0)</f>
        <v>0</v>
      </c>
      <c r="S14" s="4">
        <f>IFERROR(_xlfn.MINIFS($B$2:$B$6,$B$2:$B$6,"&lt;&gt; -1"),0)</f>
        <v>435.35</v>
      </c>
      <c r="T14" s="4">
        <f>IFERROR(_xlfn.MINIFS($D$2:$D$6,$D$2:$D$6,"&lt;&gt;-1"),0)</f>
        <v>334.65</v>
      </c>
      <c r="U14" s="4">
        <f>IFERROR(_xlfn.MINIFS($F$2:$F$6,$F$2:$F$6,"&lt;&gt; -1"),0)</f>
        <v>440.86</v>
      </c>
      <c r="V14" s="4">
        <f>IFERROR(_xlfn.MINIFS($H$2:$H$6,$H$2:$H$6,"&lt;&gt; -1"),0)</f>
        <v>0</v>
      </c>
      <c r="W14" s="4">
        <f>IFERROR(_xlfn.MINIFS($J$2:$J$6,$J$2:$J$6,"&lt;&gt; -1"),0)</f>
        <v>697.66</v>
      </c>
      <c r="X14" s="4">
        <f>IFERROR(_xlfn.MINIFS($L$2:$L$6,$L$2:$L$6,"&lt;&gt; -1"),0)</f>
        <v>0</v>
      </c>
      <c r="Y14" s="4">
        <f>IFERROR(_xlfn.MAXIFS($C$2:$C$6,$B$2:$B$6,"&lt;&gt; -1"),0)</f>
        <v>19063.09</v>
      </c>
      <c r="Z14" s="4">
        <f>IFERROR(_xlfn.MAXIFS($E$2:$E$6,$D$2:$D$6,"&lt;&gt; -1"),0)</f>
        <v>19473.76</v>
      </c>
      <c r="AA14" s="4">
        <f>IFERROR(_xlfn.MAXIFS($G$2:$G$6,$F$2:$F$6,"&lt;&gt; -1"),0)</f>
        <v>22255.22</v>
      </c>
      <c r="AB14" s="4">
        <f>IFERROR(_xlfn.MAXIFS($I$2:$I$6,$H$2:$H$6,"&lt;&gt; -1"),0)</f>
        <v>0</v>
      </c>
      <c r="AC14" s="4">
        <f>IFERROR(_xlfn.MAXIFS($K$2:$K$6,$J$2:$J$6,"&lt;&gt; -1"),0)</f>
        <v>19114.88</v>
      </c>
      <c r="AD14" s="4">
        <f>IFERROR(_xlfn.MAXIFS($M$2:$M$6,$L$2:$L$6,"&lt;&gt; -1"),0)</f>
        <v>0</v>
      </c>
      <c r="AE14" s="4">
        <f>IFERROR(_xlfn.MINIFS($C$2:$C$6,$B$2:$B$6,"&lt;&gt; -1"),0)</f>
        <v>18726.42</v>
      </c>
      <c r="AF14" s="4">
        <f>IFERROR(_xlfn.MINIFS($E$2:$E$6,$D$2:$D$6,"&lt;&gt; -1"),0)</f>
        <v>18541.75</v>
      </c>
      <c r="AG14" s="4">
        <f>IFERROR(_xlfn.MINIFS($G$2:$G$6,$F$2:$F$6,"&lt;&gt; -1"),0)</f>
        <v>21923.91</v>
      </c>
      <c r="AH14" s="4">
        <f>IFERROR(_xlfn.MINIFS($I$2:$I$6,$H$2:$H$6,"&lt;&gt; -1"),0)</f>
        <v>0</v>
      </c>
      <c r="AI14" s="4">
        <f>IFERROR(_xlfn.MINIFS($K$2:$K$6,$J$2:$J$6,"&lt;&gt; -1"),0)</f>
        <v>19114.88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0.6</v>
      </c>
      <c r="AN14" s="4">
        <f>(COUNTIFS($H$2:$H$6,"&gt;0.0",$H$2:$H$6,"&lt;3000.0"))/5</f>
        <v>0</v>
      </c>
      <c r="AO14" s="4">
        <f>(COUNTIFS($J$2:$J$6,"&gt;0.0",$J$2:$J$6,"&lt;3000.0"))/5</f>
        <v>0.2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729.15</v>
      </c>
      <c r="C2">
        <v>18818.14</v>
      </c>
      <c r="D2">
        <v>575.05</v>
      </c>
      <c r="E2">
        <v>19445.05</v>
      </c>
      <c r="F2">
        <v>-1</v>
      </c>
      <c r="G2">
        <v>11458.52</v>
      </c>
      <c r="H2">
        <v>-1</v>
      </c>
      <c r="I2">
        <v>1734.91</v>
      </c>
      <c r="J2">
        <v>732.76</v>
      </c>
      <c r="K2">
        <v>18861.67</v>
      </c>
      <c r="L2">
        <v>-1</v>
      </c>
      <c r="M2">
        <v>0</v>
      </c>
    </row>
    <row r="3" spans="1:13">
      <c r="A3" t="s">
        <v>14</v>
      </c>
      <c r="B3">
        <v>753.86</v>
      </c>
      <c r="C3">
        <v>19338.12</v>
      </c>
      <c r="D3">
        <v>596.93</v>
      </c>
      <c r="E3">
        <v>19768.67</v>
      </c>
      <c r="F3">
        <v>-1</v>
      </c>
      <c r="G3">
        <v>14799.06</v>
      </c>
      <c r="H3">
        <v>-1</v>
      </c>
      <c r="I3">
        <v>14736.14</v>
      </c>
      <c r="J3">
        <v>-1</v>
      </c>
      <c r="K3">
        <v>3819.46</v>
      </c>
      <c r="L3">
        <v>-1</v>
      </c>
      <c r="M3">
        <v>0</v>
      </c>
    </row>
    <row r="4" spans="1:13">
      <c r="A4" t="s">
        <v>15</v>
      </c>
      <c r="B4">
        <v>737.79</v>
      </c>
      <c r="C4">
        <v>19355.29</v>
      </c>
      <c r="D4">
        <v>581.86</v>
      </c>
      <c r="E4">
        <v>19164.75</v>
      </c>
      <c r="F4">
        <v>752.32</v>
      </c>
      <c r="G4">
        <v>22649.28</v>
      </c>
      <c r="H4">
        <v>-1</v>
      </c>
      <c r="I4">
        <v>8434.39</v>
      </c>
      <c r="J4">
        <v>740.73</v>
      </c>
      <c r="K4">
        <v>19442.46</v>
      </c>
      <c r="L4">
        <v>-1</v>
      </c>
      <c r="M4">
        <v>0</v>
      </c>
    </row>
    <row r="5" spans="1:13">
      <c r="A5" t="s">
        <v>16</v>
      </c>
      <c r="B5">
        <v>749.68</v>
      </c>
      <c r="C5">
        <v>19075.03</v>
      </c>
      <c r="D5">
        <v>596.72</v>
      </c>
      <c r="E5">
        <v>19684.61</v>
      </c>
      <c r="F5">
        <v>773</v>
      </c>
      <c r="G5">
        <v>22248.91</v>
      </c>
      <c r="H5">
        <v>-1</v>
      </c>
      <c r="I5">
        <v>7158.84</v>
      </c>
      <c r="J5">
        <v>-1</v>
      </c>
      <c r="K5">
        <v>375.97</v>
      </c>
      <c r="L5">
        <v>-1</v>
      </c>
      <c r="M5">
        <v>0</v>
      </c>
    </row>
    <row r="6" spans="1:13">
      <c r="A6" t="s">
        <v>17</v>
      </c>
      <c r="B6">
        <v>749.46</v>
      </c>
      <c r="C6">
        <v>18880.14</v>
      </c>
      <c r="D6">
        <v>596.69</v>
      </c>
      <c r="E6">
        <v>20126.75</v>
      </c>
      <c r="F6">
        <v>-1</v>
      </c>
      <c r="G6">
        <v>7344.1</v>
      </c>
      <c r="H6">
        <v>-1</v>
      </c>
      <c r="I6">
        <v>3826.03</v>
      </c>
      <c r="J6">
        <v>-1</v>
      </c>
      <c r="K6">
        <v>1248.74</v>
      </c>
      <c r="L6">
        <v>-1</v>
      </c>
      <c r="M6">
        <v>0</v>
      </c>
    </row>
    <row r="7" spans="1:13">
      <c r="A7" t="s">
        <v>18</v>
      </c>
      <c r="B7">
        <v>739.86</v>
      </c>
      <c r="C7">
        <v>18793.61</v>
      </c>
      <c r="D7">
        <v>592.57</v>
      </c>
      <c r="E7">
        <v>19549.87</v>
      </c>
      <c r="F7">
        <v>765.88</v>
      </c>
      <c r="G7">
        <v>21906.35</v>
      </c>
      <c r="H7">
        <v>-1</v>
      </c>
      <c r="I7">
        <v>1564.85</v>
      </c>
      <c r="J7">
        <v>758.69</v>
      </c>
      <c r="K7">
        <v>18747.07</v>
      </c>
      <c r="L7">
        <v>-1</v>
      </c>
      <c r="M7">
        <v>0</v>
      </c>
    </row>
    <row r="8" spans="1:13">
      <c r="A8" t="s">
        <v>19</v>
      </c>
      <c r="B8">
        <v>713.01</v>
      </c>
      <c r="C8">
        <v>17637.02</v>
      </c>
      <c r="D8">
        <v>558.23</v>
      </c>
      <c r="E8">
        <v>18572.87</v>
      </c>
      <c r="F8">
        <v>-1</v>
      </c>
      <c r="G8">
        <v>2552.41</v>
      </c>
      <c r="H8">
        <v>-1</v>
      </c>
      <c r="I8">
        <v>0</v>
      </c>
      <c r="J8">
        <v>-1</v>
      </c>
      <c r="K8">
        <v>320.34</v>
      </c>
      <c r="L8">
        <v>-1</v>
      </c>
      <c r="M8">
        <v>0</v>
      </c>
    </row>
    <row r="9" spans="1:13">
      <c r="A9" t="s">
        <v>20</v>
      </c>
      <c r="B9">
        <v>672.14</v>
      </c>
      <c r="C9">
        <v>19487.67</v>
      </c>
      <c r="D9">
        <v>570.97</v>
      </c>
      <c r="E9">
        <v>19313.69</v>
      </c>
      <c r="F9">
        <v>-1</v>
      </c>
      <c r="G9">
        <v>17981.43</v>
      </c>
      <c r="H9">
        <v>-1</v>
      </c>
      <c r="I9">
        <v>6352.27</v>
      </c>
      <c r="J9">
        <v>-1</v>
      </c>
      <c r="K9">
        <v>13081.83</v>
      </c>
      <c r="L9">
        <v>-1</v>
      </c>
      <c r="M9">
        <v>0</v>
      </c>
    </row>
    <row r="10" spans="1:13">
      <c r="A10" t="s">
        <v>21</v>
      </c>
      <c r="B10">
        <v>718.03</v>
      </c>
      <c r="C10">
        <v>18645.41</v>
      </c>
      <c r="D10">
        <v>564.54</v>
      </c>
      <c r="E10">
        <v>18737.34</v>
      </c>
      <c r="F10">
        <v>-1</v>
      </c>
      <c r="G10">
        <v>14383.18</v>
      </c>
      <c r="H10">
        <v>-1</v>
      </c>
      <c r="I10">
        <v>0</v>
      </c>
      <c r="J10">
        <v>720.33</v>
      </c>
      <c r="K10">
        <v>18693.42</v>
      </c>
      <c r="L10">
        <v>-1</v>
      </c>
      <c r="M10">
        <v>0</v>
      </c>
    </row>
    <row r="11" spans="1:13">
      <c r="A11" t="s">
        <v>22</v>
      </c>
      <c r="B11">
        <v>779.46</v>
      </c>
      <c r="C11">
        <v>20018.56</v>
      </c>
      <c r="D11">
        <v>630.13</v>
      </c>
      <c r="E11">
        <v>20001.26</v>
      </c>
      <c r="F11">
        <v>-1</v>
      </c>
      <c r="G11">
        <v>16496.75</v>
      </c>
      <c r="H11">
        <v>-1</v>
      </c>
      <c r="I11">
        <v>3484.94</v>
      </c>
      <c r="J11">
        <v>-1</v>
      </c>
      <c r="K11">
        <v>2812.16</v>
      </c>
      <c r="L11">
        <v>-1</v>
      </c>
      <c r="M11">
        <v>716.35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743.988</v>
      </c>
      <c r="B14" s="4">
        <f>IFERROR(AVERAGEIF($D$2:$D$6,"&lt;&gt; -1"),0)</f>
        <v>589.45</v>
      </c>
      <c r="C14" s="4">
        <f>IFERROR(AVERAGEIF($F$2:$F$6,"&lt;&gt; -1"),0)</f>
        <v>762.66</v>
      </c>
      <c r="D14" s="4">
        <f>IFERROR(AVERAGEIF($H$2:$H$6,"&lt;&gt; -1"),0)</f>
        <v>0</v>
      </c>
      <c r="E14" s="4">
        <f>IFERROR(AVERAGEIF($J$2:$J$6,"&lt;&gt; -1"),0)</f>
        <v>736.745</v>
      </c>
      <c r="F14" s="4">
        <f>IFERROR(AVERAGEIF($L$2:$L$6,"&lt;&gt; -1"),0)</f>
        <v>0</v>
      </c>
      <c r="G14" s="4">
        <f>IFERROR(AVERAGEIFS($C$2:$C$6,$B$2:$B$6,"&lt;&gt; -1"),0)</f>
        <v>19093.344</v>
      </c>
      <c r="H14" s="4">
        <f>IFERROR(AVERAGEIFS($E$2:$E$6,$D$2:$D$6,"&lt;&gt; -1"),0)</f>
        <v>19637.966</v>
      </c>
      <c r="I14" s="4">
        <f>IFERROR(AVERAGEIFS($G$2:$G$6,$F$2:$F$6,"&lt;&gt; -1"),0)</f>
        <v>22449.095</v>
      </c>
      <c r="J14" s="4">
        <f>IFERROR(AVERAGEIFS($I$2:$I$6,$H$2:$H$6,"&lt;&gt; -1"),0)</f>
        <v>0</v>
      </c>
      <c r="K14" s="4">
        <f>IFERROR(AVERAGEIFS($K$2:$K$6,$J$2:$J$6,"&lt;&gt; -1"),0)</f>
        <v>19152.065</v>
      </c>
      <c r="L14" s="4">
        <f>IFERROR(AVERAGEIFS($M$2:$M$6,$L$2:$L$6,"&lt;&gt; -1"),0)</f>
        <v>0</v>
      </c>
      <c r="M14" s="4">
        <f>IFERROR(_xlfn.MAXIFS($B$2:$B$6,$B$2:$B$6,"&lt;&gt; -1"),0)</f>
        <v>753.86</v>
      </c>
      <c r="N14" s="4">
        <f>IFERROR(_xlfn.MAXIFS($D$2:$D$6,$D$2:$D$6,"&lt;&gt;-1"),0)</f>
        <v>596.93</v>
      </c>
      <c r="O14" s="4">
        <f>IFERROR(_xlfn.MAXIFS($F$2:$F$6,$F$2:$F$6,"&lt;&gt; -1"),0)</f>
        <v>773</v>
      </c>
      <c r="P14" s="4">
        <f>IFERROR(_xlfn.MAXIFS($H$2:$H$6,$H$2:$H$6,"&lt;&gt; -1"),0)</f>
        <v>0</v>
      </c>
      <c r="Q14" s="4">
        <f>IFERROR(_xlfn.MAXIFS($J$2:$J$6,$J$2:$J$6,"&lt;&gt; -1"),0)</f>
        <v>740.73</v>
      </c>
      <c r="R14" s="4">
        <f>IFERROR(_xlfn.MAXIFS($L$2:$L$6,$L$2:$L$6,"&lt;&gt; -1"),0)</f>
        <v>0</v>
      </c>
      <c r="S14" s="4">
        <f>IFERROR(_xlfn.MINIFS($B$2:$B$6,$B$2:$B$6,"&lt;&gt; -1"),0)</f>
        <v>729.15</v>
      </c>
      <c r="T14" s="4">
        <f>IFERROR(_xlfn.MINIFS($D$2:$D$6,$D$2:$D$6,"&lt;&gt;-1"),0)</f>
        <v>575.05</v>
      </c>
      <c r="U14" s="4">
        <f>IFERROR(_xlfn.MINIFS($F$2:$F$6,$F$2:$F$6,"&lt;&gt; -1"),0)</f>
        <v>752.32</v>
      </c>
      <c r="V14" s="4">
        <f>IFERROR(_xlfn.MINIFS($H$2:$H$6,$H$2:$H$6,"&lt;&gt; -1"),0)</f>
        <v>0</v>
      </c>
      <c r="W14" s="4">
        <f>IFERROR(_xlfn.MINIFS($J$2:$J$6,$J$2:$J$6,"&lt;&gt; -1"),0)</f>
        <v>732.76</v>
      </c>
      <c r="X14" s="4">
        <f>IFERROR(_xlfn.MINIFS($L$2:$L$6,$L$2:$L$6,"&lt;&gt; -1"),0)</f>
        <v>0</v>
      </c>
      <c r="Y14" s="4">
        <f>IFERROR(_xlfn.MAXIFS($C$2:$C$6,$B$2:$B$6,"&lt;&gt; -1"),0)</f>
        <v>19355.29</v>
      </c>
      <c r="Z14" s="4">
        <f>IFERROR(_xlfn.MAXIFS($E$2:$E$6,$D$2:$D$6,"&lt;&gt; -1"),0)</f>
        <v>20126.75</v>
      </c>
      <c r="AA14" s="4">
        <f>IFERROR(_xlfn.MAXIFS($G$2:$G$6,$F$2:$F$6,"&lt;&gt; -1"),0)</f>
        <v>22649.28</v>
      </c>
      <c r="AB14" s="4">
        <f>IFERROR(_xlfn.MAXIFS($I$2:$I$6,$H$2:$H$6,"&lt;&gt; -1"),0)</f>
        <v>0</v>
      </c>
      <c r="AC14" s="4">
        <f>IFERROR(_xlfn.MAXIFS($K$2:$K$6,$J$2:$J$6,"&lt;&gt; -1"),0)</f>
        <v>19442.46</v>
      </c>
      <c r="AD14" s="4">
        <f>IFERROR(_xlfn.MAXIFS($M$2:$M$6,$L$2:$L$6,"&lt;&gt; -1"),0)</f>
        <v>0</v>
      </c>
      <c r="AE14" s="4">
        <f>IFERROR(_xlfn.MINIFS($C$2:$C$6,$B$2:$B$6,"&lt;&gt; -1"),0)</f>
        <v>18818.14</v>
      </c>
      <c r="AF14" s="4">
        <f>IFERROR(_xlfn.MINIFS($E$2:$E$6,$D$2:$D$6,"&lt;&gt; -1"),0)</f>
        <v>19164.75</v>
      </c>
      <c r="AG14" s="4">
        <f>IFERROR(_xlfn.MINIFS($G$2:$G$6,$F$2:$F$6,"&lt;&gt; -1"),0)</f>
        <v>22248.91</v>
      </c>
      <c r="AH14" s="4">
        <f>IFERROR(_xlfn.MINIFS($I$2:$I$6,$H$2:$H$6,"&lt;&gt; -1"),0)</f>
        <v>0</v>
      </c>
      <c r="AI14" s="4">
        <f>IFERROR(_xlfn.MINIFS($K$2:$K$6,$J$2:$J$6,"&lt;&gt; -1"),0)</f>
        <v>18861.67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0.4</v>
      </c>
      <c r="AN14" s="4">
        <f>(COUNTIFS($H$2:$H$6,"&gt;0.0",$H$2:$H$6,"&lt;3000.0"))/5</f>
        <v>0</v>
      </c>
      <c r="AO14" s="4">
        <f>(COUNTIFS($J$2:$J$6,"&gt;0.0",$J$2:$J$6,"&lt;3000.0"))/5</f>
        <v>0.4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792.49</v>
      </c>
      <c r="C2">
        <v>19042.2</v>
      </c>
      <c r="D2">
        <v>626.27</v>
      </c>
      <c r="E2">
        <v>18879.4</v>
      </c>
      <c r="F2">
        <v>-1</v>
      </c>
      <c r="G2">
        <v>0</v>
      </c>
      <c r="H2">
        <v>-1</v>
      </c>
      <c r="I2">
        <v>3994.45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801.64</v>
      </c>
      <c r="C3">
        <v>19592.35</v>
      </c>
      <c r="D3">
        <v>636.07</v>
      </c>
      <c r="E3">
        <v>19608.89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794.72</v>
      </c>
      <c r="C4">
        <v>19354.78</v>
      </c>
      <c r="D4">
        <v>637.03</v>
      </c>
      <c r="E4">
        <v>19078.77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809.33</v>
      </c>
      <c r="C5">
        <v>19052.93</v>
      </c>
      <c r="D5">
        <v>635.48</v>
      </c>
      <c r="E5">
        <v>18647.85</v>
      </c>
      <c r="F5">
        <v>-1</v>
      </c>
      <c r="G5">
        <v>0</v>
      </c>
      <c r="H5">
        <v>-1</v>
      </c>
      <c r="I5">
        <v>3102.61</v>
      </c>
      <c r="J5">
        <v>-1</v>
      </c>
      <c r="K5">
        <v>0</v>
      </c>
      <c r="L5">
        <v>-1</v>
      </c>
      <c r="M5">
        <v>839.3</v>
      </c>
    </row>
    <row r="6" spans="1:13">
      <c r="A6" t="s">
        <v>17</v>
      </c>
      <c r="B6">
        <v>812.5</v>
      </c>
      <c r="C6">
        <v>19782.68</v>
      </c>
      <c r="D6">
        <v>652.92</v>
      </c>
      <c r="E6">
        <v>19617.38</v>
      </c>
      <c r="F6">
        <v>-1</v>
      </c>
      <c r="G6">
        <v>0</v>
      </c>
      <c r="H6">
        <v>-1</v>
      </c>
      <c r="I6">
        <v>1362.46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795.33</v>
      </c>
      <c r="C7">
        <v>19404.4</v>
      </c>
      <c r="D7">
        <v>633.48</v>
      </c>
      <c r="E7">
        <v>19361.31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768.95</v>
      </c>
      <c r="C8">
        <v>18248.64</v>
      </c>
      <c r="D8">
        <v>607.19</v>
      </c>
      <c r="E8">
        <v>18481.61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800.89</v>
      </c>
      <c r="C9">
        <v>19982.06</v>
      </c>
      <c r="D9">
        <v>636.53</v>
      </c>
      <c r="E9">
        <v>19186.18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788.68</v>
      </c>
      <c r="C10">
        <v>19203.01</v>
      </c>
      <c r="D10">
        <v>620.08</v>
      </c>
      <c r="E10">
        <v>19329.97</v>
      </c>
      <c r="F10">
        <v>-1</v>
      </c>
      <c r="G10">
        <v>0</v>
      </c>
      <c r="H10">
        <v>-1</v>
      </c>
      <c r="I10">
        <v>5943.33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849.2</v>
      </c>
      <c r="C11">
        <v>20754.43</v>
      </c>
      <c r="D11">
        <v>681.94</v>
      </c>
      <c r="E11">
        <v>20866.62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802.136</v>
      </c>
      <c r="B14" s="4">
        <f>IFERROR(AVERAGEIF($D$2:$D$6,"&lt;&gt; -1"),0)</f>
        <v>637.554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19364.988</v>
      </c>
      <c r="H14" s="4">
        <f>IFERROR(AVERAGEIFS($E$2:$E$6,$D$2:$D$6,"&lt;&gt; -1"),0)</f>
        <v>19166.458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812.5</v>
      </c>
      <c r="N14" s="4">
        <f>IFERROR(_xlfn.MAXIFS($D$2:$D$6,$D$2:$D$6,"&lt;&gt;-1"),0)</f>
        <v>652.92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792.49</v>
      </c>
      <c r="T14" s="4">
        <f>IFERROR(_xlfn.MINIFS($D$2:$D$6,$D$2:$D$6,"&lt;&gt;-1"),0)</f>
        <v>626.27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19782.68</v>
      </c>
      <c r="Z14" s="4">
        <f>IFERROR(_xlfn.MAXIFS($E$2:$E$6,$D$2:$D$6,"&lt;&gt; -1"),0)</f>
        <v>19617.38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19042.2</v>
      </c>
      <c r="AF14" s="4">
        <f>IFERROR(_xlfn.MINIFS($E$2:$E$6,$D$2:$D$6,"&lt;&gt; -1"),0)</f>
        <v>18647.85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826.19</v>
      </c>
      <c r="C2">
        <v>19416.7</v>
      </c>
      <c r="D2">
        <v>683.3</v>
      </c>
      <c r="E2">
        <v>19283.09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841.97</v>
      </c>
      <c r="C3">
        <v>20521.03</v>
      </c>
      <c r="D3">
        <v>679.36</v>
      </c>
      <c r="E3">
        <v>20176.95</v>
      </c>
      <c r="F3">
        <v>-1</v>
      </c>
      <c r="G3">
        <v>0</v>
      </c>
      <c r="H3">
        <v>-1</v>
      </c>
      <c r="I3">
        <v>8474.86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837.98</v>
      </c>
      <c r="C4">
        <v>20003.88</v>
      </c>
      <c r="D4">
        <v>692.1</v>
      </c>
      <c r="E4">
        <v>19328.58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838.02</v>
      </c>
      <c r="C5">
        <v>19400.49</v>
      </c>
      <c r="D5">
        <v>689.15</v>
      </c>
      <c r="E5">
        <v>19261.48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10388.27</v>
      </c>
      <c r="D6">
        <v>701.83</v>
      </c>
      <c r="E6">
        <v>20089.79</v>
      </c>
      <c r="F6">
        <v>-1</v>
      </c>
      <c r="G6">
        <v>0</v>
      </c>
      <c r="H6">
        <v>-1</v>
      </c>
      <c r="I6">
        <v>1396.53</v>
      </c>
      <c r="J6">
        <v>-1</v>
      </c>
      <c r="K6">
        <v>0</v>
      </c>
      <c r="L6">
        <v>-1</v>
      </c>
      <c r="M6">
        <v>1199</v>
      </c>
    </row>
    <row r="7" spans="1:13">
      <c r="A7" t="s">
        <v>18</v>
      </c>
      <c r="B7">
        <v>828.8</v>
      </c>
      <c r="C7">
        <v>19352.1</v>
      </c>
      <c r="D7">
        <v>682.78</v>
      </c>
      <c r="E7">
        <v>19423.36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803.23</v>
      </c>
      <c r="C8">
        <v>18758.17</v>
      </c>
      <c r="D8">
        <v>648.25</v>
      </c>
      <c r="E8">
        <v>18285.66</v>
      </c>
      <c r="F8">
        <v>-1</v>
      </c>
      <c r="G8">
        <v>0</v>
      </c>
      <c r="H8">
        <v>-1</v>
      </c>
      <c r="I8">
        <v>12290.71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836.17</v>
      </c>
      <c r="C9">
        <v>19683.98</v>
      </c>
      <c r="D9">
        <v>684.5</v>
      </c>
      <c r="E9">
        <v>19196.04</v>
      </c>
      <c r="F9">
        <v>-1</v>
      </c>
      <c r="G9">
        <v>0</v>
      </c>
      <c r="H9">
        <v>-1</v>
      </c>
      <c r="I9">
        <v>8555.4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15880.03</v>
      </c>
      <c r="D10">
        <v>651.23</v>
      </c>
      <c r="E10">
        <v>18553.27</v>
      </c>
      <c r="F10">
        <v>-1</v>
      </c>
      <c r="G10">
        <v>0</v>
      </c>
      <c r="H10">
        <v>-1</v>
      </c>
      <c r="I10">
        <v>2682.88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873.96</v>
      </c>
      <c r="C11">
        <v>20666.68</v>
      </c>
      <c r="D11">
        <v>719.69</v>
      </c>
      <c r="E11">
        <v>20327.33</v>
      </c>
      <c r="F11">
        <v>-1</v>
      </c>
      <c r="G11">
        <v>0</v>
      </c>
      <c r="H11">
        <v>-1</v>
      </c>
      <c r="I11">
        <v>1680.44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836.04</v>
      </c>
      <c r="B14" s="4">
        <f>IFERROR(AVERAGEIF($D$2:$D$6,"&lt;&gt; -1"),0)</f>
        <v>689.148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19835.525</v>
      </c>
      <c r="H14" s="4">
        <f>IFERROR(AVERAGEIFS($E$2:$E$6,$D$2:$D$6,"&lt;&gt; -1"),0)</f>
        <v>19627.978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841.97</v>
      </c>
      <c r="N14" s="4">
        <f>IFERROR(_xlfn.MAXIFS($D$2:$D$6,$D$2:$D$6,"&lt;&gt;-1"),0)</f>
        <v>701.83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826.19</v>
      </c>
      <c r="T14" s="4">
        <f>IFERROR(_xlfn.MINIFS($D$2:$D$6,$D$2:$D$6,"&lt;&gt;-1"),0)</f>
        <v>679.36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20521.03</v>
      </c>
      <c r="Z14" s="4">
        <f>IFERROR(_xlfn.MAXIFS($E$2:$E$6,$D$2:$D$6,"&lt;&gt; -1"),0)</f>
        <v>20176.95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19400.49</v>
      </c>
      <c r="AF14" s="4">
        <f>IFERROR(_xlfn.MINIFS($E$2:$E$6,$D$2:$D$6,"&lt;&gt; -1"),0)</f>
        <v>19261.48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0.8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848.72</v>
      </c>
      <c r="C2">
        <v>19688.65</v>
      </c>
      <c r="D2">
        <v>717.73</v>
      </c>
      <c r="E2">
        <v>18700.88</v>
      </c>
      <c r="F2">
        <v>-1</v>
      </c>
      <c r="G2">
        <v>0</v>
      </c>
      <c r="H2">
        <v>-1</v>
      </c>
      <c r="I2">
        <v>3637.08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862.27</v>
      </c>
      <c r="C3">
        <v>19909.15</v>
      </c>
      <c r="D3">
        <v>744.71</v>
      </c>
      <c r="E3">
        <v>19629.8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860.83</v>
      </c>
      <c r="C4">
        <v>20169.45</v>
      </c>
      <c r="D4">
        <v>723.54</v>
      </c>
      <c r="E4">
        <v>19396.09</v>
      </c>
      <c r="F4">
        <v>-1</v>
      </c>
      <c r="G4">
        <v>0</v>
      </c>
      <c r="H4">
        <v>-1</v>
      </c>
      <c r="I4">
        <v>18999.89</v>
      </c>
      <c r="J4">
        <v>-1</v>
      </c>
      <c r="K4">
        <v>0</v>
      </c>
      <c r="L4">
        <v>-1</v>
      </c>
      <c r="M4">
        <v>1390.77</v>
      </c>
    </row>
    <row r="5" spans="1:13">
      <c r="A5" t="s">
        <v>16</v>
      </c>
      <c r="B5">
        <v>868.31</v>
      </c>
      <c r="C5">
        <v>20061.46</v>
      </c>
      <c r="D5">
        <v>744.09</v>
      </c>
      <c r="E5">
        <v>19140.27</v>
      </c>
      <c r="F5">
        <v>-1</v>
      </c>
      <c r="G5">
        <v>0</v>
      </c>
      <c r="H5">
        <v>-1</v>
      </c>
      <c r="I5">
        <v>0</v>
      </c>
      <c r="J5">
        <v>-1</v>
      </c>
      <c r="K5">
        <v>5050.03</v>
      </c>
      <c r="L5">
        <v>-1</v>
      </c>
      <c r="M5">
        <v>0</v>
      </c>
    </row>
    <row r="6" spans="1:13">
      <c r="A6" t="s">
        <v>17</v>
      </c>
      <c r="B6">
        <v>870.37</v>
      </c>
      <c r="C6">
        <v>20344.72</v>
      </c>
      <c r="D6">
        <v>744.07</v>
      </c>
      <c r="E6">
        <v>20598.28</v>
      </c>
      <c r="F6">
        <v>-1</v>
      </c>
      <c r="G6">
        <v>0</v>
      </c>
      <c r="H6">
        <v>-1</v>
      </c>
      <c r="I6">
        <v>3370.08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844.03</v>
      </c>
      <c r="C7">
        <v>19711.81</v>
      </c>
      <c r="D7">
        <v>712.28</v>
      </c>
      <c r="E7">
        <v>19385.27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803.99</v>
      </c>
      <c r="C8">
        <v>18821.59</v>
      </c>
      <c r="D8">
        <v>684.47</v>
      </c>
      <c r="E8">
        <v>18017.17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701.26</v>
      </c>
      <c r="C9">
        <v>19471.67</v>
      </c>
      <c r="D9">
        <v>617.63</v>
      </c>
      <c r="E9">
        <v>18921.18</v>
      </c>
      <c r="F9">
        <v>-1</v>
      </c>
      <c r="G9">
        <v>0</v>
      </c>
      <c r="H9">
        <v>-1</v>
      </c>
      <c r="I9">
        <v>16298.86</v>
      </c>
      <c r="J9">
        <v>-1</v>
      </c>
      <c r="K9">
        <v>0</v>
      </c>
      <c r="L9">
        <v>-1</v>
      </c>
      <c r="M9">
        <v>6376.51</v>
      </c>
    </row>
    <row r="10" spans="1:13">
      <c r="A10" t="s">
        <v>21</v>
      </c>
      <c r="B10">
        <v>-1</v>
      </c>
      <c r="C10">
        <v>13470.63</v>
      </c>
      <c r="D10">
        <v>481.52</v>
      </c>
      <c r="E10">
        <v>19000.54</v>
      </c>
      <c r="F10">
        <v>-1</v>
      </c>
      <c r="G10">
        <v>0</v>
      </c>
      <c r="H10">
        <v>-1</v>
      </c>
      <c r="I10">
        <v>17558.65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657.03</v>
      </c>
      <c r="C11">
        <v>20773.98</v>
      </c>
      <c r="D11">
        <v>581.3</v>
      </c>
      <c r="E11">
        <v>20851.97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862.1</v>
      </c>
      <c r="B14" s="4">
        <f>IFERROR(AVERAGEIF($D$2:$D$6,"&lt;&gt; -1"),0)</f>
        <v>734.828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20034.686</v>
      </c>
      <c r="H14" s="4">
        <f>IFERROR(AVERAGEIFS($E$2:$E$6,$D$2:$D$6,"&lt;&gt; -1"),0)</f>
        <v>19493.064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870.37</v>
      </c>
      <c r="N14" s="4">
        <f>IFERROR(_xlfn.MAXIFS($D$2:$D$6,$D$2:$D$6,"&lt;&gt;-1"),0)</f>
        <v>744.71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848.72</v>
      </c>
      <c r="T14" s="4">
        <f>IFERROR(_xlfn.MINIFS($D$2:$D$6,$D$2:$D$6,"&lt;&gt;-1"),0)</f>
        <v>717.73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20344.72</v>
      </c>
      <c r="Z14" s="4">
        <f>IFERROR(_xlfn.MAXIFS($E$2:$E$6,$D$2:$D$6,"&lt;&gt; -1"),0)</f>
        <v>20598.28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19688.65</v>
      </c>
      <c r="AF14" s="4">
        <f>IFERROR(_xlfn.MINIFS($E$2:$E$6,$D$2:$D$6,"&lt;&gt; -1"),0)</f>
        <v>18700.88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cols>
    <col min="3" max="3" width="10.5454545454545"/>
    <col min="5" max="5" width="10.5454545454545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765.18</v>
      </c>
      <c r="C2">
        <v>19005.01</v>
      </c>
      <c r="D2">
        <v>765.11</v>
      </c>
      <c r="E2">
        <v>18993.72</v>
      </c>
      <c r="F2">
        <v>-1</v>
      </c>
      <c r="G2">
        <v>7008.6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837.93</v>
      </c>
      <c r="C3">
        <v>20632.83</v>
      </c>
      <c r="D3">
        <v>772.05</v>
      </c>
      <c r="E3">
        <v>19432.75</v>
      </c>
      <c r="F3">
        <v>-1</v>
      </c>
      <c r="G3">
        <v>0</v>
      </c>
      <c r="H3">
        <v>-1</v>
      </c>
      <c r="I3">
        <v>1767.81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542.07</v>
      </c>
      <c r="C4">
        <v>19117.23</v>
      </c>
      <c r="D4">
        <v>510.12</v>
      </c>
      <c r="E4">
        <v>19378.67</v>
      </c>
      <c r="F4">
        <v>-1</v>
      </c>
      <c r="G4">
        <v>9637</v>
      </c>
      <c r="H4">
        <v>-1</v>
      </c>
      <c r="I4">
        <v>2427.72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552.28</v>
      </c>
      <c r="C5">
        <v>18959.19</v>
      </c>
      <c r="D5">
        <v>522.17</v>
      </c>
      <c r="E5">
        <v>19521.71</v>
      </c>
      <c r="F5">
        <v>-1</v>
      </c>
      <c r="G5">
        <v>15438.89</v>
      </c>
      <c r="H5">
        <v>-1</v>
      </c>
      <c r="I5">
        <v>0</v>
      </c>
      <c r="J5">
        <v>-1</v>
      </c>
      <c r="K5">
        <v>1056.2</v>
      </c>
      <c r="L5">
        <v>-1</v>
      </c>
      <c r="M5">
        <v>0</v>
      </c>
    </row>
    <row r="6" spans="1:13">
      <c r="A6" t="s">
        <v>17</v>
      </c>
      <c r="B6">
        <v>553.03</v>
      </c>
      <c r="C6">
        <v>19570.69</v>
      </c>
      <c r="D6">
        <v>515.76</v>
      </c>
      <c r="E6">
        <v>20397.11</v>
      </c>
      <c r="F6">
        <v>-1</v>
      </c>
      <c r="G6">
        <v>2087.94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529.39</v>
      </c>
      <c r="C7">
        <v>19201.26</v>
      </c>
      <c r="D7">
        <v>498.51</v>
      </c>
      <c r="E7">
        <v>19863.33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478.67</v>
      </c>
      <c r="C8">
        <v>17401.23</v>
      </c>
      <c r="D8">
        <v>476.68</v>
      </c>
      <c r="E8">
        <v>18759.42</v>
      </c>
      <c r="F8">
        <v>-1</v>
      </c>
      <c r="G8">
        <v>11768.79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489.59</v>
      </c>
      <c r="C9">
        <v>19481.61</v>
      </c>
      <c r="D9">
        <v>486.75</v>
      </c>
      <c r="E9">
        <v>19436.37</v>
      </c>
      <c r="F9">
        <v>494.67</v>
      </c>
      <c r="G9">
        <v>22964.83</v>
      </c>
      <c r="H9">
        <v>-1</v>
      </c>
      <c r="I9">
        <v>3676.9</v>
      </c>
      <c r="J9">
        <v>490.1</v>
      </c>
      <c r="K9">
        <v>19489.25</v>
      </c>
      <c r="L9">
        <v>-1</v>
      </c>
      <c r="M9">
        <v>0</v>
      </c>
    </row>
    <row r="10" spans="1:13">
      <c r="A10" t="s">
        <v>21</v>
      </c>
      <c r="B10">
        <v>496.37</v>
      </c>
      <c r="C10">
        <v>19463.36</v>
      </c>
      <c r="D10">
        <v>500.73</v>
      </c>
      <c r="E10">
        <v>19504.86</v>
      </c>
      <c r="F10">
        <v>501.33</v>
      </c>
      <c r="G10">
        <v>22821.73</v>
      </c>
      <c r="H10">
        <v>-1</v>
      </c>
      <c r="I10">
        <v>0</v>
      </c>
      <c r="J10">
        <v>496.92</v>
      </c>
      <c r="K10">
        <v>19456.21</v>
      </c>
      <c r="L10">
        <v>-1</v>
      </c>
      <c r="M10">
        <v>0</v>
      </c>
    </row>
    <row r="11" spans="1:13">
      <c r="A11" t="s">
        <v>22</v>
      </c>
      <c r="B11">
        <v>532.7</v>
      </c>
      <c r="C11">
        <v>19977.44</v>
      </c>
      <c r="D11">
        <v>526.74</v>
      </c>
      <c r="E11">
        <v>21078.52</v>
      </c>
      <c r="F11">
        <v>-1</v>
      </c>
      <c r="G11">
        <v>17718.36</v>
      </c>
      <c r="H11">
        <v>-1</v>
      </c>
      <c r="I11">
        <v>0</v>
      </c>
      <c r="J11">
        <v>-1</v>
      </c>
      <c r="K11">
        <v>1738.99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650.098</v>
      </c>
      <c r="B14" s="4">
        <f>IFERROR(AVERAGEIF($D$2:$D$6,"&lt;&gt; -1"),0)</f>
        <v>617.042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19456.99</v>
      </c>
      <c r="H14" s="4">
        <f>IFERROR(AVERAGEIFS($E$2:$E$6,$D$2:$D$6,"&lt;&gt; -1"),0)</f>
        <v>19544.792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837.93</v>
      </c>
      <c r="N14" s="4">
        <f>IFERROR(_xlfn.MAXIFS($D$2:$D$6,$D$2:$D$6,"&lt;&gt;-1"),0)</f>
        <v>772.05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542.07</v>
      </c>
      <c r="T14" s="4">
        <f>IFERROR(_xlfn.MINIFS($D$2:$D$6,$D$2:$D$6,"&lt;&gt;-1"),0)</f>
        <v>510.12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20632.83</v>
      </c>
      <c r="Z14" s="4">
        <f>IFERROR(_xlfn.MAXIFS($E$2:$E$6,$D$2:$D$6,"&lt;&gt; -1"),0)</f>
        <v>20397.11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18959.19</v>
      </c>
      <c r="AF14" s="4">
        <f>IFERROR(_xlfn.MINIFS($E$2:$E$6,$D$2:$D$6,"&lt;&gt; -1"),0)</f>
        <v>18993.72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7" sqref="G17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642.35</v>
      </c>
      <c r="B2">
        <v>485.548</v>
      </c>
      <c r="C2">
        <v>624.48</v>
      </c>
      <c r="D2">
        <v>0</v>
      </c>
      <c r="E2">
        <v>697.66</v>
      </c>
      <c r="F2">
        <v>0</v>
      </c>
      <c r="G2">
        <v>18952.454</v>
      </c>
      <c r="H2">
        <v>19013.172</v>
      </c>
      <c r="I2">
        <v>22119.2333333333</v>
      </c>
      <c r="J2">
        <v>0</v>
      </c>
      <c r="K2">
        <v>19114.88</v>
      </c>
      <c r="L2">
        <v>0</v>
      </c>
      <c r="M2">
        <v>696.49</v>
      </c>
      <c r="N2">
        <v>531.74</v>
      </c>
      <c r="O2">
        <v>722.4</v>
      </c>
      <c r="P2">
        <v>0</v>
      </c>
      <c r="Q2">
        <v>697.66</v>
      </c>
      <c r="R2">
        <v>0</v>
      </c>
      <c r="S2">
        <v>435.35</v>
      </c>
      <c r="T2">
        <v>334.65</v>
      </c>
      <c r="U2">
        <v>440.86</v>
      </c>
      <c r="V2">
        <v>0</v>
      </c>
      <c r="W2">
        <v>697.66</v>
      </c>
      <c r="X2">
        <v>0</v>
      </c>
      <c r="Y2">
        <v>19063.09</v>
      </c>
      <c r="Z2">
        <v>19473.76</v>
      </c>
      <c r="AA2">
        <v>22255.22</v>
      </c>
      <c r="AB2">
        <v>0</v>
      </c>
      <c r="AC2">
        <v>19114.88</v>
      </c>
      <c r="AD2">
        <v>0</v>
      </c>
      <c r="AE2">
        <v>18726.42</v>
      </c>
      <c r="AF2">
        <v>18541.75</v>
      </c>
      <c r="AG2">
        <v>21923.91</v>
      </c>
      <c r="AH2">
        <v>0</v>
      </c>
      <c r="AI2">
        <v>19114.88</v>
      </c>
      <c r="AJ2">
        <v>0</v>
      </c>
      <c r="AK2">
        <v>1</v>
      </c>
      <c r="AL2">
        <v>1</v>
      </c>
      <c r="AM2">
        <v>0.6</v>
      </c>
      <c r="AN2">
        <v>0</v>
      </c>
      <c r="AO2">
        <v>0.2</v>
      </c>
      <c r="AP2">
        <v>0</v>
      </c>
    </row>
    <row r="3" spans="1:42">
      <c r="A3">
        <v>743.988</v>
      </c>
      <c r="B3">
        <v>589.45</v>
      </c>
      <c r="C3">
        <v>762.66</v>
      </c>
      <c r="D3">
        <v>0</v>
      </c>
      <c r="E3">
        <v>736.745</v>
      </c>
      <c r="F3">
        <v>0</v>
      </c>
      <c r="G3">
        <v>19093.344</v>
      </c>
      <c r="H3">
        <v>19637.966</v>
      </c>
      <c r="I3">
        <v>22449.095</v>
      </c>
      <c r="J3">
        <v>0</v>
      </c>
      <c r="K3">
        <v>19152.065</v>
      </c>
      <c r="L3">
        <v>0</v>
      </c>
      <c r="M3">
        <v>753.86</v>
      </c>
      <c r="N3">
        <v>596.93</v>
      </c>
      <c r="O3">
        <v>773</v>
      </c>
      <c r="P3">
        <v>0</v>
      </c>
      <c r="Q3">
        <v>740.73</v>
      </c>
      <c r="R3">
        <v>0</v>
      </c>
      <c r="S3">
        <v>729.15</v>
      </c>
      <c r="T3">
        <v>575.05</v>
      </c>
      <c r="U3">
        <v>752.32</v>
      </c>
      <c r="V3">
        <v>0</v>
      </c>
      <c r="W3">
        <v>732.76</v>
      </c>
      <c r="X3">
        <v>0</v>
      </c>
      <c r="Y3">
        <v>19355.29</v>
      </c>
      <c r="Z3">
        <v>20126.75</v>
      </c>
      <c r="AA3">
        <v>22649.28</v>
      </c>
      <c r="AB3">
        <v>0</v>
      </c>
      <c r="AC3">
        <v>19442.46</v>
      </c>
      <c r="AD3">
        <v>0</v>
      </c>
      <c r="AE3">
        <v>18818.14</v>
      </c>
      <c r="AF3">
        <v>19164.75</v>
      </c>
      <c r="AG3">
        <v>22248.91</v>
      </c>
      <c r="AH3">
        <v>0</v>
      </c>
      <c r="AI3">
        <v>18861.67</v>
      </c>
      <c r="AJ3">
        <v>0</v>
      </c>
      <c r="AK3">
        <v>1</v>
      </c>
      <c r="AL3">
        <v>1</v>
      </c>
      <c r="AM3">
        <v>0.4</v>
      </c>
      <c r="AN3">
        <v>0</v>
      </c>
      <c r="AO3">
        <v>0.4</v>
      </c>
      <c r="AP3">
        <v>0</v>
      </c>
    </row>
    <row r="4" spans="1:42">
      <c r="A4">
        <v>802.136</v>
      </c>
      <c r="B4">
        <v>637.554</v>
      </c>
      <c r="C4">
        <v>0</v>
      </c>
      <c r="D4">
        <v>0</v>
      </c>
      <c r="E4">
        <v>0</v>
      </c>
      <c r="F4">
        <v>0</v>
      </c>
      <c r="G4">
        <v>19364.988</v>
      </c>
      <c r="H4">
        <v>19166.458</v>
      </c>
      <c r="I4">
        <v>0</v>
      </c>
      <c r="J4">
        <v>0</v>
      </c>
      <c r="K4">
        <v>0</v>
      </c>
      <c r="L4">
        <v>0</v>
      </c>
      <c r="M4">
        <v>812.5</v>
      </c>
      <c r="N4">
        <v>652.92</v>
      </c>
      <c r="O4">
        <v>0</v>
      </c>
      <c r="P4">
        <v>0</v>
      </c>
      <c r="Q4">
        <v>0</v>
      </c>
      <c r="R4">
        <v>0</v>
      </c>
      <c r="S4">
        <v>792.49</v>
      </c>
      <c r="T4">
        <v>626.27</v>
      </c>
      <c r="U4">
        <v>0</v>
      </c>
      <c r="V4">
        <v>0</v>
      </c>
      <c r="W4">
        <v>0</v>
      </c>
      <c r="X4">
        <v>0</v>
      </c>
      <c r="Y4">
        <v>19782.68</v>
      </c>
      <c r="Z4">
        <v>19617.38</v>
      </c>
      <c r="AA4">
        <v>0</v>
      </c>
      <c r="AB4">
        <v>0</v>
      </c>
      <c r="AC4">
        <v>0</v>
      </c>
      <c r="AD4">
        <v>0</v>
      </c>
      <c r="AE4">
        <v>19042.2</v>
      </c>
      <c r="AF4">
        <v>18647.85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836.04</v>
      </c>
      <c r="B5">
        <v>689.148</v>
      </c>
      <c r="C5">
        <v>0</v>
      </c>
      <c r="D5">
        <v>0</v>
      </c>
      <c r="E5">
        <v>0</v>
      </c>
      <c r="F5">
        <v>0</v>
      </c>
      <c r="G5">
        <v>19835.525</v>
      </c>
      <c r="H5">
        <v>19627.978</v>
      </c>
      <c r="I5">
        <v>0</v>
      </c>
      <c r="J5">
        <v>0</v>
      </c>
      <c r="K5">
        <v>0</v>
      </c>
      <c r="L5">
        <v>0</v>
      </c>
      <c r="M5">
        <v>841.97</v>
      </c>
      <c r="N5">
        <v>701.83</v>
      </c>
      <c r="O5">
        <v>0</v>
      </c>
      <c r="P5">
        <v>0</v>
      </c>
      <c r="Q5">
        <v>0</v>
      </c>
      <c r="R5">
        <v>0</v>
      </c>
      <c r="S5">
        <v>826.19</v>
      </c>
      <c r="T5">
        <v>679.36</v>
      </c>
      <c r="U5">
        <v>0</v>
      </c>
      <c r="V5">
        <v>0</v>
      </c>
      <c r="W5">
        <v>0</v>
      </c>
      <c r="X5">
        <v>0</v>
      </c>
      <c r="Y5">
        <v>20521.03</v>
      </c>
      <c r="Z5">
        <v>20176.95</v>
      </c>
      <c r="AA5">
        <v>0</v>
      </c>
      <c r="AB5">
        <v>0</v>
      </c>
      <c r="AC5">
        <v>0</v>
      </c>
      <c r="AD5">
        <v>0</v>
      </c>
      <c r="AE5">
        <v>19400.49</v>
      </c>
      <c r="AF5">
        <v>19261.48</v>
      </c>
      <c r="AG5">
        <v>0</v>
      </c>
      <c r="AH5">
        <v>0</v>
      </c>
      <c r="AI5">
        <v>0</v>
      </c>
      <c r="AJ5">
        <v>0</v>
      </c>
      <c r="AK5">
        <v>0.8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862.1</v>
      </c>
      <c r="B6">
        <v>734.828</v>
      </c>
      <c r="C6">
        <v>0</v>
      </c>
      <c r="D6">
        <v>0</v>
      </c>
      <c r="E6">
        <v>0</v>
      </c>
      <c r="F6">
        <v>0</v>
      </c>
      <c r="G6">
        <v>20034.686</v>
      </c>
      <c r="H6">
        <v>19493.064</v>
      </c>
      <c r="I6">
        <v>0</v>
      </c>
      <c r="J6">
        <v>0</v>
      </c>
      <c r="K6">
        <v>0</v>
      </c>
      <c r="L6">
        <v>0</v>
      </c>
      <c r="M6">
        <v>870.37</v>
      </c>
      <c r="N6">
        <v>744.71</v>
      </c>
      <c r="O6">
        <v>0</v>
      </c>
      <c r="P6">
        <v>0</v>
      </c>
      <c r="Q6">
        <v>0</v>
      </c>
      <c r="R6">
        <v>0</v>
      </c>
      <c r="S6">
        <v>848.72</v>
      </c>
      <c r="T6">
        <v>717.73</v>
      </c>
      <c r="U6">
        <v>0</v>
      </c>
      <c r="V6">
        <v>0</v>
      </c>
      <c r="W6">
        <v>0</v>
      </c>
      <c r="X6">
        <v>0</v>
      </c>
      <c r="Y6">
        <v>20344.72</v>
      </c>
      <c r="Z6">
        <v>20598.28</v>
      </c>
      <c r="AA6">
        <v>0</v>
      </c>
      <c r="AB6">
        <v>0</v>
      </c>
      <c r="AC6">
        <v>0</v>
      </c>
      <c r="AD6">
        <v>0</v>
      </c>
      <c r="AE6">
        <v>19688.65</v>
      </c>
      <c r="AF6">
        <v>18700.88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650.098</v>
      </c>
      <c r="B7">
        <v>617.042</v>
      </c>
      <c r="C7">
        <v>0</v>
      </c>
      <c r="D7">
        <v>0</v>
      </c>
      <c r="E7">
        <v>0</v>
      </c>
      <c r="F7">
        <v>0</v>
      </c>
      <c r="G7">
        <v>19456.99</v>
      </c>
      <c r="H7">
        <v>19544.792</v>
      </c>
      <c r="I7">
        <v>0</v>
      </c>
      <c r="J7">
        <v>0</v>
      </c>
      <c r="K7">
        <v>0</v>
      </c>
      <c r="L7">
        <v>0</v>
      </c>
      <c r="M7">
        <v>837.93</v>
      </c>
      <c r="N7">
        <v>772.05</v>
      </c>
      <c r="O7">
        <v>0</v>
      </c>
      <c r="P7">
        <v>0</v>
      </c>
      <c r="Q7">
        <v>0</v>
      </c>
      <c r="R7">
        <v>0</v>
      </c>
      <c r="S7">
        <v>542.07</v>
      </c>
      <c r="T7">
        <v>510.12</v>
      </c>
      <c r="U7">
        <v>0</v>
      </c>
      <c r="V7">
        <v>0</v>
      </c>
      <c r="W7">
        <v>0</v>
      </c>
      <c r="X7">
        <v>0</v>
      </c>
      <c r="Y7">
        <v>20632.83</v>
      </c>
      <c r="Z7">
        <v>20397.11</v>
      </c>
      <c r="AA7">
        <v>0</v>
      </c>
      <c r="AB7">
        <v>0</v>
      </c>
      <c r="AC7">
        <v>0</v>
      </c>
      <c r="AD7">
        <v>0</v>
      </c>
      <c r="AE7">
        <v>18959.19</v>
      </c>
      <c r="AF7">
        <v>18993.72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2024-09-25T05:17:00Z</dcterms:created>
  <dcterms:modified xsi:type="dcterms:W3CDTF">2024-09-25T11:06:33Z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36C2FC45FB4A40D0AE9DD4BA8388EB15_12</vt:lpwstr>
  </property>
  <property fmtid="{D5CDD505-2E9C-101B-9397-08002B2CF9AE}" pid="3" name="KSOProductBuildVer">
    <vt:lpwstr>2052-12.1.0.17827</vt:lpwstr>
  </property>
</Properties>
</file>