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<sst xmlns="http://schemas.openxmlformats.org/spreadsheetml/2006/main" count="432" uniqueCount="65">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</sst>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"/>
  <sheetViews>
    <sheetView workbookViewId="0">
      <selection activeCell="B14" sqref="A14:AP1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40.98</v>
      </c>
      <c r="C2">
        <v>2207.94</v>
      </c>
      <c r="D2">
        <v>17.16</v>
      </c>
      <c r="E2">
        <v>2108.38</v>
      </c>
      <c r="F2">
        <v>42.24</v>
      </c>
      <c r="G2">
        <v>2380.9</v>
      </c>
      <c r="H2">
        <v>19.97</v>
      </c>
      <c r="I2">
        <v>2267.37</v>
      </c>
      <c r="J2">
        <v>41.81</v>
      </c>
      <c r="K2">
        <v>2120.06</v>
      </c>
      <c r="L2">
        <v>18.87</v>
      </c>
      <c r="M2">
        <v>2005.38</v>
      </c>
    </row>
    <row r="3" spans="1:13">
      <c r="A3" t="s">
        <v>14</v>
      </c>
      <c r="B3">
        <v>56.76</v>
      </c>
      <c r="C3">
        <v>2131.71</v>
      </c>
      <c r="D3">
        <v>25.83</v>
      </c>
      <c r="E3">
        <v>2319.57</v>
      </c>
      <c r="F3">
        <v>58.62</v>
      </c>
      <c r="G3">
        <v>2333.72</v>
      </c>
      <c r="H3">
        <v>27.89</v>
      </c>
      <c r="I3">
        <v>2452.58</v>
      </c>
      <c r="J3">
        <v>57.12</v>
      </c>
      <c r="K3">
        <v>2074.46</v>
      </c>
      <c r="L3">
        <v>26.49</v>
      </c>
      <c r="M3">
        <v>2222.19</v>
      </c>
    </row>
    <row r="4" spans="1:13">
      <c r="A4" t="s">
        <v>15</v>
      </c>
      <c r="B4">
        <v>56.11</v>
      </c>
      <c r="C4">
        <v>2159.44</v>
      </c>
      <c r="D4">
        <v>24.44</v>
      </c>
      <c r="E4">
        <v>2191</v>
      </c>
      <c r="F4">
        <v>57.25</v>
      </c>
      <c r="G4">
        <v>2402.34</v>
      </c>
      <c r="H4">
        <v>26.41</v>
      </c>
      <c r="I4">
        <v>2323.38</v>
      </c>
      <c r="J4">
        <v>56.29</v>
      </c>
      <c r="K4">
        <v>2109.89</v>
      </c>
      <c r="L4">
        <v>25.19</v>
      </c>
      <c r="M4">
        <v>2111.9</v>
      </c>
    </row>
    <row r="5" spans="1:13">
      <c r="A5" t="s">
        <v>16</v>
      </c>
      <c r="B5">
        <v>54.46</v>
      </c>
      <c r="C5">
        <v>2097.8</v>
      </c>
      <c r="D5">
        <v>25.36</v>
      </c>
      <c r="E5">
        <v>2119.99</v>
      </c>
      <c r="F5">
        <v>55.17</v>
      </c>
      <c r="G5">
        <v>2388.4</v>
      </c>
      <c r="H5">
        <v>26.69</v>
      </c>
      <c r="I5">
        <v>2377.25</v>
      </c>
      <c r="J5">
        <v>54.53</v>
      </c>
      <c r="K5">
        <v>2084.83</v>
      </c>
      <c r="L5">
        <v>25.89</v>
      </c>
      <c r="M5">
        <v>2065.62</v>
      </c>
    </row>
    <row r="6" spans="1:13">
      <c r="A6" t="s">
        <v>17</v>
      </c>
      <c r="B6">
        <v>58.67</v>
      </c>
      <c r="C6">
        <v>2262.54</v>
      </c>
      <c r="D6">
        <v>25.79</v>
      </c>
      <c r="E6">
        <v>2308.89</v>
      </c>
      <c r="F6">
        <v>60.3</v>
      </c>
      <c r="G6">
        <v>2423.48</v>
      </c>
      <c r="H6">
        <v>27.78</v>
      </c>
      <c r="I6">
        <v>2453.3</v>
      </c>
      <c r="J6">
        <v>59.44</v>
      </c>
      <c r="K6">
        <v>2155.93</v>
      </c>
      <c r="L6">
        <v>26.7</v>
      </c>
      <c r="M6">
        <v>2195.65</v>
      </c>
    </row>
    <row r="7" spans="1:13">
      <c r="A7" t="s">
        <v>18</v>
      </c>
      <c r="B7">
        <v>55.02</v>
      </c>
      <c r="C7">
        <v>2110.09</v>
      </c>
      <c r="D7">
        <v>25.19</v>
      </c>
      <c r="E7">
        <v>2219.02</v>
      </c>
      <c r="F7">
        <v>55.76</v>
      </c>
      <c r="G7">
        <v>2393.91</v>
      </c>
      <c r="H7">
        <v>27.87</v>
      </c>
      <c r="I7">
        <v>2398.21</v>
      </c>
      <c r="J7">
        <v>55.1</v>
      </c>
      <c r="K7">
        <v>2094.77</v>
      </c>
      <c r="L7">
        <v>26.64</v>
      </c>
      <c r="M7">
        <v>2142.75</v>
      </c>
    </row>
    <row r="8" spans="1:13">
      <c r="A8" t="s">
        <v>19</v>
      </c>
      <c r="B8">
        <v>59.89</v>
      </c>
      <c r="C8">
        <v>2120.55</v>
      </c>
      <c r="D8">
        <v>25.25</v>
      </c>
      <c r="E8">
        <v>2175.42</v>
      </c>
      <c r="F8">
        <v>61.32</v>
      </c>
      <c r="G8">
        <v>2370.11</v>
      </c>
      <c r="H8">
        <v>27.57</v>
      </c>
      <c r="I8">
        <v>2342.56</v>
      </c>
      <c r="J8">
        <v>60.11</v>
      </c>
      <c r="K8">
        <v>2075.64</v>
      </c>
      <c r="L8">
        <v>25.96</v>
      </c>
      <c r="M8">
        <v>2067.54</v>
      </c>
    </row>
    <row r="9" spans="1:13">
      <c r="A9" t="s">
        <v>20</v>
      </c>
      <c r="B9">
        <v>50.19</v>
      </c>
      <c r="C9">
        <v>2040.35</v>
      </c>
      <c r="D9">
        <v>25.11</v>
      </c>
      <c r="E9">
        <v>2198.64</v>
      </c>
      <c r="F9">
        <v>51.53</v>
      </c>
      <c r="G9">
        <v>2290.17</v>
      </c>
      <c r="H9">
        <v>27.87</v>
      </c>
      <c r="I9">
        <v>2372.28</v>
      </c>
      <c r="J9">
        <v>50.52</v>
      </c>
      <c r="K9">
        <v>2018.16</v>
      </c>
      <c r="L9">
        <v>25.9</v>
      </c>
      <c r="M9">
        <v>2117.97</v>
      </c>
    </row>
    <row r="10" spans="1:13">
      <c r="A10" t="s">
        <v>21</v>
      </c>
      <c r="B10">
        <v>57.52</v>
      </c>
      <c r="C10">
        <v>2119.17</v>
      </c>
      <c r="D10">
        <v>24.95</v>
      </c>
      <c r="E10">
        <v>2169.92</v>
      </c>
      <c r="F10">
        <v>58.63</v>
      </c>
      <c r="G10">
        <v>2403.71</v>
      </c>
      <c r="H10">
        <v>26.43</v>
      </c>
      <c r="I10">
        <v>2395.74</v>
      </c>
      <c r="J10">
        <v>57.7</v>
      </c>
      <c r="K10">
        <v>2100.16</v>
      </c>
      <c r="L10">
        <v>25.92</v>
      </c>
      <c r="M10">
        <v>2130.23</v>
      </c>
    </row>
    <row r="11" spans="1:13">
      <c r="A11" t="s">
        <v>22</v>
      </c>
      <c r="B11">
        <v>55.23</v>
      </c>
      <c r="C11">
        <v>2153.22</v>
      </c>
      <c r="D11">
        <v>25.65</v>
      </c>
      <c r="E11">
        <v>2196.62</v>
      </c>
      <c r="F11">
        <v>56.1</v>
      </c>
      <c r="G11">
        <v>2450.48</v>
      </c>
      <c r="H11">
        <v>27.27</v>
      </c>
      <c r="I11">
        <v>2377.96</v>
      </c>
      <c r="J11">
        <v>55.75</v>
      </c>
      <c r="K11">
        <v>2134</v>
      </c>
      <c r="L11">
        <v>26.24</v>
      </c>
      <c r="M11">
        <v>2108.25</v>
      </c>
    </row>
    <row r="14" spans="1:42">
      <c r="A14" s="2" t="s">
        <v>23</v>
      </c>
      <c r="B14" s="2" t="s">
        <v>24</v>
      </c>
      <c r="C14" s="2" t="s">
        <v>25</v>
      </c>
      <c r="D14" s="3" t="s">
        <v>26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31</v>
      </c>
      <c r="J14" s="3" t="s">
        <v>32</v>
      </c>
      <c r="K14" s="2" t="s">
        <v>33</v>
      </c>
      <c r="L14" s="2" t="s">
        <v>34</v>
      </c>
      <c r="M14" s="2" t="s">
        <v>35</v>
      </c>
      <c r="N14" s="2" t="s">
        <v>36</v>
      </c>
      <c r="O14" s="2" t="s">
        <v>37</v>
      </c>
      <c r="P14" s="3" t="s">
        <v>38</v>
      </c>
      <c r="Q14" s="2" t="s">
        <v>39</v>
      </c>
      <c r="R14" s="2" t="s">
        <v>40</v>
      </c>
      <c r="S14" s="2" t="s">
        <v>41</v>
      </c>
      <c r="T14" s="2" t="s">
        <v>42</v>
      </c>
      <c r="U14" s="2" t="s">
        <v>43</v>
      </c>
      <c r="V14" s="3" t="s">
        <v>44</v>
      </c>
      <c r="W14" s="2" t="s">
        <v>45</v>
      </c>
      <c r="X14" s="2" t="s">
        <v>46</v>
      </c>
      <c r="Y14" s="2" t="s">
        <v>47</v>
      </c>
      <c r="Z14" s="2" t="s">
        <v>48</v>
      </c>
      <c r="AA14" s="2" t="s">
        <v>49</v>
      </c>
      <c r="AB14" s="3" t="s">
        <v>50</v>
      </c>
      <c r="AC14" s="2" t="s">
        <v>51</v>
      </c>
      <c r="AD14" s="2" t="s">
        <v>52</v>
      </c>
      <c r="AE14" s="2" t="s">
        <v>53</v>
      </c>
      <c r="AF14" s="2" t="s">
        <v>54</v>
      </c>
      <c r="AG14" s="2" t="s">
        <v>55</v>
      </c>
      <c r="AH14" s="3" t="s">
        <v>56</v>
      </c>
      <c r="AI14" s="2" t="s">
        <v>57</v>
      </c>
      <c r="AJ14" s="2" t="s">
        <v>58</v>
      </c>
      <c r="AK14" s="2" t="s">
        <v>59</v>
      </c>
      <c r="AL14" s="2" t="s">
        <v>60</v>
      </c>
      <c r="AM14" s="2" t="s">
        <v>61</v>
      </c>
      <c r="AN14" s="3" t="s">
        <v>62</v>
      </c>
      <c r="AO14" s="2" t="s">
        <v>63</v>
      </c>
      <c r="AP14" s="2" t="s">
        <v>64</v>
      </c>
    </row>
    <row r="15" spans="1:42">
      <c r="A15" s="4">
        <f>IFERROR(AVERAGEIF($B$2:$B$11,"&lt;&gt; -1"),0)</f>
        <v>54.483</v>
      </c>
      <c r="B15" s="4">
        <f>IFERROR(AVERAGEIF($D$2:$D$11,"&lt;&gt; -1"),0)</f>
        <v>24.473</v>
      </c>
      <c r="C15" s="4">
        <f>IFERROR(AVERAGEIF($F$2:$F$11,"&lt;&gt; -1"),0)</f>
        <v>55.692</v>
      </c>
      <c r="D15" s="4">
        <f>IFERROR(AVERAGEIF($H$2:$H$11,"&lt;&gt; -1"),0)</f>
        <v>26.575</v>
      </c>
      <c r="E15" s="4">
        <f>IFERROR(AVERAGEIF($J$2:$J$11,"&lt;&gt; -1"),0)</f>
        <v>54.837</v>
      </c>
      <c r="F15" s="4">
        <f>IFERROR(AVERAGEIF($L$2:$L$11,"&lt;&gt; -1"),0)</f>
        <v>25.38</v>
      </c>
      <c r="G15" s="4">
        <f>IFERROR(AVERAGEIFS($C$2:$C$11,$B$2:$B$11,"&lt;&gt; -1"),0)</f>
        <v>2140.281</v>
      </c>
      <c r="H15" s="4">
        <f>IFERROR(AVERAGEIFS($E$2:$E$11,$D$2:$D$11,"&lt;&gt; -1"),0)</f>
        <v>2200.745</v>
      </c>
      <c r="I15" s="4">
        <f>IFERROR(AVERAGEIFS($G$2:$G$11,$F$2:$F$11,"&lt;&gt; -1"),0)</f>
        <v>2383.722</v>
      </c>
      <c r="J15" s="4">
        <f>IFERROR(AVERAGEIFS($I$2:$I$11,$H$2:$H$11,"&lt;&gt; -1"),0)</f>
        <v>2376.063</v>
      </c>
      <c r="K15" s="4">
        <f>IFERROR(AVERAGEIFS($K$2:$K$11,$J$2:$J$11,"&lt;&gt; -1"),0)</f>
        <v>2096.79</v>
      </c>
      <c r="L15" s="4">
        <f>IFERROR(AVERAGEIFS($M$2:$M$11,$L$2:$L$11,"&lt;&gt; -1"),0)</f>
        <v>2116.748</v>
      </c>
      <c r="M15" s="4">
        <f>IFERROR(_xlfn.MAXIFS($B$2:$B$11,$B$2:$B$11,"&lt;&gt; -1"),0)</f>
        <v>59.89</v>
      </c>
      <c r="N15" s="4">
        <f>IFERROR(_xlfn.MAXIFS($D$2:$D$11,$D$2:$D$11,"&lt;&gt;-1"),0)</f>
        <v>25.83</v>
      </c>
      <c r="O15" s="4">
        <f>IFERROR(_xlfn.MAXIFS($F$2:$F$11,$F$2:$F$11,"&lt;&gt; -1"),0)</f>
        <v>61.32</v>
      </c>
      <c r="P15" s="4">
        <f>IFERROR(_xlfn.MAXIFS($H$2:$H$11,$H$2:$H$11,"&lt;&gt; -1"),0)</f>
        <v>27.89</v>
      </c>
      <c r="Q15" s="4">
        <f>IFERROR(_xlfn.MAXIFS($J$2:$J$11,$J$2:$J$11,"&lt;&gt; -1"),0)</f>
        <v>60.11</v>
      </c>
      <c r="R15" s="4">
        <f>IFERROR(_xlfn.MAXIFS($L$2:$L$11,$L$2:$L$11,"&lt;&gt; -1"),0)</f>
        <v>26.7</v>
      </c>
      <c r="S15" s="4">
        <f>IFERROR(_xlfn.MINIFS($B$2:$B$11,$B$2:$B$11,"&lt;&gt; -1"),0)</f>
        <v>40.98</v>
      </c>
      <c r="T15" s="4">
        <f>IFERROR(_xlfn.MINIFS($D$2:$D$11,$D$2:$D$11,"&lt;&gt;-1"),0)</f>
        <v>17.16</v>
      </c>
      <c r="U15" s="4">
        <f>IFERROR(_xlfn.MINIFS($F$2:$F$11,$F$2:$F$11,"&lt;&gt; -1"),0)</f>
        <v>42.24</v>
      </c>
      <c r="V15" s="4">
        <f>IFERROR(_xlfn.MINIFS($H$2:$H$11,$H$2:$H$11,"&lt;&gt; -1"),0)</f>
        <v>19.97</v>
      </c>
      <c r="W15" s="4">
        <f>IFERROR(_xlfn.MINIFS($J$2:$J$11,$J$2:$J$11,"&lt;&gt; -1"),0)</f>
        <v>41.81</v>
      </c>
      <c r="X15" s="4">
        <f>IFERROR(_xlfn.MINIFS($L$2:$L$11,$L$2:$L$11,"&lt;&gt; -1"),0)</f>
        <v>18.87</v>
      </c>
      <c r="Y15" s="4">
        <f>IFERROR(_xlfn.MAXIFS($C$2:$C$11,$B$2:$B$11,"&lt;&gt; -1"),0)</f>
        <v>2262.54</v>
      </c>
      <c r="Z15" s="4">
        <f>IFERROR(_xlfn.MAXIFS($E$2:$E$11,$D$2:$D$11,"&lt;&gt; -1"),0)</f>
        <v>2319.57</v>
      </c>
      <c r="AA15" s="4">
        <f>IFERROR(_xlfn.MAXIFS($G$2:$G$11,$F$2:$F$11,"&lt;&gt; -1"),0)</f>
        <v>2450.48</v>
      </c>
      <c r="AB15" s="4">
        <f>IFERROR(_xlfn.MAXIFS($I$2:$I$11,$H$2:$H$11,"&lt;&gt; -1"),0)</f>
        <v>2453.3</v>
      </c>
      <c r="AC15" s="4">
        <f>IFERROR(_xlfn.MAXIFS($K$2:$K$11,$J$2:$J$11,"&lt;&gt; -1"),0)</f>
        <v>2155.93</v>
      </c>
      <c r="AD15" s="4">
        <f>IFERROR(_xlfn.MAXIFS($M$2:$M$11,$L$2:$L$11,"&lt;&gt; -1"),0)</f>
        <v>2222.19</v>
      </c>
      <c r="AE15" s="4">
        <f>IFERROR(_xlfn.MINIFS($C$2:$C$11,$B$2:$B$11,"&lt;&gt; -1"),0)</f>
        <v>2040.35</v>
      </c>
      <c r="AF15" s="4">
        <f>IFERROR(_xlfn.MINIFS($E$2:$E$11,$D$2:$D$11,"&lt;&gt; -1"),0)</f>
        <v>2108.38</v>
      </c>
      <c r="AG15" s="4">
        <f>IFERROR(_xlfn.MINIFS($G$2:$G$11,$F$2:$F$11,"&lt;&gt; -1"),0)</f>
        <v>2290.17</v>
      </c>
      <c r="AH15" s="4">
        <f>IFERROR(_xlfn.MINIFS($I$2:$I$11,$H$2:$H$11,"&lt;&gt; -1"),0)</f>
        <v>2267.37</v>
      </c>
      <c r="AI15" s="4">
        <f>IFERROR(_xlfn.MINIFS($K$2:$K$11,$J$2:$J$11,"&lt;&gt; -1"),0)</f>
        <v>2018.16</v>
      </c>
      <c r="AJ15" s="4">
        <f>IFERROR(_xlfn.MINIFS($M$2:$M$11,$L$2:$L$11,"&lt;&gt; -1"),0)</f>
        <v>2005.38</v>
      </c>
      <c r="AK15" s="4">
        <f>(COUNTIFS($B$2:$B$11,"&gt;0.0",$B$2:$B$11,"&lt;200.0"))/10</f>
        <v>1</v>
      </c>
      <c r="AL15" s="4">
        <f>(COUNTIFS($D$2:$D$11,"&gt;0.0",$D$2:$D$11,"&lt;200.0"))/10</f>
        <v>1</v>
      </c>
      <c r="AM15" s="4">
        <f>(COUNTIFS($F$2:$F$11,"&gt;0.0",$F$2:$F$11,"&lt;200.0"))/10</f>
        <v>1</v>
      </c>
      <c r="AN15" s="4" t="e">
        <f>(COUNTIFS($H$2:$H12,"&gt;0.0",$H$2:$H$11,"&lt;200.0"))/10</f>
        <v>#VALUE!</v>
      </c>
      <c r="AO15" s="4">
        <f>(COUNTIFS($J$2:$J$11,"&gt;0.0",$J$2:$J$11,"&lt;200.0"))/10</f>
        <v>1</v>
      </c>
      <c r="AP15" s="4">
        <f>(COUNTIFS($L$2:$L$11,"&gt;0.0",$L$2:$L$11,"&lt;200.0"))/10</f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52.88</v>
      </c>
      <c r="C2">
        <v>2158.96</v>
      </c>
      <c r="D2">
        <v>25.27</v>
      </c>
      <c r="E2">
        <v>2098.85</v>
      </c>
      <c r="F2">
        <v>60.52</v>
      </c>
      <c r="G2">
        <v>2209.59</v>
      </c>
      <c r="H2">
        <v>30.94</v>
      </c>
      <c r="I2">
        <v>2184.16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50.07</v>
      </c>
      <c r="C3">
        <v>2191.07</v>
      </c>
      <c r="D3">
        <v>23.98</v>
      </c>
      <c r="E3">
        <v>2288.68</v>
      </c>
      <c r="F3">
        <v>71.5</v>
      </c>
      <c r="G3">
        <v>2246.39</v>
      </c>
      <c r="H3">
        <v>34.64</v>
      </c>
      <c r="I3">
        <v>2210.03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49.94</v>
      </c>
      <c r="C4">
        <v>2136.39</v>
      </c>
      <c r="D4">
        <v>24.45</v>
      </c>
      <c r="E4">
        <v>2203.62</v>
      </c>
      <c r="F4">
        <v>70.39</v>
      </c>
      <c r="G4">
        <v>2177.19</v>
      </c>
      <c r="H4">
        <v>30.03</v>
      </c>
      <c r="I4">
        <v>2208.98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50.51</v>
      </c>
      <c r="C5">
        <v>2337.03</v>
      </c>
      <c r="D5">
        <v>24.31</v>
      </c>
      <c r="E5">
        <v>2228.18</v>
      </c>
      <c r="F5">
        <v>-1</v>
      </c>
      <c r="G5">
        <v>0</v>
      </c>
      <c r="H5">
        <v>30.9</v>
      </c>
      <c r="I5">
        <v>2247.8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51.4</v>
      </c>
      <c r="C6">
        <v>2294.29</v>
      </c>
      <c r="D6">
        <v>25.22</v>
      </c>
      <c r="E6">
        <v>2196</v>
      </c>
      <c r="F6">
        <v>76.45</v>
      </c>
      <c r="G6">
        <v>2262.67</v>
      </c>
      <c r="H6">
        <v>29.87</v>
      </c>
      <c r="I6">
        <v>2231.18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49.86</v>
      </c>
      <c r="C7">
        <v>2186.87</v>
      </c>
      <c r="D7">
        <v>24.03</v>
      </c>
      <c r="E7">
        <v>2295.49</v>
      </c>
      <c r="F7">
        <v>62.05</v>
      </c>
      <c r="G7">
        <v>2228.11</v>
      </c>
      <c r="H7">
        <v>33.32</v>
      </c>
      <c r="I7">
        <v>2295.53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50.03</v>
      </c>
      <c r="C8">
        <v>2245.72</v>
      </c>
      <c r="D8">
        <v>24.15</v>
      </c>
      <c r="E8">
        <v>2120.28</v>
      </c>
      <c r="F8">
        <v>-1</v>
      </c>
      <c r="G8">
        <v>433.1</v>
      </c>
      <c r="H8">
        <v>28.87</v>
      </c>
      <c r="I8">
        <v>2150.29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49.91</v>
      </c>
      <c r="C9">
        <v>2133.13</v>
      </c>
      <c r="D9">
        <v>22.95</v>
      </c>
      <c r="E9">
        <v>2174.16</v>
      </c>
      <c r="F9">
        <v>-1</v>
      </c>
      <c r="G9">
        <v>384.17</v>
      </c>
      <c r="H9">
        <v>27.23</v>
      </c>
      <c r="I9">
        <v>2175.11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48.95</v>
      </c>
      <c r="C10">
        <v>2193.36</v>
      </c>
      <c r="D10">
        <v>23.18</v>
      </c>
      <c r="E10">
        <v>2262.56</v>
      </c>
      <c r="F10">
        <v>-1</v>
      </c>
      <c r="G10">
        <v>365.33</v>
      </c>
      <c r="H10">
        <v>52.03</v>
      </c>
      <c r="I10">
        <v>2268.32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50.13</v>
      </c>
      <c r="C11">
        <v>2283.67</v>
      </c>
      <c r="D11">
        <v>24.36</v>
      </c>
      <c r="E11">
        <v>2308</v>
      </c>
      <c r="F11">
        <v>72.46</v>
      </c>
      <c r="G11">
        <v>2340.48</v>
      </c>
      <c r="H11">
        <v>35.48</v>
      </c>
      <c r="I11">
        <v>2252.11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50.368</v>
      </c>
      <c r="B14" s="4">
        <f>IFERROR(AVERAGEIF($D$2:$D$11,"&lt;&gt; -1"),0)</f>
        <v>24.19</v>
      </c>
      <c r="C14" s="4">
        <f>IFERROR(AVERAGEIF($F$2:$F$11,"&lt;&gt; -1"),0)</f>
        <v>68.895</v>
      </c>
      <c r="D14" s="4">
        <f>IFERROR(AVERAGEIF($H$2:$H$11,"&lt;&gt; -1"),0)</f>
        <v>33.331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2216.049</v>
      </c>
      <c r="H14" s="4">
        <f>IFERROR(AVERAGEIFS($E$2:$E$11,$D$2:$D$11,"&lt;&gt; -1"),0)</f>
        <v>2217.582</v>
      </c>
      <c r="I14" s="4">
        <f>IFERROR(AVERAGEIFS($G$2:$G$11,$F$2:$F$11,"&lt;&gt; -1"),0)</f>
        <v>2244.07166666667</v>
      </c>
      <c r="J14" s="4">
        <f>IFERROR(AVERAGEIFS($I$2:$I$11,$H$2:$H$11,"&lt;&gt; -1"),0)</f>
        <v>2222.351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52.88</v>
      </c>
      <c r="N14" s="4">
        <f>IFERROR(_xlfn.MAXIFS($D$2:$D$11,$D$2:$D$11,"&lt;&gt;-1"),0)</f>
        <v>25.27</v>
      </c>
      <c r="O14" s="4">
        <f>IFERROR(_xlfn.MAXIFS($F$2:$F$11,$F$2:$F$11,"&lt;&gt; -1"),0)</f>
        <v>76.45</v>
      </c>
      <c r="P14" s="4">
        <f>IFERROR(_xlfn.MAXIFS($H$2:$H$11,$H$2:$H$11,"&lt;&gt; -1"),0)</f>
        <v>52.03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48.95</v>
      </c>
      <c r="T14" s="4">
        <f>IFERROR(_xlfn.MINIFS($D$2:$D$11,$D$2:$D$11,"&lt;&gt;-1"),0)</f>
        <v>22.95</v>
      </c>
      <c r="U14" s="4">
        <f>IFERROR(_xlfn.MINIFS($F$2:$F$11,$F$2:$F$11,"&lt;&gt; -1"),0)</f>
        <v>60.52</v>
      </c>
      <c r="V14" s="4">
        <f>IFERROR(_xlfn.MINIFS($H$2:$H$11,$H$2:$H$11,"&lt;&gt; -1"),0)</f>
        <v>27.23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2337.03</v>
      </c>
      <c r="Z14" s="4">
        <f>IFERROR(_xlfn.MAXIFS($E$2:$E$11,$D$2:$D$11,"&lt;&gt; -1"),0)</f>
        <v>2308</v>
      </c>
      <c r="AA14" s="4">
        <f>IFERROR(_xlfn.MAXIFS($G$2:$G$11,$F$2:$F$11,"&lt;&gt; -1"),0)</f>
        <v>2340.48</v>
      </c>
      <c r="AB14" s="4">
        <f>IFERROR(_xlfn.MAXIFS($I$2:$I$11,$H$2:$H$11,"&lt;&gt; -1"),0)</f>
        <v>2295.53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2133.13</v>
      </c>
      <c r="AF14" s="4">
        <f>IFERROR(_xlfn.MINIFS($E$2:$E$11,$D$2:$D$11,"&lt;&gt; -1"),0)</f>
        <v>2098.85</v>
      </c>
      <c r="AG14" s="4">
        <f>IFERROR(_xlfn.MINIFS($G$2:$G$11,$F$2:$F$11,"&lt;&gt; -1"),0)</f>
        <v>2177.19</v>
      </c>
      <c r="AH14" s="4">
        <f>IFERROR(_xlfn.MINIFS($I$2:$I$11,$H$2:$H$11,"&lt;&gt; -1"),0)</f>
        <v>2150.29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(COUNTIFS($B$2:$B$11,"&gt;0.0",$B$2:$B$11,"&lt;200.0"))/10</f>
        <v>1</v>
      </c>
      <c r="AL14" s="4">
        <f>(COUNTIFS($D$2:$D$11,"&gt;0.0",$D$2:$D$11,"&lt;200.0"))/10</f>
        <v>1</v>
      </c>
      <c r="AM14" s="4">
        <f>(COUNTIFS($F$2:$F$11,"&gt;0.0",$F$2:$F$11,"&lt;200.0"))/10</f>
        <v>0.6</v>
      </c>
      <c r="AN14" s="4">
        <f>(COUNTIFS($H$2:$H11,"&gt;0.0",$H$2:$H$11,"&lt;200.0"))/10</f>
        <v>1</v>
      </c>
      <c r="AO14" s="4">
        <f>(COUNTIFS($J$2:$J$11,"&gt;0.0",$J$2:$J$11,"&lt;200.0"))/10</f>
        <v>0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31.23</v>
      </c>
      <c r="C2">
        <v>2098.22</v>
      </c>
      <c r="D2">
        <v>23.51</v>
      </c>
      <c r="E2">
        <v>1899.24</v>
      </c>
      <c r="F2">
        <v>-1</v>
      </c>
      <c r="G2">
        <v>510.19</v>
      </c>
      <c r="H2">
        <v>25.24</v>
      </c>
      <c r="I2">
        <v>2014.13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31.17</v>
      </c>
      <c r="C3">
        <v>2114.98</v>
      </c>
      <c r="D3">
        <v>23.88</v>
      </c>
      <c r="E3">
        <v>2132.83</v>
      </c>
      <c r="F3">
        <v>-1</v>
      </c>
      <c r="G3">
        <v>0</v>
      </c>
      <c r="H3">
        <v>46.07</v>
      </c>
      <c r="I3">
        <v>2075.07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26.84</v>
      </c>
      <c r="C4">
        <v>1753.78</v>
      </c>
      <c r="D4">
        <v>22.58</v>
      </c>
      <c r="E4">
        <v>1994.56</v>
      </c>
      <c r="F4">
        <v>28.62</v>
      </c>
      <c r="G4">
        <v>1951.6</v>
      </c>
      <c r="H4">
        <v>-1</v>
      </c>
      <c r="I4">
        <v>492.67</v>
      </c>
      <c r="J4">
        <v>27.43</v>
      </c>
      <c r="K4">
        <v>1717.7</v>
      </c>
      <c r="L4">
        <v>-1</v>
      </c>
      <c r="M4">
        <v>0</v>
      </c>
    </row>
    <row r="5" spans="1:13">
      <c r="A5" t="s">
        <v>16</v>
      </c>
      <c r="B5">
        <v>29.75</v>
      </c>
      <c r="C5">
        <v>2013.39</v>
      </c>
      <c r="D5">
        <v>23.55</v>
      </c>
      <c r="E5">
        <v>2059.72</v>
      </c>
      <c r="F5">
        <v>41.79</v>
      </c>
      <c r="G5">
        <v>1986.94</v>
      </c>
      <c r="H5">
        <v>44.05</v>
      </c>
      <c r="I5">
        <v>2065.14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31.07</v>
      </c>
      <c r="C6">
        <v>2046.87</v>
      </c>
      <c r="D6">
        <v>24.44</v>
      </c>
      <c r="E6">
        <v>2090.45</v>
      </c>
      <c r="F6">
        <v>38.9</v>
      </c>
      <c r="G6">
        <v>2022.2</v>
      </c>
      <c r="H6">
        <v>-1</v>
      </c>
      <c r="I6">
        <v>548.23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29.59</v>
      </c>
      <c r="C7">
        <v>2080.87</v>
      </c>
      <c r="D7">
        <v>23.1</v>
      </c>
      <c r="E7">
        <v>2179.23</v>
      </c>
      <c r="F7">
        <v>-1</v>
      </c>
      <c r="G7">
        <v>361.06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28.46</v>
      </c>
      <c r="C8">
        <v>1949.64</v>
      </c>
      <c r="D8">
        <v>22.94</v>
      </c>
      <c r="E8">
        <v>2057.82</v>
      </c>
      <c r="F8">
        <v>33.17</v>
      </c>
      <c r="G8">
        <v>1990.09</v>
      </c>
      <c r="H8">
        <v>-1</v>
      </c>
      <c r="I8">
        <v>571.15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30.15</v>
      </c>
      <c r="C9">
        <v>1838.31</v>
      </c>
      <c r="D9">
        <v>23.67</v>
      </c>
      <c r="E9">
        <v>1936.94</v>
      </c>
      <c r="F9">
        <v>34.78</v>
      </c>
      <c r="G9">
        <v>1877.92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30.33</v>
      </c>
      <c r="C10">
        <v>2079.88</v>
      </c>
      <c r="D10">
        <v>23.32</v>
      </c>
      <c r="E10">
        <v>1948.23</v>
      </c>
      <c r="F10">
        <v>44.05</v>
      </c>
      <c r="G10">
        <v>2102.18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32.48</v>
      </c>
      <c r="C11">
        <v>2274.33</v>
      </c>
      <c r="D11">
        <v>24.6</v>
      </c>
      <c r="E11">
        <v>2093.54</v>
      </c>
      <c r="F11">
        <v>-1</v>
      </c>
      <c r="G11">
        <v>0</v>
      </c>
      <c r="H11">
        <v>-1</v>
      </c>
      <c r="I11">
        <v>451.25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30.107</v>
      </c>
      <c r="B14" s="4">
        <f>IFERROR(AVERAGEIF($D$2:$D$11,"&lt;&gt; -1"),0)</f>
        <v>23.559</v>
      </c>
      <c r="C14" s="4">
        <f>IFERROR(AVERAGEIF($F$2:$F$11,"&lt;&gt; -1"),0)</f>
        <v>36.885</v>
      </c>
      <c r="D14" s="4">
        <f>IFERROR(AVERAGEIF($H$2:$H$11,"&lt;&gt; -1"),0)</f>
        <v>38.4533333333333</v>
      </c>
      <c r="E14" s="4">
        <f>IFERROR(AVERAGEIF($J$2:$J$11,"&lt;&gt; -1"),0)</f>
        <v>27.43</v>
      </c>
      <c r="F14" s="4">
        <f>IFERROR(AVERAGEIF($L$2:$L$11,"&lt;&gt; -1"),0)</f>
        <v>0</v>
      </c>
      <c r="G14" s="4">
        <f>IFERROR(AVERAGEIFS($C$2:$C$11,$B$2:$B$11,"&lt;&gt; -1"),0)</f>
        <v>2025.027</v>
      </c>
      <c r="H14" s="4">
        <f>IFERROR(AVERAGEIFS($E$2:$E$11,$D$2:$D$11,"&lt;&gt; -1"),0)</f>
        <v>2039.256</v>
      </c>
      <c r="I14" s="4">
        <f>IFERROR(AVERAGEIFS($G$2:$G$11,$F$2:$F$11,"&lt;&gt; -1"),0)</f>
        <v>1988.48833333333</v>
      </c>
      <c r="J14" s="4">
        <f>IFERROR(AVERAGEIFS($I$2:$I$11,$H$2:$H$11,"&lt;&gt; -1"),0)</f>
        <v>2051.44666666667</v>
      </c>
      <c r="K14" s="4">
        <f>IFERROR(AVERAGEIFS($K$2:$K$11,$J$2:$J$11,"&lt;&gt; -1"),0)</f>
        <v>1717.7</v>
      </c>
      <c r="L14" s="4">
        <f>IFERROR(AVERAGEIFS($M$2:$M$11,$L$2:$L$11,"&lt;&gt; -1"),0)</f>
        <v>0</v>
      </c>
      <c r="M14" s="4">
        <f>IFERROR(_xlfn.MAXIFS($B$2:$B$11,$B$2:$B$11,"&lt;&gt; -1"),0)</f>
        <v>32.48</v>
      </c>
      <c r="N14" s="4">
        <f>IFERROR(_xlfn.MAXIFS($D$2:$D$11,$D$2:$D$11,"&lt;&gt;-1"),0)</f>
        <v>24.6</v>
      </c>
      <c r="O14" s="4">
        <f>IFERROR(_xlfn.MAXIFS($F$2:$F$11,$F$2:$F$11,"&lt;&gt; -1"),0)</f>
        <v>44.05</v>
      </c>
      <c r="P14" s="4">
        <f>IFERROR(_xlfn.MAXIFS($H$2:$H$11,$H$2:$H$11,"&lt;&gt; -1"),0)</f>
        <v>46.07</v>
      </c>
      <c r="Q14" s="4">
        <f>IFERROR(_xlfn.MAXIFS($J$2:$J$11,$J$2:$J$11,"&lt;&gt; -1"),0)</f>
        <v>27.43</v>
      </c>
      <c r="R14" s="4">
        <f>IFERROR(_xlfn.MAXIFS($L$2:$L$11,$L$2:$L$11,"&lt;&gt; -1"),0)</f>
        <v>0</v>
      </c>
      <c r="S14" s="4">
        <f>IFERROR(_xlfn.MINIFS($B$2:$B$11,$B$2:$B$11,"&lt;&gt; -1"),0)</f>
        <v>26.84</v>
      </c>
      <c r="T14" s="4">
        <f>IFERROR(_xlfn.MINIFS($D$2:$D$11,$D$2:$D$11,"&lt;&gt;-1"),0)</f>
        <v>22.58</v>
      </c>
      <c r="U14" s="4">
        <f>IFERROR(_xlfn.MINIFS($F$2:$F$11,$F$2:$F$11,"&lt;&gt; -1"),0)</f>
        <v>28.62</v>
      </c>
      <c r="V14" s="4">
        <f>IFERROR(_xlfn.MINIFS($H$2:$H$11,$H$2:$H$11,"&lt;&gt; -1"),0)</f>
        <v>25.24</v>
      </c>
      <c r="W14" s="4">
        <f>IFERROR(_xlfn.MINIFS($J$2:$J$11,$J$2:$J$11,"&lt;&gt; -1"),0)</f>
        <v>27.43</v>
      </c>
      <c r="X14" s="4">
        <f>IFERROR(_xlfn.MINIFS($L$2:$L$11,$L$2:$L$11,"&lt;&gt; -1"),0)</f>
        <v>0</v>
      </c>
      <c r="Y14" s="4">
        <f>IFERROR(_xlfn.MAXIFS($C$2:$C$11,$B$2:$B$11,"&lt;&gt; -1"),0)</f>
        <v>2274.33</v>
      </c>
      <c r="Z14" s="4">
        <f>IFERROR(_xlfn.MAXIFS($E$2:$E$11,$D$2:$D$11,"&lt;&gt; -1"),0)</f>
        <v>2179.23</v>
      </c>
      <c r="AA14" s="4">
        <f>IFERROR(_xlfn.MAXIFS($G$2:$G$11,$F$2:$F$11,"&lt;&gt; -1"),0)</f>
        <v>2102.18</v>
      </c>
      <c r="AB14" s="4">
        <f>IFERROR(_xlfn.MAXIFS($I$2:$I$11,$H$2:$H$11,"&lt;&gt; -1"),0)</f>
        <v>2075.07</v>
      </c>
      <c r="AC14" s="4">
        <f>IFERROR(_xlfn.MAXIFS($K$2:$K$11,$J$2:$J$11,"&lt;&gt; -1"),0)</f>
        <v>1717.7</v>
      </c>
      <c r="AD14" s="4">
        <f>IFERROR(_xlfn.MAXIFS($M$2:$M$11,$L$2:$L$11,"&lt;&gt; -1"),0)</f>
        <v>0</v>
      </c>
      <c r="AE14" s="4">
        <f>IFERROR(_xlfn.MINIFS($C$2:$C$11,$B$2:$B$11,"&lt;&gt; -1"),0)</f>
        <v>1753.78</v>
      </c>
      <c r="AF14" s="4">
        <f>IFERROR(_xlfn.MINIFS($E$2:$E$11,$D$2:$D$11,"&lt;&gt; -1"),0)</f>
        <v>1899.24</v>
      </c>
      <c r="AG14" s="4">
        <f>IFERROR(_xlfn.MINIFS($G$2:$G$11,$F$2:$F$11,"&lt;&gt; -1"),0)</f>
        <v>1877.92</v>
      </c>
      <c r="AH14" s="4">
        <f>IFERROR(_xlfn.MINIFS($I$2:$I$11,$H$2:$H$11,"&lt;&gt; -1"),0)</f>
        <v>2014.13</v>
      </c>
      <c r="AI14" s="4">
        <f>IFERROR(_xlfn.MINIFS($K$2:$K$11,$J$2:$J$11,"&lt;&gt; -1"),0)</f>
        <v>1717.7</v>
      </c>
      <c r="AJ14" s="4">
        <f>IFERROR(_xlfn.MINIFS($M$2:$M$11,$L$2:$L$11,"&lt;&gt; -1"),0)</f>
        <v>0</v>
      </c>
      <c r="AK14" s="4">
        <f>(COUNTIFS($B$2:$B$11,"&gt;0.0",$B$2:$B$11,"&lt;200.0"))/10</f>
        <v>1</v>
      </c>
      <c r="AL14" s="4">
        <f>(COUNTIFS($D$2:$D$11,"&gt;0.0",$D$2:$D$11,"&lt;200.0"))/10</f>
        <v>1</v>
      </c>
      <c r="AM14" s="4">
        <f>(COUNTIFS($F$2:$F$11,"&gt;0.0",$F$2:$F$11,"&lt;200.0"))/10</f>
        <v>0.6</v>
      </c>
      <c r="AN14" s="4">
        <f>(COUNTIFS($H$2:$H11,"&gt;0.0",$H$2:$H$11,"&lt;200.0"))/10</f>
        <v>0.3</v>
      </c>
      <c r="AO14" s="4">
        <f>(COUNTIFS($J$2:$J$11,"&gt;0.0",$J$2:$J$11,"&lt;200.0"))/10</f>
        <v>0.1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26.33</v>
      </c>
      <c r="C2">
        <v>1831.61</v>
      </c>
      <c r="D2">
        <v>21.89</v>
      </c>
      <c r="E2">
        <v>1839.56</v>
      </c>
      <c r="F2">
        <v>43.94</v>
      </c>
      <c r="G2">
        <v>1759.58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26.65</v>
      </c>
      <c r="C3">
        <v>1772.63</v>
      </c>
      <c r="D3">
        <v>22.03</v>
      </c>
      <c r="E3">
        <v>1828.27</v>
      </c>
      <c r="F3">
        <v>34.16</v>
      </c>
      <c r="G3">
        <v>1769.37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25.53</v>
      </c>
      <c r="C4">
        <v>1715.53</v>
      </c>
      <c r="D4">
        <v>21.48</v>
      </c>
      <c r="E4">
        <v>1806.26</v>
      </c>
      <c r="F4">
        <v>28.3</v>
      </c>
      <c r="G4">
        <v>1771.82</v>
      </c>
      <c r="H4">
        <v>46.85</v>
      </c>
      <c r="I4">
        <v>1793.97</v>
      </c>
      <c r="J4">
        <v>28.57</v>
      </c>
      <c r="K4">
        <v>1626.45</v>
      </c>
      <c r="L4">
        <v>-1</v>
      </c>
      <c r="M4">
        <v>0</v>
      </c>
    </row>
    <row r="5" spans="1:13">
      <c r="A5" t="s">
        <v>16</v>
      </c>
      <c r="B5">
        <v>24.42</v>
      </c>
      <c r="C5">
        <v>1658.9</v>
      </c>
      <c r="D5">
        <v>21.72</v>
      </c>
      <c r="E5">
        <v>1697.07</v>
      </c>
      <c r="F5">
        <v>26.44</v>
      </c>
      <c r="G5">
        <v>1798.94</v>
      </c>
      <c r="H5">
        <v>24.97</v>
      </c>
      <c r="I5">
        <v>1843.92</v>
      </c>
      <c r="J5">
        <v>24.98</v>
      </c>
      <c r="K5">
        <v>1591.7</v>
      </c>
      <c r="L5">
        <v>-1</v>
      </c>
      <c r="M5">
        <v>0</v>
      </c>
    </row>
    <row r="6" spans="1:13">
      <c r="A6" t="s">
        <v>17</v>
      </c>
      <c r="B6">
        <v>27.29</v>
      </c>
      <c r="C6">
        <v>1804.77</v>
      </c>
      <c r="D6">
        <v>23.52</v>
      </c>
      <c r="E6">
        <v>1861.87</v>
      </c>
      <c r="F6">
        <v>30.3</v>
      </c>
      <c r="G6">
        <v>1838.4</v>
      </c>
      <c r="H6">
        <v>34.58</v>
      </c>
      <c r="I6">
        <v>1849.76</v>
      </c>
      <c r="J6">
        <v>30.9</v>
      </c>
      <c r="K6">
        <v>1648.22</v>
      </c>
      <c r="L6">
        <v>-1</v>
      </c>
      <c r="M6">
        <v>0</v>
      </c>
    </row>
    <row r="7" spans="1:13">
      <c r="A7" t="s">
        <v>18</v>
      </c>
      <c r="B7">
        <v>26.16</v>
      </c>
      <c r="C7">
        <v>1797.86</v>
      </c>
      <c r="D7">
        <v>21.99</v>
      </c>
      <c r="E7">
        <v>1854.3</v>
      </c>
      <c r="F7">
        <v>32.49</v>
      </c>
      <c r="G7">
        <v>1810.87</v>
      </c>
      <c r="H7">
        <v>-1</v>
      </c>
      <c r="I7">
        <v>459.49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23.55</v>
      </c>
      <c r="C8">
        <v>1542.06</v>
      </c>
      <c r="D8">
        <v>21.97</v>
      </c>
      <c r="E8">
        <v>1660.34</v>
      </c>
      <c r="F8">
        <v>23.88</v>
      </c>
      <c r="G8">
        <v>1772.62</v>
      </c>
      <c r="H8">
        <v>25.39</v>
      </c>
      <c r="I8">
        <v>1732.88</v>
      </c>
      <c r="J8">
        <v>23.53</v>
      </c>
      <c r="K8">
        <v>1542.06</v>
      </c>
      <c r="L8">
        <v>-1</v>
      </c>
      <c r="M8">
        <v>0</v>
      </c>
    </row>
    <row r="9" spans="1:13">
      <c r="A9" t="s">
        <v>20</v>
      </c>
      <c r="B9">
        <v>26.07</v>
      </c>
      <c r="C9">
        <v>1877.37</v>
      </c>
      <c r="D9">
        <v>21.66</v>
      </c>
      <c r="E9">
        <v>1894.87</v>
      </c>
      <c r="F9">
        <v>35.87</v>
      </c>
      <c r="G9">
        <v>1778.55</v>
      </c>
      <c r="H9">
        <v>49.64</v>
      </c>
      <c r="I9">
        <v>1822.11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25.53</v>
      </c>
      <c r="C10">
        <v>1856.01</v>
      </c>
      <c r="D10">
        <v>21.83</v>
      </c>
      <c r="E10">
        <v>1763.06</v>
      </c>
      <c r="F10">
        <v>33.06</v>
      </c>
      <c r="G10">
        <v>1847.95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26.38</v>
      </c>
      <c r="C11">
        <v>1791.29</v>
      </c>
      <c r="D11">
        <v>22.73</v>
      </c>
      <c r="E11">
        <v>1855.74</v>
      </c>
      <c r="F11">
        <v>29.73</v>
      </c>
      <c r="G11">
        <v>1841.91</v>
      </c>
      <c r="H11">
        <v>-1</v>
      </c>
      <c r="I11">
        <v>393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25.791</v>
      </c>
      <c r="B14" s="4">
        <f>IFERROR(AVERAGEIF($D$2:$D$11,"&lt;&gt; -1"),0)</f>
        <v>22.082</v>
      </c>
      <c r="C14" s="4">
        <f>IFERROR(AVERAGEIF($F$2:$F$11,"&lt;&gt; -1"),0)</f>
        <v>31.817</v>
      </c>
      <c r="D14" s="4">
        <f>IFERROR(AVERAGEIF($H$2:$H$11,"&lt;&gt; -1"),0)</f>
        <v>36.286</v>
      </c>
      <c r="E14" s="4">
        <f>IFERROR(AVERAGEIF($J$2:$J$11,"&lt;&gt; -1"),0)</f>
        <v>26.995</v>
      </c>
      <c r="F14" s="4">
        <f>IFERROR(AVERAGEIF($L$2:$L$11,"&lt;&gt; -1"),0)</f>
        <v>0</v>
      </c>
      <c r="G14" s="4">
        <f>IFERROR(AVERAGEIFS($C$2:$C$11,$B$2:$B$11,"&lt;&gt; -1"),0)</f>
        <v>1764.803</v>
      </c>
      <c r="H14" s="4">
        <f>IFERROR(AVERAGEIFS($E$2:$E$11,$D$2:$D$11,"&lt;&gt; -1"),0)</f>
        <v>1806.134</v>
      </c>
      <c r="I14" s="4">
        <f>IFERROR(AVERAGEIFS($G$2:$G$11,$F$2:$F$11,"&lt;&gt; -1"),0)</f>
        <v>1799.001</v>
      </c>
      <c r="J14" s="4">
        <f>IFERROR(AVERAGEIFS($I$2:$I$11,$H$2:$H$11,"&lt;&gt; -1"),0)</f>
        <v>1808.528</v>
      </c>
      <c r="K14" s="4">
        <f>IFERROR(AVERAGEIFS($K$2:$K$11,$J$2:$J$11,"&lt;&gt; -1"),0)</f>
        <v>1602.1075</v>
      </c>
      <c r="L14" s="4">
        <f>IFERROR(AVERAGEIFS($M$2:$M$11,$L$2:$L$11,"&lt;&gt; -1"),0)</f>
        <v>0</v>
      </c>
      <c r="M14" s="4">
        <f>IFERROR(_xlfn.MAXIFS($B$2:$B$11,$B$2:$B$11,"&lt;&gt; -1"),0)</f>
        <v>27.29</v>
      </c>
      <c r="N14" s="4">
        <f>IFERROR(_xlfn.MAXIFS($D$2:$D$11,$D$2:$D$11,"&lt;&gt;-1"),0)</f>
        <v>23.52</v>
      </c>
      <c r="O14" s="4">
        <f>IFERROR(_xlfn.MAXIFS($F$2:$F$11,$F$2:$F$11,"&lt;&gt; -1"),0)</f>
        <v>43.94</v>
      </c>
      <c r="P14" s="4">
        <f>IFERROR(_xlfn.MAXIFS($H$2:$H$11,$H$2:$H$11,"&lt;&gt; -1"),0)</f>
        <v>49.64</v>
      </c>
      <c r="Q14" s="4">
        <f>IFERROR(_xlfn.MAXIFS($J$2:$J$11,$J$2:$J$11,"&lt;&gt; -1"),0)</f>
        <v>30.9</v>
      </c>
      <c r="R14" s="4">
        <f>IFERROR(_xlfn.MAXIFS($L$2:$L$11,$L$2:$L$11,"&lt;&gt; -1"),0)</f>
        <v>0</v>
      </c>
      <c r="S14" s="4">
        <f>IFERROR(_xlfn.MINIFS($B$2:$B$11,$B$2:$B$11,"&lt;&gt; -1"),0)</f>
        <v>23.55</v>
      </c>
      <c r="T14" s="4">
        <f>IFERROR(_xlfn.MINIFS($D$2:$D$11,$D$2:$D$11,"&lt;&gt;-1"),0)</f>
        <v>21.48</v>
      </c>
      <c r="U14" s="4">
        <f>IFERROR(_xlfn.MINIFS($F$2:$F$11,$F$2:$F$11,"&lt;&gt; -1"),0)</f>
        <v>23.88</v>
      </c>
      <c r="V14" s="4">
        <f>IFERROR(_xlfn.MINIFS($H$2:$H$11,$H$2:$H$11,"&lt;&gt; -1"),0)</f>
        <v>24.97</v>
      </c>
      <c r="W14" s="4">
        <f>IFERROR(_xlfn.MINIFS($J$2:$J$11,$J$2:$J$11,"&lt;&gt; -1"),0)</f>
        <v>23.53</v>
      </c>
      <c r="X14" s="4">
        <f>IFERROR(_xlfn.MINIFS($L$2:$L$11,$L$2:$L$11,"&lt;&gt; -1"),0)</f>
        <v>0</v>
      </c>
      <c r="Y14" s="4">
        <f>IFERROR(_xlfn.MAXIFS($C$2:$C$11,$B$2:$B$11,"&lt;&gt; -1"),0)</f>
        <v>1877.37</v>
      </c>
      <c r="Z14" s="4">
        <f>IFERROR(_xlfn.MAXIFS($E$2:$E$11,$D$2:$D$11,"&lt;&gt; -1"),0)</f>
        <v>1894.87</v>
      </c>
      <c r="AA14" s="4">
        <f>IFERROR(_xlfn.MAXIFS($G$2:$G$11,$F$2:$F$11,"&lt;&gt; -1"),0)</f>
        <v>1847.95</v>
      </c>
      <c r="AB14" s="4">
        <f>IFERROR(_xlfn.MAXIFS($I$2:$I$11,$H$2:$H$11,"&lt;&gt; -1"),0)</f>
        <v>1849.76</v>
      </c>
      <c r="AC14" s="4">
        <f>IFERROR(_xlfn.MAXIFS($K$2:$K$11,$J$2:$J$11,"&lt;&gt; -1"),0)</f>
        <v>1648.22</v>
      </c>
      <c r="AD14" s="4">
        <f>IFERROR(_xlfn.MAXIFS($M$2:$M$11,$L$2:$L$11,"&lt;&gt; -1"),0)</f>
        <v>0</v>
      </c>
      <c r="AE14" s="4">
        <f>IFERROR(_xlfn.MINIFS($C$2:$C$11,$B$2:$B$11,"&lt;&gt; -1"),0)</f>
        <v>1542.06</v>
      </c>
      <c r="AF14" s="4">
        <f>IFERROR(_xlfn.MINIFS($E$2:$E$11,$D$2:$D$11,"&lt;&gt; -1"),0)</f>
        <v>1660.34</v>
      </c>
      <c r="AG14" s="4">
        <f>IFERROR(_xlfn.MINIFS($G$2:$G$11,$F$2:$F$11,"&lt;&gt; -1"),0)</f>
        <v>1759.58</v>
      </c>
      <c r="AH14" s="4">
        <f>IFERROR(_xlfn.MINIFS($I$2:$I$11,$H$2:$H$11,"&lt;&gt; -1"),0)</f>
        <v>1732.88</v>
      </c>
      <c r="AI14" s="4">
        <f>IFERROR(_xlfn.MINIFS($K$2:$K$11,$J$2:$J$11,"&lt;&gt; -1"),0)</f>
        <v>1542.06</v>
      </c>
      <c r="AJ14" s="4">
        <f>IFERROR(_xlfn.MINIFS($M$2:$M$11,$L$2:$L$11,"&lt;&gt; -1"),0)</f>
        <v>0</v>
      </c>
      <c r="AK14" s="4">
        <f>(COUNTIFS($B$2:$B$11,"&gt;0.0",$B$2:$B$11,"&lt;200.0"))/10</f>
        <v>1</v>
      </c>
      <c r="AL14" s="4">
        <f>(COUNTIFS($D$2:$D$11,"&gt;0.0",$D$2:$D$11,"&lt;200.0"))/10</f>
        <v>1</v>
      </c>
      <c r="AM14" s="4">
        <f>(COUNTIFS($F$2:$F$11,"&gt;0.0",$F$2:$F$11,"&lt;200.0"))/10</f>
        <v>1</v>
      </c>
      <c r="AN14" s="4">
        <f>(COUNTIFS($H$2:$H11,"&gt;0.0",$H$2:$H$11,"&lt;200.0"))/10</f>
        <v>0.5</v>
      </c>
      <c r="AO14" s="4">
        <f>(COUNTIFS($J$2:$J$11,"&gt;0.0",$J$2:$J$11,"&lt;200.0"))/10</f>
        <v>0.4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24.09</v>
      </c>
      <c r="C2">
        <v>1776.97</v>
      </c>
      <c r="D2">
        <v>20.99</v>
      </c>
      <c r="E2">
        <v>1646.85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22.65</v>
      </c>
      <c r="C3">
        <v>1496.22</v>
      </c>
      <c r="D3">
        <v>20.35</v>
      </c>
      <c r="E3">
        <v>1506.33</v>
      </c>
      <c r="F3">
        <v>25.38</v>
      </c>
      <c r="G3">
        <v>1512.35</v>
      </c>
      <c r="H3">
        <v>22</v>
      </c>
      <c r="I3">
        <v>1567.57</v>
      </c>
      <c r="J3">
        <v>-1</v>
      </c>
      <c r="K3">
        <v>207.24</v>
      </c>
      <c r="L3">
        <v>-1</v>
      </c>
      <c r="M3">
        <v>0</v>
      </c>
    </row>
    <row r="4" spans="1:13">
      <c r="A4" t="s">
        <v>15</v>
      </c>
      <c r="B4">
        <v>22.91</v>
      </c>
      <c r="C4">
        <v>1487.16</v>
      </c>
      <c r="D4">
        <v>20.34</v>
      </c>
      <c r="E4">
        <v>1598.7</v>
      </c>
      <c r="F4">
        <v>25.68</v>
      </c>
      <c r="G4">
        <v>1583.53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22.88</v>
      </c>
      <c r="C5">
        <v>1538.07</v>
      </c>
      <c r="D5">
        <v>20.02</v>
      </c>
      <c r="E5">
        <v>1527.94</v>
      </c>
      <c r="F5">
        <v>28.72</v>
      </c>
      <c r="G5">
        <v>1538.76</v>
      </c>
      <c r="H5">
        <v>-1</v>
      </c>
      <c r="I5">
        <v>382.16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24.53</v>
      </c>
      <c r="C6">
        <v>1531.22</v>
      </c>
      <c r="D6">
        <v>22.17</v>
      </c>
      <c r="E6">
        <v>1541.46</v>
      </c>
      <c r="F6">
        <v>27.27</v>
      </c>
      <c r="G6">
        <v>1634.87</v>
      </c>
      <c r="H6">
        <v>42.19</v>
      </c>
      <c r="I6">
        <v>1584.6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22.98</v>
      </c>
      <c r="C7">
        <v>1444.55</v>
      </c>
      <c r="D7">
        <v>21.1</v>
      </c>
      <c r="E7">
        <v>1546.15</v>
      </c>
      <c r="F7">
        <v>24.7</v>
      </c>
      <c r="G7">
        <v>1567.05</v>
      </c>
      <c r="H7">
        <v>36.34</v>
      </c>
      <c r="I7">
        <v>1622.1</v>
      </c>
      <c r="J7">
        <v>-1</v>
      </c>
      <c r="K7">
        <v>99.43</v>
      </c>
      <c r="L7">
        <v>-1</v>
      </c>
      <c r="M7">
        <v>0</v>
      </c>
    </row>
    <row r="8" spans="1:13">
      <c r="A8" t="s">
        <v>19</v>
      </c>
      <c r="B8">
        <v>23.33</v>
      </c>
      <c r="C8">
        <v>1546.86</v>
      </c>
      <c r="D8">
        <v>20.72</v>
      </c>
      <c r="E8">
        <v>1527.33</v>
      </c>
      <c r="F8">
        <v>26.26</v>
      </c>
      <c r="G8">
        <v>1611.89</v>
      </c>
      <c r="H8">
        <v>21.62</v>
      </c>
      <c r="I8">
        <v>1602.27</v>
      </c>
      <c r="J8">
        <v>-1</v>
      </c>
      <c r="K8">
        <v>0</v>
      </c>
      <c r="L8">
        <v>-1</v>
      </c>
      <c r="M8">
        <v>209.82</v>
      </c>
    </row>
    <row r="9" spans="1:13">
      <c r="A9" t="s">
        <v>20</v>
      </c>
      <c r="B9">
        <v>23.26</v>
      </c>
      <c r="C9">
        <v>1453.09</v>
      </c>
      <c r="D9">
        <v>21.83</v>
      </c>
      <c r="E9">
        <v>1709.39</v>
      </c>
      <c r="F9">
        <v>25.01</v>
      </c>
      <c r="G9">
        <v>1542.05</v>
      </c>
      <c r="H9">
        <v>-1</v>
      </c>
      <c r="I9">
        <v>521.09</v>
      </c>
      <c r="J9">
        <v>23.92</v>
      </c>
      <c r="K9">
        <v>1395.89</v>
      </c>
      <c r="L9">
        <v>-1</v>
      </c>
      <c r="M9">
        <v>0</v>
      </c>
    </row>
    <row r="10" spans="1:13">
      <c r="A10" t="s">
        <v>21</v>
      </c>
      <c r="B10">
        <v>23.23</v>
      </c>
      <c r="C10">
        <v>1624.06</v>
      </c>
      <c r="D10">
        <v>20.26</v>
      </c>
      <c r="E10">
        <v>1577.22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24.05</v>
      </c>
      <c r="C11">
        <v>1535.56</v>
      </c>
      <c r="D11">
        <v>21.22</v>
      </c>
      <c r="E11">
        <v>1648.03</v>
      </c>
      <c r="F11">
        <v>26.39</v>
      </c>
      <c r="G11">
        <v>1629.82</v>
      </c>
      <c r="H11">
        <v>-1</v>
      </c>
      <c r="I11">
        <v>0</v>
      </c>
      <c r="J11">
        <v>32.2</v>
      </c>
      <c r="K11">
        <v>1459.92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23.391</v>
      </c>
      <c r="B14" s="4">
        <f>IFERROR(AVERAGEIF($D$2:$D$11,"&lt;&gt; -1"),0)</f>
        <v>20.9</v>
      </c>
      <c r="C14" s="4">
        <f>IFERROR(AVERAGEIF($F$2:$F$11,"&lt;&gt; -1"),0)</f>
        <v>26.17625</v>
      </c>
      <c r="D14" s="4">
        <f>IFERROR(AVERAGEIF($H$2:$H$11,"&lt;&gt; -1"),0)</f>
        <v>30.5375</v>
      </c>
      <c r="E14" s="4">
        <f>IFERROR(AVERAGEIF($J$2:$J$11,"&lt;&gt; -1"),0)</f>
        <v>28.06</v>
      </c>
      <c r="F14" s="4">
        <f>IFERROR(AVERAGEIF($L$2:$L$11,"&lt;&gt; -1"),0)</f>
        <v>0</v>
      </c>
      <c r="G14" s="4">
        <f>IFERROR(AVERAGEIFS($C$2:$C$11,$B$2:$B$11,"&lt;&gt; -1"),0)</f>
        <v>1543.376</v>
      </c>
      <c r="H14" s="4">
        <f>IFERROR(AVERAGEIFS($E$2:$E$11,$D$2:$D$11,"&lt;&gt; -1"),0)</f>
        <v>1582.94</v>
      </c>
      <c r="I14" s="4">
        <f>IFERROR(AVERAGEIFS($G$2:$G$11,$F$2:$F$11,"&lt;&gt; -1"),0)</f>
        <v>1577.54</v>
      </c>
      <c r="J14" s="4">
        <f>IFERROR(AVERAGEIFS($I$2:$I$11,$H$2:$H$11,"&lt;&gt; -1"),0)</f>
        <v>1594.135</v>
      </c>
      <c r="K14" s="4">
        <f>IFERROR(AVERAGEIFS($K$2:$K$11,$J$2:$J$11,"&lt;&gt; -1"),0)</f>
        <v>1427.905</v>
      </c>
      <c r="L14" s="4">
        <f>IFERROR(AVERAGEIFS($M$2:$M$11,$L$2:$L$11,"&lt;&gt; -1"),0)</f>
        <v>0</v>
      </c>
      <c r="M14" s="4">
        <f>IFERROR(_xlfn.MAXIFS($B$2:$B$11,$B$2:$B$11,"&lt;&gt; -1"),0)</f>
        <v>24.53</v>
      </c>
      <c r="N14" s="4">
        <f>IFERROR(_xlfn.MAXIFS($D$2:$D$11,$D$2:$D$11,"&lt;&gt;-1"),0)</f>
        <v>22.17</v>
      </c>
      <c r="O14" s="4">
        <f>IFERROR(_xlfn.MAXIFS($F$2:$F$11,$F$2:$F$11,"&lt;&gt; -1"),0)</f>
        <v>28.72</v>
      </c>
      <c r="P14" s="4">
        <f>IFERROR(_xlfn.MAXIFS($H$2:$H$11,$H$2:$H$11,"&lt;&gt; -1"),0)</f>
        <v>42.19</v>
      </c>
      <c r="Q14" s="4">
        <f>IFERROR(_xlfn.MAXIFS($J$2:$J$11,$J$2:$J$11,"&lt;&gt; -1"),0)</f>
        <v>32.2</v>
      </c>
      <c r="R14" s="4">
        <f>IFERROR(_xlfn.MAXIFS($L$2:$L$11,$L$2:$L$11,"&lt;&gt; -1"),0)</f>
        <v>0</v>
      </c>
      <c r="S14" s="4">
        <f>IFERROR(_xlfn.MINIFS($B$2:$B$11,$B$2:$B$11,"&lt;&gt; -1"),0)</f>
        <v>22.65</v>
      </c>
      <c r="T14" s="4">
        <f>IFERROR(_xlfn.MINIFS($D$2:$D$11,$D$2:$D$11,"&lt;&gt;-1"),0)</f>
        <v>20.02</v>
      </c>
      <c r="U14" s="4">
        <f>IFERROR(_xlfn.MINIFS($F$2:$F$11,$F$2:$F$11,"&lt;&gt; -1"),0)</f>
        <v>24.7</v>
      </c>
      <c r="V14" s="4">
        <f>IFERROR(_xlfn.MINIFS($H$2:$H$11,$H$2:$H$11,"&lt;&gt; -1"),0)</f>
        <v>21.62</v>
      </c>
      <c r="W14" s="4">
        <f>IFERROR(_xlfn.MINIFS($J$2:$J$11,$J$2:$J$11,"&lt;&gt; -1"),0)</f>
        <v>23.92</v>
      </c>
      <c r="X14" s="4">
        <f>IFERROR(_xlfn.MINIFS($L$2:$L$11,$L$2:$L$11,"&lt;&gt; -1"),0)</f>
        <v>0</v>
      </c>
      <c r="Y14" s="4">
        <f>IFERROR(_xlfn.MAXIFS($C$2:$C$11,$B$2:$B$11,"&lt;&gt; -1"),0)</f>
        <v>1776.97</v>
      </c>
      <c r="Z14" s="4">
        <f>IFERROR(_xlfn.MAXIFS($E$2:$E$11,$D$2:$D$11,"&lt;&gt; -1"),0)</f>
        <v>1709.39</v>
      </c>
      <c r="AA14" s="4">
        <f>IFERROR(_xlfn.MAXIFS($G$2:$G$11,$F$2:$F$11,"&lt;&gt; -1"),0)</f>
        <v>1634.87</v>
      </c>
      <c r="AB14" s="4">
        <f>IFERROR(_xlfn.MAXIFS($I$2:$I$11,$H$2:$H$11,"&lt;&gt; -1"),0)</f>
        <v>1622.1</v>
      </c>
      <c r="AC14" s="4">
        <f>IFERROR(_xlfn.MAXIFS($K$2:$K$11,$J$2:$J$11,"&lt;&gt; -1"),0)</f>
        <v>1459.92</v>
      </c>
      <c r="AD14" s="4">
        <f>IFERROR(_xlfn.MAXIFS($M$2:$M$11,$L$2:$L$11,"&lt;&gt; -1"),0)</f>
        <v>0</v>
      </c>
      <c r="AE14" s="4">
        <f>IFERROR(_xlfn.MINIFS($C$2:$C$11,$B$2:$B$11,"&lt;&gt; -1"),0)</f>
        <v>1444.55</v>
      </c>
      <c r="AF14" s="4">
        <f>IFERROR(_xlfn.MINIFS($E$2:$E$11,$D$2:$D$11,"&lt;&gt; -1"),0)</f>
        <v>1506.33</v>
      </c>
      <c r="AG14" s="4">
        <f>IFERROR(_xlfn.MINIFS($G$2:$G$11,$F$2:$F$11,"&lt;&gt; -1"),0)</f>
        <v>1512.35</v>
      </c>
      <c r="AH14" s="4">
        <f>IFERROR(_xlfn.MINIFS($I$2:$I$11,$H$2:$H$11,"&lt;&gt; -1"),0)</f>
        <v>1567.57</v>
      </c>
      <c r="AI14" s="4">
        <f>IFERROR(_xlfn.MINIFS($K$2:$K$11,$J$2:$J$11,"&lt;&gt; -1"),0)</f>
        <v>1395.89</v>
      </c>
      <c r="AJ14" s="4">
        <f>IFERROR(_xlfn.MINIFS($M$2:$M$11,$L$2:$L$11,"&lt;&gt; -1"),0)</f>
        <v>0</v>
      </c>
      <c r="AK14" s="4">
        <f>(COUNTIFS($B$2:$B$11,"&gt;0.0",$B$2:$B$11,"&lt;200.0"))/10</f>
        <v>1</v>
      </c>
      <c r="AL14" s="4">
        <f>(COUNTIFS($D$2:$D$11,"&gt;0.0",$D$2:$D$11,"&lt;200.0"))/10</f>
        <v>1</v>
      </c>
      <c r="AM14" s="4">
        <f>(COUNTIFS($F$2:$F$11,"&gt;0.0",$F$2:$F$11,"&lt;200.0"))/10</f>
        <v>0.8</v>
      </c>
      <c r="AN14" s="4">
        <f>(COUNTIFS($H$2:$H11,"&gt;0.0",$H$2:$H$11,"&lt;200.0"))/10</f>
        <v>0.4</v>
      </c>
      <c r="AO14" s="4">
        <f>(COUNTIFS($J$2:$J$11,"&gt;0.0",$J$2:$J$11,"&lt;200.0"))/10</f>
        <v>0.2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"/>
  <sheetViews>
    <sheetView workbookViewId="0">
      <selection activeCell="A15" sqref="$A15:$XFD1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20.45</v>
      </c>
      <c r="C2">
        <v>1296.24</v>
      </c>
      <c r="D2">
        <v>19.64</v>
      </c>
      <c r="E2">
        <v>1237.91</v>
      </c>
      <c r="F2">
        <v>22.11</v>
      </c>
      <c r="G2">
        <v>1419.15</v>
      </c>
      <c r="H2">
        <v>35.97</v>
      </c>
      <c r="I2">
        <v>1295.43</v>
      </c>
      <c r="J2">
        <v>20.86</v>
      </c>
      <c r="K2">
        <v>1267.91</v>
      </c>
      <c r="L2">
        <v>-1</v>
      </c>
      <c r="M2">
        <v>0</v>
      </c>
    </row>
    <row r="3" spans="1:13">
      <c r="A3" t="s">
        <v>14</v>
      </c>
      <c r="B3">
        <v>19.44</v>
      </c>
      <c r="C3">
        <v>1168.43</v>
      </c>
      <c r="D3">
        <v>19.05</v>
      </c>
      <c r="E3">
        <v>1397.04</v>
      </c>
      <c r="F3">
        <v>19.7</v>
      </c>
      <c r="G3">
        <v>1327.26</v>
      </c>
      <c r="H3">
        <v>-1</v>
      </c>
      <c r="I3">
        <v>481.88</v>
      </c>
      <c r="J3">
        <v>19.48</v>
      </c>
      <c r="K3">
        <v>1168.43</v>
      </c>
      <c r="L3">
        <v>-1</v>
      </c>
      <c r="M3">
        <v>0</v>
      </c>
    </row>
    <row r="4" spans="1:13">
      <c r="A4" t="s">
        <v>15</v>
      </c>
      <c r="B4">
        <v>20.14</v>
      </c>
      <c r="C4">
        <v>1238.3</v>
      </c>
      <c r="D4">
        <v>19.05</v>
      </c>
      <c r="E4">
        <v>1311.02</v>
      </c>
      <c r="F4">
        <v>21.56</v>
      </c>
      <c r="G4">
        <v>1366.14</v>
      </c>
      <c r="H4">
        <v>-1</v>
      </c>
      <c r="I4">
        <v>0</v>
      </c>
      <c r="J4">
        <v>20.37</v>
      </c>
      <c r="K4">
        <v>1202.11</v>
      </c>
      <c r="L4">
        <v>-1</v>
      </c>
      <c r="M4">
        <v>0</v>
      </c>
    </row>
    <row r="5" spans="1:13">
      <c r="A5" t="s">
        <v>16</v>
      </c>
      <c r="B5">
        <v>19.7</v>
      </c>
      <c r="C5">
        <v>1295.91</v>
      </c>
      <c r="D5">
        <v>18.64</v>
      </c>
      <c r="E5">
        <v>1352.77</v>
      </c>
      <c r="F5">
        <v>21.09</v>
      </c>
      <c r="G5">
        <v>1392.42</v>
      </c>
      <c r="H5">
        <v>26.69</v>
      </c>
      <c r="I5">
        <v>1405.08</v>
      </c>
      <c r="J5">
        <v>20.97</v>
      </c>
      <c r="K5">
        <v>1249.79</v>
      </c>
      <c r="L5">
        <v>-1</v>
      </c>
      <c r="M5">
        <v>0</v>
      </c>
    </row>
    <row r="6" spans="1:13">
      <c r="A6" t="s">
        <v>17</v>
      </c>
      <c r="B6">
        <v>20.75</v>
      </c>
      <c r="C6">
        <v>1181.58</v>
      </c>
      <c r="D6">
        <v>20.37</v>
      </c>
      <c r="E6">
        <v>1419.52</v>
      </c>
      <c r="F6">
        <v>20.99</v>
      </c>
      <c r="G6">
        <v>1376.28</v>
      </c>
      <c r="H6">
        <v>-1</v>
      </c>
      <c r="I6">
        <v>0</v>
      </c>
      <c r="J6">
        <v>20.74</v>
      </c>
      <c r="K6">
        <v>1181.58</v>
      </c>
      <c r="L6">
        <v>-1</v>
      </c>
      <c r="M6">
        <v>0</v>
      </c>
    </row>
    <row r="7" spans="1:13">
      <c r="A7" t="s">
        <v>18</v>
      </c>
      <c r="B7">
        <v>20.97</v>
      </c>
      <c r="C7">
        <v>1307.67</v>
      </c>
      <c r="D7">
        <v>19.24</v>
      </c>
      <c r="E7">
        <v>1352.56</v>
      </c>
      <c r="F7">
        <v>23.03</v>
      </c>
      <c r="G7">
        <v>1374.83</v>
      </c>
      <c r="H7">
        <v>-1</v>
      </c>
      <c r="I7">
        <v>390.3</v>
      </c>
      <c r="J7">
        <v>-1</v>
      </c>
      <c r="K7">
        <v>559.06</v>
      </c>
      <c r="L7">
        <v>-1</v>
      </c>
      <c r="M7">
        <v>0</v>
      </c>
    </row>
    <row r="8" spans="1:13">
      <c r="A8" t="s">
        <v>19</v>
      </c>
      <c r="B8">
        <v>20.82</v>
      </c>
      <c r="C8">
        <v>1296.4</v>
      </c>
      <c r="D8">
        <v>19.35</v>
      </c>
      <c r="E8">
        <v>1423.28</v>
      </c>
      <c r="F8">
        <v>23.3</v>
      </c>
      <c r="G8">
        <v>1360.93</v>
      </c>
      <c r="H8">
        <v>46.92</v>
      </c>
      <c r="I8">
        <v>1457.12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22.41</v>
      </c>
      <c r="C9">
        <v>1373.86</v>
      </c>
      <c r="D9">
        <v>20.9</v>
      </c>
      <c r="E9">
        <v>1443.25</v>
      </c>
      <c r="F9">
        <v>24.7</v>
      </c>
      <c r="G9">
        <v>1404.21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20.61</v>
      </c>
      <c r="C10">
        <v>1407.57</v>
      </c>
      <c r="D10">
        <v>18.72</v>
      </c>
      <c r="E10">
        <v>1396.15</v>
      </c>
      <c r="F10">
        <v>22.74</v>
      </c>
      <c r="G10">
        <v>1429.7</v>
      </c>
      <c r="H10">
        <v>-1</v>
      </c>
      <c r="I10">
        <v>0</v>
      </c>
      <c r="J10">
        <v>-1</v>
      </c>
      <c r="K10">
        <v>191.37</v>
      </c>
      <c r="L10">
        <v>-1</v>
      </c>
      <c r="M10">
        <v>0</v>
      </c>
    </row>
    <row r="11" spans="1:13">
      <c r="A11" t="s">
        <v>22</v>
      </c>
      <c r="B11">
        <v>21.55</v>
      </c>
      <c r="C11">
        <v>1424.54</v>
      </c>
      <c r="D11">
        <v>20.03</v>
      </c>
      <c r="E11">
        <v>1456.15</v>
      </c>
      <c r="F11">
        <v>26.72</v>
      </c>
      <c r="G11">
        <v>1504.51</v>
      </c>
      <c r="H11">
        <v>30.33</v>
      </c>
      <c r="I11">
        <v>1462.29</v>
      </c>
      <c r="J11">
        <v>-1</v>
      </c>
      <c r="K11">
        <v>248.92</v>
      </c>
      <c r="L11">
        <v>-1</v>
      </c>
      <c r="M11">
        <v>0</v>
      </c>
    </row>
    <row r="14" spans="1:42">
      <c r="A14" s="2" t="s">
        <v>23</v>
      </c>
      <c r="B14" s="2" t="s">
        <v>24</v>
      </c>
      <c r="C14" s="2" t="s">
        <v>25</v>
      </c>
      <c r="D14" s="3" t="s">
        <v>26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31</v>
      </c>
      <c r="J14" s="3" t="s">
        <v>32</v>
      </c>
      <c r="K14" s="2" t="s">
        <v>33</v>
      </c>
      <c r="L14" s="2" t="s">
        <v>34</v>
      </c>
      <c r="M14" s="2" t="s">
        <v>35</v>
      </c>
      <c r="N14" s="2" t="s">
        <v>36</v>
      </c>
      <c r="O14" s="2" t="s">
        <v>37</v>
      </c>
      <c r="P14" s="3" t="s">
        <v>38</v>
      </c>
      <c r="Q14" s="2" t="s">
        <v>39</v>
      </c>
      <c r="R14" s="2" t="s">
        <v>40</v>
      </c>
      <c r="S14" s="2" t="s">
        <v>41</v>
      </c>
      <c r="T14" s="2" t="s">
        <v>42</v>
      </c>
      <c r="U14" s="2" t="s">
        <v>43</v>
      </c>
      <c r="V14" s="3" t="s">
        <v>44</v>
      </c>
      <c r="W14" s="2" t="s">
        <v>45</v>
      </c>
      <c r="X14" s="2" t="s">
        <v>46</v>
      </c>
      <c r="Y14" s="2" t="s">
        <v>47</v>
      </c>
      <c r="Z14" s="2" t="s">
        <v>48</v>
      </c>
      <c r="AA14" s="2" t="s">
        <v>49</v>
      </c>
      <c r="AB14" s="3" t="s">
        <v>50</v>
      </c>
      <c r="AC14" s="2" t="s">
        <v>51</v>
      </c>
      <c r="AD14" s="2" t="s">
        <v>52</v>
      </c>
      <c r="AE14" s="2" t="s">
        <v>53</v>
      </c>
      <c r="AF14" s="2" t="s">
        <v>54</v>
      </c>
      <c r="AG14" s="2" t="s">
        <v>55</v>
      </c>
      <c r="AH14" s="3" t="s">
        <v>56</v>
      </c>
      <c r="AI14" s="2" t="s">
        <v>57</v>
      </c>
      <c r="AJ14" s="2" t="s">
        <v>58</v>
      </c>
      <c r="AK14" s="2" t="s">
        <v>59</v>
      </c>
      <c r="AL14" s="2" t="s">
        <v>60</v>
      </c>
      <c r="AM14" s="2" t="s">
        <v>61</v>
      </c>
      <c r="AN14" s="3" t="s">
        <v>62</v>
      </c>
      <c r="AO14" s="2" t="s">
        <v>63</v>
      </c>
      <c r="AP14" s="2" t="s">
        <v>64</v>
      </c>
    </row>
    <row r="15" spans="1:42">
      <c r="A15" s="4">
        <f>IFERROR(AVERAGEIF($B$2:$B$11,"&lt;&gt; -1"),0)</f>
        <v>20.684</v>
      </c>
      <c r="B15" s="4">
        <f>IFERROR(AVERAGEIF($D$2:$D$11,"&lt;&gt; -1"),0)</f>
        <v>19.499</v>
      </c>
      <c r="C15" s="4">
        <f>IFERROR(AVERAGEIF($F$2:$F$11,"&lt;&gt; -1"),0)</f>
        <v>22.594</v>
      </c>
      <c r="D15" s="4">
        <f>IFERROR(AVERAGEIF($H$2:$H$11,"&lt;&gt; -1"),0)</f>
        <v>34.9775</v>
      </c>
      <c r="E15" s="4">
        <f>IFERROR(AVERAGEIF($J$2:$J$11,"&lt;&gt; -1"),0)</f>
        <v>20.484</v>
      </c>
      <c r="F15" s="4">
        <f>IFERROR(AVERAGEIF($L$2:$L$11,"&lt;&gt; -1"),0)</f>
        <v>0</v>
      </c>
      <c r="G15" s="4">
        <f>IFERROR(AVERAGEIFS($C$2:$C$11,$B$2:$B$11,"&lt;&gt; -1"),0)</f>
        <v>1299.05</v>
      </c>
      <c r="H15" s="4">
        <f>IFERROR(AVERAGEIFS($E$2:$E$11,$D$2:$D$11,"&lt;&gt; -1"),0)</f>
        <v>1378.965</v>
      </c>
      <c r="I15" s="4">
        <f>IFERROR(AVERAGEIFS($G$2:$G$11,$F$2:$F$11,"&lt;&gt; -1"),0)</f>
        <v>1395.543</v>
      </c>
      <c r="J15" s="4">
        <f>IFERROR(AVERAGEIFS($I$2:$I$11,$H$2:$H$11,"&lt;&gt; -1"),0)</f>
        <v>1404.98</v>
      </c>
      <c r="K15" s="4">
        <f>IFERROR(AVERAGEIFS($K$2:$K$11,$J$2:$J$11,"&lt;&gt; -1"),0)</f>
        <v>1213.964</v>
      </c>
      <c r="L15" s="4">
        <f>IFERROR(AVERAGEIFS($M$2:$M$11,$L$2:$L$11,"&lt;&gt; -1"),0)</f>
        <v>0</v>
      </c>
      <c r="M15" s="4">
        <f>IFERROR(_xlfn.MAXIFS($B$2:$B$11,$B$2:$B$11,"&lt;&gt; -1"),0)</f>
        <v>22.41</v>
      </c>
      <c r="N15" s="4">
        <f>IFERROR(_xlfn.MAXIFS($D$2:$D$11,$D$2:$D$11,"&lt;&gt;-1"),0)</f>
        <v>20.9</v>
      </c>
      <c r="O15" s="4">
        <f>IFERROR(_xlfn.MAXIFS($F$2:$F$11,$F$2:$F$11,"&lt;&gt; -1"),0)</f>
        <v>26.72</v>
      </c>
      <c r="P15" s="4">
        <f>IFERROR(_xlfn.MAXIFS($H$2:$H$11,$H$2:$H$11,"&lt;&gt; -1"),0)</f>
        <v>46.92</v>
      </c>
      <c r="Q15" s="4">
        <f>IFERROR(_xlfn.MAXIFS($J$2:$J$11,$J$2:$J$11,"&lt;&gt; -1"),0)</f>
        <v>20.97</v>
      </c>
      <c r="R15" s="4">
        <f>IFERROR(_xlfn.MAXIFS($L$2:$L$11,$L$2:$L$11,"&lt;&gt; -1"),0)</f>
        <v>0</v>
      </c>
      <c r="S15" s="4">
        <f>IFERROR(_xlfn.MINIFS($B$2:$B$11,$B$2:$B$11,"&lt;&gt; -1"),0)</f>
        <v>19.44</v>
      </c>
      <c r="T15" s="4">
        <f>IFERROR(_xlfn.MINIFS($D$2:$D$11,$D$2:$D$11,"&lt;&gt;-1"),0)</f>
        <v>18.64</v>
      </c>
      <c r="U15" s="4">
        <f>IFERROR(_xlfn.MINIFS($F$2:$F$11,$F$2:$F$11,"&lt;&gt; -1"),0)</f>
        <v>19.7</v>
      </c>
      <c r="V15" s="4">
        <f>IFERROR(_xlfn.MINIFS($H$2:$H$11,$H$2:$H$11,"&lt;&gt; -1"),0)</f>
        <v>26.69</v>
      </c>
      <c r="W15" s="4">
        <f>IFERROR(_xlfn.MINIFS($J$2:$J$11,$J$2:$J$11,"&lt;&gt; -1"),0)</f>
        <v>19.48</v>
      </c>
      <c r="X15" s="4">
        <f>IFERROR(_xlfn.MINIFS($L$2:$L$11,$L$2:$L$11,"&lt;&gt; -1"),0)</f>
        <v>0</v>
      </c>
      <c r="Y15" s="4">
        <f>IFERROR(_xlfn.MAXIFS($C$2:$C$11,$B$2:$B$11,"&lt;&gt; -1"),0)</f>
        <v>1424.54</v>
      </c>
      <c r="Z15" s="4">
        <f>IFERROR(_xlfn.MAXIFS($E$2:$E$11,$D$2:$D$11,"&lt;&gt; -1"),0)</f>
        <v>1456.15</v>
      </c>
      <c r="AA15" s="4">
        <f>IFERROR(_xlfn.MAXIFS($G$2:$G$11,$F$2:$F$11,"&lt;&gt; -1"),0)</f>
        <v>1504.51</v>
      </c>
      <c r="AB15" s="4">
        <f>IFERROR(_xlfn.MAXIFS($I$2:$I$11,$H$2:$H$11,"&lt;&gt; -1"),0)</f>
        <v>1462.29</v>
      </c>
      <c r="AC15" s="4">
        <f>IFERROR(_xlfn.MAXIFS($K$2:$K$11,$J$2:$J$11,"&lt;&gt; -1"),0)</f>
        <v>1267.91</v>
      </c>
      <c r="AD15" s="4">
        <f>IFERROR(_xlfn.MAXIFS($M$2:$M$11,$L$2:$L$11,"&lt;&gt; -1"),0)</f>
        <v>0</v>
      </c>
      <c r="AE15" s="4">
        <f>IFERROR(_xlfn.MINIFS($C$2:$C$11,$B$2:$B$11,"&lt;&gt; -1"),0)</f>
        <v>1168.43</v>
      </c>
      <c r="AF15" s="4">
        <f>IFERROR(_xlfn.MINIFS($E$2:$E$11,$D$2:$D$11,"&lt;&gt; -1"),0)</f>
        <v>1237.91</v>
      </c>
      <c r="AG15" s="4">
        <f>IFERROR(_xlfn.MINIFS($G$2:$G$11,$F$2:$F$11,"&lt;&gt; -1"),0)</f>
        <v>1327.26</v>
      </c>
      <c r="AH15" s="4">
        <f>IFERROR(_xlfn.MINIFS($I$2:$I$11,$H$2:$H$11,"&lt;&gt; -1"),0)</f>
        <v>1295.43</v>
      </c>
      <c r="AI15" s="4">
        <f>IFERROR(_xlfn.MINIFS($K$2:$K$11,$J$2:$J$11,"&lt;&gt; -1"),0)</f>
        <v>1168.43</v>
      </c>
      <c r="AJ15" s="4">
        <f>IFERROR(_xlfn.MINIFS($M$2:$M$11,$L$2:$L$11,"&lt;&gt; -1"),0)</f>
        <v>0</v>
      </c>
      <c r="AK15" s="4">
        <f>(COUNTIFS($B$2:$B$11,"&gt;0.0",$B$2:$B$11,"&lt;200.0"))/10</f>
        <v>1</v>
      </c>
      <c r="AL15" s="4">
        <f>(COUNTIFS($D$2:$D$11,"&gt;0.0",$D$2:$D$11,"&lt;200.0"))/10</f>
        <v>1</v>
      </c>
      <c r="AM15" s="4">
        <f>(COUNTIFS($F$2:$F$11,"&gt;0.0",$F$2:$F$11,"&lt;200.0"))/10</f>
        <v>1</v>
      </c>
      <c r="AN15" s="4" t="e">
        <f>(COUNTIFS($H$2:$H12,"&gt;0.0",$H$2:$H$11,"&lt;200.0"))/10</f>
        <v>#VALUE!</v>
      </c>
      <c r="AO15" s="4">
        <f>(COUNTIFS($J$2:$J$11,"&gt;0.0",$J$2:$J$11,"&lt;200.0"))/10</f>
        <v>0.5</v>
      </c>
      <c r="AP15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F11" sqref="F11"/>
    </sheetView>
  </sheetViews>
  <sheetFormatPr defaultColWidth="8.72727272727273" defaultRowHeight="14" outlineLevelRow="6"/>
  <sheetData>
    <row r="1" spans="1:4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</row>
    <row r="2" spans="1:42">
      <c r="A2">
        <v>54.483</v>
      </c>
      <c r="B2">
        <v>24.473</v>
      </c>
      <c r="C2">
        <v>55.692</v>
      </c>
      <c r="D2">
        <v>26.575</v>
      </c>
      <c r="E2">
        <v>54.837</v>
      </c>
      <c r="F2">
        <v>25.38</v>
      </c>
      <c r="G2">
        <v>2140.281</v>
      </c>
      <c r="H2">
        <v>2200.745</v>
      </c>
      <c r="I2">
        <v>2383.722</v>
      </c>
      <c r="J2">
        <v>2376.063</v>
      </c>
      <c r="K2">
        <v>2096.79</v>
      </c>
      <c r="L2">
        <v>2116.748</v>
      </c>
      <c r="M2">
        <v>59.89</v>
      </c>
      <c r="N2">
        <v>25.83</v>
      </c>
      <c r="O2">
        <v>61.32</v>
      </c>
      <c r="P2">
        <v>27.89</v>
      </c>
      <c r="Q2">
        <v>60.11</v>
      </c>
      <c r="R2">
        <v>26.7</v>
      </c>
      <c r="S2">
        <v>40.98</v>
      </c>
      <c r="T2">
        <v>17.16</v>
      </c>
      <c r="U2">
        <v>42.24</v>
      </c>
      <c r="V2">
        <v>19.97</v>
      </c>
      <c r="W2">
        <v>41.81</v>
      </c>
      <c r="X2">
        <v>18.87</v>
      </c>
      <c r="Y2">
        <v>2262.54</v>
      </c>
      <c r="Z2">
        <v>2319.57</v>
      </c>
      <c r="AA2">
        <v>2450.48</v>
      </c>
      <c r="AB2">
        <v>2453.3</v>
      </c>
      <c r="AC2">
        <v>2155.93</v>
      </c>
      <c r="AD2">
        <v>2222.19</v>
      </c>
      <c r="AE2">
        <v>2040.35</v>
      </c>
      <c r="AF2">
        <v>2108.38</v>
      </c>
      <c r="AG2">
        <v>2290.17</v>
      </c>
      <c r="AH2">
        <v>2267.37</v>
      </c>
      <c r="AI2">
        <v>2018.16</v>
      </c>
      <c r="AJ2">
        <v>2005.38</v>
      </c>
      <c r="AK2">
        <v>1</v>
      </c>
      <c r="AL2">
        <v>1</v>
      </c>
      <c r="AM2">
        <v>1</v>
      </c>
      <c r="AN2" t="e">
        <v>#VALUE!</v>
      </c>
      <c r="AO2">
        <v>1</v>
      </c>
      <c r="AP2">
        <v>1</v>
      </c>
    </row>
    <row r="3" spans="1:42">
      <c r="A3">
        <v>50.368</v>
      </c>
      <c r="B3">
        <v>24.19</v>
      </c>
      <c r="C3">
        <v>68.895</v>
      </c>
      <c r="D3">
        <v>33.331</v>
      </c>
      <c r="E3">
        <v>0</v>
      </c>
      <c r="F3">
        <v>0</v>
      </c>
      <c r="G3">
        <v>2216.049</v>
      </c>
      <c r="H3">
        <v>2217.582</v>
      </c>
      <c r="I3">
        <v>2244.07166666667</v>
      </c>
      <c r="J3">
        <v>2222.351</v>
      </c>
      <c r="K3">
        <v>0</v>
      </c>
      <c r="L3">
        <v>0</v>
      </c>
      <c r="M3">
        <v>52.88</v>
      </c>
      <c r="N3">
        <v>25.27</v>
      </c>
      <c r="O3">
        <v>76.45</v>
      </c>
      <c r="P3">
        <v>52.03</v>
      </c>
      <c r="Q3">
        <v>0</v>
      </c>
      <c r="R3">
        <v>0</v>
      </c>
      <c r="S3">
        <v>48.95</v>
      </c>
      <c r="T3">
        <v>22.95</v>
      </c>
      <c r="U3">
        <v>60.52</v>
      </c>
      <c r="V3">
        <v>27.23</v>
      </c>
      <c r="W3">
        <v>0</v>
      </c>
      <c r="X3">
        <v>0</v>
      </c>
      <c r="Y3">
        <v>2337.03</v>
      </c>
      <c r="Z3">
        <v>2308</v>
      </c>
      <c r="AA3">
        <v>2340.48</v>
      </c>
      <c r="AB3">
        <v>2295.53</v>
      </c>
      <c r="AC3">
        <v>0</v>
      </c>
      <c r="AD3">
        <v>0</v>
      </c>
      <c r="AE3">
        <v>2133.13</v>
      </c>
      <c r="AF3">
        <v>2098.85</v>
      </c>
      <c r="AG3">
        <v>2177.19</v>
      </c>
      <c r="AH3">
        <v>2150.29</v>
      </c>
      <c r="AI3">
        <v>0</v>
      </c>
      <c r="AJ3">
        <v>0</v>
      </c>
      <c r="AK3">
        <v>1</v>
      </c>
      <c r="AL3">
        <v>1</v>
      </c>
      <c r="AM3">
        <v>0.6</v>
      </c>
      <c r="AN3">
        <v>1</v>
      </c>
      <c r="AO3">
        <v>0</v>
      </c>
      <c r="AP3">
        <v>0</v>
      </c>
    </row>
    <row r="4" spans="1:42">
      <c r="A4">
        <v>30.107</v>
      </c>
      <c r="B4">
        <v>23.559</v>
      </c>
      <c r="C4">
        <v>36.885</v>
      </c>
      <c r="D4">
        <v>38.4533333333333</v>
      </c>
      <c r="E4">
        <v>27.43</v>
      </c>
      <c r="F4">
        <v>0</v>
      </c>
      <c r="G4">
        <v>2025.027</v>
      </c>
      <c r="H4">
        <v>2039.256</v>
      </c>
      <c r="I4">
        <v>1988.48833333333</v>
      </c>
      <c r="J4">
        <v>2051.44666666667</v>
      </c>
      <c r="K4">
        <v>1717.7</v>
      </c>
      <c r="L4">
        <v>0</v>
      </c>
      <c r="M4">
        <v>32.48</v>
      </c>
      <c r="N4">
        <v>24.6</v>
      </c>
      <c r="O4">
        <v>44.05</v>
      </c>
      <c r="P4">
        <v>46.07</v>
      </c>
      <c r="Q4">
        <v>27.43</v>
      </c>
      <c r="R4">
        <v>0</v>
      </c>
      <c r="S4">
        <v>26.84</v>
      </c>
      <c r="T4">
        <v>22.58</v>
      </c>
      <c r="U4">
        <v>28.62</v>
      </c>
      <c r="V4">
        <v>25.24</v>
      </c>
      <c r="W4">
        <v>27.43</v>
      </c>
      <c r="X4">
        <v>0</v>
      </c>
      <c r="Y4">
        <v>2274.33</v>
      </c>
      <c r="Z4">
        <v>2179.23</v>
      </c>
      <c r="AA4">
        <v>2102.18</v>
      </c>
      <c r="AB4">
        <v>2075.07</v>
      </c>
      <c r="AC4">
        <v>1717.7</v>
      </c>
      <c r="AD4">
        <v>0</v>
      </c>
      <c r="AE4">
        <v>1753.78</v>
      </c>
      <c r="AF4">
        <v>1899.24</v>
      </c>
      <c r="AG4">
        <v>1877.92</v>
      </c>
      <c r="AH4">
        <v>2014.13</v>
      </c>
      <c r="AI4">
        <v>1717.7</v>
      </c>
      <c r="AJ4">
        <v>0</v>
      </c>
      <c r="AK4">
        <v>1</v>
      </c>
      <c r="AL4">
        <v>1</v>
      </c>
      <c r="AM4">
        <v>0.6</v>
      </c>
      <c r="AN4">
        <v>0.3</v>
      </c>
      <c r="AO4">
        <v>0.1</v>
      </c>
      <c r="AP4">
        <v>0</v>
      </c>
    </row>
    <row r="5" spans="1:42">
      <c r="A5">
        <v>25.791</v>
      </c>
      <c r="B5">
        <v>22.082</v>
      </c>
      <c r="C5">
        <v>31.817</v>
      </c>
      <c r="D5">
        <v>36.286</v>
      </c>
      <c r="E5">
        <v>26.995</v>
      </c>
      <c r="F5">
        <v>0</v>
      </c>
      <c r="G5">
        <v>1764.803</v>
      </c>
      <c r="H5">
        <v>1806.134</v>
      </c>
      <c r="I5">
        <v>1799.001</v>
      </c>
      <c r="J5">
        <v>1808.528</v>
      </c>
      <c r="K5">
        <v>1602.1075</v>
      </c>
      <c r="L5">
        <v>0</v>
      </c>
      <c r="M5">
        <v>27.29</v>
      </c>
      <c r="N5">
        <v>23.52</v>
      </c>
      <c r="O5">
        <v>43.94</v>
      </c>
      <c r="P5">
        <v>49.64</v>
      </c>
      <c r="Q5">
        <v>30.9</v>
      </c>
      <c r="R5">
        <v>0</v>
      </c>
      <c r="S5">
        <v>23.55</v>
      </c>
      <c r="T5">
        <v>21.48</v>
      </c>
      <c r="U5">
        <v>23.88</v>
      </c>
      <c r="V5">
        <v>24.97</v>
      </c>
      <c r="W5">
        <v>23.53</v>
      </c>
      <c r="X5">
        <v>0</v>
      </c>
      <c r="Y5">
        <v>1877.37</v>
      </c>
      <c r="Z5">
        <v>1894.87</v>
      </c>
      <c r="AA5">
        <v>1847.95</v>
      </c>
      <c r="AB5">
        <v>1849.76</v>
      </c>
      <c r="AC5">
        <v>1648.22</v>
      </c>
      <c r="AD5">
        <v>0</v>
      </c>
      <c r="AE5">
        <v>1542.06</v>
      </c>
      <c r="AF5">
        <v>1660.34</v>
      </c>
      <c r="AG5">
        <v>1759.58</v>
      </c>
      <c r="AH5">
        <v>1732.88</v>
      </c>
      <c r="AI5">
        <v>1542.06</v>
      </c>
      <c r="AJ5">
        <v>0</v>
      </c>
      <c r="AK5">
        <v>1</v>
      </c>
      <c r="AL5">
        <v>1</v>
      </c>
      <c r="AM5">
        <v>1</v>
      </c>
      <c r="AN5">
        <v>0.5</v>
      </c>
      <c r="AO5">
        <v>0.4</v>
      </c>
      <c r="AP5">
        <v>0</v>
      </c>
    </row>
    <row r="6" spans="1:42">
      <c r="A6">
        <v>23.391</v>
      </c>
      <c r="B6">
        <v>20.9</v>
      </c>
      <c r="C6">
        <v>26.17625</v>
      </c>
      <c r="D6">
        <v>30.5375</v>
      </c>
      <c r="E6">
        <v>28.06</v>
      </c>
      <c r="F6">
        <v>0</v>
      </c>
      <c r="G6">
        <v>1543.376</v>
      </c>
      <c r="H6">
        <v>1582.94</v>
      </c>
      <c r="I6">
        <v>1577.54</v>
      </c>
      <c r="J6">
        <v>1594.135</v>
      </c>
      <c r="K6">
        <v>1427.905</v>
      </c>
      <c r="L6">
        <v>0</v>
      </c>
      <c r="M6">
        <v>24.53</v>
      </c>
      <c r="N6">
        <v>22.17</v>
      </c>
      <c r="O6">
        <v>28.72</v>
      </c>
      <c r="P6">
        <v>42.19</v>
      </c>
      <c r="Q6">
        <v>32.2</v>
      </c>
      <c r="R6">
        <v>0</v>
      </c>
      <c r="S6">
        <v>22.65</v>
      </c>
      <c r="T6">
        <v>20.02</v>
      </c>
      <c r="U6">
        <v>24.7</v>
      </c>
      <c r="V6">
        <v>21.62</v>
      </c>
      <c r="W6">
        <v>23.92</v>
      </c>
      <c r="X6">
        <v>0</v>
      </c>
      <c r="Y6">
        <v>1776.97</v>
      </c>
      <c r="Z6">
        <v>1709.39</v>
      </c>
      <c r="AA6">
        <v>1634.87</v>
      </c>
      <c r="AB6">
        <v>1622.1</v>
      </c>
      <c r="AC6">
        <v>1459.92</v>
      </c>
      <c r="AD6">
        <v>0</v>
      </c>
      <c r="AE6">
        <v>1444.55</v>
      </c>
      <c r="AF6">
        <v>1506.33</v>
      </c>
      <c r="AG6">
        <v>1512.35</v>
      </c>
      <c r="AH6">
        <v>1567.57</v>
      </c>
      <c r="AI6">
        <v>1395.89</v>
      </c>
      <c r="AJ6">
        <v>0</v>
      </c>
      <c r="AK6">
        <v>1</v>
      </c>
      <c r="AL6">
        <v>1</v>
      </c>
      <c r="AM6">
        <v>0.8</v>
      </c>
      <c r="AN6">
        <v>0.4</v>
      </c>
      <c r="AO6">
        <v>0.2</v>
      </c>
      <c r="AP6">
        <v>0</v>
      </c>
    </row>
    <row r="7" spans="1:42">
      <c r="A7">
        <v>20.684</v>
      </c>
      <c r="B7">
        <v>19.499</v>
      </c>
      <c r="C7">
        <v>22.594</v>
      </c>
      <c r="D7">
        <v>34.9775</v>
      </c>
      <c r="E7">
        <v>20.484</v>
      </c>
      <c r="F7">
        <v>0</v>
      </c>
      <c r="G7">
        <v>1299.05</v>
      </c>
      <c r="H7">
        <v>1378.965</v>
      </c>
      <c r="I7">
        <v>1395.543</v>
      </c>
      <c r="J7">
        <v>1404.98</v>
      </c>
      <c r="K7">
        <v>1213.964</v>
      </c>
      <c r="L7">
        <v>0</v>
      </c>
      <c r="M7">
        <v>22.41</v>
      </c>
      <c r="N7">
        <v>20.9</v>
      </c>
      <c r="O7">
        <v>26.72</v>
      </c>
      <c r="P7">
        <v>46.92</v>
      </c>
      <c r="Q7">
        <v>20.97</v>
      </c>
      <c r="R7">
        <v>0</v>
      </c>
      <c r="S7">
        <v>19.44</v>
      </c>
      <c r="T7">
        <v>18.64</v>
      </c>
      <c r="U7">
        <v>19.7</v>
      </c>
      <c r="V7">
        <v>26.69</v>
      </c>
      <c r="W7">
        <v>19.48</v>
      </c>
      <c r="X7">
        <v>0</v>
      </c>
      <c r="Y7">
        <v>1424.54</v>
      </c>
      <c r="Z7">
        <v>1456.15</v>
      </c>
      <c r="AA7">
        <v>1504.51</v>
      </c>
      <c r="AB7">
        <v>1462.29</v>
      </c>
      <c r="AC7">
        <v>1267.91</v>
      </c>
      <c r="AD7">
        <v>0</v>
      </c>
      <c r="AE7">
        <v>1168.43</v>
      </c>
      <c r="AF7">
        <v>1237.91</v>
      </c>
      <c r="AG7">
        <v>1327.26</v>
      </c>
      <c r="AH7">
        <v>1295.43</v>
      </c>
      <c r="AI7">
        <v>1168.43</v>
      </c>
      <c r="AJ7">
        <v>0</v>
      </c>
      <c r="AK7">
        <v>1</v>
      </c>
      <c r="AL7">
        <v>1</v>
      </c>
      <c r="AM7">
        <v>1</v>
      </c>
      <c r="AN7" t="e">
        <v>#VALUE!</v>
      </c>
      <c r="AO7">
        <v>0.5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WPS_1666204842</cp:lastModifiedBy>
  <dcterms:created xsi:type="dcterms:W3CDTF">2024-09-25T08:54:00Z</dcterms:created>
  <dcterms:modified xsi:type="dcterms:W3CDTF">2024-09-25T12:26:30Z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48A6D108261A46BC8E4F44BD7E2A4F4D_12</vt:lpwstr>
  </property>
  <property fmtid="{D5CDD505-2E9C-101B-9397-08002B2CF9AE}" pid="3" name="KSOProductBuildVer">
    <vt:lpwstr>2052-12.1.0.17827</vt:lpwstr>
  </property>
</Properties>
</file>