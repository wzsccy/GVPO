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<sst xmlns="http://schemas.openxmlformats.org/spreadsheetml/2006/main" count="432" uniqueCount="65">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</sst>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3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375.25</v>
      </c>
      <c r="C2">
        <v>14288.13</v>
      </c>
      <c r="D2">
        <v>306.89</v>
      </c>
      <c r="E2">
        <v>13995.68</v>
      </c>
      <c r="F2">
        <v>404.08</v>
      </c>
      <c r="G2">
        <v>15867.69</v>
      </c>
      <c r="H2">
        <v>354.69</v>
      </c>
      <c r="I2">
        <v>15489.16</v>
      </c>
      <c r="J2">
        <v>406.96</v>
      </c>
      <c r="K2">
        <v>14372.98</v>
      </c>
      <c r="L2">
        <v>364.81</v>
      </c>
      <c r="M2">
        <v>14162.4</v>
      </c>
    </row>
    <row r="3" spans="1:13">
      <c r="A3" t="s">
        <v>14</v>
      </c>
      <c r="B3">
        <v>372.17</v>
      </c>
      <c r="C3">
        <v>14314.85</v>
      </c>
      <c r="D3">
        <v>315.32</v>
      </c>
      <c r="E3">
        <v>14595.77</v>
      </c>
      <c r="F3">
        <v>397.85</v>
      </c>
      <c r="G3">
        <v>16108.57</v>
      </c>
      <c r="H3">
        <v>354.6</v>
      </c>
      <c r="I3">
        <v>16268.96</v>
      </c>
      <c r="J3">
        <v>375</v>
      </c>
      <c r="K3">
        <v>14462.85</v>
      </c>
      <c r="L3">
        <v>526.35</v>
      </c>
      <c r="M3">
        <v>14714.49</v>
      </c>
    </row>
    <row r="4" spans="1:13">
      <c r="A4" t="s">
        <v>15</v>
      </c>
      <c r="B4">
        <v>385.26</v>
      </c>
      <c r="C4">
        <v>14905.11</v>
      </c>
      <c r="D4">
        <v>324.63</v>
      </c>
      <c r="E4">
        <v>14796.89</v>
      </c>
      <c r="F4">
        <v>399.02</v>
      </c>
      <c r="G4">
        <v>16561.23</v>
      </c>
      <c r="H4">
        <v>372.62</v>
      </c>
      <c r="I4">
        <v>16440.22</v>
      </c>
      <c r="J4">
        <v>389.34</v>
      </c>
      <c r="K4">
        <v>15006.85</v>
      </c>
      <c r="L4">
        <v>337.71</v>
      </c>
      <c r="M4">
        <v>14919.67</v>
      </c>
    </row>
    <row r="5" spans="1:13">
      <c r="A5" t="s">
        <v>16</v>
      </c>
      <c r="B5">
        <v>377.25</v>
      </c>
      <c r="C5">
        <v>14549.02</v>
      </c>
      <c r="D5">
        <v>317.67</v>
      </c>
      <c r="E5">
        <v>14383.68</v>
      </c>
      <c r="F5">
        <v>388.05</v>
      </c>
      <c r="G5">
        <v>16190.3</v>
      </c>
      <c r="H5">
        <v>352.21</v>
      </c>
      <c r="I5">
        <v>15910.35</v>
      </c>
      <c r="J5">
        <v>492.74</v>
      </c>
      <c r="K5">
        <v>14704.09</v>
      </c>
      <c r="L5">
        <v>335.18</v>
      </c>
      <c r="M5">
        <v>14519.7</v>
      </c>
    </row>
    <row r="6" spans="1:13">
      <c r="A6" t="s">
        <v>17</v>
      </c>
      <c r="B6">
        <v>385.64</v>
      </c>
      <c r="C6">
        <v>14690.73</v>
      </c>
      <c r="D6">
        <v>323.7</v>
      </c>
      <c r="E6">
        <v>14693.56</v>
      </c>
      <c r="F6">
        <v>396.59</v>
      </c>
      <c r="G6">
        <v>16214.86</v>
      </c>
      <c r="H6">
        <v>365.23</v>
      </c>
      <c r="I6">
        <v>16075.41</v>
      </c>
      <c r="J6">
        <v>389.17</v>
      </c>
      <c r="K6">
        <v>14819.76</v>
      </c>
      <c r="L6">
        <v>344.59</v>
      </c>
      <c r="M6">
        <v>14819.35</v>
      </c>
    </row>
    <row r="7" spans="1:13">
      <c r="A7" t="s">
        <v>18</v>
      </c>
      <c r="B7">
        <v>366.68</v>
      </c>
      <c r="C7">
        <v>13557.65</v>
      </c>
      <c r="D7">
        <v>313.93</v>
      </c>
      <c r="E7">
        <v>13982.04</v>
      </c>
      <c r="F7">
        <v>373.25</v>
      </c>
      <c r="G7">
        <v>15001.44</v>
      </c>
      <c r="H7">
        <v>345.44</v>
      </c>
      <c r="I7">
        <v>15360.17</v>
      </c>
      <c r="J7">
        <v>367.87</v>
      </c>
      <c r="K7">
        <v>13728.55</v>
      </c>
      <c r="L7">
        <v>468.22</v>
      </c>
      <c r="M7">
        <v>14074.46</v>
      </c>
    </row>
    <row r="8" spans="1:13">
      <c r="A8" t="s">
        <v>19</v>
      </c>
      <c r="B8">
        <v>381.04</v>
      </c>
      <c r="C8">
        <v>15009.68</v>
      </c>
      <c r="D8">
        <v>320.95</v>
      </c>
      <c r="E8">
        <v>14333.41</v>
      </c>
      <c r="F8">
        <v>389.41</v>
      </c>
      <c r="G8">
        <v>16605.46</v>
      </c>
      <c r="H8">
        <v>370.13</v>
      </c>
      <c r="I8">
        <v>15896.73</v>
      </c>
      <c r="J8">
        <v>382.53</v>
      </c>
      <c r="K8">
        <v>15140.49</v>
      </c>
      <c r="L8">
        <v>467</v>
      </c>
      <c r="M8">
        <v>14414.29</v>
      </c>
    </row>
    <row r="9" spans="1:13">
      <c r="A9" t="s">
        <v>20</v>
      </c>
      <c r="B9">
        <v>383.28</v>
      </c>
      <c r="C9">
        <v>14555.48</v>
      </c>
      <c r="D9">
        <v>324.58</v>
      </c>
      <c r="E9">
        <v>14603.03</v>
      </c>
      <c r="F9">
        <v>391.83</v>
      </c>
      <c r="G9">
        <v>16299.8</v>
      </c>
      <c r="H9">
        <v>380.49</v>
      </c>
      <c r="I9">
        <v>16314.59</v>
      </c>
      <c r="J9">
        <v>389.07</v>
      </c>
      <c r="K9">
        <v>14678.36</v>
      </c>
      <c r="L9">
        <v>455.14</v>
      </c>
      <c r="M9">
        <v>14656.27</v>
      </c>
    </row>
    <row r="10" spans="1:13">
      <c r="A10" t="s">
        <v>21</v>
      </c>
      <c r="B10">
        <v>386.2</v>
      </c>
      <c r="C10">
        <v>14580.22</v>
      </c>
      <c r="D10">
        <v>326.2</v>
      </c>
      <c r="E10">
        <v>14566.24</v>
      </c>
      <c r="F10">
        <v>403.14</v>
      </c>
      <c r="G10">
        <v>16089.36</v>
      </c>
      <c r="H10">
        <v>369.95</v>
      </c>
      <c r="I10">
        <v>16120.8</v>
      </c>
      <c r="J10">
        <v>393.08</v>
      </c>
      <c r="K10">
        <v>14653.7</v>
      </c>
      <c r="L10">
        <v>354.31</v>
      </c>
      <c r="M10">
        <v>14615.27</v>
      </c>
    </row>
    <row r="11" spans="1:13">
      <c r="A11" t="s">
        <v>22</v>
      </c>
      <c r="B11">
        <v>380.87</v>
      </c>
      <c r="C11">
        <v>14606.87</v>
      </c>
      <c r="D11">
        <v>320.86</v>
      </c>
      <c r="E11">
        <v>15245.35</v>
      </c>
      <c r="F11">
        <v>391.64</v>
      </c>
      <c r="G11">
        <v>16195.91</v>
      </c>
      <c r="H11">
        <v>384.23</v>
      </c>
      <c r="I11">
        <v>16805.39</v>
      </c>
      <c r="J11">
        <v>383.19</v>
      </c>
      <c r="K11">
        <v>14637.25</v>
      </c>
      <c r="L11">
        <v>340.11</v>
      </c>
      <c r="M11">
        <v>15204.89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379.364</v>
      </c>
      <c r="B14" s="4">
        <f>IFERROR(AVERAGEIF($D$2:$D$11,"&lt;&gt; -1"),0)</f>
        <v>319.473</v>
      </c>
      <c r="C14" s="4">
        <f>IFERROR(AVERAGEIF($F$2:$F$11,"&lt;&gt; -1"),0)</f>
        <v>393.486</v>
      </c>
      <c r="D14" s="4">
        <f>IFERROR(AVERAGEIF($H$2:$H$11,"&lt;&gt; -1"),0)</f>
        <v>364.959</v>
      </c>
      <c r="E14" s="4">
        <f>IFERROR(AVERAGEIF($J$2:$J$11,"&lt;&gt; -1"),0)</f>
        <v>396.895</v>
      </c>
      <c r="F14" s="4">
        <f>IFERROR(AVERAGEIF($L$2:$L$11,"&lt;&gt; -1"),0)</f>
        <v>399.342</v>
      </c>
      <c r="G14" s="4">
        <f>IFERROR(AVERAGEIFS($C$2:$C$11,$B$2:$B$11,"&lt;&gt; -1"),0)</f>
        <v>14505.774</v>
      </c>
      <c r="H14" s="4">
        <f>IFERROR(AVERAGEIFS($E$2:$E$11,$D$2:$D$11,"&lt;&gt; -1"),0)</f>
        <v>14519.565</v>
      </c>
      <c r="I14" s="4">
        <f>IFERROR(AVERAGEIFS($G$2:$G$11,$F$2:$F$11,"&lt;&gt; -1"),0)</f>
        <v>16113.462</v>
      </c>
      <c r="J14" s="4">
        <f>IFERROR(AVERAGEIFS($I$2:$I$11,$H$2:$H$11,"&lt;&gt; -1"),0)</f>
        <v>16068.178</v>
      </c>
      <c r="K14" s="4">
        <f>IFERROR(AVERAGEIFS($K$2:$K$11,$J$2:$J$11,"&lt;&gt; -1"),0)</f>
        <v>14620.488</v>
      </c>
      <c r="L14" s="4">
        <f>IFERROR(AVERAGEIFS($M$2:$M$11,$L$2:$L$11,"&lt;&gt; -1"),0)</f>
        <v>14610.079</v>
      </c>
      <c r="M14" s="4">
        <f>IFERROR(_xlfn.MAXIFS($B$2:$B$11,$B$2:$B$11,"&lt;&gt; -1"),0)</f>
        <v>386.2</v>
      </c>
      <c r="N14" s="4">
        <f>IFERROR(_xlfn.MAXIFS($D$2:$D$11,$D$2:$D$11,"&lt;&gt;-1"),0)</f>
        <v>326.2</v>
      </c>
      <c r="O14" s="4">
        <f>IFERROR(_xlfn.MAXIFS($F$2:$F$11,$F$2:$F$11,"&lt;&gt; -1"),0)</f>
        <v>404.08</v>
      </c>
      <c r="P14" s="4">
        <f>IFERROR(_xlfn.MAXIFS($H$2:$H$11,$H$2:$H$11,"&lt;&gt; -1"),0)</f>
        <v>384.23</v>
      </c>
      <c r="Q14" s="4">
        <f>IFERROR(_xlfn.MAXIFS($J$2:$J$11,$J$2:$J$11,"&lt;&gt; -1"),0)</f>
        <v>492.74</v>
      </c>
      <c r="R14" s="4">
        <f>IFERROR(_xlfn.MAXIFS($L$2:$L$11,$L$2:$L$11,"&lt;&gt; -1"),0)</f>
        <v>526.35</v>
      </c>
      <c r="S14" s="4">
        <f>IFERROR(_xlfn.MINIFS($B$2:$B$11,$B$2:$B$11,"&lt;&gt; -1"),0)</f>
        <v>366.68</v>
      </c>
      <c r="T14" s="4">
        <f>IFERROR(_xlfn.MINIFS($D$2:$D$11,$D$2:$D$11,"&lt;&gt;-1"),0)</f>
        <v>306.89</v>
      </c>
      <c r="U14" s="4">
        <f>IFERROR(_xlfn.MINIFS($F$2:$F$11,$F$2:$F$11,"&lt;&gt; -1"),0)</f>
        <v>373.25</v>
      </c>
      <c r="V14" s="4">
        <f>IFERROR(_xlfn.MINIFS($H$2:$H$11,$H$2:$H$11,"&lt;&gt; -1"),0)</f>
        <v>345.44</v>
      </c>
      <c r="W14" s="4">
        <f>IFERROR(_xlfn.MINIFS($J$2:$J$11,$J$2:$J$11,"&lt;&gt; -1"),0)</f>
        <v>367.87</v>
      </c>
      <c r="X14" s="4">
        <f>IFERROR(_xlfn.MINIFS($L$2:$L$11,$L$2:$L$11,"&lt;&gt; -1"),0)</f>
        <v>335.18</v>
      </c>
      <c r="Y14" s="4">
        <f>IFERROR(_xlfn.MAXIFS($C$2:$C$11,$B$2:$B$11,"&lt;&gt; -1"),0)</f>
        <v>15009.68</v>
      </c>
      <c r="Z14" s="4">
        <f>IFERROR(_xlfn.MAXIFS($E$2:$E$11,$D$2:$D$11,"&lt;&gt; -1"),0)</f>
        <v>15245.35</v>
      </c>
      <c r="AA14" s="4">
        <f>IFERROR(_xlfn.MAXIFS($G$2:$G$11,$F$2:$F$11,"&lt;&gt; -1"),0)</f>
        <v>16605.46</v>
      </c>
      <c r="AB14" s="4">
        <f>IFERROR(_xlfn.MAXIFS($I$2:$I$11,$H$2:$H$11,"&lt;&gt; -1"),0)</f>
        <v>16805.39</v>
      </c>
      <c r="AC14" s="4">
        <f>IFERROR(_xlfn.MAXIFS($K$2:$K$11,$J$2:$J$11,"&lt;&gt; -1"),0)</f>
        <v>15140.49</v>
      </c>
      <c r="AD14" s="4">
        <f>IFERROR(_xlfn.MAXIFS($M$2:$M$11,$L$2:$L$11,"&lt;&gt; -1"),0)</f>
        <v>15204.89</v>
      </c>
      <c r="AE14" s="4">
        <f>IFERROR(_xlfn.MINIFS($C$2:$C$11,$B$2:$B$11,"&lt;&gt; -1"),0)</f>
        <v>13557.65</v>
      </c>
      <c r="AF14" s="4">
        <f>IFERROR(_xlfn.MINIFS($E$2:$E$11,$D$2:$D$11,"&lt;&gt; -1"),0)</f>
        <v>13982.04</v>
      </c>
      <c r="AG14" s="4">
        <f>IFERROR(_xlfn.MINIFS($G$2:$G$11,$F$2:$F$11,"&lt;&gt; -1"),0)</f>
        <v>15001.44</v>
      </c>
      <c r="AH14" s="4">
        <f>IFERROR(_xlfn.MINIFS($I$2:$I$11,$H$2:$H$11,"&lt;&gt; -1"),0)</f>
        <v>15360.17</v>
      </c>
      <c r="AI14" s="4">
        <f>IFERROR(_xlfn.MINIFS($K$2:$K$11,$J$2:$J$11,"&lt;&gt; -1"),0)</f>
        <v>13728.55</v>
      </c>
      <c r="AJ14" s="4">
        <f>IFERROR(_xlfn.MINIFS($M$2:$M$11,$L$2:$L$11,"&lt;&gt; -1"),0)</f>
        <v>14074.46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1</v>
      </c>
      <c r="AN14" s="4">
        <f>(COUNTIFS($H$2:$H11,"&gt;0.0",$H$2:$H$11,"&lt;700.0"))/10</f>
        <v>1</v>
      </c>
      <c r="AO14" s="4">
        <f>(COUNTIFS($J$2:$J$11,"&gt;0.0",$J$2:$J$11,"&lt;700.0"))/10</f>
        <v>1</v>
      </c>
      <c r="AP14" s="4">
        <f>(COUNTIFS($L$2:$L$11,"&gt;0.0",$L$2:$L$11,"&lt;700.0"))/10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392.35</v>
      </c>
      <c r="C2">
        <v>14043.75</v>
      </c>
      <c r="D2">
        <v>338.38</v>
      </c>
      <c r="E2">
        <v>13792.81</v>
      </c>
      <c r="F2">
        <v>415.5</v>
      </c>
      <c r="G2">
        <v>15566.15</v>
      </c>
      <c r="H2">
        <v>383.09</v>
      </c>
      <c r="I2">
        <v>15233.06</v>
      </c>
      <c r="J2">
        <v>400.77</v>
      </c>
      <c r="K2">
        <v>14132.02</v>
      </c>
      <c r="L2">
        <v>424.83</v>
      </c>
      <c r="M2">
        <v>13966.84</v>
      </c>
    </row>
    <row r="3" spans="1:13">
      <c r="A3" t="s">
        <v>14</v>
      </c>
      <c r="B3">
        <v>400.18</v>
      </c>
      <c r="C3">
        <v>14436.63</v>
      </c>
      <c r="D3">
        <v>347.12</v>
      </c>
      <c r="E3">
        <v>14699.7</v>
      </c>
      <c r="F3">
        <v>409.15</v>
      </c>
      <c r="G3">
        <v>16166.51</v>
      </c>
      <c r="H3">
        <v>436.62</v>
      </c>
      <c r="I3">
        <v>16112.45</v>
      </c>
      <c r="J3">
        <v>416.04</v>
      </c>
      <c r="K3">
        <v>14561.95</v>
      </c>
      <c r="L3">
        <v>-1</v>
      </c>
      <c r="M3">
        <v>0</v>
      </c>
    </row>
    <row r="4" spans="1:13">
      <c r="A4" t="s">
        <v>15</v>
      </c>
      <c r="B4">
        <v>411.03</v>
      </c>
      <c r="C4">
        <v>14862.69</v>
      </c>
      <c r="D4">
        <v>356.74</v>
      </c>
      <c r="E4">
        <v>15082.28</v>
      </c>
      <c r="F4">
        <v>424.85</v>
      </c>
      <c r="G4">
        <v>16527.42</v>
      </c>
      <c r="H4">
        <v>397.48</v>
      </c>
      <c r="I4">
        <v>16647.73</v>
      </c>
      <c r="J4">
        <v>415.19</v>
      </c>
      <c r="K4">
        <v>15015.27</v>
      </c>
      <c r="L4">
        <v>390.06</v>
      </c>
      <c r="M4">
        <v>15201.07</v>
      </c>
    </row>
    <row r="5" spans="1:13">
      <c r="A5" t="s">
        <v>16</v>
      </c>
      <c r="B5">
        <v>381.28</v>
      </c>
      <c r="C5">
        <v>14585.97</v>
      </c>
      <c r="D5">
        <v>346.02</v>
      </c>
      <c r="E5">
        <v>14822.27</v>
      </c>
      <c r="F5">
        <v>419.5</v>
      </c>
      <c r="G5">
        <v>16218.91</v>
      </c>
      <c r="H5">
        <v>389.12</v>
      </c>
      <c r="I5">
        <v>16460.65</v>
      </c>
      <c r="J5">
        <v>401.55</v>
      </c>
      <c r="K5">
        <v>14692.44</v>
      </c>
      <c r="L5">
        <v>385.57</v>
      </c>
      <c r="M5">
        <v>14951.02</v>
      </c>
    </row>
    <row r="6" spans="1:13">
      <c r="A6" t="s">
        <v>17</v>
      </c>
      <c r="B6">
        <v>404.15</v>
      </c>
      <c r="C6">
        <v>14489.76</v>
      </c>
      <c r="D6">
        <v>352.01</v>
      </c>
      <c r="E6">
        <v>14731.98</v>
      </c>
      <c r="F6">
        <v>425.58</v>
      </c>
      <c r="G6">
        <v>16044.53</v>
      </c>
      <c r="H6">
        <v>486.76</v>
      </c>
      <c r="I6">
        <v>15933.29</v>
      </c>
      <c r="J6">
        <v>433.06</v>
      </c>
      <c r="K6">
        <v>14629.01</v>
      </c>
      <c r="L6">
        <v>-1</v>
      </c>
      <c r="M6">
        <v>0</v>
      </c>
    </row>
    <row r="7" spans="1:13">
      <c r="A7" t="s">
        <v>18</v>
      </c>
      <c r="B7">
        <v>370.54</v>
      </c>
      <c r="C7">
        <v>13596.88</v>
      </c>
      <c r="D7">
        <v>341.19</v>
      </c>
      <c r="E7">
        <v>14039.74</v>
      </c>
      <c r="F7">
        <v>377.09</v>
      </c>
      <c r="G7">
        <v>15111.53</v>
      </c>
      <c r="H7">
        <v>453.06</v>
      </c>
      <c r="I7">
        <v>15404.7</v>
      </c>
      <c r="J7">
        <v>371.75</v>
      </c>
      <c r="K7">
        <v>13727.92</v>
      </c>
      <c r="L7">
        <v>640.4</v>
      </c>
      <c r="M7">
        <v>14080.85</v>
      </c>
    </row>
    <row r="8" spans="1:13">
      <c r="A8" t="s">
        <v>19</v>
      </c>
      <c r="B8">
        <v>404</v>
      </c>
      <c r="C8">
        <v>15355.49</v>
      </c>
      <c r="D8">
        <v>354.22</v>
      </c>
      <c r="E8">
        <v>14722.89</v>
      </c>
      <c r="F8">
        <v>426.22</v>
      </c>
      <c r="G8">
        <v>16900.12</v>
      </c>
      <c r="H8">
        <v>466.92</v>
      </c>
      <c r="I8">
        <v>16183.67</v>
      </c>
      <c r="J8">
        <v>411.22</v>
      </c>
      <c r="K8">
        <v>15552.16</v>
      </c>
      <c r="L8">
        <v>-1</v>
      </c>
      <c r="M8">
        <v>0</v>
      </c>
    </row>
    <row r="9" spans="1:13">
      <c r="A9" t="s">
        <v>20</v>
      </c>
      <c r="B9">
        <v>412.35</v>
      </c>
      <c r="C9">
        <v>14403.2</v>
      </c>
      <c r="D9">
        <v>354.88</v>
      </c>
      <c r="E9">
        <v>14607.41</v>
      </c>
      <c r="F9">
        <v>438.6</v>
      </c>
      <c r="G9">
        <v>16135.48</v>
      </c>
      <c r="H9">
        <v>424.55</v>
      </c>
      <c r="I9">
        <v>16286.34</v>
      </c>
      <c r="J9">
        <v>430.88</v>
      </c>
      <c r="K9">
        <v>14495.54</v>
      </c>
      <c r="L9">
        <v>-1</v>
      </c>
      <c r="M9">
        <v>0</v>
      </c>
    </row>
    <row r="10" spans="1:13">
      <c r="A10" t="s">
        <v>21</v>
      </c>
      <c r="B10">
        <v>407.69</v>
      </c>
      <c r="C10">
        <v>14544.15</v>
      </c>
      <c r="D10">
        <v>352.37</v>
      </c>
      <c r="E10">
        <v>14718.39</v>
      </c>
      <c r="F10">
        <v>454.9</v>
      </c>
      <c r="G10">
        <v>16076.34</v>
      </c>
      <c r="H10">
        <v>458.16</v>
      </c>
      <c r="I10">
        <v>16078.78</v>
      </c>
      <c r="J10">
        <v>413.56</v>
      </c>
      <c r="K10">
        <v>14538.87</v>
      </c>
      <c r="L10">
        <v>-1</v>
      </c>
      <c r="M10">
        <v>13933.31</v>
      </c>
    </row>
    <row r="11" spans="1:13">
      <c r="A11" t="s">
        <v>22</v>
      </c>
      <c r="B11">
        <v>410.14</v>
      </c>
      <c r="C11">
        <v>14483.92</v>
      </c>
      <c r="D11">
        <v>355.89</v>
      </c>
      <c r="E11">
        <v>14787.76</v>
      </c>
      <c r="F11">
        <v>431.12</v>
      </c>
      <c r="G11">
        <v>16029.27</v>
      </c>
      <c r="H11">
        <v>439.45</v>
      </c>
      <c r="I11">
        <v>16288.31</v>
      </c>
      <c r="J11">
        <v>417.6</v>
      </c>
      <c r="K11">
        <v>14484.93</v>
      </c>
      <c r="L11">
        <v>-1</v>
      </c>
      <c r="M11">
        <v>1110.92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399.371</v>
      </c>
      <c r="B14" s="4">
        <f>IFERROR(AVERAGEIF($D$2:$D$11,"&lt;&gt; -1"),0)</f>
        <v>349.882</v>
      </c>
      <c r="C14" s="4">
        <f>IFERROR(AVERAGEIF($F$2:$F$11,"&lt;&gt; -1"),0)</f>
        <v>422.251</v>
      </c>
      <c r="D14" s="4">
        <f>IFERROR(AVERAGEIF($H$2:$H$11,"&lt;&gt; -1"),0)</f>
        <v>433.521</v>
      </c>
      <c r="E14" s="4">
        <f>IFERROR(AVERAGEIF($J$2:$J$11,"&lt;&gt; -1"),0)</f>
        <v>411.162</v>
      </c>
      <c r="F14" s="4">
        <f>IFERROR(AVERAGEIF($L$2:$L$11,"&lt;&gt; -1"),0)</f>
        <v>460.215</v>
      </c>
      <c r="G14" s="4">
        <f>IFERROR(AVERAGEIFS($C$2:$C$11,$B$2:$B$11,"&lt;&gt; -1"),0)</f>
        <v>14480.244</v>
      </c>
      <c r="H14" s="4">
        <f>IFERROR(AVERAGEIFS($E$2:$E$11,$D$2:$D$11,"&lt;&gt; -1"),0)</f>
        <v>14600.523</v>
      </c>
      <c r="I14" s="4">
        <f>IFERROR(AVERAGEIFS($G$2:$G$11,$F$2:$F$11,"&lt;&gt; -1"),0)</f>
        <v>16077.626</v>
      </c>
      <c r="J14" s="4">
        <f>IFERROR(AVERAGEIFS($I$2:$I$11,$H$2:$H$11,"&lt;&gt; -1"),0)</f>
        <v>16062.898</v>
      </c>
      <c r="K14" s="4">
        <f>IFERROR(AVERAGEIFS($K$2:$K$11,$J$2:$J$11,"&lt;&gt; -1"),0)</f>
        <v>14583.011</v>
      </c>
      <c r="L14" s="4">
        <f>IFERROR(AVERAGEIFS($M$2:$M$11,$L$2:$L$11,"&lt;&gt; -1"),0)</f>
        <v>14549.945</v>
      </c>
      <c r="M14" s="4">
        <f>IFERROR(_xlfn.MAXIFS($B$2:$B$11,$B$2:$B$11,"&lt;&gt; -1"),0)</f>
        <v>412.35</v>
      </c>
      <c r="N14" s="4">
        <f>IFERROR(_xlfn.MAXIFS($D$2:$D$11,$D$2:$D$11,"&lt;&gt;-1"),0)</f>
        <v>356.74</v>
      </c>
      <c r="O14" s="4">
        <f>IFERROR(_xlfn.MAXIFS($F$2:$F$11,$F$2:$F$11,"&lt;&gt; -1"),0)</f>
        <v>454.9</v>
      </c>
      <c r="P14" s="4">
        <f>IFERROR(_xlfn.MAXIFS($H$2:$H$11,$H$2:$H$11,"&lt;&gt; -1"),0)</f>
        <v>486.76</v>
      </c>
      <c r="Q14" s="4">
        <f>IFERROR(_xlfn.MAXIFS($J$2:$J$11,$J$2:$J$11,"&lt;&gt; -1"),0)</f>
        <v>433.06</v>
      </c>
      <c r="R14" s="4">
        <f>IFERROR(_xlfn.MAXIFS($L$2:$L$11,$L$2:$L$11,"&lt;&gt; -1"),0)</f>
        <v>640.4</v>
      </c>
      <c r="S14" s="4">
        <f>IFERROR(_xlfn.MINIFS($B$2:$B$11,$B$2:$B$11,"&lt;&gt; -1"),0)</f>
        <v>370.54</v>
      </c>
      <c r="T14" s="4">
        <f>IFERROR(_xlfn.MINIFS($D$2:$D$11,$D$2:$D$11,"&lt;&gt;-1"),0)</f>
        <v>338.38</v>
      </c>
      <c r="U14" s="4">
        <f>IFERROR(_xlfn.MINIFS($F$2:$F$11,$F$2:$F$11,"&lt;&gt; -1"),0)</f>
        <v>377.09</v>
      </c>
      <c r="V14" s="4">
        <f>IFERROR(_xlfn.MINIFS($H$2:$H$11,$H$2:$H$11,"&lt;&gt; -1"),0)</f>
        <v>383.09</v>
      </c>
      <c r="W14" s="4">
        <f>IFERROR(_xlfn.MINIFS($J$2:$J$11,$J$2:$J$11,"&lt;&gt; -1"),0)</f>
        <v>371.75</v>
      </c>
      <c r="X14" s="4">
        <f>IFERROR(_xlfn.MINIFS($L$2:$L$11,$L$2:$L$11,"&lt;&gt; -1"),0)</f>
        <v>385.57</v>
      </c>
      <c r="Y14" s="4">
        <f>IFERROR(_xlfn.MAXIFS($C$2:$C$11,$B$2:$B$11,"&lt;&gt; -1"),0)</f>
        <v>15355.49</v>
      </c>
      <c r="Z14" s="4">
        <f>IFERROR(_xlfn.MAXIFS($E$2:$E$11,$D$2:$D$11,"&lt;&gt; -1"),0)</f>
        <v>15082.28</v>
      </c>
      <c r="AA14" s="4">
        <f>IFERROR(_xlfn.MAXIFS($G$2:$G$11,$F$2:$F$11,"&lt;&gt; -1"),0)</f>
        <v>16900.12</v>
      </c>
      <c r="AB14" s="4">
        <f>IFERROR(_xlfn.MAXIFS($I$2:$I$11,$H$2:$H$11,"&lt;&gt; -1"),0)</f>
        <v>16647.73</v>
      </c>
      <c r="AC14" s="4">
        <f>IFERROR(_xlfn.MAXIFS($K$2:$K$11,$J$2:$J$11,"&lt;&gt; -1"),0)</f>
        <v>15552.16</v>
      </c>
      <c r="AD14" s="4">
        <f>IFERROR(_xlfn.MAXIFS($M$2:$M$11,$L$2:$L$11,"&lt;&gt; -1"),0)</f>
        <v>15201.07</v>
      </c>
      <c r="AE14" s="4">
        <f>IFERROR(_xlfn.MINIFS($C$2:$C$11,$B$2:$B$11,"&lt;&gt; -1"),0)</f>
        <v>13596.88</v>
      </c>
      <c r="AF14" s="4">
        <f>IFERROR(_xlfn.MINIFS($E$2:$E$11,$D$2:$D$11,"&lt;&gt; -1"),0)</f>
        <v>13792.81</v>
      </c>
      <c r="AG14" s="4">
        <f>IFERROR(_xlfn.MINIFS($G$2:$G$11,$F$2:$F$11,"&lt;&gt; -1"),0)</f>
        <v>15111.53</v>
      </c>
      <c r="AH14" s="4">
        <f>IFERROR(_xlfn.MINIFS($I$2:$I$11,$H$2:$H$11,"&lt;&gt; -1"),0)</f>
        <v>15233.06</v>
      </c>
      <c r="AI14" s="4">
        <f>IFERROR(_xlfn.MINIFS($K$2:$K$11,$J$2:$J$11,"&lt;&gt; -1"),0)</f>
        <v>13727.92</v>
      </c>
      <c r="AJ14" s="4">
        <f>IFERROR(_xlfn.MINIFS($M$2:$M$11,$L$2:$L$11,"&lt;&gt; -1"),0)</f>
        <v>13966.84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1</v>
      </c>
      <c r="AN14" s="4">
        <f>(COUNTIFS($H$2:$H11,"&gt;0.0",$H$2:$H$11,"&lt;700.0"))/10</f>
        <v>1</v>
      </c>
      <c r="AO14" s="4">
        <f>(COUNTIFS($J$2:$J$11,"&gt;0.0",$J$2:$J$11,"&lt;700.0"))/10</f>
        <v>1</v>
      </c>
      <c r="AP14" s="4">
        <f>(COUNTIFS($L$2:$L$11,"&gt;0.0",$L$2:$L$11,"&lt;700.0"))/10</f>
        <v>0.4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423.37</v>
      </c>
      <c r="C2">
        <v>14495.25</v>
      </c>
      <c r="D2">
        <v>367.52</v>
      </c>
      <c r="E2">
        <v>14281.29</v>
      </c>
      <c r="F2">
        <v>-1</v>
      </c>
      <c r="G2">
        <v>6296.31</v>
      </c>
      <c r="H2">
        <v>458.76</v>
      </c>
      <c r="I2">
        <v>15739.45</v>
      </c>
      <c r="J2">
        <v>-1</v>
      </c>
      <c r="K2">
        <v>0</v>
      </c>
      <c r="L2">
        <v>473.79</v>
      </c>
      <c r="M2">
        <v>14396.79</v>
      </c>
    </row>
    <row r="3" spans="1:13">
      <c r="A3" t="s">
        <v>14</v>
      </c>
      <c r="B3">
        <v>429.85</v>
      </c>
      <c r="C3">
        <v>14631.92</v>
      </c>
      <c r="D3">
        <v>374.42</v>
      </c>
      <c r="E3">
        <v>14405.81</v>
      </c>
      <c r="F3">
        <v>-1</v>
      </c>
      <c r="G3">
        <v>2470.43</v>
      </c>
      <c r="H3">
        <v>513.94</v>
      </c>
      <c r="I3">
        <v>15698.63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437.44</v>
      </c>
      <c r="C4">
        <v>14820.72</v>
      </c>
      <c r="D4">
        <v>379.64</v>
      </c>
      <c r="E4">
        <v>15049.83</v>
      </c>
      <c r="F4">
        <v>-1</v>
      </c>
      <c r="G4">
        <v>0</v>
      </c>
      <c r="H4">
        <v>458.03</v>
      </c>
      <c r="I4">
        <v>16559.87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438.17</v>
      </c>
      <c r="C5">
        <v>14774.87</v>
      </c>
      <c r="D5">
        <v>381.66</v>
      </c>
      <c r="E5">
        <v>14844.52</v>
      </c>
      <c r="F5">
        <v>765.06</v>
      </c>
      <c r="G5">
        <v>16120.81</v>
      </c>
      <c r="H5">
        <v>453.45</v>
      </c>
      <c r="I5">
        <v>16378.04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433.88</v>
      </c>
      <c r="C6">
        <v>14418.7</v>
      </c>
      <c r="D6">
        <v>380.8</v>
      </c>
      <c r="E6">
        <v>15148.27</v>
      </c>
      <c r="F6">
        <v>-1</v>
      </c>
      <c r="G6">
        <v>2391.63</v>
      </c>
      <c r="H6">
        <v>516.55</v>
      </c>
      <c r="I6">
        <v>16577.46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433.19</v>
      </c>
      <c r="C7">
        <v>14308.68</v>
      </c>
      <c r="D7">
        <v>373.35</v>
      </c>
      <c r="E7">
        <v>13999.69</v>
      </c>
      <c r="F7">
        <v>688.13</v>
      </c>
      <c r="G7">
        <v>15723.95</v>
      </c>
      <c r="H7">
        <v>400.05</v>
      </c>
      <c r="I7">
        <v>15449.14</v>
      </c>
      <c r="J7">
        <v>-1</v>
      </c>
      <c r="K7">
        <v>0</v>
      </c>
      <c r="L7">
        <v>383.63</v>
      </c>
      <c r="M7">
        <v>14157.65</v>
      </c>
    </row>
    <row r="8" spans="1:13">
      <c r="A8" t="s">
        <v>19</v>
      </c>
      <c r="B8">
        <v>443.75</v>
      </c>
      <c r="C8">
        <v>15062.9</v>
      </c>
      <c r="D8">
        <v>385.79</v>
      </c>
      <c r="E8">
        <v>14717.88</v>
      </c>
      <c r="F8">
        <v>732.61</v>
      </c>
      <c r="G8">
        <v>16439.44</v>
      </c>
      <c r="H8">
        <v>557.45</v>
      </c>
      <c r="I8">
        <v>16093.49</v>
      </c>
      <c r="J8">
        <v>-1</v>
      </c>
      <c r="K8">
        <v>0</v>
      </c>
      <c r="L8">
        <v>670.45</v>
      </c>
      <c r="M8">
        <v>14807.24</v>
      </c>
    </row>
    <row r="9" spans="1:13">
      <c r="A9" t="s">
        <v>20</v>
      </c>
      <c r="B9">
        <v>438.19</v>
      </c>
      <c r="C9">
        <v>14771.64</v>
      </c>
      <c r="D9">
        <v>382.7</v>
      </c>
      <c r="E9">
        <v>14701.41</v>
      </c>
      <c r="F9">
        <v>-1</v>
      </c>
      <c r="G9">
        <v>0</v>
      </c>
      <c r="H9">
        <v>437.99</v>
      </c>
      <c r="I9">
        <v>16296.57</v>
      </c>
      <c r="J9">
        <v>-1</v>
      </c>
      <c r="K9">
        <v>0</v>
      </c>
      <c r="L9">
        <v>414.58</v>
      </c>
      <c r="M9">
        <v>14790.36</v>
      </c>
    </row>
    <row r="10" spans="1:13">
      <c r="A10" t="s">
        <v>21</v>
      </c>
      <c r="B10">
        <v>438.71</v>
      </c>
      <c r="C10">
        <v>15096.87</v>
      </c>
      <c r="D10">
        <v>385.6</v>
      </c>
      <c r="E10">
        <v>14983.17</v>
      </c>
      <c r="F10">
        <v>588.81</v>
      </c>
      <c r="G10">
        <v>16325.98</v>
      </c>
      <c r="H10">
        <v>436.03</v>
      </c>
      <c r="I10">
        <v>16376.73</v>
      </c>
      <c r="J10">
        <v>-1</v>
      </c>
      <c r="K10">
        <v>0</v>
      </c>
      <c r="L10">
        <v>414.34</v>
      </c>
      <c r="M10">
        <v>14971.97</v>
      </c>
    </row>
    <row r="11" spans="1:13">
      <c r="A11" t="s">
        <v>22</v>
      </c>
      <c r="B11">
        <v>437.14</v>
      </c>
      <c r="C11">
        <v>14781.06</v>
      </c>
      <c r="D11">
        <v>386.69</v>
      </c>
      <c r="E11">
        <v>14725.11</v>
      </c>
      <c r="F11">
        <v>789.83</v>
      </c>
      <c r="G11">
        <v>16115.37</v>
      </c>
      <c r="H11">
        <v>411.55</v>
      </c>
      <c r="I11">
        <v>16387.73</v>
      </c>
      <c r="J11">
        <v>-1</v>
      </c>
      <c r="K11">
        <v>0</v>
      </c>
      <c r="L11">
        <v>402.52</v>
      </c>
      <c r="M11">
        <v>14725.9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435.369</v>
      </c>
      <c r="B14" s="4">
        <f>IFERROR(AVERAGEIF($D$2:$D$11,"&lt;&gt; -1"),0)</f>
        <v>379.817</v>
      </c>
      <c r="C14" s="4">
        <f>IFERROR(AVERAGEIF($F$2:$F$11,"&lt;&gt; -1"),0)</f>
        <v>712.888</v>
      </c>
      <c r="D14" s="4">
        <f>IFERROR(AVERAGEIF($H$2:$H$11,"&lt;&gt; -1"),0)</f>
        <v>464.38</v>
      </c>
      <c r="E14" s="4">
        <f>IFERROR(AVERAGEIF($J$2:$J$11,"&lt;&gt; -1"),0)</f>
        <v>0</v>
      </c>
      <c r="F14" s="4">
        <f>IFERROR(AVERAGEIF($L$2:$L$11,"&lt;&gt; -1"),0)</f>
        <v>459.885</v>
      </c>
      <c r="G14" s="4">
        <f>IFERROR(AVERAGEIFS($C$2:$C$11,$B$2:$B$11,"&lt;&gt; -1"),0)</f>
        <v>14716.261</v>
      </c>
      <c r="H14" s="4">
        <f>IFERROR(AVERAGEIFS($E$2:$E$11,$D$2:$D$11,"&lt;&gt; -1"),0)</f>
        <v>14685.698</v>
      </c>
      <c r="I14" s="4">
        <f>IFERROR(AVERAGEIFS($G$2:$G$11,$F$2:$F$11,"&lt;&gt; -1"),0)</f>
        <v>16145.11</v>
      </c>
      <c r="J14" s="4">
        <f>IFERROR(AVERAGEIFS($I$2:$I$11,$H$2:$H$11,"&lt;&gt; -1"),0)</f>
        <v>16155.711</v>
      </c>
      <c r="K14" s="4">
        <f>IFERROR(AVERAGEIFS($K$2:$K$11,$J$2:$J$11,"&lt;&gt; -1"),0)</f>
        <v>0</v>
      </c>
      <c r="L14" s="4">
        <f>IFERROR(AVERAGEIFS($M$2:$M$11,$L$2:$L$11,"&lt;&gt; -1"),0)</f>
        <v>14641.6516666667</v>
      </c>
      <c r="M14" s="4">
        <f>IFERROR(_xlfn.MAXIFS($B$2:$B$11,$B$2:$B$11,"&lt;&gt; -1"),0)</f>
        <v>443.75</v>
      </c>
      <c r="N14" s="4">
        <f>IFERROR(_xlfn.MAXIFS($D$2:$D$11,$D$2:$D$11,"&lt;&gt;-1"),0)</f>
        <v>386.69</v>
      </c>
      <c r="O14" s="4">
        <f>IFERROR(_xlfn.MAXIFS($F$2:$F$11,$F$2:$F$11,"&lt;&gt; -1"),0)</f>
        <v>789.83</v>
      </c>
      <c r="P14" s="4">
        <f>IFERROR(_xlfn.MAXIFS($H$2:$H$11,$H$2:$H$11,"&lt;&gt; -1"),0)</f>
        <v>557.45</v>
      </c>
      <c r="Q14" s="4">
        <f>IFERROR(_xlfn.MAXIFS($J$2:$J$11,$J$2:$J$11,"&lt;&gt; -1"),0)</f>
        <v>0</v>
      </c>
      <c r="R14" s="4">
        <f>IFERROR(_xlfn.MAXIFS($L$2:$L$11,$L$2:$L$11,"&lt;&gt; -1"),0)</f>
        <v>670.45</v>
      </c>
      <c r="S14" s="4">
        <f>IFERROR(_xlfn.MINIFS($B$2:$B$11,$B$2:$B$11,"&lt;&gt; -1"),0)</f>
        <v>423.37</v>
      </c>
      <c r="T14" s="4">
        <f>IFERROR(_xlfn.MINIFS($D$2:$D$11,$D$2:$D$11,"&lt;&gt;-1"),0)</f>
        <v>367.52</v>
      </c>
      <c r="U14" s="4">
        <f>IFERROR(_xlfn.MINIFS($F$2:$F$11,$F$2:$F$11,"&lt;&gt; -1"),0)</f>
        <v>588.81</v>
      </c>
      <c r="V14" s="4">
        <f>IFERROR(_xlfn.MINIFS($H$2:$H$11,$H$2:$H$11,"&lt;&gt; -1"),0)</f>
        <v>400.05</v>
      </c>
      <c r="W14" s="4">
        <f>IFERROR(_xlfn.MINIFS($J$2:$J$11,$J$2:$J$11,"&lt;&gt; -1"),0)</f>
        <v>0</v>
      </c>
      <c r="X14" s="4">
        <f>IFERROR(_xlfn.MINIFS($L$2:$L$11,$L$2:$L$11,"&lt;&gt; -1"),0)</f>
        <v>383.63</v>
      </c>
      <c r="Y14" s="4">
        <f>IFERROR(_xlfn.MAXIFS($C$2:$C$11,$B$2:$B$11,"&lt;&gt; -1"),0)</f>
        <v>15096.87</v>
      </c>
      <c r="Z14" s="4">
        <f>IFERROR(_xlfn.MAXIFS($E$2:$E$11,$D$2:$D$11,"&lt;&gt; -1"),0)</f>
        <v>15148.27</v>
      </c>
      <c r="AA14" s="4">
        <f>IFERROR(_xlfn.MAXIFS($G$2:$G$11,$F$2:$F$11,"&lt;&gt; -1"),0)</f>
        <v>16439.44</v>
      </c>
      <c r="AB14" s="4">
        <f>IFERROR(_xlfn.MAXIFS($I$2:$I$11,$H$2:$H$11,"&lt;&gt; -1"),0)</f>
        <v>16577.46</v>
      </c>
      <c r="AC14" s="4">
        <f>IFERROR(_xlfn.MAXIFS($K$2:$K$11,$J$2:$J$11,"&lt;&gt; -1"),0)</f>
        <v>0</v>
      </c>
      <c r="AD14" s="4">
        <f>IFERROR(_xlfn.MAXIFS($M$2:$M$11,$L$2:$L$11,"&lt;&gt; -1"),0)</f>
        <v>14971.97</v>
      </c>
      <c r="AE14" s="4">
        <f>IFERROR(_xlfn.MINIFS($C$2:$C$11,$B$2:$B$11,"&lt;&gt; -1"),0)</f>
        <v>14308.68</v>
      </c>
      <c r="AF14" s="4">
        <f>IFERROR(_xlfn.MINIFS($E$2:$E$11,$D$2:$D$11,"&lt;&gt; -1"),0)</f>
        <v>13999.69</v>
      </c>
      <c r="AG14" s="4">
        <f>IFERROR(_xlfn.MINIFS($G$2:$G$11,$F$2:$F$11,"&lt;&gt; -1"),0)</f>
        <v>15723.95</v>
      </c>
      <c r="AH14" s="4">
        <f>IFERROR(_xlfn.MINIFS($I$2:$I$11,$H$2:$H$11,"&lt;&gt; -1"),0)</f>
        <v>15449.14</v>
      </c>
      <c r="AI14" s="4">
        <f>IFERROR(_xlfn.MINIFS($K$2:$K$11,$J$2:$J$11,"&lt;&gt; -1"),0)</f>
        <v>0</v>
      </c>
      <c r="AJ14" s="4">
        <f>IFERROR(_xlfn.MINIFS($M$2:$M$11,$L$2:$L$11,"&lt;&gt; -1"),0)</f>
        <v>14157.65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0.2</v>
      </c>
      <c r="AN14" s="4">
        <f>(COUNTIFS($H$2:$H11,"&gt;0.0",$H$2:$H$11,"&lt;700.0"))/10</f>
        <v>1</v>
      </c>
      <c r="AO14" s="4">
        <f>(COUNTIFS($J$2:$J$11,"&gt;0.0",$J$2:$J$11,"&lt;700.0"))/10</f>
        <v>0</v>
      </c>
      <c r="AP14" s="4">
        <f>(COUNTIFS($L$2:$L$11,"&gt;0.0",$L$2:$L$11,"&lt;700.0"))/10</f>
        <v>0.6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451.33</v>
      </c>
      <c r="C2">
        <v>14439.9</v>
      </c>
      <c r="D2">
        <v>400.21</v>
      </c>
      <c r="E2">
        <v>14135.93</v>
      </c>
      <c r="F2">
        <v>-1</v>
      </c>
      <c r="G2">
        <v>0</v>
      </c>
      <c r="H2">
        <v>466.78</v>
      </c>
      <c r="I2">
        <v>15522.78</v>
      </c>
      <c r="J2">
        <v>-1</v>
      </c>
      <c r="K2">
        <v>0</v>
      </c>
      <c r="L2">
        <v>472.74</v>
      </c>
      <c r="M2">
        <v>14215.79</v>
      </c>
    </row>
    <row r="3" spans="1:13">
      <c r="A3" t="s">
        <v>14</v>
      </c>
      <c r="B3">
        <v>459.78</v>
      </c>
      <c r="C3">
        <v>14866.87</v>
      </c>
      <c r="D3">
        <v>410.01</v>
      </c>
      <c r="E3">
        <v>14415.16</v>
      </c>
      <c r="F3">
        <v>-1</v>
      </c>
      <c r="G3">
        <v>0</v>
      </c>
      <c r="H3">
        <v>467.93</v>
      </c>
      <c r="I3">
        <v>15989.31</v>
      </c>
      <c r="J3">
        <v>-1</v>
      </c>
      <c r="K3">
        <v>0</v>
      </c>
      <c r="L3">
        <v>494.36</v>
      </c>
      <c r="M3">
        <v>14577.48</v>
      </c>
    </row>
    <row r="4" spans="1:13">
      <c r="A4" t="s">
        <v>15</v>
      </c>
      <c r="B4">
        <v>467.03</v>
      </c>
      <c r="C4">
        <v>14915.95</v>
      </c>
      <c r="D4">
        <v>417.42</v>
      </c>
      <c r="E4">
        <v>14911.29</v>
      </c>
      <c r="F4">
        <v>-1</v>
      </c>
      <c r="G4">
        <v>3313.88</v>
      </c>
      <c r="H4">
        <v>458.45</v>
      </c>
      <c r="I4">
        <v>16439.71</v>
      </c>
      <c r="J4">
        <v>-1</v>
      </c>
      <c r="K4">
        <v>0</v>
      </c>
      <c r="L4">
        <v>-1</v>
      </c>
      <c r="M4">
        <v>7266.71</v>
      </c>
    </row>
    <row r="5" spans="1:13">
      <c r="A5" t="s">
        <v>16</v>
      </c>
      <c r="B5">
        <v>472.71</v>
      </c>
      <c r="C5">
        <v>15132.72</v>
      </c>
      <c r="D5">
        <v>418.21</v>
      </c>
      <c r="E5">
        <v>14938.8</v>
      </c>
      <c r="F5">
        <v>-1</v>
      </c>
      <c r="G5">
        <v>0</v>
      </c>
      <c r="H5">
        <v>549.71</v>
      </c>
      <c r="I5">
        <v>16247.05</v>
      </c>
      <c r="J5">
        <v>-1</v>
      </c>
      <c r="K5">
        <v>0</v>
      </c>
      <c r="L5">
        <v>-1</v>
      </c>
      <c r="M5">
        <v>1249.76</v>
      </c>
    </row>
    <row r="6" spans="1:13">
      <c r="A6" t="s">
        <v>17</v>
      </c>
      <c r="B6">
        <v>473.29</v>
      </c>
      <c r="C6">
        <v>14766.41</v>
      </c>
      <c r="D6">
        <v>417.89</v>
      </c>
      <c r="E6">
        <v>14602.13</v>
      </c>
      <c r="F6">
        <v>-1</v>
      </c>
      <c r="G6">
        <v>0</v>
      </c>
      <c r="H6">
        <v>448.4</v>
      </c>
      <c r="I6">
        <v>16035.83</v>
      </c>
      <c r="J6">
        <v>-1</v>
      </c>
      <c r="K6">
        <v>0</v>
      </c>
      <c r="L6">
        <v>452.06</v>
      </c>
      <c r="M6">
        <v>14632.69</v>
      </c>
    </row>
    <row r="7" spans="1:13">
      <c r="A7" t="s">
        <v>18</v>
      </c>
      <c r="B7">
        <v>461.28</v>
      </c>
      <c r="C7">
        <v>14299.87</v>
      </c>
      <c r="D7">
        <v>404.95</v>
      </c>
      <c r="E7">
        <v>13931.74</v>
      </c>
      <c r="F7">
        <v>-1</v>
      </c>
      <c r="G7">
        <v>0</v>
      </c>
      <c r="H7">
        <v>477.21</v>
      </c>
      <c r="I7">
        <v>15381.51</v>
      </c>
      <c r="J7">
        <v>-1</v>
      </c>
      <c r="K7">
        <v>0</v>
      </c>
      <c r="L7">
        <v>476.4</v>
      </c>
      <c r="M7">
        <v>14012.39</v>
      </c>
    </row>
    <row r="8" spans="1:13">
      <c r="A8" t="s">
        <v>19</v>
      </c>
      <c r="B8">
        <v>471.74</v>
      </c>
      <c r="C8">
        <v>15101.49</v>
      </c>
      <c r="D8">
        <v>415.78</v>
      </c>
      <c r="E8">
        <v>14937.9</v>
      </c>
      <c r="F8">
        <v>-1</v>
      </c>
      <c r="G8">
        <v>0</v>
      </c>
      <c r="H8">
        <v>521.01</v>
      </c>
      <c r="I8">
        <v>16372.15</v>
      </c>
      <c r="J8">
        <v>-1</v>
      </c>
      <c r="K8">
        <v>0</v>
      </c>
      <c r="L8">
        <v>454.14</v>
      </c>
      <c r="M8">
        <v>14934.32</v>
      </c>
    </row>
    <row r="9" spans="1:13">
      <c r="A9" t="s">
        <v>20</v>
      </c>
      <c r="B9">
        <v>479.46</v>
      </c>
      <c r="C9">
        <v>14680.69</v>
      </c>
      <c r="D9">
        <v>425.59</v>
      </c>
      <c r="E9">
        <v>14903.83</v>
      </c>
      <c r="F9">
        <v>-1</v>
      </c>
      <c r="G9">
        <v>0</v>
      </c>
      <c r="H9">
        <v>501.22</v>
      </c>
      <c r="I9">
        <v>16475.89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480.35</v>
      </c>
      <c r="C10">
        <v>14883.62</v>
      </c>
      <c r="D10">
        <v>420.81</v>
      </c>
      <c r="E10">
        <v>15175.01</v>
      </c>
      <c r="F10">
        <v>-1</v>
      </c>
      <c r="G10">
        <v>0</v>
      </c>
      <c r="H10">
        <v>618.77</v>
      </c>
      <c r="I10">
        <v>16430.9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776.97</v>
      </c>
      <c r="C11">
        <v>14711.96</v>
      </c>
      <c r="D11">
        <v>679.57</v>
      </c>
      <c r="E11">
        <v>14640.34</v>
      </c>
      <c r="F11">
        <v>-1</v>
      </c>
      <c r="G11">
        <v>0</v>
      </c>
      <c r="H11">
        <v>838.29</v>
      </c>
      <c r="I11">
        <v>16104.48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499.394</v>
      </c>
      <c r="B14" s="4">
        <f>IFERROR(AVERAGEIF($D$2:$D$11,"&lt;&gt; -1"),0)</f>
        <v>441.044</v>
      </c>
      <c r="C14" s="4">
        <f>IFERROR(AVERAGEIF($F$2:$F$11,"&lt;&gt; -1"),0)</f>
        <v>0</v>
      </c>
      <c r="D14" s="4">
        <f>IFERROR(AVERAGEIF($H$2:$H$11,"&lt;&gt; -1"),0)</f>
        <v>534.777</v>
      </c>
      <c r="E14" s="4">
        <f>IFERROR(AVERAGEIF($J$2:$J$11,"&lt;&gt; -1"),0)</f>
        <v>0</v>
      </c>
      <c r="F14" s="4">
        <f>IFERROR(AVERAGEIF($L$2:$L$11,"&lt;&gt; -1"),0)</f>
        <v>469.94</v>
      </c>
      <c r="G14" s="4">
        <f>IFERROR(AVERAGEIFS($C$2:$C$11,$B$2:$B$11,"&lt;&gt; -1"),0)</f>
        <v>14779.948</v>
      </c>
      <c r="H14" s="4">
        <f>IFERROR(AVERAGEIFS($E$2:$E$11,$D$2:$D$11,"&lt;&gt; -1"),0)</f>
        <v>14659.213</v>
      </c>
      <c r="I14" s="4">
        <f>IFERROR(AVERAGEIFS($G$2:$G$11,$F$2:$F$11,"&lt;&gt; -1"),0)</f>
        <v>0</v>
      </c>
      <c r="J14" s="4">
        <f>IFERROR(AVERAGEIFS($I$2:$I$11,$H$2:$H$11,"&lt;&gt; -1"),0)</f>
        <v>16099.961</v>
      </c>
      <c r="K14" s="4">
        <f>IFERROR(AVERAGEIFS($K$2:$K$11,$J$2:$J$11,"&lt;&gt; -1"),0)</f>
        <v>0</v>
      </c>
      <c r="L14" s="4">
        <f>IFERROR(AVERAGEIFS($M$2:$M$11,$L$2:$L$11,"&lt;&gt; -1"),0)</f>
        <v>14474.534</v>
      </c>
      <c r="M14" s="4">
        <f>IFERROR(_xlfn.MAXIFS($B$2:$B$11,$B$2:$B$11,"&lt;&gt; -1"),0)</f>
        <v>776.97</v>
      </c>
      <c r="N14" s="4">
        <f>IFERROR(_xlfn.MAXIFS($D$2:$D$11,$D$2:$D$11,"&lt;&gt;-1"),0)</f>
        <v>679.57</v>
      </c>
      <c r="O14" s="4">
        <f>IFERROR(_xlfn.MAXIFS($F$2:$F$11,$F$2:$F$11,"&lt;&gt; -1"),0)</f>
        <v>0</v>
      </c>
      <c r="P14" s="4">
        <f>IFERROR(_xlfn.MAXIFS($H$2:$H$11,$H$2:$H$11,"&lt;&gt; -1"),0)</f>
        <v>838.29</v>
      </c>
      <c r="Q14" s="4">
        <f>IFERROR(_xlfn.MAXIFS($J$2:$J$11,$J$2:$J$11,"&lt;&gt; -1"),0)</f>
        <v>0</v>
      </c>
      <c r="R14" s="4">
        <f>IFERROR(_xlfn.MAXIFS($L$2:$L$11,$L$2:$L$11,"&lt;&gt; -1"),0)</f>
        <v>494.36</v>
      </c>
      <c r="S14" s="4">
        <f>IFERROR(_xlfn.MINIFS($B$2:$B$11,$B$2:$B$11,"&lt;&gt; -1"),0)</f>
        <v>451.33</v>
      </c>
      <c r="T14" s="4">
        <f>IFERROR(_xlfn.MINIFS($D$2:$D$11,$D$2:$D$11,"&lt;&gt;-1"),0)</f>
        <v>400.21</v>
      </c>
      <c r="U14" s="4">
        <f>IFERROR(_xlfn.MINIFS($F$2:$F$11,$F$2:$F$11,"&lt;&gt; -1"),0)</f>
        <v>0</v>
      </c>
      <c r="V14" s="4">
        <f>IFERROR(_xlfn.MINIFS($H$2:$H$11,$H$2:$H$11,"&lt;&gt; -1"),0)</f>
        <v>448.4</v>
      </c>
      <c r="W14" s="4">
        <f>IFERROR(_xlfn.MINIFS($J$2:$J$11,$J$2:$J$11,"&lt;&gt; -1"),0)</f>
        <v>0</v>
      </c>
      <c r="X14" s="4">
        <f>IFERROR(_xlfn.MINIFS($L$2:$L$11,$L$2:$L$11,"&lt;&gt; -1"),0)</f>
        <v>452.06</v>
      </c>
      <c r="Y14" s="4">
        <f>IFERROR(_xlfn.MAXIFS($C$2:$C$11,$B$2:$B$11,"&lt;&gt; -1"),0)</f>
        <v>15132.72</v>
      </c>
      <c r="Z14" s="4">
        <f>IFERROR(_xlfn.MAXIFS($E$2:$E$11,$D$2:$D$11,"&lt;&gt; -1"),0)</f>
        <v>15175.01</v>
      </c>
      <c r="AA14" s="4">
        <f>IFERROR(_xlfn.MAXIFS($G$2:$G$11,$F$2:$F$11,"&lt;&gt; -1"),0)</f>
        <v>0</v>
      </c>
      <c r="AB14" s="4">
        <f>IFERROR(_xlfn.MAXIFS($I$2:$I$11,$H$2:$H$11,"&lt;&gt; -1"),0)</f>
        <v>16475.89</v>
      </c>
      <c r="AC14" s="4">
        <f>IFERROR(_xlfn.MAXIFS($K$2:$K$11,$J$2:$J$11,"&lt;&gt; -1"),0)</f>
        <v>0</v>
      </c>
      <c r="AD14" s="4">
        <f>IFERROR(_xlfn.MAXIFS($M$2:$M$11,$L$2:$L$11,"&lt;&gt; -1"),0)</f>
        <v>14934.32</v>
      </c>
      <c r="AE14" s="4">
        <f>IFERROR(_xlfn.MINIFS($C$2:$C$11,$B$2:$B$11,"&lt;&gt; -1"),0)</f>
        <v>14299.87</v>
      </c>
      <c r="AF14" s="4">
        <f>IFERROR(_xlfn.MINIFS($E$2:$E$11,$D$2:$D$11,"&lt;&gt; -1"),0)</f>
        <v>13931.74</v>
      </c>
      <c r="AG14" s="4">
        <f>IFERROR(_xlfn.MINIFS($G$2:$G$11,$F$2:$F$11,"&lt;&gt; -1"),0)</f>
        <v>0</v>
      </c>
      <c r="AH14" s="4">
        <f>IFERROR(_xlfn.MINIFS($I$2:$I$11,$H$2:$H$11,"&lt;&gt; -1"),0)</f>
        <v>15381.51</v>
      </c>
      <c r="AI14" s="4">
        <f>IFERROR(_xlfn.MINIFS($K$2:$K$11,$J$2:$J$11,"&lt;&gt; -1"),0)</f>
        <v>0</v>
      </c>
      <c r="AJ14" s="4">
        <f>IFERROR(_xlfn.MINIFS($M$2:$M$11,$L$2:$L$11,"&lt;&gt; -1"),0)</f>
        <v>14012.39</v>
      </c>
      <c r="AK14" s="4">
        <f>(COUNTIFS($B$2:$B$11,"&gt;0.0",$B$2:$B$11,"&lt;700.0"))/10</f>
        <v>0.9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0.9</v>
      </c>
      <c r="AO14" s="4">
        <f>(COUNTIFS($J$2:$J$11,"&gt;0.0",$J$2:$J$11,"&lt;700.0"))/10</f>
        <v>0</v>
      </c>
      <c r="AP14" s="4">
        <f>(COUNTIFS($L$2:$L$11,"&gt;0.0",$L$2:$L$11,"&lt;700.0"))/10</f>
        <v>0.5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469.75</v>
      </c>
      <c r="C2">
        <v>14335.76</v>
      </c>
      <c r="D2">
        <v>426.71</v>
      </c>
      <c r="E2">
        <v>14438.51</v>
      </c>
      <c r="F2">
        <v>-1</v>
      </c>
      <c r="G2">
        <v>0</v>
      </c>
      <c r="H2">
        <v>479.44</v>
      </c>
      <c r="I2">
        <v>15996.4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479.67</v>
      </c>
      <c r="C3">
        <v>14975.51</v>
      </c>
      <c r="D3">
        <v>435.44</v>
      </c>
      <c r="E3">
        <v>14195.31</v>
      </c>
      <c r="F3">
        <v>-1</v>
      </c>
      <c r="G3">
        <v>0</v>
      </c>
      <c r="H3">
        <v>520.47</v>
      </c>
      <c r="I3">
        <v>15658.82</v>
      </c>
      <c r="J3">
        <v>-1</v>
      </c>
      <c r="K3">
        <v>0</v>
      </c>
      <c r="L3">
        <v>488.85</v>
      </c>
      <c r="M3">
        <v>14301.27</v>
      </c>
    </row>
    <row r="4" spans="1:13">
      <c r="A4" t="s">
        <v>15</v>
      </c>
      <c r="B4">
        <v>493.87</v>
      </c>
      <c r="C4">
        <v>15168.33</v>
      </c>
      <c r="D4">
        <v>450.13</v>
      </c>
      <c r="E4">
        <v>14677.05</v>
      </c>
      <c r="F4">
        <v>-1</v>
      </c>
      <c r="G4">
        <v>0</v>
      </c>
      <c r="H4">
        <v>616.15</v>
      </c>
      <c r="I4">
        <v>16066.82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498.97</v>
      </c>
      <c r="C5">
        <v>15622.21</v>
      </c>
      <c r="D5">
        <v>456.23</v>
      </c>
      <c r="E5">
        <v>15220.57</v>
      </c>
      <c r="F5">
        <v>-1</v>
      </c>
      <c r="G5">
        <v>0</v>
      </c>
      <c r="H5">
        <v>526.56</v>
      </c>
      <c r="I5">
        <v>16571.43</v>
      </c>
      <c r="J5">
        <v>-1</v>
      </c>
      <c r="K5">
        <v>0</v>
      </c>
      <c r="L5">
        <v>712.01</v>
      </c>
      <c r="M5">
        <v>15335.56</v>
      </c>
    </row>
    <row r="6" spans="1:13">
      <c r="A6" t="s">
        <v>17</v>
      </c>
      <c r="B6">
        <v>485.11</v>
      </c>
      <c r="C6">
        <v>14620.35</v>
      </c>
      <c r="D6">
        <v>439.87</v>
      </c>
      <c r="E6">
        <v>14400.25</v>
      </c>
      <c r="F6">
        <v>-1</v>
      </c>
      <c r="G6">
        <v>0</v>
      </c>
      <c r="H6">
        <v>655.33</v>
      </c>
      <c r="I6">
        <v>15725.63</v>
      </c>
      <c r="J6">
        <v>-1</v>
      </c>
      <c r="K6">
        <v>0</v>
      </c>
      <c r="L6">
        <v>-1</v>
      </c>
      <c r="M6">
        <v>1339.66</v>
      </c>
    </row>
    <row r="7" spans="1:13">
      <c r="A7" t="s">
        <v>18</v>
      </c>
      <c r="B7">
        <v>479.34</v>
      </c>
      <c r="C7">
        <v>14589.59</v>
      </c>
      <c r="D7">
        <v>436.72</v>
      </c>
      <c r="E7">
        <v>13908.99</v>
      </c>
      <c r="F7">
        <v>-1</v>
      </c>
      <c r="G7">
        <v>0</v>
      </c>
      <c r="H7">
        <v>447.58</v>
      </c>
      <c r="I7">
        <v>15512.38</v>
      </c>
      <c r="J7">
        <v>-1</v>
      </c>
      <c r="K7">
        <v>0</v>
      </c>
      <c r="L7">
        <v>439.13</v>
      </c>
      <c r="M7">
        <v>13989.11</v>
      </c>
    </row>
    <row r="8" spans="1:13">
      <c r="A8" t="s">
        <v>19</v>
      </c>
      <c r="B8">
        <v>484.04</v>
      </c>
      <c r="C8">
        <v>14714.68</v>
      </c>
      <c r="D8">
        <v>439.01</v>
      </c>
      <c r="E8">
        <v>14905.17</v>
      </c>
      <c r="F8">
        <v>-1</v>
      </c>
      <c r="G8">
        <v>0</v>
      </c>
      <c r="H8">
        <v>531.49</v>
      </c>
      <c r="I8">
        <v>16428.76</v>
      </c>
      <c r="J8">
        <v>-1</v>
      </c>
      <c r="K8">
        <v>0</v>
      </c>
      <c r="L8">
        <v>463.05</v>
      </c>
      <c r="M8">
        <v>15025.87</v>
      </c>
    </row>
    <row r="9" spans="1:13">
      <c r="A9" t="s">
        <v>20</v>
      </c>
      <c r="B9">
        <v>585.93</v>
      </c>
      <c r="C9">
        <v>14850.4</v>
      </c>
      <c r="D9">
        <v>524.92</v>
      </c>
      <c r="E9">
        <v>14835.99</v>
      </c>
      <c r="F9">
        <v>-1</v>
      </c>
      <c r="G9">
        <v>0</v>
      </c>
      <c r="H9">
        <v>607.07</v>
      </c>
      <c r="I9">
        <v>16350.75</v>
      </c>
      <c r="J9">
        <v>-1</v>
      </c>
      <c r="K9">
        <v>0</v>
      </c>
      <c r="L9">
        <v>-1</v>
      </c>
      <c r="M9">
        <v>4650.46</v>
      </c>
    </row>
    <row r="10" spans="1:13">
      <c r="A10" t="s">
        <v>21</v>
      </c>
      <c r="B10">
        <v>760.96</v>
      </c>
      <c r="C10">
        <v>15111.23</v>
      </c>
      <c r="D10">
        <v>693.4</v>
      </c>
      <c r="E10">
        <v>15294.89</v>
      </c>
      <c r="F10">
        <v>-1</v>
      </c>
      <c r="G10">
        <v>0</v>
      </c>
      <c r="H10">
        <v>828.79</v>
      </c>
      <c r="I10">
        <v>16628.74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737.43</v>
      </c>
      <c r="C11">
        <v>14835.63</v>
      </c>
      <c r="D11">
        <v>667.55</v>
      </c>
      <c r="E11">
        <v>14466.37</v>
      </c>
      <c r="F11">
        <v>-1</v>
      </c>
      <c r="G11">
        <v>0</v>
      </c>
      <c r="H11">
        <v>782.03</v>
      </c>
      <c r="I11">
        <v>15802.66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547.507</v>
      </c>
      <c r="B14" s="4">
        <f>IFERROR(AVERAGEIF($D$2:$D$11,"&lt;&gt; -1"),0)</f>
        <v>496.998</v>
      </c>
      <c r="C14" s="4">
        <f>IFERROR(AVERAGEIF($F$2:$F$11,"&lt;&gt; -1"),0)</f>
        <v>0</v>
      </c>
      <c r="D14" s="4">
        <f>IFERROR(AVERAGEIF($H$2:$H$11,"&lt;&gt; -1"),0)</f>
        <v>599.491</v>
      </c>
      <c r="E14" s="4">
        <f>IFERROR(AVERAGEIF($J$2:$J$11,"&lt;&gt; -1"),0)</f>
        <v>0</v>
      </c>
      <c r="F14" s="4">
        <f>IFERROR(AVERAGEIF($L$2:$L$11,"&lt;&gt; -1"),0)</f>
        <v>525.76</v>
      </c>
      <c r="G14" s="4">
        <f>IFERROR(AVERAGEIFS($C$2:$C$11,$B$2:$B$11,"&lt;&gt; -1"),0)</f>
        <v>14882.369</v>
      </c>
      <c r="H14" s="4">
        <f>IFERROR(AVERAGEIFS($E$2:$E$11,$D$2:$D$11,"&lt;&gt; -1"),0)</f>
        <v>14634.31</v>
      </c>
      <c r="I14" s="4">
        <f>IFERROR(AVERAGEIFS($G$2:$G$11,$F$2:$F$11,"&lt;&gt; -1"),0)</f>
        <v>0</v>
      </c>
      <c r="J14" s="4">
        <f>IFERROR(AVERAGEIFS($I$2:$I$11,$H$2:$H$11,"&lt;&gt; -1"),0)</f>
        <v>16074.239</v>
      </c>
      <c r="K14" s="4">
        <f>IFERROR(AVERAGEIFS($K$2:$K$11,$J$2:$J$11,"&lt;&gt; -1"),0)</f>
        <v>0</v>
      </c>
      <c r="L14" s="4">
        <f>IFERROR(AVERAGEIFS($M$2:$M$11,$L$2:$L$11,"&lt;&gt; -1"),0)</f>
        <v>14662.9525</v>
      </c>
      <c r="M14" s="4">
        <f>IFERROR(_xlfn.MAXIFS($B$2:$B$11,$B$2:$B$11,"&lt;&gt; -1"),0)</f>
        <v>760.96</v>
      </c>
      <c r="N14" s="4">
        <f>IFERROR(_xlfn.MAXIFS($D$2:$D$11,$D$2:$D$11,"&lt;&gt;-1"),0)</f>
        <v>693.4</v>
      </c>
      <c r="O14" s="4">
        <f>IFERROR(_xlfn.MAXIFS($F$2:$F$11,$F$2:$F$11,"&lt;&gt; -1"),0)</f>
        <v>0</v>
      </c>
      <c r="P14" s="4">
        <f>IFERROR(_xlfn.MAXIFS($H$2:$H$11,$H$2:$H$11,"&lt;&gt; -1"),0)</f>
        <v>828.79</v>
      </c>
      <c r="Q14" s="4">
        <f>IFERROR(_xlfn.MAXIFS($J$2:$J$11,$J$2:$J$11,"&lt;&gt; -1"),0)</f>
        <v>0</v>
      </c>
      <c r="R14" s="4">
        <f>IFERROR(_xlfn.MAXIFS($L$2:$L$11,$L$2:$L$11,"&lt;&gt; -1"),0)</f>
        <v>712.01</v>
      </c>
      <c r="S14" s="4">
        <f>IFERROR(_xlfn.MINIFS($B$2:$B$11,$B$2:$B$11,"&lt;&gt; -1"),0)</f>
        <v>469.75</v>
      </c>
      <c r="T14" s="4">
        <f>IFERROR(_xlfn.MINIFS($D$2:$D$11,$D$2:$D$11,"&lt;&gt;-1"),0)</f>
        <v>426.71</v>
      </c>
      <c r="U14" s="4">
        <f>IFERROR(_xlfn.MINIFS($F$2:$F$11,$F$2:$F$11,"&lt;&gt; -1"),0)</f>
        <v>0</v>
      </c>
      <c r="V14" s="4">
        <f>IFERROR(_xlfn.MINIFS($H$2:$H$11,$H$2:$H$11,"&lt;&gt; -1"),0)</f>
        <v>447.58</v>
      </c>
      <c r="W14" s="4">
        <f>IFERROR(_xlfn.MINIFS($J$2:$J$11,$J$2:$J$11,"&lt;&gt; -1"),0)</f>
        <v>0</v>
      </c>
      <c r="X14" s="4">
        <f>IFERROR(_xlfn.MINIFS($L$2:$L$11,$L$2:$L$11,"&lt;&gt; -1"),0)</f>
        <v>439.13</v>
      </c>
      <c r="Y14" s="4">
        <f>IFERROR(_xlfn.MAXIFS($C$2:$C$11,$B$2:$B$11,"&lt;&gt; -1"),0)</f>
        <v>15622.21</v>
      </c>
      <c r="Z14" s="4">
        <f>IFERROR(_xlfn.MAXIFS($E$2:$E$11,$D$2:$D$11,"&lt;&gt; -1"),0)</f>
        <v>15294.89</v>
      </c>
      <c r="AA14" s="4">
        <f>IFERROR(_xlfn.MAXIFS($G$2:$G$11,$F$2:$F$11,"&lt;&gt; -1"),0)</f>
        <v>0</v>
      </c>
      <c r="AB14" s="4">
        <f>IFERROR(_xlfn.MAXIFS($I$2:$I$11,$H$2:$H$11,"&lt;&gt; -1"),0)</f>
        <v>16628.74</v>
      </c>
      <c r="AC14" s="4">
        <f>IFERROR(_xlfn.MAXIFS($K$2:$K$11,$J$2:$J$11,"&lt;&gt; -1"),0)</f>
        <v>0</v>
      </c>
      <c r="AD14" s="4">
        <f>IFERROR(_xlfn.MAXIFS($M$2:$M$11,$L$2:$L$11,"&lt;&gt; -1"),0)</f>
        <v>15335.56</v>
      </c>
      <c r="AE14" s="4">
        <f>IFERROR(_xlfn.MINIFS($C$2:$C$11,$B$2:$B$11,"&lt;&gt; -1"),0)</f>
        <v>14335.76</v>
      </c>
      <c r="AF14" s="4">
        <f>IFERROR(_xlfn.MINIFS($E$2:$E$11,$D$2:$D$11,"&lt;&gt; -1"),0)</f>
        <v>13908.99</v>
      </c>
      <c r="AG14" s="4">
        <f>IFERROR(_xlfn.MINIFS($G$2:$G$11,$F$2:$F$11,"&lt;&gt; -1"),0)</f>
        <v>0</v>
      </c>
      <c r="AH14" s="4">
        <f>IFERROR(_xlfn.MINIFS($I$2:$I$11,$H$2:$H$11,"&lt;&gt; -1"),0)</f>
        <v>15512.38</v>
      </c>
      <c r="AI14" s="4">
        <f>IFERROR(_xlfn.MINIFS($K$2:$K$11,$J$2:$J$11,"&lt;&gt; -1"),0)</f>
        <v>0</v>
      </c>
      <c r="AJ14" s="4">
        <f>IFERROR(_xlfn.MINIFS($M$2:$M$11,$L$2:$L$11,"&lt;&gt; -1"),0)</f>
        <v>13989.11</v>
      </c>
      <c r="AK14" s="4">
        <f>(COUNTIFS($B$2:$B$11,"&gt;0.0",$B$2:$B$11,"&lt;700.0"))/10</f>
        <v>0.8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0.8</v>
      </c>
      <c r="AO14" s="4">
        <f>(COUNTIFS($J$2:$J$11,"&gt;0.0",$J$2:$J$11,"&lt;700.0"))/10</f>
        <v>0</v>
      </c>
      <c r="AP14" s="4">
        <f>(COUNTIFS($L$2:$L$11,"&gt;0.0",$L$2:$L$11,"&lt;700.0"))/10</f>
        <v>0.3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"/>
  <sheetViews>
    <sheetView workbookViewId="0">
      <selection activeCell="A15" sqref="$A15:$XFD1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633.87</v>
      </c>
      <c r="C2">
        <v>14382.62</v>
      </c>
      <c r="D2">
        <v>609.93</v>
      </c>
      <c r="E2">
        <v>14240.84</v>
      </c>
      <c r="F2">
        <v>734.95</v>
      </c>
      <c r="G2">
        <v>15719.44</v>
      </c>
      <c r="H2">
        <v>793.68</v>
      </c>
      <c r="I2">
        <v>15525.53</v>
      </c>
      <c r="J2">
        <v>731.03</v>
      </c>
      <c r="K2">
        <v>14450.09</v>
      </c>
      <c r="L2">
        <v>837.72</v>
      </c>
      <c r="M2">
        <v>14363.68</v>
      </c>
    </row>
    <row r="3" spans="1:13">
      <c r="A3" t="s">
        <v>14</v>
      </c>
      <c r="B3">
        <v>663.14</v>
      </c>
      <c r="C3">
        <v>14297.75</v>
      </c>
      <c r="D3">
        <v>675.83</v>
      </c>
      <c r="E3">
        <v>14432.47</v>
      </c>
      <c r="F3">
        <v>744.3</v>
      </c>
      <c r="G3">
        <v>15847.53</v>
      </c>
      <c r="H3">
        <v>817.69</v>
      </c>
      <c r="I3">
        <v>15760.95</v>
      </c>
      <c r="J3">
        <v>988.56</v>
      </c>
      <c r="K3">
        <v>14434.1</v>
      </c>
      <c r="L3">
        <v>-1</v>
      </c>
      <c r="M3">
        <v>0</v>
      </c>
    </row>
    <row r="4" spans="1:13">
      <c r="A4" t="s">
        <v>15</v>
      </c>
      <c r="B4">
        <v>769.28</v>
      </c>
      <c r="C4">
        <v>14927.98</v>
      </c>
      <c r="D4">
        <v>747.58</v>
      </c>
      <c r="E4">
        <v>14924.92</v>
      </c>
      <c r="F4">
        <v>832.5</v>
      </c>
      <c r="G4">
        <v>16380.73</v>
      </c>
      <c r="H4">
        <v>858.96</v>
      </c>
      <c r="I4">
        <v>16516.59</v>
      </c>
      <c r="J4">
        <v>826.6</v>
      </c>
      <c r="K4">
        <v>14906.28</v>
      </c>
      <c r="L4">
        <v>-1</v>
      </c>
      <c r="M4">
        <v>1120.09</v>
      </c>
    </row>
    <row r="5" spans="1:13">
      <c r="A5" t="s">
        <v>16</v>
      </c>
      <c r="B5">
        <v>470.29</v>
      </c>
      <c r="C5">
        <v>14900.22</v>
      </c>
      <c r="D5">
        <v>479.61</v>
      </c>
      <c r="E5">
        <v>15537.19</v>
      </c>
      <c r="F5">
        <v>476.91</v>
      </c>
      <c r="G5">
        <v>16570.95</v>
      </c>
      <c r="H5">
        <v>746.46</v>
      </c>
      <c r="I5">
        <v>16897.74</v>
      </c>
      <c r="J5">
        <v>471.44</v>
      </c>
      <c r="K5">
        <v>15054.94</v>
      </c>
      <c r="L5">
        <v>-1</v>
      </c>
      <c r="M5">
        <v>0</v>
      </c>
    </row>
    <row r="6" spans="1:13">
      <c r="A6" t="s">
        <v>17</v>
      </c>
      <c r="B6">
        <v>465.34</v>
      </c>
      <c r="C6">
        <v>14659.87</v>
      </c>
      <c r="D6">
        <v>470</v>
      </c>
      <c r="E6">
        <v>14948.92</v>
      </c>
      <c r="F6">
        <v>656.04</v>
      </c>
      <c r="G6">
        <v>16131.29</v>
      </c>
      <c r="H6">
        <v>-1</v>
      </c>
      <c r="I6">
        <v>13093.21</v>
      </c>
      <c r="J6">
        <v>-1</v>
      </c>
      <c r="K6">
        <v>1192.02</v>
      </c>
      <c r="L6">
        <v>-1</v>
      </c>
      <c r="M6">
        <v>0</v>
      </c>
    </row>
    <row r="7" spans="1:13">
      <c r="A7" t="s">
        <v>18</v>
      </c>
      <c r="B7">
        <v>457.39</v>
      </c>
      <c r="C7">
        <v>13907.85</v>
      </c>
      <c r="D7">
        <v>468.18</v>
      </c>
      <c r="E7">
        <v>14249.39</v>
      </c>
      <c r="F7">
        <v>463.92</v>
      </c>
      <c r="G7">
        <v>15407.58</v>
      </c>
      <c r="H7">
        <v>580.59</v>
      </c>
      <c r="I7">
        <v>15441.5</v>
      </c>
      <c r="J7">
        <v>458.57</v>
      </c>
      <c r="K7">
        <v>13993.61</v>
      </c>
      <c r="L7">
        <v>-1</v>
      </c>
      <c r="M7">
        <v>1377.83</v>
      </c>
    </row>
    <row r="8" spans="1:13">
      <c r="A8" t="s">
        <v>19</v>
      </c>
      <c r="B8">
        <v>480.09</v>
      </c>
      <c r="C8">
        <v>15015.13</v>
      </c>
      <c r="D8">
        <v>468.99</v>
      </c>
      <c r="E8">
        <v>14661.39</v>
      </c>
      <c r="F8">
        <v>553.62</v>
      </c>
      <c r="G8">
        <v>16441.7</v>
      </c>
      <c r="H8">
        <v>763.91</v>
      </c>
      <c r="I8">
        <v>15995.98</v>
      </c>
      <c r="J8">
        <v>569.06</v>
      </c>
      <c r="K8">
        <v>15156.18</v>
      </c>
      <c r="L8">
        <v>-1</v>
      </c>
      <c r="M8">
        <v>1377.35</v>
      </c>
    </row>
    <row r="9" spans="1:13">
      <c r="A9" t="s">
        <v>20</v>
      </c>
      <c r="B9">
        <v>461.88</v>
      </c>
      <c r="C9">
        <v>14314.83</v>
      </c>
      <c r="D9">
        <v>470.87</v>
      </c>
      <c r="E9">
        <v>14624.42</v>
      </c>
      <c r="F9">
        <v>468.43</v>
      </c>
      <c r="G9">
        <v>16065.2</v>
      </c>
      <c r="H9">
        <v>586.75</v>
      </c>
      <c r="I9">
        <v>16059.11</v>
      </c>
      <c r="J9">
        <v>462.99</v>
      </c>
      <c r="K9">
        <v>14422</v>
      </c>
      <c r="L9">
        <v>-1</v>
      </c>
      <c r="M9">
        <v>0</v>
      </c>
    </row>
    <row r="10" spans="1:13">
      <c r="A10" t="s">
        <v>21</v>
      </c>
      <c r="B10">
        <v>492.76</v>
      </c>
      <c r="C10">
        <v>14778.91</v>
      </c>
      <c r="D10">
        <v>477.63</v>
      </c>
      <c r="E10">
        <v>15050.79</v>
      </c>
      <c r="F10">
        <v>525.06</v>
      </c>
      <c r="G10">
        <v>16269.8</v>
      </c>
      <c r="H10">
        <v>696.37</v>
      </c>
      <c r="I10">
        <v>16299.54</v>
      </c>
      <c r="J10">
        <v>535.96</v>
      </c>
      <c r="K10">
        <v>14876.88</v>
      </c>
      <c r="L10">
        <v>-1</v>
      </c>
      <c r="M10">
        <v>0</v>
      </c>
    </row>
    <row r="11" spans="1:13">
      <c r="A11" t="s">
        <v>22</v>
      </c>
      <c r="B11">
        <v>472.57</v>
      </c>
      <c r="C11">
        <v>14479.51</v>
      </c>
      <c r="D11">
        <v>482.27</v>
      </c>
      <c r="E11">
        <v>15020.29</v>
      </c>
      <c r="F11">
        <v>485.94</v>
      </c>
      <c r="G11">
        <v>15993.64</v>
      </c>
      <c r="H11">
        <v>700.95</v>
      </c>
      <c r="I11">
        <v>16371.55</v>
      </c>
      <c r="J11">
        <v>475.79</v>
      </c>
      <c r="K11">
        <v>14496.71</v>
      </c>
      <c r="L11">
        <v>-1</v>
      </c>
      <c r="M11">
        <v>0</v>
      </c>
    </row>
    <row r="14" spans="1:42">
      <c r="A14" s="2" t="s">
        <v>23</v>
      </c>
      <c r="B14" s="2" t="s">
        <v>24</v>
      </c>
      <c r="C14" s="2" t="s">
        <v>25</v>
      </c>
      <c r="D14" s="3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3" t="s">
        <v>32</v>
      </c>
      <c r="K14" s="2" t="s">
        <v>33</v>
      </c>
      <c r="L14" s="2" t="s">
        <v>34</v>
      </c>
      <c r="M14" s="2" t="s">
        <v>35</v>
      </c>
      <c r="N14" s="2" t="s">
        <v>36</v>
      </c>
      <c r="O14" s="2" t="s">
        <v>37</v>
      </c>
      <c r="P14" s="3" t="s">
        <v>38</v>
      </c>
      <c r="Q14" s="2" t="s">
        <v>39</v>
      </c>
      <c r="R14" s="2" t="s">
        <v>40</v>
      </c>
      <c r="S14" s="2" t="s">
        <v>41</v>
      </c>
      <c r="T14" s="2" t="s">
        <v>42</v>
      </c>
      <c r="U14" s="2" t="s">
        <v>43</v>
      </c>
      <c r="V14" s="3" t="s">
        <v>44</v>
      </c>
      <c r="W14" s="2" t="s">
        <v>45</v>
      </c>
      <c r="X14" s="2" t="s">
        <v>46</v>
      </c>
      <c r="Y14" s="2" t="s">
        <v>47</v>
      </c>
      <c r="Z14" s="2" t="s">
        <v>48</v>
      </c>
      <c r="AA14" s="2" t="s">
        <v>49</v>
      </c>
      <c r="AB14" s="3" t="s">
        <v>50</v>
      </c>
      <c r="AC14" s="2" t="s">
        <v>51</v>
      </c>
      <c r="AD14" s="2" t="s">
        <v>52</v>
      </c>
      <c r="AE14" s="2" t="s">
        <v>53</v>
      </c>
      <c r="AF14" s="2" t="s">
        <v>54</v>
      </c>
      <c r="AG14" s="2" t="s">
        <v>55</v>
      </c>
      <c r="AH14" s="3" t="s">
        <v>56</v>
      </c>
      <c r="AI14" s="2" t="s">
        <v>57</v>
      </c>
      <c r="AJ14" s="2" t="s">
        <v>58</v>
      </c>
      <c r="AK14" s="2" t="s">
        <v>59</v>
      </c>
      <c r="AL14" s="2" t="s">
        <v>60</v>
      </c>
      <c r="AM14" s="2" t="s">
        <v>61</v>
      </c>
      <c r="AN14" s="3" t="s">
        <v>62</v>
      </c>
      <c r="AO14" s="2" t="s">
        <v>63</v>
      </c>
      <c r="AP14" s="2" t="s">
        <v>64</v>
      </c>
    </row>
    <row r="15" spans="1:42">
      <c r="A15" s="4">
        <f>IFERROR(AVERAGEIF($B$2:$B$11,"&lt;&gt; -1"),0)</f>
        <v>536.661</v>
      </c>
      <c r="B15" s="4">
        <f>IFERROR(AVERAGEIF($D$2:$D$11,"&lt;&gt; -1"),0)</f>
        <v>535.089</v>
      </c>
      <c r="C15" s="4">
        <f>IFERROR(AVERAGEIF($F$2:$F$11,"&lt;&gt; -1"),0)</f>
        <v>594.167</v>
      </c>
      <c r="D15" s="4">
        <f>IFERROR(AVERAGEIF($H$2:$H$11,"&lt;&gt; -1"),0)</f>
        <v>727.262222222222</v>
      </c>
      <c r="E15" s="4">
        <f>IFERROR(AVERAGEIF($J$2:$J$11,"&lt;&gt; -1"),0)</f>
        <v>613.333333333333</v>
      </c>
      <c r="F15" s="4">
        <f>IFERROR(AVERAGEIF($L$2:$L$11,"&lt;&gt; -1"),0)</f>
        <v>837.72</v>
      </c>
      <c r="G15" s="4">
        <f>IFERROR(AVERAGEIFS($C$2:$C$11,$B$2:$B$11,"&lt;&gt; -1"),0)</f>
        <v>14566.467</v>
      </c>
      <c r="H15" s="4">
        <f>IFERROR(AVERAGEIFS($E$2:$E$11,$D$2:$D$11,"&lt;&gt; -1"),0)</f>
        <v>14769.062</v>
      </c>
      <c r="I15" s="4">
        <f>IFERROR(AVERAGEIFS($G$2:$G$11,$F$2:$F$11,"&lt;&gt; -1"),0)</f>
        <v>16082.786</v>
      </c>
      <c r="J15" s="4">
        <f>IFERROR(AVERAGEIFS($I$2:$I$11,$H$2:$H$11,"&lt;&gt; -1"),0)</f>
        <v>16096.4988888889</v>
      </c>
      <c r="K15" s="4">
        <f>IFERROR(AVERAGEIFS($K$2:$K$11,$J$2:$J$11,"&lt;&gt; -1"),0)</f>
        <v>14643.4211111111</v>
      </c>
      <c r="L15" s="4">
        <f>IFERROR(AVERAGEIFS($M$2:$M$11,$L$2:$L$11,"&lt;&gt; -1"),0)</f>
        <v>14363.68</v>
      </c>
      <c r="M15" s="4">
        <f>IFERROR(_xlfn.MAXIFS($B$2:$B$11,$B$2:$B$11,"&lt;&gt; -1"),0)</f>
        <v>769.28</v>
      </c>
      <c r="N15" s="4">
        <f>IFERROR(_xlfn.MAXIFS($D$2:$D$11,$D$2:$D$11,"&lt;&gt;-1"),0)</f>
        <v>747.58</v>
      </c>
      <c r="O15" s="4">
        <f>IFERROR(_xlfn.MAXIFS($F$2:$F$11,$F$2:$F$11,"&lt;&gt; -1"),0)</f>
        <v>832.5</v>
      </c>
      <c r="P15" s="4">
        <f>IFERROR(_xlfn.MAXIFS($H$2:$H$11,$H$2:$H$11,"&lt;&gt; -1"),0)</f>
        <v>858.96</v>
      </c>
      <c r="Q15" s="4">
        <f>IFERROR(_xlfn.MAXIFS($J$2:$J$11,$J$2:$J$11,"&lt;&gt; -1"),0)</f>
        <v>988.56</v>
      </c>
      <c r="R15" s="4">
        <f>IFERROR(_xlfn.MAXIFS($L$2:$L$11,$L$2:$L$11,"&lt;&gt; -1"),0)</f>
        <v>837.72</v>
      </c>
      <c r="S15" s="4">
        <f>IFERROR(_xlfn.MINIFS($B$2:$B$11,$B$2:$B$11,"&lt;&gt; -1"),0)</f>
        <v>457.39</v>
      </c>
      <c r="T15" s="4">
        <f>IFERROR(_xlfn.MINIFS($D$2:$D$11,$D$2:$D$11,"&lt;&gt;-1"),0)</f>
        <v>468.18</v>
      </c>
      <c r="U15" s="4">
        <f>IFERROR(_xlfn.MINIFS($F$2:$F$11,$F$2:$F$11,"&lt;&gt; -1"),0)</f>
        <v>463.92</v>
      </c>
      <c r="V15" s="4">
        <f>IFERROR(_xlfn.MINIFS($H$2:$H$11,$H$2:$H$11,"&lt;&gt; -1"),0)</f>
        <v>580.59</v>
      </c>
      <c r="W15" s="4">
        <f>IFERROR(_xlfn.MINIFS($J$2:$J$11,$J$2:$J$11,"&lt;&gt; -1"),0)</f>
        <v>458.57</v>
      </c>
      <c r="X15" s="4">
        <f>IFERROR(_xlfn.MINIFS($L$2:$L$11,$L$2:$L$11,"&lt;&gt; -1"),0)</f>
        <v>837.72</v>
      </c>
      <c r="Y15" s="4">
        <f>IFERROR(_xlfn.MAXIFS($C$2:$C$11,$B$2:$B$11,"&lt;&gt; -1"),0)</f>
        <v>15015.13</v>
      </c>
      <c r="Z15" s="4">
        <f>IFERROR(_xlfn.MAXIFS($E$2:$E$11,$D$2:$D$11,"&lt;&gt; -1"),0)</f>
        <v>15537.19</v>
      </c>
      <c r="AA15" s="4">
        <f>IFERROR(_xlfn.MAXIFS($G$2:$G$11,$F$2:$F$11,"&lt;&gt; -1"),0)</f>
        <v>16570.95</v>
      </c>
      <c r="AB15" s="4">
        <f>IFERROR(_xlfn.MAXIFS($I$2:$I$11,$H$2:$H$11,"&lt;&gt; -1"),0)</f>
        <v>16897.74</v>
      </c>
      <c r="AC15" s="4">
        <f>IFERROR(_xlfn.MAXIFS($K$2:$K$11,$J$2:$J$11,"&lt;&gt; -1"),0)</f>
        <v>15156.18</v>
      </c>
      <c r="AD15" s="4">
        <f>IFERROR(_xlfn.MAXIFS($M$2:$M$11,$L$2:$L$11,"&lt;&gt; -1"),0)</f>
        <v>14363.68</v>
      </c>
      <c r="AE15" s="4">
        <f>IFERROR(_xlfn.MINIFS($C$2:$C$11,$B$2:$B$11,"&lt;&gt; -1"),0)</f>
        <v>13907.85</v>
      </c>
      <c r="AF15" s="4">
        <f>IFERROR(_xlfn.MINIFS($E$2:$E$11,$D$2:$D$11,"&lt;&gt; -1"),0)</f>
        <v>14240.84</v>
      </c>
      <c r="AG15" s="4">
        <f>IFERROR(_xlfn.MINIFS($G$2:$G$11,$F$2:$F$11,"&lt;&gt; -1"),0)</f>
        <v>15407.58</v>
      </c>
      <c r="AH15" s="4">
        <f>IFERROR(_xlfn.MINIFS($I$2:$I$11,$H$2:$H$11,"&lt;&gt; -1"),0)</f>
        <v>15441.5</v>
      </c>
      <c r="AI15" s="4">
        <f>IFERROR(_xlfn.MINIFS($K$2:$K$11,$J$2:$J$11,"&lt;&gt; -1"),0)</f>
        <v>13993.61</v>
      </c>
      <c r="AJ15" s="4">
        <f>IFERROR(_xlfn.MINIFS($M$2:$M$11,$L$2:$L$11,"&lt;&gt; -1"),0)</f>
        <v>14363.68</v>
      </c>
      <c r="AK15" s="4">
        <f>(COUNTIFS($B$2:$B$11,"&gt;0.0",$B$2:$B$11,"&lt;700.0"))/10</f>
        <v>0.9</v>
      </c>
      <c r="AL15" s="4">
        <f>(COUNTIFS($D$2:$D$11,"&gt;0.0",$D$2:$D$11,"&lt;700.0"))/10</f>
        <v>0.9</v>
      </c>
      <c r="AM15" s="4">
        <f>(COUNTIFS($F$2:$F$11,"&gt;0.0",$F$2:$F$11,"&lt;700.0"))/10</f>
        <v>0.7</v>
      </c>
      <c r="AN15" s="4" t="e">
        <f>(COUNTIFS($H$2:$H12,"&gt;0.0",$H$2:$H$11,"&lt;700.0"))/10</f>
        <v>#VALUE!</v>
      </c>
      <c r="AO15" s="4">
        <f>(COUNTIFS($J$2:$J$11,"&gt;0.0",$J$2:$J$11,"&lt;700.0"))/10</f>
        <v>0.6</v>
      </c>
      <c r="AP15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D9" sqref="D9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379.364</v>
      </c>
      <c r="B2">
        <v>319.473</v>
      </c>
      <c r="C2">
        <v>393.486</v>
      </c>
      <c r="D2">
        <v>364.959</v>
      </c>
      <c r="E2">
        <v>396.895</v>
      </c>
      <c r="F2">
        <v>399.342</v>
      </c>
      <c r="G2">
        <v>14505.774</v>
      </c>
      <c r="H2">
        <v>14519.565</v>
      </c>
      <c r="I2">
        <v>16113.462</v>
      </c>
      <c r="J2">
        <v>16068.178</v>
      </c>
      <c r="K2">
        <v>14620.488</v>
      </c>
      <c r="L2">
        <v>14610.079</v>
      </c>
      <c r="M2">
        <v>386.2</v>
      </c>
      <c r="N2">
        <v>326.2</v>
      </c>
      <c r="O2">
        <v>404.08</v>
      </c>
      <c r="P2">
        <v>384.23</v>
      </c>
      <c r="Q2">
        <v>492.74</v>
      </c>
      <c r="R2">
        <v>526.35</v>
      </c>
      <c r="S2">
        <v>366.68</v>
      </c>
      <c r="T2">
        <v>306.89</v>
      </c>
      <c r="U2">
        <v>373.25</v>
      </c>
      <c r="V2">
        <v>345.44</v>
      </c>
      <c r="W2">
        <v>367.87</v>
      </c>
      <c r="X2">
        <v>335.18</v>
      </c>
      <c r="Y2">
        <v>15009.68</v>
      </c>
      <c r="Z2">
        <v>15245.35</v>
      </c>
      <c r="AA2">
        <v>16605.46</v>
      </c>
      <c r="AB2">
        <v>16805.39</v>
      </c>
      <c r="AC2">
        <v>15140.49</v>
      </c>
      <c r="AD2">
        <v>15204.89</v>
      </c>
      <c r="AE2">
        <v>13557.65</v>
      </c>
      <c r="AF2">
        <v>13982.04</v>
      </c>
      <c r="AG2">
        <v>15001.44</v>
      </c>
      <c r="AH2">
        <v>15360.17</v>
      </c>
      <c r="AI2">
        <v>13728.55</v>
      </c>
      <c r="AJ2">
        <v>14074.46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>
      <c r="A3">
        <v>399.371</v>
      </c>
      <c r="B3">
        <v>349.882</v>
      </c>
      <c r="C3">
        <v>422.251</v>
      </c>
      <c r="D3">
        <v>433.521</v>
      </c>
      <c r="E3">
        <v>411.162</v>
      </c>
      <c r="F3">
        <v>460.215</v>
      </c>
      <c r="G3">
        <v>14480.244</v>
      </c>
      <c r="H3">
        <v>14600.523</v>
      </c>
      <c r="I3">
        <v>16077.626</v>
      </c>
      <c r="J3">
        <v>16062.898</v>
      </c>
      <c r="K3">
        <v>14583.011</v>
      </c>
      <c r="L3">
        <v>14549.945</v>
      </c>
      <c r="M3">
        <v>412.35</v>
      </c>
      <c r="N3">
        <v>356.74</v>
      </c>
      <c r="O3">
        <v>454.9</v>
      </c>
      <c r="P3">
        <v>486.76</v>
      </c>
      <c r="Q3">
        <v>433.06</v>
      </c>
      <c r="R3">
        <v>640.4</v>
      </c>
      <c r="S3">
        <v>370.54</v>
      </c>
      <c r="T3">
        <v>338.38</v>
      </c>
      <c r="U3">
        <v>377.09</v>
      </c>
      <c r="V3">
        <v>383.09</v>
      </c>
      <c r="W3">
        <v>371.75</v>
      </c>
      <c r="X3">
        <v>385.57</v>
      </c>
      <c r="Y3">
        <v>15355.49</v>
      </c>
      <c r="Z3">
        <v>15082.28</v>
      </c>
      <c r="AA3">
        <v>16900.12</v>
      </c>
      <c r="AB3">
        <v>16647.73</v>
      </c>
      <c r="AC3">
        <v>15552.16</v>
      </c>
      <c r="AD3">
        <v>15201.07</v>
      </c>
      <c r="AE3">
        <v>13596.88</v>
      </c>
      <c r="AF3">
        <v>13792.81</v>
      </c>
      <c r="AG3">
        <v>15111.53</v>
      </c>
      <c r="AH3">
        <v>15233.06</v>
      </c>
      <c r="AI3">
        <v>13727.92</v>
      </c>
      <c r="AJ3">
        <v>13966.84</v>
      </c>
      <c r="AK3">
        <v>1</v>
      </c>
      <c r="AL3">
        <v>1</v>
      </c>
      <c r="AM3">
        <v>1</v>
      </c>
      <c r="AN3">
        <v>1</v>
      </c>
      <c r="AO3">
        <v>1</v>
      </c>
      <c r="AP3">
        <v>0.4</v>
      </c>
    </row>
    <row r="4" spans="1:42">
      <c r="A4">
        <v>435.369</v>
      </c>
      <c r="B4">
        <v>379.817</v>
      </c>
      <c r="C4">
        <v>712.888</v>
      </c>
      <c r="D4">
        <v>464.38</v>
      </c>
      <c r="E4">
        <v>0</v>
      </c>
      <c r="F4">
        <v>459.885</v>
      </c>
      <c r="G4">
        <v>14716.261</v>
      </c>
      <c r="H4">
        <v>14685.698</v>
      </c>
      <c r="I4">
        <v>16145.11</v>
      </c>
      <c r="J4">
        <v>16155.711</v>
      </c>
      <c r="K4">
        <v>0</v>
      </c>
      <c r="L4">
        <v>14641.6516666667</v>
      </c>
      <c r="M4">
        <v>443.75</v>
      </c>
      <c r="N4">
        <v>386.69</v>
      </c>
      <c r="O4">
        <v>789.83</v>
      </c>
      <c r="P4">
        <v>557.45</v>
      </c>
      <c r="Q4">
        <v>0</v>
      </c>
      <c r="R4">
        <v>670.45</v>
      </c>
      <c r="S4">
        <v>423.37</v>
      </c>
      <c r="T4">
        <v>367.52</v>
      </c>
      <c r="U4">
        <v>588.81</v>
      </c>
      <c r="V4">
        <v>400.05</v>
      </c>
      <c r="W4">
        <v>0</v>
      </c>
      <c r="X4">
        <v>383.63</v>
      </c>
      <c r="Y4">
        <v>15096.87</v>
      </c>
      <c r="Z4">
        <v>15148.27</v>
      </c>
      <c r="AA4">
        <v>16439.44</v>
      </c>
      <c r="AB4">
        <v>16577.46</v>
      </c>
      <c r="AC4">
        <v>0</v>
      </c>
      <c r="AD4">
        <v>14971.97</v>
      </c>
      <c r="AE4">
        <v>14308.68</v>
      </c>
      <c r="AF4">
        <v>13999.69</v>
      </c>
      <c r="AG4">
        <v>15723.95</v>
      </c>
      <c r="AH4">
        <v>15449.14</v>
      </c>
      <c r="AI4">
        <v>0</v>
      </c>
      <c r="AJ4">
        <v>14157.65</v>
      </c>
      <c r="AK4">
        <v>1</v>
      </c>
      <c r="AL4">
        <v>1</v>
      </c>
      <c r="AM4">
        <v>0.2</v>
      </c>
      <c r="AN4">
        <v>1</v>
      </c>
      <c r="AO4">
        <v>0</v>
      </c>
      <c r="AP4">
        <v>0.6</v>
      </c>
    </row>
    <row r="5" spans="1:42">
      <c r="A5">
        <v>499.394</v>
      </c>
      <c r="B5">
        <v>441.044</v>
      </c>
      <c r="C5">
        <v>0</v>
      </c>
      <c r="D5">
        <v>534.777</v>
      </c>
      <c r="E5">
        <v>0</v>
      </c>
      <c r="F5">
        <v>469.94</v>
      </c>
      <c r="G5">
        <v>14779.948</v>
      </c>
      <c r="H5">
        <v>14659.213</v>
      </c>
      <c r="I5">
        <v>0</v>
      </c>
      <c r="J5">
        <v>16099.961</v>
      </c>
      <c r="K5">
        <v>0</v>
      </c>
      <c r="L5">
        <v>14474.534</v>
      </c>
      <c r="M5">
        <v>776.97</v>
      </c>
      <c r="N5">
        <v>679.57</v>
      </c>
      <c r="O5">
        <v>0</v>
      </c>
      <c r="P5">
        <v>838.29</v>
      </c>
      <c r="Q5">
        <v>0</v>
      </c>
      <c r="R5">
        <v>494.36</v>
      </c>
      <c r="S5">
        <v>451.33</v>
      </c>
      <c r="T5">
        <v>400.21</v>
      </c>
      <c r="U5">
        <v>0</v>
      </c>
      <c r="V5">
        <v>448.4</v>
      </c>
      <c r="W5">
        <v>0</v>
      </c>
      <c r="X5">
        <v>452.06</v>
      </c>
      <c r="Y5">
        <v>15132.72</v>
      </c>
      <c r="Z5">
        <v>15175.01</v>
      </c>
      <c r="AA5">
        <v>0</v>
      </c>
      <c r="AB5">
        <v>16475.89</v>
      </c>
      <c r="AC5">
        <v>0</v>
      </c>
      <c r="AD5">
        <v>14934.32</v>
      </c>
      <c r="AE5">
        <v>14299.87</v>
      </c>
      <c r="AF5">
        <v>13931.74</v>
      </c>
      <c r="AG5">
        <v>0</v>
      </c>
      <c r="AH5">
        <v>15381.51</v>
      </c>
      <c r="AI5">
        <v>0</v>
      </c>
      <c r="AJ5">
        <v>14012.39</v>
      </c>
      <c r="AK5">
        <v>0.9</v>
      </c>
      <c r="AL5">
        <v>1</v>
      </c>
      <c r="AM5">
        <v>0</v>
      </c>
      <c r="AN5">
        <v>0.9</v>
      </c>
      <c r="AO5">
        <v>0</v>
      </c>
      <c r="AP5">
        <v>0.5</v>
      </c>
    </row>
    <row r="6" spans="1:42">
      <c r="A6">
        <v>547.507</v>
      </c>
      <c r="B6">
        <v>496.998</v>
      </c>
      <c r="C6">
        <v>0</v>
      </c>
      <c r="D6">
        <v>599.491</v>
      </c>
      <c r="E6">
        <v>0</v>
      </c>
      <c r="F6">
        <v>525.76</v>
      </c>
      <c r="G6">
        <v>14882.369</v>
      </c>
      <c r="H6">
        <v>14634.31</v>
      </c>
      <c r="I6">
        <v>0</v>
      </c>
      <c r="J6">
        <v>16074.239</v>
      </c>
      <c r="K6">
        <v>0</v>
      </c>
      <c r="L6">
        <v>14662.9525</v>
      </c>
      <c r="M6">
        <v>760.96</v>
      </c>
      <c r="N6">
        <v>693.4</v>
      </c>
      <c r="O6">
        <v>0</v>
      </c>
      <c r="P6">
        <v>828.79</v>
      </c>
      <c r="Q6">
        <v>0</v>
      </c>
      <c r="R6">
        <v>712.01</v>
      </c>
      <c r="S6">
        <v>469.75</v>
      </c>
      <c r="T6">
        <v>426.71</v>
      </c>
      <c r="U6">
        <v>0</v>
      </c>
      <c r="V6">
        <v>447.58</v>
      </c>
      <c r="W6">
        <v>0</v>
      </c>
      <c r="X6">
        <v>439.13</v>
      </c>
      <c r="Y6">
        <v>15622.21</v>
      </c>
      <c r="Z6">
        <v>15294.89</v>
      </c>
      <c r="AA6">
        <v>0</v>
      </c>
      <c r="AB6">
        <v>16628.74</v>
      </c>
      <c r="AC6">
        <v>0</v>
      </c>
      <c r="AD6">
        <v>15335.56</v>
      </c>
      <c r="AE6">
        <v>14335.76</v>
      </c>
      <c r="AF6">
        <v>13908.99</v>
      </c>
      <c r="AG6">
        <v>0</v>
      </c>
      <c r="AH6">
        <v>15512.38</v>
      </c>
      <c r="AI6">
        <v>0</v>
      </c>
      <c r="AJ6">
        <v>13989.11</v>
      </c>
      <c r="AK6">
        <v>0.8</v>
      </c>
      <c r="AL6">
        <v>1</v>
      </c>
      <c r="AM6">
        <v>0</v>
      </c>
      <c r="AN6">
        <v>0.8</v>
      </c>
      <c r="AO6">
        <v>0</v>
      </c>
      <c r="AP6">
        <v>0.3</v>
      </c>
    </row>
    <row r="7" spans="1:42">
      <c r="A7">
        <v>536.661</v>
      </c>
      <c r="B7">
        <v>535.089</v>
      </c>
      <c r="C7">
        <v>594.167</v>
      </c>
      <c r="D7">
        <v>727.262222222222</v>
      </c>
      <c r="E7">
        <v>613.333333333333</v>
      </c>
      <c r="F7">
        <v>837.72</v>
      </c>
      <c r="G7">
        <v>14566.467</v>
      </c>
      <c r="H7">
        <v>14769.062</v>
      </c>
      <c r="I7">
        <v>16082.786</v>
      </c>
      <c r="J7">
        <v>16096.4988888889</v>
      </c>
      <c r="K7">
        <v>14643.4211111111</v>
      </c>
      <c r="L7">
        <v>14363.68</v>
      </c>
      <c r="M7">
        <v>769.28</v>
      </c>
      <c r="N7">
        <v>747.58</v>
      </c>
      <c r="O7">
        <v>832.5</v>
      </c>
      <c r="P7">
        <v>858.96</v>
      </c>
      <c r="Q7">
        <v>988.56</v>
      </c>
      <c r="R7">
        <v>837.72</v>
      </c>
      <c r="S7">
        <v>457.39</v>
      </c>
      <c r="T7">
        <v>468.18</v>
      </c>
      <c r="U7">
        <v>463.92</v>
      </c>
      <c r="V7">
        <v>580.59</v>
      </c>
      <c r="W7">
        <v>458.57</v>
      </c>
      <c r="X7">
        <v>837.72</v>
      </c>
      <c r="Y7">
        <v>15015.13</v>
      </c>
      <c r="Z7">
        <v>15537.19</v>
      </c>
      <c r="AA7">
        <v>16570.95</v>
      </c>
      <c r="AB7">
        <v>16897.74</v>
      </c>
      <c r="AC7">
        <v>15156.18</v>
      </c>
      <c r="AD7">
        <v>14363.68</v>
      </c>
      <c r="AE7">
        <v>13907.85</v>
      </c>
      <c r="AF7">
        <v>14240.84</v>
      </c>
      <c r="AG7">
        <v>15407.58</v>
      </c>
      <c r="AH7">
        <v>15441.5</v>
      </c>
      <c r="AI7">
        <v>13993.61</v>
      </c>
      <c r="AJ7">
        <v>14363.68</v>
      </c>
      <c r="AK7">
        <v>0.9</v>
      </c>
      <c r="AL7">
        <v>0.9</v>
      </c>
      <c r="AM7">
        <v>0.7</v>
      </c>
      <c r="AN7" t="e">
        <v>#VALUE!</v>
      </c>
      <c r="AO7">
        <v>0.6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2024-09-20T12:55:00Z</dcterms:created>
  <dcterms:modified xsi:type="dcterms:W3CDTF">2024-09-20T14:44:31Z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B9CAFACE9C5E448E9C765BF9D38CFBA6_12</vt:lpwstr>
  </property>
  <property fmtid="{D5CDD505-2E9C-101B-9397-08002B2CF9AE}" pid="3" name="KSOProductBuildVer">
    <vt:lpwstr>2052-12.1.0.17827</vt:lpwstr>
  </property>
</Properties>
</file>