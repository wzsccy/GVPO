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<sst xmlns="http://schemas.openxmlformats.org/spreadsheetml/2006/main" count="432" uniqueCount="65">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</sst>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B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443.07</v>
      </c>
      <c r="C2">
        <v>18726.42</v>
      </c>
      <c r="D2">
        <v>329.17</v>
      </c>
      <c r="E2">
        <v>18592.81</v>
      </c>
      <c r="F2">
        <v>448.46</v>
      </c>
      <c r="G2">
        <v>21923.91</v>
      </c>
      <c r="H2">
        <v>-1</v>
      </c>
      <c r="I2">
        <v>6915.27</v>
      </c>
      <c r="J2">
        <v>-1</v>
      </c>
      <c r="K2">
        <v>9228.92</v>
      </c>
      <c r="L2">
        <v>-1</v>
      </c>
      <c r="M2">
        <v>2075.75</v>
      </c>
    </row>
    <row r="3" spans="1:13">
      <c r="A3" t="s">
        <v>14</v>
      </c>
      <c r="B3">
        <v>452.33</v>
      </c>
      <c r="C3">
        <v>18924.21</v>
      </c>
      <c r="D3">
        <v>338.72</v>
      </c>
      <c r="E3">
        <v>18342.95</v>
      </c>
      <c r="F3">
        <v>-1</v>
      </c>
      <c r="G3">
        <v>15524.55</v>
      </c>
      <c r="H3">
        <v>-1</v>
      </c>
      <c r="I3">
        <v>18061.08</v>
      </c>
      <c r="J3">
        <v>466.56</v>
      </c>
      <c r="K3">
        <v>18956.46</v>
      </c>
      <c r="L3">
        <v>-1</v>
      </c>
      <c r="M3">
        <v>17318.84</v>
      </c>
    </row>
    <row r="4" spans="1:13">
      <c r="A4" t="s">
        <v>15</v>
      </c>
      <c r="B4">
        <v>453.63</v>
      </c>
      <c r="C4">
        <v>19157.82</v>
      </c>
      <c r="D4">
        <v>340.01</v>
      </c>
      <c r="E4">
        <v>18864.88</v>
      </c>
      <c r="F4">
        <v>469.8</v>
      </c>
      <c r="G4">
        <v>22322.07</v>
      </c>
      <c r="H4">
        <v>-1</v>
      </c>
      <c r="I4">
        <v>9698.94</v>
      </c>
      <c r="J4">
        <v>-1</v>
      </c>
      <c r="K4">
        <v>6637.47</v>
      </c>
      <c r="L4">
        <v>-1</v>
      </c>
      <c r="M4">
        <v>10164.14</v>
      </c>
    </row>
    <row r="5" spans="1:13">
      <c r="A5" t="s">
        <v>16</v>
      </c>
      <c r="B5">
        <v>452.95</v>
      </c>
      <c r="C5">
        <v>18962.68</v>
      </c>
      <c r="D5">
        <v>340.24</v>
      </c>
      <c r="E5">
        <v>19493.32</v>
      </c>
      <c r="F5">
        <v>477</v>
      </c>
      <c r="G5">
        <v>22170.34</v>
      </c>
      <c r="H5">
        <v>-1</v>
      </c>
      <c r="I5">
        <v>8897.58</v>
      </c>
      <c r="J5">
        <v>467.46</v>
      </c>
      <c r="K5">
        <v>19019.44</v>
      </c>
      <c r="L5">
        <v>-1</v>
      </c>
      <c r="M5">
        <v>5327.75</v>
      </c>
    </row>
    <row r="6" spans="1:13">
      <c r="A6" t="s">
        <v>17</v>
      </c>
      <c r="B6">
        <v>456.18</v>
      </c>
      <c r="C6">
        <v>18964.85</v>
      </c>
      <c r="D6">
        <v>344.54</v>
      </c>
      <c r="E6">
        <v>19032.49</v>
      </c>
      <c r="F6">
        <v>-1</v>
      </c>
      <c r="G6">
        <v>11355.03</v>
      </c>
      <c r="H6">
        <v>-1</v>
      </c>
      <c r="I6">
        <v>10465.27</v>
      </c>
      <c r="J6">
        <v>-1</v>
      </c>
      <c r="K6">
        <v>2503.15</v>
      </c>
      <c r="L6">
        <v>-1</v>
      </c>
      <c r="M6">
        <v>0</v>
      </c>
    </row>
    <row r="7" spans="1:13">
      <c r="A7" t="s">
        <v>18</v>
      </c>
      <c r="B7">
        <v>451.91</v>
      </c>
      <c r="C7">
        <v>18673.24</v>
      </c>
      <c r="D7">
        <v>336.56</v>
      </c>
      <c r="E7">
        <v>18849.7</v>
      </c>
      <c r="F7">
        <v>457.32</v>
      </c>
      <c r="G7">
        <v>21937.12</v>
      </c>
      <c r="H7">
        <v>341.84</v>
      </c>
      <c r="I7">
        <v>22168.7</v>
      </c>
      <c r="J7">
        <v>-1</v>
      </c>
      <c r="K7">
        <v>4639.65</v>
      </c>
      <c r="L7">
        <v>337.18</v>
      </c>
      <c r="M7">
        <v>18855.03</v>
      </c>
    </row>
    <row r="8" spans="1:13">
      <c r="A8" t="s">
        <v>19</v>
      </c>
      <c r="B8">
        <v>443.25</v>
      </c>
      <c r="C8">
        <v>17673.34</v>
      </c>
      <c r="D8">
        <v>321.92</v>
      </c>
      <c r="E8">
        <v>17679.02</v>
      </c>
      <c r="F8">
        <v>-1</v>
      </c>
      <c r="G8">
        <v>16040.94</v>
      </c>
      <c r="H8">
        <v>-1</v>
      </c>
      <c r="I8">
        <v>2773.38</v>
      </c>
      <c r="J8">
        <v>-1</v>
      </c>
      <c r="K8">
        <v>5911.56</v>
      </c>
      <c r="L8">
        <v>-1</v>
      </c>
      <c r="M8">
        <v>1688.61</v>
      </c>
    </row>
    <row r="9" spans="1:13">
      <c r="A9" t="s">
        <v>20</v>
      </c>
      <c r="B9">
        <v>451.66</v>
      </c>
      <c r="C9">
        <v>19593.63</v>
      </c>
      <c r="D9">
        <v>334.59</v>
      </c>
      <c r="E9">
        <v>18816.8</v>
      </c>
      <c r="F9">
        <v>470.71</v>
      </c>
      <c r="G9">
        <v>23022.07</v>
      </c>
      <c r="H9">
        <v>351.05</v>
      </c>
      <c r="I9">
        <v>22124.74</v>
      </c>
      <c r="J9">
        <v>-1</v>
      </c>
      <c r="K9">
        <v>919.63</v>
      </c>
      <c r="L9">
        <v>338.76</v>
      </c>
      <c r="M9">
        <v>18821.79</v>
      </c>
    </row>
    <row r="10" spans="1:13">
      <c r="A10" t="s">
        <v>21</v>
      </c>
      <c r="B10">
        <v>447.9</v>
      </c>
      <c r="C10">
        <v>18985.73</v>
      </c>
      <c r="D10">
        <v>331.52</v>
      </c>
      <c r="E10">
        <v>18354</v>
      </c>
      <c r="F10">
        <v>458.34</v>
      </c>
      <c r="G10">
        <v>22148.05</v>
      </c>
      <c r="H10">
        <v>-1</v>
      </c>
      <c r="I10">
        <v>4786.16</v>
      </c>
      <c r="J10">
        <v>-1</v>
      </c>
      <c r="K10">
        <v>7132.79</v>
      </c>
      <c r="L10">
        <v>-1</v>
      </c>
      <c r="M10">
        <v>0</v>
      </c>
    </row>
    <row r="11" spans="1:13">
      <c r="A11" t="s">
        <v>22</v>
      </c>
      <c r="B11">
        <v>482.13</v>
      </c>
      <c r="C11">
        <v>20060.95</v>
      </c>
      <c r="D11">
        <v>363.55</v>
      </c>
      <c r="E11">
        <v>20552.2</v>
      </c>
      <c r="F11">
        <v>-1</v>
      </c>
      <c r="G11">
        <v>12910.91</v>
      </c>
      <c r="H11">
        <v>-1</v>
      </c>
      <c r="I11">
        <v>4982.86</v>
      </c>
      <c r="J11">
        <v>-1</v>
      </c>
      <c r="K11">
        <v>8330.92</v>
      </c>
      <c r="L11">
        <v>-1</v>
      </c>
      <c r="M11">
        <v>3468.2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451.632</v>
      </c>
      <c r="B14" s="4">
        <f>IFERROR(AVERAGEIF($D$2:$D$6,"&lt;&gt; -1"),0)</f>
        <v>338.536</v>
      </c>
      <c r="C14" s="4">
        <f>IFERROR(AVERAGEIF($F$2:$F$6,"&lt;&gt; -1"),0)</f>
        <v>465.086666666667</v>
      </c>
      <c r="D14" s="4">
        <f>IFERROR(AVERAGEIF($H$2:$H$6,"&lt;&gt; -1"),0)</f>
        <v>0</v>
      </c>
      <c r="E14" s="4">
        <f>IFERROR(AVERAGEIF($J$2:$J$6,"&lt;&gt; -1"),0)</f>
        <v>467.01</v>
      </c>
      <c r="F14" s="4">
        <f>IFERROR(AVERAGEIF($L$2:$L$6,"&lt;&gt; -1"),0)</f>
        <v>0</v>
      </c>
      <c r="G14" s="4">
        <f>IFERROR(AVERAGEIFS($C$2:$C$6,$B$2:$B$6,"&lt;&gt; -1"),0)</f>
        <v>18947.196</v>
      </c>
      <c r="H14" s="4">
        <f>IFERROR(AVERAGEIFS($E$2:$E$6,$D$2:$D$6,"&lt;&gt; -1"),0)</f>
        <v>18865.29</v>
      </c>
      <c r="I14" s="4">
        <f>IFERROR(AVERAGEIFS($G$2:$G$6,$F$2:$F$6,"&lt;&gt; -1"),0)</f>
        <v>22138.7733333333</v>
      </c>
      <c r="J14" s="4">
        <f>IFERROR(AVERAGEIFS($I$2:$I$6,$H$2:$H$6,"&lt;&gt; -1"),0)</f>
        <v>0</v>
      </c>
      <c r="K14" s="4">
        <f>IFERROR(AVERAGEIFS($K$2:$K$6,$J$2:$J$6,"&lt;&gt; -1"),0)</f>
        <v>18987.95</v>
      </c>
      <c r="L14" s="4">
        <f>IFERROR(AVERAGEIFS($M$2:$M$6,$L$2:$L$6,"&lt;&gt; -1"),0)</f>
        <v>0</v>
      </c>
      <c r="M14" s="4">
        <f>IFERROR(_xlfn.MAXIFS($B$2:$B$6,$B$2:$B$6,"&lt;&gt; -1"),0)</f>
        <v>456.18</v>
      </c>
      <c r="N14" s="4">
        <f>IFERROR(_xlfn.MAXIFS($D$2:$D$6,$D$2:$D$6,"&lt;&gt;-1"),0)</f>
        <v>344.54</v>
      </c>
      <c r="O14" s="4">
        <f>IFERROR(_xlfn.MAXIFS($F$2:$F$6,$F$2:$F$6,"&lt;&gt; -1"),0)</f>
        <v>477</v>
      </c>
      <c r="P14" s="4">
        <f>IFERROR(_xlfn.MAXIFS($H$2:$H$6,$H$2:$H$6,"&lt;&gt; -1"),0)</f>
        <v>0</v>
      </c>
      <c r="Q14" s="4">
        <f>IFERROR(_xlfn.MAXIFS($J$2:$J$6,$J$2:$J$6,"&lt;&gt; -1"),0)</f>
        <v>467.46</v>
      </c>
      <c r="R14" s="4">
        <f>IFERROR(_xlfn.MAXIFS($L$2:$L$6,$L$2:$L$6,"&lt;&gt; -1"),0)</f>
        <v>0</v>
      </c>
      <c r="S14" s="4">
        <f>IFERROR(_xlfn.MINIFS($B$2:$B$6,$B$2:$B$6,"&lt;&gt; -1"),0)</f>
        <v>443.07</v>
      </c>
      <c r="T14" s="4">
        <f>IFERROR(_xlfn.MINIFS($D$2:$D$6,$D$2:$D$6,"&lt;&gt;-1"),0)</f>
        <v>329.17</v>
      </c>
      <c r="U14" s="4">
        <f>IFERROR(_xlfn.MINIFS($F$2:$F$6,$F$2:$F$6,"&lt;&gt; -1"),0)</f>
        <v>448.46</v>
      </c>
      <c r="V14" s="4">
        <f>IFERROR(_xlfn.MINIFS($H$2:$H$6,$H$2:$H$6,"&lt;&gt; -1"),0)</f>
        <v>0</v>
      </c>
      <c r="W14" s="4">
        <f>IFERROR(_xlfn.MINIFS($J$2:$J$6,$J$2:$J$6,"&lt;&gt; -1"),0)</f>
        <v>466.56</v>
      </c>
      <c r="X14" s="4">
        <f>IFERROR(_xlfn.MINIFS($L$2:$L$6,$L$2:$L$6,"&lt;&gt; -1"),0)</f>
        <v>0</v>
      </c>
      <c r="Y14" s="4">
        <f>IFERROR(_xlfn.MAXIFS($C$2:$C$6,$B$2:$B$6,"&lt;&gt; -1"),0)</f>
        <v>19157.82</v>
      </c>
      <c r="Z14" s="4">
        <f>IFERROR(_xlfn.MAXIFS($E$2:$E$6,$D$2:$D$6,"&lt;&gt; -1"),0)</f>
        <v>19493.32</v>
      </c>
      <c r="AA14" s="4">
        <f>IFERROR(_xlfn.MAXIFS($G$2:$G$6,$F$2:$F$6,"&lt;&gt; -1"),0)</f>
        <v>22322.07</v>
      </c>
      <c r="AB14" s="4">
        <f>IFERROR(_xlfn.MAXIFS($I$2:$I$6,$H$2:$H$6,"&lt;&gt; -1"),0)</f>
        <v>0</v>
      </c>
      <c r="AC14" s="4">
        <f>IFERROR(_xlfn.MAXIFS($K$2:$K$6,$J$2:$J$6,"&lt;&gt; -1"),0)</f>
        <v>19019.44</v>
      </c>
      <c r="AD14" s="4">
        <f>IFERROR(_xlfn.MAXIFS($M$2:$M$6,$L$2:$L$6,"&lt;&gt; -1"),0)</f>
        <v>0</v>
      </c>
      <c r="AE14" s="4">
        <f>IFERROR(_xlfn.MINIFS($C$2:$C$6,$B$2:$B$6,"&lt;&gt; -1"),0)</f>
        <v>18726.42</v>
      </c>
      <c r="AF14" s="4">
        <f>IFERROR(_xlfn.MINIFS($E$2:$E$6,$D$2:$D$6,"&lt;&gt; -1"),0)</f>
        <v>18342.95</v>
      </c>
      <c r="AG14" s="4">
        <f>IFERROR(_xlfn.MINIFS($G$2:$G$6,$F$2:$F$6,"&lt;&gt; -1"),0)</f>
        <v>21923.91</v>
      </c>
      <c r="AH14" s="4">
        <f>IFERROR(_xlfn.MINIFS($I$2:$I$6,$H$2:$H$6,"&lt;&gt; -1"),0)</f>
        <v>0</v>
      </c>
      <c r="AI14" s="4">
        <f>IFERROR(_xlfn.MINIFS($K$2:$K$6,$J$2:$J$6,"&lt;&gt; -1"),0)</f>
        <v>18956.46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0.6</v>
      </c>
      <c r="AN14" s="4">
        <f>(COUNTIFS($H$2:$H$6,"&gt;0.0",$H$2:$H$6,"&lt;3000.0"))/5</f>
        <v>0</v>
      </c>
      <c r="AO14" s="4">
        <f>(COUNTIFS($J$2:$J$6,"&gt;0.0",$J$2:$J$6,"&lt;3000.0"))/5</f>
        <v>0.4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473.58</v>
      </c>
      <c r="C2">
        <v>18939.86</v>
      </c>
      <c r="D2">
        <v>362.96</v>
      </c>
      <c r="E2">
        <v>19220.67</v>
      </c>
      <c r="F2">
        <v>489.52</v>
      </c>
      <c r="G2">
        <v>22190.36</v>
      </c>
      <c r="H2">
        <v>-1</v>
      </c>
      <c r="I2">
        <v>1715.84</v>
      </c>
      <c r="J2">
        <v>-1</v>
      </c>
      <c r="K2">
        <v>17278.68</v>
      </c>
      <c r="L2">
        <v>-1</v>
      </c>
      <c r="M2">
        <v>0</v>
      </c>
    </row>
    <row r="3" spans="1:13">
      <c r="A3" t="s">
        <v>14</v>
      </c>
      <c r="B3">
        <v>485.66</v>
      </c>
      <c r="C3">
        <v>19471.72</v>
      </c>
      <c r="D3">
        <v>372.14</v>
      </c>
      <c r="E3">
        <v>19350.13</v>
      </c>
      <c r="F3">
        <v>-1</v>
      </c>
      <c r="G3">
        <v>14182.28</v>
      </c>
      <c r="H3">
        <v>-1</v>
      </c>
      <c r="I3">
        <v>9937.46</v>
      </c>
      <c r="J3">
        <v>-1</v>
      </c>
      <c r="K3">
        <v>4738.72</v>
      </c>
      <c r="L3">
        <v>-1</v>
      </c>
      <c r="M3">
        <v>0</v>
      </c>
    </row>
    <row r="4" spans="1:13">
      <c r="A4" t="s">
        <v>15</v>
      </c>
      <c r="B4">
        <v>484.76</v>
      </c>
      <c r="C4">
        <v>19472.53</v>
      </c>
      <c r="D4">
        <v>376.19</v>
      </c>
      <c r="E4">
        <v>19066.91</v>
      </c>
      <c r="F4">
        <v>496.07</v>
      </c>
      <c r="G4">
        <v>22708.45</v>
      </c>
      <c r="H4">
        <v>-1</v>
      </c>
      <c r="I4">
        <v>8623.93</v>
      </c>
      <c r="J4">
        <v>-1</v>
      </c>
      <c r="K4">
        <v>14511.24</v>
      </c>
      <c r="L4">
        <v>-1</v>
      </c>
      <c r="M4">
        <v>0</v>
      </c>
    </row>
    <row r="5" spans="1:13">
      <c r="A5" t="s">
        <v>16</v>
      </c>
      <c r="B5">
        <v>487.1</v>
      </c>
      <c r="C5">
        <v>19273.19</v>
      </c>
      <c r="D5">
        <v>374.06</v>
      </c>
      <c r="E5">
        <v>19755.93</v>
      </c>
      <c r="F5">
        <v>-1</v>
      </c>
      <c r="G5">
        <v>17159.88</v>
      </c>
      <c r="H5">
        <v>-1</v>
      </c>
      <c r="I5">
        <v>1786.99</v>
      </c>
      <c r="J5">
        <v>-1</v>
      </c>
      <c r="K5">
        <v>2985.66</v>
      </c>
      <c r="L5">
        <v>-1</v>
      </c>
      <c r="M5">
        <v>0</v>
      </c>
    </row>
    <row r="6" spans="1:13">
      <c r="A6" t="s">
        <v>17</v>
      </c>
      <c r="B6">
        <v>484.72</v>
      </c>
      <c r="C6">
        <v>18859.93</v>
      </c>
      <c r="D6">
        <v>377.45</v>
      </c>
      <c r="E6">
        <v>19530.13</v>
      </c>
      <c r="F6">
        <v>-1</v>
      </c>
      <c r="G6">
        <v>9290.71</v>
      </c>
      <c r="H6">
        <v>-1</v>
      </c>
      <c r="I6">
        <v>0</v>
      </c>
      <c r="J6">
        <v>-1</v>
      </c>
      <c r="K6">
        <v>491.24</v>
      </c>
      <c r="L6">
        <v>-1</v>
      </c>
      <c r="M6">
        <v>0</v>
      </c>
    </row>
    <row r="7" spans="1:13">
      <c r="A7" t="s">
        <v>18</v>
      </c>
      <c r="B7">
        <v>478.65</v>
      </c>
      <c r="C7">
        <v>18893.86</v>
      </c>
      <c r="D7">
        <v>370.81</v>
      </c>
      <c r="E7">
        <v>19517.24</v>
      </c>
      <c r="F7">
        <v>489.46</v>
      </c>
      <c r="G7">
        <v>21893.96</v>
      </c>
      <c r="H7">
        <v>-1</v>
      </c>
      <c r="I7">
        <v>8138.41</v>
      </c>
      <c r="J7">
        <v>-1</v>
      </c>
      <c r="K7">
        <v>3557.26</v>
      </c>
      <c r="L7">
        <v>-1</v>
      </c>
      <c r="M7">
        <v>0</v>
      </c>
    </row>
    <row r="8" spans="1:13">
      <c r="A8" t="s">
        <v>19</v>
      </c>
      <c r="B8">
        <v>459.35</v>
      </c>
      <c r="C8">
        <v>17638.82</v>
      </c>
      <c r="D8">
        <v>348.15</v>
      </c>
      <c r="E8">
        <v>18384.81</v>
      </c>
      <c r="F8">
        <v>474.18</v>
      </c>
      <c r="G8">
        <v>20756.45</v>
      </c>
      <c r="H8">
        <v>-1</v>
      </c>
      <c r="I8">
        <v>0</v>
      </c>
      <c r="J8">
        <v>-1</v>
      </c>
      <c r="K8">
        <v>2465.9</v>
      </c>
      <c r="L8">
        <v>-1</v>
      </c>
      <c r="M8">
        <v>1082.62</v>
      </c>
    </row>
    <row r="9" spans="1:13">
      <c r="A9" t="s">
        <v>20</v>
      </c>
      <c r="B9">
        <v>446.37</v>
      </c>
      <c r="C9">
        <v>19280.48</v>
      </c>
      <c r="D9">
        <v>376.87</v>
      </c>
      <c r="E9">
        <v>18912.41</v>
      </c>
      <c r="F9">
        <v>464.57</v>
      </c>
      <c r="G9">
        <v>22721.85</v>
      </c>
      <c r="H9">
        <v>-1</v>
      </c>
      <c r="I9">
        <v>0</v>
      </c>
      <c r="J9">
        <v>-1</v>
      </c>
      <c r="K9">
        <v>3575.34</v>
      </c>
      <c r="L9">
        <v>-1</v>
      </c>
      <c r="M9">
        <v>0</v>
      </c>
    </row>
    <row r="10" spans="1:13">
      <c r="A10" t="s">
        <v>21</v>
      </c>
      <c r="B10">
        <v>467.47</v>
      </c>
      <c r="C10">
        <v>18780.87</v>
      </c>
      <c r="D10">
        <v>358.49</v>
      </c>
      <c r="E10">
        <v>18348.41</v>
      </c>
      <c r="F10">
        <v>479.09</v>
      </c>
      <c r="G10">
        <v>21997.76</v>
      </c>
      <c r="H10">
        <v>-1</v>
      </c>
      <c r="I10">
        <v>0</v>
      </c>
      <c r="J10">
        <v>-1</v>
      </c>
      <c r="K10">
        <v>10163.95</v>
      </c>
      <c r="L10">
        <v>-1</v>
      </c>
      <c r="M10">
        <v>0</v>
      </c>
    </row>
    <row r="11" spans="1:13">
      <c r="A11" t="s">
        <v>22</v>
      </c>
      <c r="B11">
        <v>504.33</v>
      </c>
      <c r="C11">
        <v>19835.38</v>
      </c>
      <c r="D11">
        <v>394.56</v>
      </c>
      <c r="E11">
        <v>20299.83</v>
      </c>
      <c r="F11">
        <v>527.05</v>
      </c>
      <c r="G11">
        <v>23354.2</v>
      </c>
      <c r="H11">
        <v>-1</v>
      </c>
      <c r="I11">
        <v>5266.45</v>
      </c>
      <c r="J11">
        <v>-1</v>
      </c>
      <c r="K11">
        <v>328.02</v>
      </c>
      <c r="L11">
        <v>-1</v>
      </c>
      <c r="M11">
        <v>813.59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483.164</v>
      </c>
      <c r="B14" s="4">
        <f>IFERROR(AVERAGEIF($D$2:$D$6,"&lt;&gt; -1"),0)</f>
        <v>372.56</v>
      </c>
      <c r="C14" s="4">
        <f>IFERROR(AVERAGEIF($F$2:$F$6,"&lt;&gt; -1"),0)</f>
        <v>492.795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19203.446</v>
      </c>
      <c r="H14" s="4">
        <f>IFERROR(AVERAGEIFS($E$2:$E$6,$D$2:$D$6,"&lt;&gt; -1"),0)</f>
        <v>19384.754</v>
      </c>
      <c r="I14" s="4">
        <f>IFERROR(AVERAGEIFS($G$2:$G$6,$F$2:$F$6,"&lt;&gt; -1"),0)</f>
        <v>22449.405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487.1</v>
      </c>
      <c r="N14" s="4">
        <f>IFERROR(_xlfn.MAXIFS($D$2:$D$6,$D$2:$D$6,"&lt;&gt;-1"),0)</f>
        <v>377.45</v>
      </c>
      <c r="O14" s="4">
        <f>IFERROR(_xlfn.MAXIFS($F$2:$F$6,$F$2:$F$6,"&lt;&gt; -1"),0)</f>
        <v>496.07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473.58</v>
      </c>
      <c r="T14" s="4">
        <f>IFERROR(_xlfn.MINIFS($D$2:$D$6,$D$2:$D$6,"&lt;&gt;-1"),0)</f>
        <v>362.96</v>
      </c>
      <c r="U14" s="4">
        <f>IFERROR(_xlfn.MINIFS($F$2:$F$6,$F$2:$F$6,"&lt;&gt; -1"),0)</f>
        <v>489.52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19472.53</v>
      </c>
      <c r="Z14" s="4">
        <f>IFERROR(_xlfn.MAXIFS($E$2:$E$6,$D$2:$D$6,"&lt;&gt; -1"),0)</f>
        <v>19755.93</v>
      </c>
      <c r="AA14" s="4">
        <f>IFERROR(_xlfn.MAXIFS($G$2:$G$6,$F$2:$F$6,"&lt;&gt; -1"),0)</f>
        <v>22708.45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18859.93</v>
      </c>
      <c r="AF14" s="4">
        <f>IFERROR(_xlfn.MINIFS($E$2:$E$6,$D$2:$D$6,"&lt;&gt; -1"),0)</f>
        <v>19066.91</v>
      </c>
      <c r="AG14" s="4">
        <f>IFERROR(_xlfn.MINIFS($G$2:$G$6,$F$2:$F$6,"&lt;&gt; -1"),0)</f>
        <v>22190.36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0.4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509.57</v>
      </c>
      <c r="C2">
        <v>19237.24</v>
      </c>
      <c r="D2">
        <v>395.64</v>
      </c>
      <c r="E2">
        <v>19002.92</v>
      </c>
      <c r="F2">
        <v>-1</v>
      </c>
      <c r="G2">
        <v>0</v>
      </c>
      <c r="H2">
        <v>-1</v>
      </c>
      <c r="I2">
        <v>6989.85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524.62</v>
      </c>
      <c r="C3">
        <v>19596.12</v>
      </c>
      <c r="D3">
        <v>402.04</v>
      </c>
      <c r="E3">
        <v>19452.13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524.85</v>
      </c>
      <c r="C4">
        <v>19441.3</v>
      </c>
      <c r="D4">
        <v>411.63</v>
      </c>
      <c r="E4">
        <v>19259.44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513.93</v>
      </c>
      <c r="C5">
        <v>19120.05</v>
      </c>
      <c r="D5">
        <v>395.17</v>
      </c>
      <c r="E5">
        <v>18921.49</v>
      </c>
      <c r="F5">
        <v>-1</v>
      </c>
      <c r="G5">
        <v>0</v>
      </c>
      <c r="H5">
        <v>-1</v>
      </c>
      <c r="I5">
        <v>7222.2</v>
      </c>
      <c r="J5">
        <v>-1</v>
      </c>
      <c r="K5">
        <v>0</v>
      </c>
      <c r="L5">
        <v>-1</v>
      </c>
      <c r="M5">
        <v>15023.62</v>
      </c>
    </row>
    <row r="6" spans="1:13">
      <c r="A6" t="s">
        <v>17</v>
      </c>
      <c r="B6">
        <v>521.93</v>
      </c>
      <c r="C6">
        <v>19783.81</v>
      </c>
      <c r="D6">
        <v>407.34</v>
      </c>
      <c r="E6">
        <v>19068.78</v>
      </c>
      <c r="F6">
        <v>-1</v>
      </c>
      <c r="G6">
        <v>0</v>
      </c>
      <c r="H6">
        <v>-1</v>
      </c>
      <c r="I6">
        <v>7151.63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505.02</v>
      </c>
      <c r="C7">
        <v>19177.54</v>
      </c>
      <c r="D7">
        <v>392.66</v>
      </c>
      <c r="E7">
        <v>19340.99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489.3</v>
      </c>
      <c r="C8">
        <v>18322.57</v>
      </c>
      <c r="D8">
        <v>374.51</v>
      </c>
      <c r="E8">
        <v>18570.34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507.3</v>
      </c>
      <c r="C9">
        <v>19955.15</v>
      </c>
      <c r="D9">
        <v>391.26</v>
      </c>
      <c r="E9">
        <v>19366.51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500.79</v>
      </c>
      <c r="C10">
        <v>19248.65</v>
      </c>
      <c r="D10">
        <v>382.53</v>
      </c>
      <c r="E10">
        <v>19097.52</v>
      </c>
      <c r="F10">
        <v>-1</v>
      </c>
      <c r="G10">
        <v>0</v>
      </c>
      <c r="H10">
        <v>-1</v>
      </c>
      <c r="I10">
        <v>3838.73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539.44</v>
      </c>
      <c r="C11">
        <v>20579.97</v>
      </c>
      <c r="D11">
        <v>424.26</v>
      </c>
      <c r="E11">
        <v>20645.47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518.98</v>
      </c>
      <c r="B14" s="4">
        <f>IFERROR(AVERAGEIF($D$2:$D$6,"&lt;&gt; -1"),0)</f>
        <v>402.364</v>
      </c>
      <c r="C14" s="4">
        <f>IFERROR(AVERAGEIF($F$2:$F$6,"&lt;&gt; -1"),0)</f>
        <v>0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19435.704</v>
      </c>
      <c r="H14" s="4">
        <f>IFERROR(AVERAGEIFS($E$2:$E$6,$D$2:$D$6,"&lt;&gt; -1"),0)</f>
        <v>19140.952</v>
      </c>
      <c r="I14" s="4">
        <f>IFERROR(AVERAGEIFS($G$2:$G$6,$F$2:$F$6,"&lt;&gt; -1"),0)</f>
        <v>0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524.85</v>
      </c>
      <c r="N14" s="4">
        <f>IFERROR(_xlfn.MAXIFS($D$2:$D$6,$D$2:$D$6,"&lt;&gt;-1"),0)</f>
        <v>411.63</v>
      </c>
      <c r="O14" s="4">
        <f>IFERROR(_xlfn.MAXIFS($F$2:$F$6,$F$2:$F$6,"&lt;&gt; -1"),0)</f>
        <v>0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509.57</v>
      </c>
      <c r="T14" s="4">
        <f>IFERROR(_xlfn.MINIFS($D$2:$D$6,$D$2:$D$6,"&lt;&gt;-1"),0)</f>
        <v>395.17</v>
      </c>
      <c r="U14" s="4">
        <f>IFERROR(_xlfn.MINIFS($F$2:$F$6,$F$2:$F$6,"&lt;&gt; -1"),0)</f>
        <v>0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19783.81</v>
      </c>
      <c r="Z14" s="4">
        <f>IFERROR(_xlfn.MAXIFS($E$2:$E$6,$D$2:$D$6,"&lt;&gt; -1"),0)</f>
        <v>19452.13</v>
      </c>
      <c r="AA14" s="4">
        <f>IFERROR(_xlfn.MAXIFS($G$2:$G$6,$F$2:$F$6,"&lt;&gt; -1"),0)</f>
        <v>0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19120.05</v>
      </c>
      <c r="AF14" s="4">
        <f>IFERROR(_xlfn.MINIFS($E$2:$E$6,$D$2:$D$6,"&lt;&gt; -1"),0)</f>
        <v>18921.49</v>
      </c>
      <c r="AG14" s="4">
        <f>IFERROR(_xlfn.MINIFS($G$2:$G$6,$F$2:$F$6,"&lt;&gt; -1"),0)</f>
        <v>0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1</v>
      </c>
      <c r="AL14" s="4">
        <f>(COUNTIFS($D$2:$D$6,"&gt;0.0",$D$2:$D$6,"&lt;3000.0"))/5</f>
        <v>1</v>
      </c>
      <c r="AM14" s="4">
        <f>(COUNTIFS($F$2:$F$6,"&gt;0.0",$F$2:$F$6,"&lt;3000.0"))/5</f>
        <v>0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520.5</v>
      </c>
      <c r="C2">
        <v>19638.91</v>
      </c>
      <c r="D2">
        <v>417.56</v>
      </c>
      <c r="E2">
        <v>18848.88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534.71</v>
      </c>
      <c r="C3">
        <v>20280.49</v>
      </c>
      <c r="D3">
        <v>429.49</v>
      </c>
      <c r="E3">
        <v>19349.48</v>
      </c>
      <c r="F3">
        <v>-1</v>
      </c>
      <c r="G3">
        <v>0</v>
      </c>
      <c r="H3">
        <v>-1</v>
      </c>
      <c r="I3">
        <v>6922.73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531.07</v>
      </c>
      <c r="C4">
        <v>20116.62</v>
      </c>
      <c r="D4">
        <v>423.83</v>
      </c>
      <c r="E4">
        <v>19530.14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528.39</v>
      </c>
      <c r="C5">
        <v>19416.87</v>
      </c>
      <c r="D5">
        <v>421.29</v>
      </c>
      <c r="E5">
        <v>18821.17</v>
      </c>
      <c r="F5">
        <v>-1</v>
      </c>
      <c r="G5">
        <v>0</v>
      </c>
      <c r="H5">
        <v>-1</v>
      </c>
      <c r="I5">
        <v>11551.46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10361.54</v>
      </c>
      <c r="D6">
        <v>433.71</v>
      </c>
      <c r="E6">
        <v>20832.16</v>
      </c>
      <c r="F6">
        <v>-1</v>
      </c>
      <c r="G6">
        <v>0</v>
      </c>
      <c r="H6">
        <v>-1</v>
      </c>
      <c r="I6">
        <v>1807.57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523.46</v>
      </c>
      <c r="C7">
        <v>19428.67</v>
      </c>
      <c r="D7">
        <v>416.23</v>
      </c>
      <c r="E7">
        <v>19160.22</v>
      </c>
      <c r="F7">
        <v>-1</v>
      </c>
      <c r="G7">
        <v>0</v>
      </c>
      <c r="H7">
        <v>-1</v>
      </c>
      <c r="I7">
        <v>15648.55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506.35</v>
      </c>
      <c r="C8">
        <v>18662.06</v>
      </c>
      <c r="D8">
        <v>400.33</v>
      </c>
      <c r="E8">
        <v>18215.12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518.47</v>
      </c>
      <c r="C9">
        <v>19527.11</v>
      </c>
      <c r="D9">
        <v>411.19</v>
      </c>
      <c r="E9">
        <v>19094.83</v>
      </c>
      <c r="F9">
        <v>-1</v>
      </c>
      <c r="G9">
        <v>0</v>
      </c>
      <c r="H9">
        <v>-1</v>
      </c>
      <c r="I9">
        <v>13286.22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-1</v>
      </c>
      <c r="C10">
        <v>16329.84</v>
      </c>
      <c r="D10">
        <v>405.14</v>
      </c>
      <c r="E10">
        <v>18603.04</v>
      </c>
      <c r="F10">
        <v>-1</v>
      </c>
      <c r="G10">
        <v>0</v>
      </c>
      <c r="H10">
        <v>-1</v>
      </c>
      <c r="I10">
        <v>3334.32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550.05</v>
      </c>
      <c r="C11">
        <v>20764.24</v>
      </c>
      <c r="D11">
        <v>442.44</v>
      </c>
      <c r="E11">
        <v>20520.48</v>
      </c>
      <c r="F11">
        <v>-1</v>
      </c>
      <c r="G11">
        <v>0</v>
      </c>
      <c r="H11">
        <v>-1</v>
      </c>
      <c r="I11">
        <v>1767.43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IFERROR(AVERAGEIF($B$2:$B$6,"&lt;&gt; -1"),0)</f>
        <v>528.6675</v>
      </c>
      <c r="B14" s="4">
        <f>IFERROR(AVERAGEIF($D$2:$D$6,"&lt;&gt; -1"),0)</f>
        <v>425.176</v>
      </c>
      <c r="C14" s="4">
        <f>IFERROR(AVERAGEIF($F$2:$F$6,"&lt;&gt; -1"),0)</f>
        <v>0</v>
      </c>
      <c r="D14" s="4">
        <f>IFERROR(AVERAGEIF($H$2:$H$6,"&lt;&gt; -1"),0)</f>
        <v>0</v>
      </c>
      <c r="E14" s="4">
        <f>IFERROR(AVERAGEIF($J$2:$J$6,"&lt;&gt; -1"),0)</f>
        <v>0</v>
      </c>
      <c r="F14" s="4">
        <f>IFERROR(AVERAGEIF($L$2:$L$6,"&lt;&gt; -1"),0)</f>
        <v>0</v>
      </c>
      <c r="G14" s="4">
        <f>IFERROR(AVERAGEIFS($C$2:$C$6,$B$2:$B$6,"&lt;&gt; -1"),0)</f>
        <v>19863.2225</v>
      </c>
      <c r="H14" s="4">
        <f>IFERROR(AVERAGEIFS($E$2:$E$6,$D$2:$D$6,"&lt;&gt; -1"),0)</f>
        <v>19476.366</v>
      </c>
      <c r="I14" s="4">
        <f>IFERROR(AVERAGEIFS($G$2:$G$6,$F$2:$F$6,"&lt;&gt; -1"),0)</f>
        <v>0</v>
      </c>
      <c r="J14" s="4">
        <f>IFERROR(AVERAGEIFS($I$2:$I$6,$H$2:$H$6,"&lt;&gt; -1"),0)</f>
        <v>0</v>
      </c>
      <c r="K14" s="4">
        <f>IFERROR(AVERAGEIFS($K$2:$K$6,$J$2:$J$6,"&lt;&gt; -1"),0)</f>
        <v>0</v>
      </c>
      <c r="L14" s="4">
        <f>IFERROR(AVERAGEIFS($M$2:$M$6,$L$2:$L$6,"&lt;&gt; -1"),0)</f>
        <v>0</v>
      </c>
      <c r="M14" s="4">
        <f>IFERROR(_xlfn.MAXIFS($B$2:$B$6,$B$2:$B$6,"&lt;&gt; -1"),0)</f>
        <v>534.71</v>
      </c>
      <c r="N14" s="4">
        <f>IFERROR(_xlfn.MAXIFS($D$2:$D$6,$D$2:$D$6,"&lt;&gt;-1"),0)</f>
        <v>433.71</v>
      </c>
      <c r="O14" s="4">
        <f>IFERROR(_xlfn.MAXIFS($F$2:$F$6,$F$2:$F$6,"&lt;&gt; -1"),0)</f>
        <v>0</v>
      </c>
      <c r="P14" s="4">
        <f>IFERROR(_xlfn.MAXIFS($H$2:$H$6,$H$2:$H$6,"&lt;&gt; -1"),0)</f>
        <v>0</v>
      </c>
      <c r="Q14" s="4">
        <f>IFERROR(_xlfn.MAXIFS($J$2:$J$6,$J$2:$J$6,"&lt;&gt; -1"),0)</f>
        <v>0</v>
      </c>
      <c r="R14" s="4">
        <f>IFERROR(_xlfn.MAXIFS($L$2:$L$6,$L$2:$L$6,"&lt;&gt; -1"),0)</f>
        <v>0</v>
      </c>
      <c r="S14" s="4">
        <f>IFERROR(_xlfn.MINIFS($B$2:$B$6,$B$2:$B$6,"&lt;&gt; -1"),0)</f>
        <v>520.5</v>
      </c>
      <c r="T14" s="4">
        <f>IFERROR(_xlfn.MINIFS($D$2:$D$6,$D$2:$D$6,"&lt;&gt;-1"),0)</f>
        <v>417.56</v>
      </c>
      <c r="U14" s="4">
        <f>IFERROR(_xlfn.MINIFS($F$2:$F$6,$F$2:$F$6,"&lt;&gt; -1"),0)</f>
        <v>0</v>
      </c>
      <c r="V14" s="4">
        <f>IFERROR(_xlfn.MINIFS($H$2:$H$6,$H$2:$H$6,"&lt;&gt; -1"),0)</f>
        <v>0</v>
      </c>
      <c r="W14" s="4">
        <f>IFERROR(_xlfn.MINIFS($J$2:$J$6,$J$2:$J$6,"&lt;&gt; -1"),0)</f>
        <v>0</v>
      </c>
      <c r="X14" s="4">
        <f>IFERROR(_xlfn.MINIFS($L$2:$L$6,$L$2:$L$6,"&lt;&gt; -1"),0)</f>
        <v>0</v>
      </c>
      <c r="Y14" s="4">
        <f>IFERROR(_xlfn.MAXIFS($C$2:$C$6,$B$2:$B$6,"&lt;&gt; -1"),0)</f>
        <v>20280.49</v>
      </c>
      <c r="Z14" s="4">
        <f>IFERROR(_xlfn.MAXIFS($E$2:$E$6,$D$2:$D$6,"&lt;&gt; -1"),0)</f>
        <v>20832.16</v>
      </c>
      <c r="AA14" s="4">
        <f>IFERROR(_xlfn.MAXIFS($G$2:$G$6,$F$2:$F$6,"&lt;&gt; -1"),0)</f>
        <v>0</v>
      </c>
      <c r="AB14" s="4">
        <f>IFERROR(_xlfn.MAXIFS($I$2:$I$6,$H$2:$H$6,"&lt;&gt; -1"),0)</f>
        <v>0</v>
      </c>
      <c r="AC14" s="4">
        <f>IFERROR(_xlfn.MAXIFS($K$2:$K$6,$J$2:$J$6,"&lt;&gt; -1"),0)</f>
        <v>0</v>
      </c>
      <c r="AD14" s="4">
        <f>IFERROR(_xlfn.MAXIFS($M$2:$M$6,$L$2:$L$6,"&lt;&gt; -1"),0)</f>
        <v>0</v>
      </c>
      <c r="AE14" s="4">
        <f>IFERROR(_xlfn.MINIFS($C$2:$C$6,$B$2:$B$6,"&lt;&gt; -1"),0)</f>
        <v>19416.87</v>
      </c>
      <c r="AF14" s="4">
        <f>IFERROR(_xlfn.MINIFS($E$2:$E$6,$D$2:$D$6,"&lt;&gt; -1"),0)</f>
        <v>18821.17</v>
      </c>
      <c r="AG14" s="4">
        <f>IFERROR(_xlfn.MINIFS($G$2:$G$6,$F$2:$F$6,"&lt;&gt; -1"),0)</f>
        <v>0</v>
      </c>
      <c r="AH14" s="4">
        <f>IFERROR(_xlfn.MINIFS($I$2:$I$6,$H$2:$H$6,"&lt;&gt; -1"),0)</f>
        <v>0</v>
      </c>
      <c r="AI14" s="4">
        <f>IFERROR(_xlfn.MINIFS($K$2:$K$6,$J$2:$J$6,"&lt;&gt; -1"),0)</f>
        <v>0</v>
      </c>
      <c r="AJ14" s="4">
        <f>IFERROR(_xlfn.MINIFS($M$2:$M$6,$L$2:$L$6,"&lt;&gt; -1"),0)</f>
        <v>0</v>
      </c>
      <c r="AK14" s="4">
        <f>(COUNTIFS($B$2:$B$6,"&gt;0.0",$B$2:$B$6,"&lt;3000.0"))/5</f>
        <v>0.8</v>
      </c>
      <c r="AL14" s="4">
        <f>(COUNTIFS($D$2:$D$6,"&gt;0.0",$D$2:$D$6,"&lt;3000.0"))/5</f>
        <v>1</v>
      </c>
      <c r="AM14" s="4">
        <f>(COUNTIFS($F$2:$F$6,"&gt;0.0",$F$2:$F$6,"&lt;3000.0"))/5</f>
        <v>0</v>
      </c>
      <c r="AN14" s="4">
        <f>(COUNTIFS($H$2:$H$6,"&gt;0.0",$H$2:$H$6,"&lt;3000.0"))/5</f>
        <v>0</v>
      </c>
      <c r="AO14" s="4">
        <f>(COUNTIFS($J$2:$J$6,"&gt;0.0",$J$2:$J$6,"&lt;3000.0"))/5</f>
        <v>0</v>
      </c>
      <c r="AP14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"/>
  <sheetViews>
    <sheetView workbookViewId="0">
      <selection activeCell="A17" sqref="$A17:$XFD17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543.62</v>
      </c>
      <c r="C2">
        <v>19767.47</v>
      </c>
      <c r="D2">
        <v>446.83</v>
      </c>
      <c r="E2">
        <v>19238.93</v>
      </c>
      <c r="F2">
        <v>-1</v>
      </c>
      <c r="G2">
        <v>0</v>
      </c>
      <c r="H2">
        <v>-1</v>
      </c>
      <c r="I2">
        <v>4216.93</v>
      </c>
      <c r="J2">
        <v>-1</v>
      </c>
      <c r="K2">
        <v>0</v>
      </c>
      <c r="L2">
        <v>-1</v>
      </c>
      <c r="M2">
        <v>766.26</v>
      </c>
    </row>
    <row r="3" spans="1:13">
      <c r="A3" t="s">
        <v>14</v>
      </c>
      <c r="B3">
        <v>546.26</v>
      </c>
      <c r="C3">
        <v>19926.78</v>
      </c>
      <c r="D3">
        <v>454.77</v>
      </c>
      <c r="E3">
        <v>19318.72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536.44</v>
      </c>
      <c r="C4">
        <v>20355.92</v>
      </c>
      <c r="D4">
        <v>442.39</v>
      </c>
      <c r="E4">
        <v>18513.3</v>
      </c>
      <c r="F4">
        <v>-1</v>
      </c>
      <c r="G4">
        <v>0</v>
      </c>
      <c r="H4">
        <v>-1</v>
      </c>
      <c r="I4">
        <v>3731.88</v>
      </c>
      <c r="J4">
        <v>-1</v>
      </c>
      <c r="K4">
        <v>0</v>
      </c>
      <c r="L4">
        <v>-1</v>
      </c>
      <c r="M4">
        <v>1931.71</v>
      </c>
    </row>
    <row r="5" spans="1:13">
      <c r="A5" t="s">
        <v>16</v>
      </c>
      <c r="B5">
        <v>539.43</v>
      </c>
      <c r="C5">
        <v>19873.44</v>
      </c>
      <c r="D5">
        <v>447.05</v>
      </c>
      <c r="E5">
        <v>19745.13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557.08</v>
      </c>
      <c r="C6">
        <v>20358.33</v>
      </c>
      <c r="D6">
        <v>462.7</v>
      </c>
      <c r="E6">
        <v>20508.3</v>
      </c>
      <c r="F6">
        <v>-1</v>
      </c>
      <c r="G6">
        <v>0</v>
      </c>
      <c r="H6">
        <v>-1</v>
      </c>
      <c r="I6">
        <v>5414.86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556.96</v>
      </c>
      <c r="C7">
        <v>19797.96</v>
      </c>
      <c r="D7">
        <v>459.43</v>
      </c>
      <c r="E7">
        <v>19681.63</v>
      </c>
      <c r="F7">
        <v>-1</v>
      </c>
      <c r="G7">
        <v>0</v>
      </c>
      <c r="H7">
        <v>-1</v>
      </c>
      <c r="I7">
        <v>1547.53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535.14</v>
      </c>
      <c r="C8">
        <v>18807.41</v>
      </c>
      <c r="D8">
        <v>437.8</v>
      </c>
      <c r="E8">
        <v>18108.85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559.03</v>
      </c>
      <c r="C9">
        <v>19536.19</v>
      </c>
      <c r="D9">
        <v>458.45</v>
      </c>
      <c r="E9">
        <v>18914.98</v>
      </c>
      <c r="F9">
        <v>-1</v>
      </c>
      <c r="G9">
        <v>0</v>
      </c>
      <c r="H9">
        <v>-1</v>
      </c>
      <c r="I9">
        <v>8587.68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-1</v>
      </c>
      <c r="C10">
        <v>13378.59</v>
      </c>
      <c r="D10">
        <v>458.69</v>
      </c>
      <c r="E10">
        <v>18793.03</v>
      </c>
      <c r="F10">
        <v>-1</v>
      </c>
      <c r="G10">
        <v>0</v>
      </c>
      <c r="H10">
        <v>-1</v>
      </c>
      <c r="I10">
        <v>2621.98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595.78</v>
      </c>
      <c r="C11">
        <v>20929.51</v>
      </c>
      <c r="D11">
        <v>495.71</v>
      </c>
      <c r="E11">
        <v>19996.38</v>
      </c>
      <c r="F11">
        <v>-1</v>
      </c>
      <c r="G11">
        <v>0</v>
      </c>
      <c r="H11">
        <v>-1</v>
      </c>
      <c r="I11">
        <v>15531.12</v>
      </c>
      <c r="J11">
        <v>-1</v>
      </c>
      <c r="K11">
        <v>0</v>
      </c>
      <c r="L11">
        <v>-1</v>
      </c>
      <c r="M11">
        <v>0</v>
      </c>
    </row>
    <row r="16" spans="1:42">
      <c r="A16" s="2" t="s">
        <v>23</v>
      </c>
      <c r="B16" s="2" t="s">
        <v>24</v>
      </c>
      <c r="C16" s="2" t="s">
        <v>25</v>
      </c>
      <c r="D16" s="3" t="s">
        <v>26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3" t="s">
        <v>32</v>
      </c>
      <c r="K16" s="2" t="s">
        <v>33</v>
      </c>
      <c r="L16" s="2" t="s">
        <v>34</v>
      </c>
      <c r="M16" s="2" t="s">
        <v>35</v>
      </c>
      <c r="N16" s="2" t="s">
        <v>36</v>
      </c>
      <c r="O16" s="2" t="s">
        <v>37</v>
      </c>
      <c r="P16" s="3" t="s">
        <v>38</v>
      </c>
      <c r="Q16" s="2" t="s">
        <v>39</v>
      </c>
      <c r="R16" s="2" t="s">
        <v>40</v>
      </c>
      <c r="S16" s="2" t="s">
        <v>41</v>
      </c>
      <c r="T16" s="2" t="s">
        <v>42</v>
      </c>
      <c r="U16" s="2" t="s">
        <v>43</v>
      </c>
      <c r="V16" s="3" t="s">
        <v>44</v>
      </c>
      <c r="W16" s="2" t="s">
        <v>45</v>
      </c>
      <c r="X16" s="2" t="s">
        <v>46</v>
      </c>
      <c r="Y16" s="2" t="s">
        <v>47</v>
      </c>
      <c r="Z16" s="2" t="s">
        <v>48</v>
      </c>
      <c r="AA16" s="2" t="s">
        <v>49</v>
      </c>
      <c r="AB16" s="3" t="s">
        <v>50</v>
      </c>
      <c r="AC16" s="2" t="s">
        <v>51</v>
      </c>
      <c r="AD16" s="2" t="s">
        <v>52</v>
      </c>
      <c r="AE16" s="2" t="s">
        <v>53</v>
      </c>
      <c r="AF16" s="2" t="s">
        <v>54</v>
      </c>
      <c r="AG16" s="2" t="s">
        <v>55</v>
      </c>
      <c r="AH16" s="3" t="s">
        <v>56</v>
      </c>
      <c r="AI16" s="2" t="s">
        <v>57</v>
      </c>
      <c r="AJ16" s="2" t="s">
        <v>58</v>
      </c>
      <c r="AK16" s="2" t="s">
        <v>59</v>
      </c>
      <c r="AL16" s="2" t="s">
        <v>60</v>
      </c>
      <c r="AM16" s="2" t="s">
        <v>61</v>
      </c>
      <c r="AN16" s="3" t="s">
        <v>62</v>
      </c>
      <c r="AO16" s="2" t="s">
        <v>63</v>
      </c>
      <c r="AP16" s="2" t="s">
        <v>64</v>
      </c>
    </row>
    <row r="17" spans="1:42">
      <c r="A17" s="4">
        <f>IFERROR(AVERAGEIF($B$2:$B$6,"&lt;&gt; -1"),0)</f>
        <v>544.566</v>
      </c>
      <c r="B17" s="4">
        <f>IFERROR(AVERAGEIF($D$2:$D$6,"&lt;&gt; -1"),0)</f>
        <v>450.748</v>
      </c>
      <c r="C17" s="4">
        <f>IFERROR(AVERAGEIF($F$2:$F$6,"&lt;&gt; -1"),0)</f>
        <v>0</v>
      </c>
      <c r="D17" s="4">
        <f>IFERROR(AVERAGEIF($H$2:$H$6,"&lt;&gt; -1"),0)</f>
        <v>0</v>
      </c>
      <c r="E17" s="4">
        <f>IFERROR(AVERAGEIF($J$2:$J$6,"&lt;&gt; -1"),0)</f>
        <v>0</v>
      </c>
      <c r="F17" s="4">
        <f>IFERROR(AVERAGEIF($L$2:$L$6,"&lt;&gt; -1"),0)</f>
        <v>0</v>
      </c>
      <c r="G17" s="4">
        <f>IFERROR(AVERAGEIFS($C$2:$C$6,$B$2:$B$6,"&lt;&gt; -1"),0)</f>
        <v>20056.388</v>
      </c>
      <c r="H17" s="4">
        <f>IFERROR(AVERAGEIFS($E$2:$E$6,$D$2:$D$6,"&lt;&gt; -1"),0)</f>
        <v>19464.876</v>
      </c>
      <c r="I17" s="4">
        <f>IFERROR(AVERAGEIFS($G$2:$G$6,$F$2:$F$6,"&lt;&gt; -1"),0)</f>
        <v>0</v>
      </c>
      <c r="J17" s="4">
        <f>IFERROR(AVERAGEIFS($I$2:$I$6,$H$2:$H$6,"&lt;&gt; -1"),0)</f>
        <v>0</v>
      </c>
      <c r="K17" s="4">
        <f>IFERROR(AVERAGEIFS($K$2:$K$6,$J$2:$J$6,"&lt;&gt; -1"),0)</f>
        <v>0</v>
      </c>
      <c r="L17" s="4">
        <f>IFERROR(AVERAGEIFS($M$2:$M$6,$L$2:$L$6,"&lt;&gt; -1"),0)</f>
        <v>0</v>
      </c>
      <c r="M17" s="4">
        <f>IFERROR(_xlfn.MAXIFS($B$2:$B$6,$B$2:$B$6,"&lt;&gt; -1"),0)</f>
        <v>557.08</v>
      </c>
      <c r="N17" s="4">
        <f>IFERROR(_xlfn.MAXIFS($D$2:$D$6,$D$2:$D$6,"&lt;&gt;-1"),0)</f>
        <v>462.7</v>
      </c>
      <c r="O17" s="4">
        <f>IFERROR(_xlfn.MAXIFS($F$2:$F$6,$F$2:$F$6,"&lt;&gt; -1"),0)</f>
        <v>0</v>
      </c>
      <c r="P17" s="4">
        <f>IFERROR(_xlfn.MAXIFS($H$2:$H$6,$H$2:$H$6,"&lt;&gt; -1"),0)</f>
        <v>0</v>
      </c>
      <c r="Q17" s="4">
        <f>IFERROR(_xlfn.MAXIFS($J$2:$J$6,$J$2:$J$6,"&lt;&gt; -1"),0)</f>
        <v>0</v>
      </c>
      <c r="R17" s="4">
        <f>IFERROR(_xlfn.MAXIFS($L$2:$L$6,$L$2:$L$6,"&lt;&gt; -1"),0)</f>
        <v>0</v>
      </c>
      <c r="S17" s="4">
        <f>IFERROR(_xlfn.MINIFS($B$2:$B$6,$B$2:$B$6,"&lt;&gt; -1"),0)</f>
        <v>536.44</v>
      </c>
      <c r="T17" s="4">
        <f>IFERROR(_xlfn.MINIFS($D$2:$D$6,$D$2:$D$6,"&lt;&gt;-1"),0)</f>
        <v>442.39</v>
      </c>
      <c r="U17" s="4">
        <f>IFERROR(_xlfn.MINIFS($F$2:$F$6,$F$2:$F$6,"&lt;&gt; -1"),0)</f>
        <v>0</v>
      </c>
      <c r="V17" s="4">
        <f>IFERROR(_xlfn.MINIFS($H$2:$H$6,$H$2:$H$6,"&lt;&gt; -1"),0)</f>
        <v>0</v>
      </c>
      <c r="W17" s="4">
        <f>IFERROR(_xlfn.MINIFS($J$2:$J$6,$J$2:$J$6,"&lt;&gt; -1"),0)</f>
        <v>0</v>
      </c>
      <c r="X17" s="4">
        <f>IFERROR(_xlfn.MINIFS($L$2:$L$6,$L$2:$L$6,"&lt;&gt; -1"),0)</f>
        <v>0</v>
      </c>
      <c r="Y17" s="4">
        <f>IFERROR(_xlfn.MAXIFS($C$2:$C$6,$B$2:$B$6,"&lt;&gt; -1"),0)</f>
        <v>20358.33</v>
      </c>
      <c r="Z17" s="4">
        <f>IFERROR(_xlfn.MAXIFS($E$2:$E$6,$D$2:$D$6,"&lt;&gt; -1"),0)</f>
        <v>20508.3</v>
      </c>
      <c r="AA17" s="4">
        <f>IFERROR(_xlfn.MAXIFS($G$2:$G$6,$F$2:$F$6,"&lt;&gt; -1"),0)</f>
        <v>0</v>
      </c>
      <c r="AB17" s="4">
        <f>IFERROR(_xlfn.MAXIFS($I$2:$I$6,$H$2:$H$6,"&lt;&gt; -1"),0)</f>
        <v>0</v>
      </c>
      <c r="AC17" s="4">
        <f>IFERROR(_xlfn.MAXIFS($K$2:$K$6,$J$2:$J$6,"&lt;&gt; -1"),0)</f>
        <v>0</v>
      </c>
      <c r="AD17" s="4">
        <f>IFERROR(_xlfn.MAXIFS($M$2:$M$6,$L$2:$L$6,"&lt;&gt; -1"),0)</f>
        <v>0</v>
      </c>
      <c r="AE17" s="4">
        <f>IFERROR(_xlfn.MINIFS($C$2:$C$6,$B$2:$B$6,"&lt;&gt; -1"),0)</f>
        <v>19767.47</v>
      </c>
      <c r="AF17" s="4">
        <f>IFERROR(_xlfn.MINIFS($E$2:$E$6,$D$2:$D$6,"&lt;&gt; -1"),0)</f>
        <v>18513.3</v>
      </c>
      <c r="AG17" s="4">
        <f>IFERROR(_xlfn.MINIFS($G$2:$G$6,$F$2:$F$6,"&lt;&gt; -1"),0)</f>
        <v>0</v>
      </c>
      <c r="AH17" s="4">
        <f>IFERROR(_xlfn.MINIFS($I$2:$I$6,$H$2:$H$6,"&lt;&gt; -1"),0)</f>
        <v>0</v>
      </c>
      <c r="AI17" s="4">
        <f>IFERROR(_xlfn.MINIFS($K$2:$K$6,$J$2:$J$6,"&lt;&gt; -1"),0)</f>
        <v>0</v>
      </c>
      <c r="AJ17" s="4">
        <f>IFERROR(_xlfn.MINIFS($M$2:$M$6,$L$2:$L$6,"&lt;&gt; -1"),0)</f>
        <v>0</v>
      </c>
      <c r="AK17" s="4">
        <f>(COUNTIFS($B$2:$B$6,"&gt;0.0",$B$2:$B$6,"&lt;3000.0"))/5</f>
        <v>1</v>
      </c>
      <c r="AL17" s="4">
        <f>(COUNTIFS($D$2:$D$6,"&gt;0.0",$D$2:$D$6,"&lt;3000.0"))/5</f>
        <v>1</v>
      </c>
      <c r="AM17" s="4">
        <f>(COUNTIFS($F$2:$F$6,"&gt;0.0",$F$2:$F$6,"&lt;3000.0"))/5</f>
        <v>0</v>
      </c>
      <c r="AN17" s="4">
        <f>(COUNTIFS($H$2:$H$6,"&gt;0.0",$H$2:$H$6,"&lt;3000.0"))/5</f>
        <v>0</v>
      </c>
      <c r="AO17" s="4">
        <f>(COUNTIFS($J$2:$J$6,"&gt;0.0",$J$2:$J$6,"&lt;3000.0"))/5</f>
        <v>0</v>
      </c>
      <c r="AP17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"/>
  <sheetViews>
    <sheetView workbookViewId="0">
      <selection activeCell="A16" sqref="$A16:$XFD16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502.47</v>
      </c>
      <c r="C2">
        <v>19005.01</v>
      </c>
      <c r="D2">
        <v>484.29</v>
      </c>
      <c r="E2">
        <v>18966.29</v>
      </c>
      <c r="F2">
        <v>-1</v>
      </c>
      <c r="G2">
        <v>11305.85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524.08</v>
      </c>
      <c r="C3">
        <v>19943.44</v>
      </c>
      <c r="D3">
        <v>508.78</v>
      </c>
      <c r="E3">
        <v>19896.5</v>
      </c>
      <c r="F3">
        <v>-1</v>
      </c>
      <c r="G3">
        <v>13188.18</v>
      </c>
      <c r="H3">
        <v>-1</v>
      </c>
      <c r="I3">
        <v>4565.97</v>
      </c>
      <c r="J3">
        <v>524.74</v>
      </c>
      <c r="K3">
        <v>19943.9</v>
      </c>
      <c r="L3">
        <v>-1</v>
      </c>
      <c r="M3">
        <v>0</v>
      </c>
    </row>
    <row r="4" spans="1:13">
      <c r="A4" t="s">
        <v>15</v>
      </c>
      <c r="B4">
        <v>538.9</v>
      </c>
      <c r="C4">
        <v>19329.21</v>
      </c>
      <c r="D4">
        <v>490.66</v>
      </c>
      <c r="E4">
        <v>19324.76</v>
      </c>
      <c r="F4">
        <v>-1</v>
      </c>
      <c r="G4">
        <v>6278.01</v>
      </c>
      <c r="H4">
        <v>-1</v>
      </c>
      <c r="I4">
        <v>2079.78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520.66</v>
      </c>
      <c r="C5">
        <v>18945.84</v>
      </c>
      <c r="D5">
        <v>505.9</v>
      </c>
      <c r="E5">
        <v>19346.04</v>
      </c>
      <c r="F5">
        <v>525.98</v>
      </c>
      <c r="G5">
        <v>22132.62</v>
      </c>
      <c r="H5">
        <v>-1</v>
      </c>
      <c r="I5">
        <v>0</v>
      </c>
      <c r="J5">
        <v>521.34</v>
      </c>
      <c r="K5">
        <v>18947.96</v>
      </c>
      <c r="L5">
        <v>-1</v>
      </c>
      <c r="M5">
        <v>0</v>
      </c>
    </row>
    <row r="6" spans="1:13">
      <c r="A6" t="s">
        <v>17</v>
      </c>
      <c r="B6">
        <v>539.78</v>
      </c>
      <c r="C6">
        <v>19832.23</v>
      </c>
      <c r="D6">
        <v>515.82</v>
      </c>
      <c r="E6">
        <v>20275.47</v>
      </c>
      <c r="F6">
        <v>-1</v>
      </c>
      <c r="G6">
        <v>4395.28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548.58</v>
      </c>
      <c r="C7">
        <v>19201.73</v>
      </c>
      <c r="D7">
        <v>497.6</v>
      </c>
      <c r="E7">
        <v>20374.45</v>
      </c>
      <c r="F7">
        <v>-1</v>
      </c>
      <c r="G7">
        <v>2762.97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530.55</v>
      </c>
      <c r="C8">
        <v>17911.14</v>
      </c>
      <c r="D8">
        <v>477.22</v>
      </c>
      <c r="E8">
        <v>18925.64</v>
      </c>
      <c r="F8">
        <v>-1</v>
      </c>
      <c r="G8">
        <v>1180.72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506.5</v>
      </c>
      <c r="C9">
        <v>19481.61</v>
      </c>
      <c r="D9">
        <v>490.56</v>
      </c>
      <c r="E9">
        <v>18985.01</v>
      </c>
      <c r="F9">
        <v>511.87</v>
      </c>
      <c r="G9">
        <v>22964.83</v>
      </c>
      <c r="H9">
        <v>-1</v>
      </c>
      <c r="I9">
        <v>1719.96</v>
      </c>
      <c r="J9">
        <v>507</v>
      </c>
      <c r="K9">
        <v>19489.25</v>
      </c>
      <c r="L9">
        <v>-1</v>
      </c>
      <c r="M9">
        <v>0</v>
      </c>
    </row>
    <row r="10" spans="1:13">
      <c r="A10" t="s">
        <v>21</v>
      </c>
      <c r="B10">
        <v>548.41</v>
      </c>
      <c r="C10">
        <v>19862.24</v>
      </c>
      <c r="D10">
        <v>497.34</v>
      </c>
      <c r="E10">
        <v>18978.27</v>
      </c>
      <c r="F10">
        <v>-1</v>
      </c>
      <c r="G10">
        <v>1110.41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539.27</v>
      </c>
      <c r="C11">
        <v>20288.08</v>
      </c>
      <c r="D11">
        <v>516.08</v>
      </c>
      <c r="E11">
        <v>20733.81</v>
      </c>
      <c r="F11">
        <v>-1</v>
      </c>
      <c r="G11">
        <v>4942.33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5" spans="1:42">
      <c r="A15" s="2" t="s">
        <v>23</v>
      </c>
      <c r="B15" s="2" t="s">
        <v>24</v>
      </c>
      <c r="C15" s="2" t="s">
        <v>25</v>
      </c>
      <c r="D15" s="3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3" t="s">
        <v>32</v>
      </c>
      <c r="K15" s="2" t="s">
        <v>33</v>
      </c>
      <c r="L15" s="2" t="s">
        <v>34</v>
      </c>
      <c r="M15" s="2" t="s">
        <v>35</v>
      </c>
      <c r="N15" s="2" t="s">
        <v>36</v>
      </c>
      <c r="O15" s="2" t="s">
        <v>37</v>
      </c>
      <c r="P15" s="3" t="s">
        <v>38</v>
      </c>
      <c r="Q15" s="2" t="s">
        <v>39</v>
      </c>
      <c r="R15" s="2" t="s">
        <v>40</v>
      </c>
      <c r="S15" s="2" t="s">
        <v>41</v>
      </c>
      <c r="T15" s="2" t="s">
        <v>42</v>
      </c>
      <c r="U15" s="2" t="s">
        <v>43</v>
      </c>
      <c r="V15" s="3" t="s">
        <v>44</v>
      </c>
      <c r="W15" s="2" t="s">
        <v>45</v>
      </c>
      <c r="X15" s="2" t="s">
        <v>46</v>
      </c>
      <c r="Y15" s="2" t="s">
        <v>47</v>
      </c>
      <c r="Z15" s="2" t="s">
        <v>48</v>
      </c>
      <c r="AA15" s="2" t="s">
        <v>49</v>
      </c>
      <c r="AB15" s="3" t="s">
        <v>50</v>
      </c>
      <c r="AC15" s="2" t="s">
        <v>51</v>
      </c>
      <c r="AD15" s="2" t="s">
        <v>52</v>
      </c>
      <c r="AE15" s="2" t="s">
        <v>53</v>
      </c>
      <c r="AF15" s="2" t="s">
        <v>54</v>
      </c>
      <c r="AG15" s="2" t="s">
        <v>55</v>
      </c>
      <c r="AH15" s="3" t="s">
        <v>56</v>
      </c>
      <c r="AI15" s="2" t="s">
        <v>57</v>
      </c>
      <c r="AJ15" s="2" t="s">
        <v>58</v>
      </c>
      <c r="AK15" s="2" t="s">
        <v>59</v>
      </c>
      <c r="AL15" s="2" t="s">
        <v>60</v>
      </c>
      <c r="AM15" s="2" t="s">
        <v>61</v>
      </c>
      <c r="AN15" s="3" t="s">
        <v>62</v>
      </c>
      <c r="AO15" s="2" t="s">
        <v>63</v>
      </c>
      <c r="AP15" s="2" t="s">
        <v>64</v>
      </c>
    </row>
    <row r="16" spans="1:42">
      <c r="A16" s="4">
        <f>IFERROR(AVERAGEIF($B$2:$B$6,"&lt;&gt; -1"),0)</f>
        <v>525.178</v>
      </c>
      <c r="B16" s="4">
        <f>IFERROR(AVERAGEIF($D$2:$D$6,"&lt;&gt; -1"),0)</f>
        <v>501.09</v>
      </c>
      <c r="C16" s="4">
        <f>IFERROR(AVERAGEIF($F$2:$F$6,"&lt;&gt; -1"),0)</f>
        <v>525.98</v>
      </c>
      <c r="D16" s="4">
        <f>IFERROR(AVERAGEIF($H$2:$H$6,"&lt;&gt; -1"),0)</f>
        <v>0</v>
      </c>
      <c r="E16" s="4">
        <f>IFERROR(AVERAGEIF($J$2:$J$6,"&lt;&gt; -1"),0)</f>
        <v>523.04</v>
      </c>
      <c r="F16" s="4">
        <f>IFERROR(AVERAGEIF($L$2:$L$6,"&lt;&gt; -1"),0)</f>
        <v>0</v>
      </c>
      <c r="G16" s="4">
        <f>IFERROR(AVERAGEIFS($C$2:$C$6,$B$2:$B$6,"&lt;&gt; -1"),0)</f>
        <v>19411.146</v>
      </c>
      <c r="H16" s="4">
        <f>IFERROR(AVERAGEIFS($E$2:$E$6,$D$2:$D$6,"&lt;&gt; -1"),0)</f>
        <v>19561.812</v>
      </c>
      <c r="I16" s="4">
        <f>IFERROR(AVERAGEIFS($G$2:$G$6,$F$2:$F$6,"&lt;&gt; -1"),0)</f>
        <v>22132.62</v>
      </c>
      <c r="J16" s="4">
        <f>IFERROR(AVERAGEIFS($I$2:$I$6,$H$2:$H$6,"&lt;&gt; -1"),0)</f>
        <v>0</v>
      </c>
      <c r="K16" s="4">
        <f>IFERROR(AVERAGEIFS($K$2:$K$6,$J$2:$J$6,"&lt;&gt; -1"),0)</f>
        <v>19445.93</v>
      </c>
      <c r="L16" s="4">
        <f>IFERROR(AVERAGEIFS($M$2:$M$6,$L$2:$L$6,"&lt;&gt; -1"),0)</f>
        <v>0</v>
      </c>
      <c r="M16" s="4">
        <f>IFERROR(_xlfn.MAXIFS($B$2:$B$6,$B$2:$B$6,"&lt;&gt; -1"),0)</f>
        <v>539.78</v>
      </c>
      <c r="N16" s="4">
        <f>IFERROR(_xlfn.MAXIFS($D$2:$D$6,$D$2:$D$6,"&lt;&gt;-1"),0)</f>
        <v>515.82</v>
      </c>
      <c r="O16" s="4">
        <f>IFERROR(_xlfn.MAXIFS($F$2:$F$6,$F$2:$F$6,"&lt;&gt; -1"),0)</f>
        <v>525.98</v>
      </c>
      <c r="P16" s="4">
        <f>IFERROR(_xlfn.MAXIFS($H$2:$H$6,$H$2:$H$6,"&lt;&gt; -1"),0)</f>
        <v>0</v>
      </c>
      <c r="Q16" s="4">
        <f>IFERROR(_xlfn.MAXIFS($J$2:$J$6,$J$2:$J$6,"&lt;&gt; -1"),0)</f>
        <v>524.74</v>
      </c>
      <c r="R16" s="4">
        <f>IFERROR(_xlfn.MAXIFS($L$2:$L$6,$L$2:$L$6,"&lt;&gt; -1"),0)</f>
        <v>0</v>
      </c>
      <c r="S16" s="4">
        <f>IFERROR(_xlfn.MINIFS($B$2:$B$6,$B$2:$B$6,"&lt;&gt; -1"),0)</f>
        <v>502.47</v>
      </c>
      <c r="T16" s="4">
        <f>IFERROR(_xlfn.MINIFS($D$2:$D$6,$D$2:$D$6,"&lt;&gt;-1"),0)</f>
        <v>484.29</v>
      </c>
      <c r="U16" s="4">
        <f>IFERROR(_xlfn.MINIFS($F$2:$F$6,$F$2:$F$6,"&lt;&gt; -1"),0)</f>
        <v>525.98</v>
      </c>
      <c r="V16" s="4">
        <f>IFERROR(_xlfn.MINIFS($H$2:$H$6,$H$2:$H$6,"&lt;&gt; -1"),0)</f>
        <v>0</v>
      </c>
      <c r="W16" s="4">
        <f>IFERROR(_xlfn.MINIFS($J$2:$J$6,$J$2:$J$6,"&lt;&gt; -1"),0)</f>
        <v>521.34</v>
      </c>
      <c r="X16" s="4">
        <f>IFERROR(_xlfn.MINIFS($L$2:$L$6,$L$2:$L$6,"&lt;&gt; -1"),0)</f>
        <v>0</v>
      </c>
      <c r="Y16" s="4">
        <f>IFERROR(_xlfn.MAXIFS($C$2:$C$6,$B$2:$B$6,"&lt;&gt; -1"),0)</f>
        <v>19943.44</v>
      </c>
      <c r="Z16" s="4">
        <f>IFERROR(_xlfn.MAXIFS($E$2:$E$6,$D$2:$D$6,"&lt;&gt; -1"),0)</f>
        <v>20275.47</v>
      </c>
      <c r="AA16" s="4">
        <f>IFERROR(_xlfn.MAXIFS($G$2:$G$6,$F$2:$F$6,"&lt;&gt; -1"),0)</f>
        <v>22132.62</v>
      </c>
      <c r="AB16" s="4">
        <f>IFERROR(_xlfn.MAXIFS($I$2:$I$6,$H$2:$H$6,"&lt;&gt; -1"),0)</f>
        <v>0</v>
      </c>
      <c r="AC16" s="4">
        <f>IFERROR(_xlfn.MAXIFS($K$2:$K$6,$J$2:$J$6,"&lt;&gt; -1"),0)</f>
        <v>19943.9</v>
      </c>
      <c r="AD16" s="4">
        <f>IFERROR(_xlfn.MAXIFS($M$2:$M$6,$L$2:$L$6,"&lt;&gt; -1"),0)</f>
        <v>0</v>
      </c>
      <c r="AE16" s="4">
        <f>IFERROR(_xlfn.MINIFS($C$2:$C$6,$B$2:$B$6,"&lt;&gt; -1"),0)</f>
        <v>18945.84</v>
      </c>
      <c r="AF16" s="4">
        <f>IFERROR(_xlfn.MINIFS($E$2:$E$6,$D$2:$D$6,"&lt;&gt; -1"),0)</f>
        <v>18966.29</v>
      </c>
      <c r="AG16" s="4">
        <f>IFERROR(_xlfn.MINIFS($G$2:$G$6,$F$2:$F$6,"&lt;&gt; -1"),0)</f>
        <v>22132.62</v>
      </c>
      <c r="AH16" s="4">
        <f>IFERROR(_xlfn.MINIFS($I$2:$I$6,$H$2:$H$6,"&lt;&gt; -1"),0)</f>
        <v>0</v>
      </c>
      <c r="AI16" s="4">
        <f>IFERROR(_xlfn.MINIFS($K$2:$K$6,$J$2:$J$6,"&lt;&gt; -1"),0)</f>
        <v>18947.96</v>
      </c>
      <c r="AJ16" s="4">
        <f>IFERROR(_xlfn.MINIFS($M$2:$M$6,$L$2:$L$6,"&lt;&gt; -1"),0)</f>
        <v>0</v>
      </c>
      <c r="AK16" s="4">
        <f>(COUNTIFS($B$2:$B$6,"&gt;0.0",$B$2:$B$6,"&lt;3000.0"))/5</f>
        <v>1</v>
      </c>
      <c r="AL16" s="4">
        <f>(COUNTIFS($D$2:$D$6,"&gt;0.0",$D$2:$D$6,"&lt;3000.0"))/5</f>
        <v>1</v>
      </c>
      <c r="AM16" s="4">
        <f>(COUNTIFS($F$2:$F$6,"&gt;0.0",$F$2:$F$6,"&lt;3000.0"))/5</f>
        <v>0.2</v>
      </c>
      <c r="AN16" s="4">
        <f>(COUNTIFS($H$2:$H$6,"&gt;0.0",$H$2:$H$6,"&lt;3000.0"))/5</f>
        <v>0</v>
      </c>
      <c r="AO16" s="4">
        <f>(COUNTIFS($J$2:$J$6,"&gt;0.0",$J$2:$J$6,"&lt;3000.0"))/5</f>
        <v>0.4</v>
      </c>
      <c r="AP16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N13" sqref="N13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451.632</v>
      </c>
      <c r="B2">
        <v>338.536</v>
      </c>
      <c r="C2">
        <v>465.086666666667</v>
      </c>
      <c r="D2">
        <v>0</v>
      </c>
      <c r="E2">
        <v>467.01</v>
      </c>
      <c r="F2">
        <v>0</v>
      </c>
      <c r="G2">
        <v>18947.196</v>
      </c>
      <c r="H2">
        <v>18865.29</v>
      </c>
      <c r="I2">
        <v>22138.7733333333</v>
      </c>
      <c r="J2">
        <v>0</v>
      </c>
      <c r="K2">
        <v>18987.95</v>
      </c>
      <c r="L2">
        <v>0</v>
      </c>
      <c r="M2">
        <v>456.18</v>
      </c>
      <c r="N2">
        <v>344.54</v>
      </c>
      <c r="O2">
        <v>477</v>
      </c>
      <c r="P2">
        <v>0</v>
      </c>
      <c r="Q2">
        <v>467.46</v>
      </c>
      <c r="R2">
        <v>0</v>
      </c>
      <c r="S2">
        <v>443.07</v>
      </c>
      <c r="T2">
        <v>329.17</v>
      </c>
      <c r="U2">
        <v>448.46</v>
      </c>
      <c r="V2">
        <v>0</v>
      </c>
      <c r="W2">
        <v>466.56</v>
      </c>
      <c r="X2">
        <v>0</v>
      </c>
      <c r="Y2">
        <v>19157.82</v>
      </c>
      <c r="Z2">
        <v>19493.32</v>
      </c>
      <c r="AA2">
        <v>22322.07</v>
      </c>
      <c r="AB2">
        <v>0</v>
      </c>
      <c r="AC2">
        <v>19019.44</v>
      </c>
      <c r="AD2">
        <v>0</v>
      </c>
      <c r="AE2">
        <v>18726.42</v>
      </c>
      <c r="AF2">
        <v>18342.95</v>
      </c>
      <c r="AG2">
        <v>21923.91</v>
      </c>
      <c r="AH2">
        <v>0</v>
      </c>
      <c r="AI2">
        <v>18956.46</v>
      </c>
      <c r="AJ2">
        <v>0</v>
      </c>
      <c r="AK2">
        <v>1</v>
      </c>
      <c r="AL2">
        <v>1</v>
      </c>
      <c r="AM2">
        <v>0.6</v>
      </c>
      <c r="AN2">
        <v>0</v>
      </c>
      <c r="AO2">
        <v>0.4</v>
      </c>
      <c r="AP2">
        <v>0</v>
      </c>
    </row>
    <row r="3" spans="1:42">
      <c r="A3">
        <v>483.164</v>
      </c>
      <c r="B3">
        <v>372.56</v>
      </c>
      <c r="C3">
        <v>492.795</v>
      </c>
      <c r="D3">
        <v>0</v>
      </c>
      <c r="E3">
        <v>0</v>
      </c>
      <c r="F3">
        <v>0</v>
      </c>
      <c r="G3">
        <v>19203.446</v>
      </c>
      <c r="H3">
        <v>19384.754</v>
      </c>
      <c r="I3">
        <v>22449.405</v>
      </c>
      <c r="J3">
        <v>0</v>
      </c>
      <c r="K3">
        <v>0</v>
      </c>
      <c r="L3">
        <v>0</v>
      </c>
      <c r="M3">
        <v>487.1</v>
      </c>
      <c r="N3">
        <v>377.45</v>
      </c>
      <c r="O3">
        <v>496.07</v>
      </c>
      <c r="P3">
        <v>0</v>
      </c>
      <c r="Q3">
        <v>0</v>
      </c>
      <c r="R3">
        <v>0</v>
      </c>
      <c r="S3">
        <v>473.58</v>
      </c>
      <c r="T3">
        <v>362.96</v>
      </c>
      <c r="U3">
        <v>489.52</v>
      </c>
      <c r="V3">
        <v>0</v>
      </c>
      <c r="W3">
        <v>0</v>
      </c>
      <c r="X3">
        <v>0</v>
      </c>
      <c r="Y3">
        <v>19472.53</v>
      </c>
      <c r="Z3">
        <v>19755.93</v>
      </c>
      <c r="AA3">
        <v>22708.45</v>
      </c>
      <c r="AB3">
        <v>0</v>
      </c>
      <c r="AC3">
        <v>0</v>
      </c>
      <c r="AD3">
        <v>0</v>
      </c>
      <c r="AE3">
        <v>18859.93</v>
      </c>
      <c r="AF3">
        <v>19066.91</v>
      </c>
      <c r="AG3">
        <v>22190.36</v>
      </c>
      <c r="AH3">
        <v>0</v>
      </c>
      <c r="AI3">
        <v>0</v>
      </c>
      <c r="AJ3">
        <v>0</v>
      </c>
      <c r="AK3">
        <v>1</v>
      </c>
      <c r="AL3">
        <v>1</v>
      </c>
      <c r="AM3">
        <v>0.4</v>
      </c>
      <c r="AN3">
        <v>0</v>
      </c>
      <c r="AO3">
        <v>0</v>
      </c>
      <c r="AP3">
        <v>0</v>
      </c>
    </row>
    <row r="4" spans="1:42">
      <c r="A4">
        <v>518.98</v>
      </c>
      <c r="B4">
        <v>402.364</v>
      </c>
      <c r="C4">
        <v>0</v>
      </c>
      <c r="D4">
        <v>0</v>
      </c>
      <c r="E4">
        <v>0</v>
      </c>
      <c r="F4">
        <v>0</v>
      </c>
      <c r="G4">
        <v>19435.704</v>
      </c>
      <c r="H4">
        <v>19140.952</v>
      </c>
      <c r="I4">
        <v>0</v>
      </c>
      <c r="J4">
        <v>0</v>
      </c>
      <c r="K4">
        <v>0</v>
      </c>
      <c r="L4">
        <v>0</v>
      </c>
      <c r="M4">
        <v>524.85</v>
      </c>
      <c r="N4">
        <v>411.63</v>
      </c>
      <c r="O4">
        <v>0</v>
      </c>
      <c r="P4">
        <v>0</v>
      </c>
      <c r="Q4">
        <v>0</v>
      </c>
      <c r="R4">
        <v>0</v>
      </c>
      <c r="S4">
        <v>509.57</v>
      </c>
      <c r="T4">
        <v>395.17</v>
      </c>
      <c r="U4">
        <v>0</v>
      </c>
      <c r="V4">
        <v>0</v>
      </c>
      <c r="W4">
        <v>0</v>
      </c>
      <c r="X4">
        <v>0</v>
      </c>
      <c r="Y4">
        <v>19783.81</v>
      </c>
      <c r="Z4">
        <v>19452.13</v>
      </c>
      <c r="AA4">
        <v>0</v>
      </c>
      <c r="AB4">
        <v>0</v>
      </c>
      <c r="AC4">
        <v>0</v>
      </c>
      <c r="AD4">
        <v>0</v>
      </c>
      <c r="AE4">
        <v>19120.05</v>
      </c>
      <c r="AF4">
        <v>18921.49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528.6675</v>
      </c>
      <c r="B5">
        <v>425.176</v>
      </c>
      <c r="C5">
        <v>0</v>
      </c>
      <c r="D5">
        <v>0</v>
      </c>
      <c r="E5">
        <v>0</v>
      </c>
      <c r="F5">
        <v>0</v>
      </c>
      <c r="G5">
        <v>19863.2225</v>
      </c>
      <c r="H5">
        <v>19476.366</v>
      </c>
      <c r="I5">
        <v>0</v>
      </c>
      <c r="J5">
        <v>0</v>
      </c>
      <c r="K5">
        <v>0</v>
      </c>
      <c r="L5">
        <v>0</v>
      </c>
      <c r="M5">
        <v>534.71</v>
      </c>
      <c r="N5">
        <v>433.71</v>
      </c>
      <c r="O5">
        <v>0</v>
      </c>
      <c r="P5">
        <v>0</v>
      </c>
      <c r="Q5">
        <v>0</v>
      </c>
      <c r="R5">
        <v>0</v>
      </c>
      <c r="S5">
        <v>520.5</v>
      </c>
      <c r="T5">
        <v>417.56</v>
      </c>
      <c r="U5">
        <v>0</v>
      </c>
      <c r="V5">
        <v>0</v>
      </c>
      <c r="W5">
        <v>0</v>
      </c>
      <c r="X5">
        <v>0</v>
      </c>
      <c r="Y5">
        <v>20280.49</v>
      </c>
      <c r="Z5">
        <v>20832.16</v>
      </c>
      <c r="AA5">
        <v>0</v>
      </c>
      <c r="AB5">
        <v>0</v>
      </c>
      <c r="AC5">
        <v>0</v>
      </c>
      <c r="AD5">
        <v>0</v>
      </c>
      <c r="AE5">
        <v>19416.87</v>
      </c>
      <c r="AF5">
        <v>18821.17</v>
      </c>
      <c r="AG5">
        <v>0</v>
      </c>
      <c r="AH5">
        <v>0</v>
      </c>
      <c r="AI5">
        <v>0</v>
      </c>
      <c r="AJ5">
        <v>0</v>
      </c>
      <c r="AK5">
        <v>0.8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544.566</v>
      </c>
      <c r="B6">
        <v>450.748</v>
      </c>
      <c r="C6">
        <v>0</v>
      </c>
      <c r="D6">
        <v>0</v>
      </c>
      <c r="E6">
        <v>0</v>
      </c>
      <c r="F6">
        <v>0</v>
      </c>
      <c r="G6">
        <v>20056.388</v>
      </c>
      <c r="H6">
        <v>19464.876</v>
      </c>
      <c r="I6">
        <v>0</v>
      </c>
      <c r="J6">
        <v>0</v>
      </c>
      <c r="K6">
        <v>0</v>
      </c>
      <c r="L6">
        <v>0</v>
      </c>
      <c r="M6">
        <v>557.08</v>
      </c>
      <c r="N6">
        <v>462.7</v>
      </c>
      <c r="O6">
        <v>0</v>
      </c>
      <c r="P6">
        <v>0</v>
      </c>
      <c r="Q6">
        <v>0</v>
      </c>
      <c r="R6">
        <v>0</v>
      </c>
      <c r="S6">
        <v>536.44</v>
      </c>
      <c r="T6">
        <v>442.39</v>
      </c>
      <c r="U6">
        <v>0</v>
      </c>
      <c r="V6">
        <v>0</v>
      </c>
      <c r="W6">
        <v>0</v>
      </c>
      <c r="X6">
        <v>0</v>
      </c>
      <c r="Y6">
        <v>20358.33</v>
      </c>
      <c r="Z6">
        <v>20508.3</v>
      </c>
      <c r="AA6">
        <v>0</v>
      </c>
      <c r="AB6">
        <v>0</v>
      </c>
      <c r="AC6">
        <v>0</v>
      </c>
      <c r="AD6">
        <v>0</v>
      </c>
      <c r="AE6">
        <v>19767.47</v>
      </c>
      <c r="AF6">
        <v>18513.3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525.178</v>
      </c>
      <c r="B7">
        <v>501.09</v>
      </c>
      <c r="C7">
        <v>525.98</v>
      </c>
      <c r="D7">
        <v>0</v>
      </c>
      <c r="E7">
        <v>523.04</v>
      </c>
      <c r="F7">
        <v>0</v>
      </c>
      <c r="G7">
        <v>19411.146</v>
      </c>
      <c r="H7">
        <v>19561.812</v>
      </c>
      <c r="I7">
        <v>22132.62</v>
      </c>
      <c r="J7">
        <v>0</v>
      </c>
      <c r="K7">
        <v>19445.93</v>
      </c>
      <c r="L7">
        <v>0</v>
      </c>
      <c r="M7">
        <v>539.78</v>
      </c>
      <c r="N7">
        <v>515.82</v>
      </c>
      <c r="O7">
        <v>525.98</v>
      </c>
      <c r="P7">
        <v>0</v>
      </c>
      <c r="Q7">
        <v>524.74</v>
      </c>
      <c r="R7">
        <v>0</v>
      </c>
      <c r="S7">
        <v>502.47</v>
      </c>
      <c r="T7">
        <v>484.29</v>
      </c>
      <c r="U7">
        <v>525.98</v>
      </c>
      <c r="V7">
        <v>0</v>
      </c>
      <c r="W7">
        <v>521.34</v>
      </c>
      <c r="X7">
        <v>0</v>
      </c>
      <c r="Y7">
        <v>19943.44</v>
      </c>
      <c r="Z7">
        <v>20275.47</v>
      </c>
      <c r="AA7">
        <v>22132.62</v>
      </c>
      <c r="AB7">
        <v>0</v>
      </c>
      <c r="AC7">
        <v>19943.9</v>
      </c>
      <c r="AD7">
        <v>0</v>
      </c>
      <c r="AE7">
        <v>18945.84</v>
      </c>
      <c r="AF7">
        <v>18966.29</v>
      </c>
      <c r="AG7">
        <v>22132.62</v>
      </c>
      <c r="AH7">
        <v>0</v>
      </c>
      <c r="AI7">
        <v>18947.96</v>
      </c>
      <c r="AJ7">
        <v>0</v>
      </c>
      <c r="AK7">
        <v>1</v>
      </c>
      <c r="AL7">
        <v>1</v>
      </c>
      <c r="AM7">
        <v>0.2</v>
      </c>
      <c r="AN7">
        <v>0</v>
      </c>
      <c r="AO7">
        <v>0.4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2024-09-26T05:54:00Z</dcterms:created>
  <dcterms:modified xsi:type="dcterms:W3CDTF">2024-09-26T07:17:47Z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550914A69C624963BC3EE925AC556698_12</vt:lpwstr>
  </property>
  <property fmtid="{D5CDD505-2E9C-101B-9397-08002B2CF9AE}" pid="3" name="KSOProductBuildVer">
    <vt:lpwstr>2052-12.1.0.17827</vt:lpwstr>
  </property>
</Properties>
</file>