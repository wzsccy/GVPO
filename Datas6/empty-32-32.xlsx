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 firstSheet="2" activeTab="6"/>
  </bookViews>
  <sheets>
    <sheet name="20_100" sheetId="1" r:id="rId1"/>
    <sheet name="40_100" sheetId="2" r:id="rId2"/>
    <sheet name="60_100" sheetId="3" r:id="rId3"/>
    <sheet name="80_100" sheetId="4" r:id="rId4"/>
    <sheet name="100_100" sheetId="5" r:id="rId5"/>
    <sheet name="120_100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<sst xmlns="http://schemas.openxmlformats.org/spreadsheetml/2006/main" count="432" uniqueCount="65">
  <si>
    <t>scen</t>
  </si>
  <si>
    <t>L2_T</t>
  </si>
  <si>
    <t>L2_C</t>
  </si>
  <si>
    <t>L4_T</t>
  </si>
  <si>
    <t>L4_C</t>
  </si>
  <si>
    <t>E2_T</t>
  </si>
  <si>
    <t>E2_C</t>
  </si>
  <si>
    <t>E4_T</t>
  </si>
  <si>
    <t>E4_C</t>
  </si>
  <si>
    <t>M2_T</t>
  </si>
  <si>
    <t>M2_C</t>
  </si>
  <si>
    <t>M4_T</t>
  </si>
  <si>
    <t>M4_C</t>
  </si>
  <si>
    <t>random-1</t>
  </si>
  <si>
    <t>random-2</t>
  </si>
  <si>
    <t>random-3</t>
  </si>
  <si>
    <t>random-4</t>
  </si>
  <si>
    <t>random-5</t>
  </si>
  <si>
    <t>random-6</t>
  </si>
  <si>
    <t>random-7</t>
  </si>
  <si>
    <t>random-8</t>
  </si>
  <si>
    <t>random-9</t>
  </si>
  <si>
    <t>random-10</t>
  </si>
  <si>
    <t>LC1_T_A</t>
  </si>
  <si>
    <t>LC2_T_A</t>
  </si>
  <si>
    <t>ML1_T_A</t>
  </si>
  <si>
    <t>ML2_T_A</t>
  </si>
  <si>
    <t>MA1_T_A</t>
  </si>
  <si>
    <t>MA2_T_A</t>
  </si>
  <si>
    <t>LC1_C_A</t>
  </si>
  <si>
    <t>LC2_C_A</t>
  </si>
  <si>
    <t>ML1_C_A</t>
  </si>
  <si>
    <t>ML2_C_A</t>
  </si>
  <si>
    <t>MA1_C_A</t>
  </si>
  <si>
    <t>MA2_C_A</t>
  </si>
  <si>
    <t>LC1_T_MX</t>
  </si>
  <si>
    <t>LC2_T_MX</t>
  </si>
  <si>
    <t>ML1_T_MX</t>
  </si>
  <si>
    <t>ML2_T_MX</t>
  </si>
  <si>
    <t>MA1_T_MX</t>
  </si>
  <si>
    <t>MA2_T_MX</t>
  </si>
  <si>
    <t>LC1_T_MN</t>
  </si>
  <si>
    <t>LC2_T_MN</t>
  </si>
  <si>
    <t>ML1_T_MN</t>
  </si>
  <si>
    <t>ML2_T_MN</t>
  </si>
  <si>
    <t>MA1_T_MN</t>
  </si>
  <si>
    <t>MA2_T_MN</t>
  </si>
  <si>
    <t>LC1_C_MX</t>
  </si>
  <si>
    <t>LC2_C_MX</t>
  </si>
  <si>
    <t>ML1_C_MX</t>
  </si>
  <si>
    <t>ML2_C_MX</t>
  </si>
  <si>
    <t>MA1_C_MX</t>
  </si>
  <si>
    <t>MA2_C_MX</t>
  </si>
  <si>
    <t>LC1_C_MN</t>
  </si>
  <si>
    <t>LC2_C_MN</t>
  </si>
  <si>
    <t>ML1_C_MN</t>
  </si>
  <si>
    <t>ML2_C_MN</t>
  </si>
  <si>
    <t>MA1_C_MN</t>
  </si>
  <si>
    <t>MA2_C_MN</t>
  </si>
  <si>
    <t>LC1_S</t>
  </si>
  <si>
    <t>LC2_S</t>
  </si>
  <si>
    <t>ML1_S</t>
  </si>
  <si>
    <t>ML2_S</t>
  </si>
  <si>
    <t>MA1_S</t>
  </si>
  <si>
    <t>MA2_S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</si>
</sst>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3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topLeftCell="AF1" workbookViewId="0">
      <selection activeCell="AL13" sqref="A13:AP14"/>
    </sheetView>
  </sheetViews>
  <sheetFormatPr defaultColWidth="9" defaultRowHeight="14"/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13</v>
      </c>
      <c r="B2">
        <v>356.43</v>
      </c>
      <c r="C2">
        <v>6814.05</v>
      </c>
      <c r="D2">
        <v>170.13</v>
      </c>
      <c r="E2">
        <v>7001.32</v>
      </c>
      <c r="F2">
        <v>359.98</v>
      </c>
      <c r="G2">
        <v>7741.32</v>
      </c>
      <c r="H2">
        <v>193.58</v>
      </c>
      <c r="I2">
        <v>7853.27</v>
      </c>
      <c r="J2">
        <v>357.29</v>
      </c>
      <c r="K2">
        <v>6791.53</v>
      </c>
      <c r="L2">
        <v>177.34</v>
      </c>
      <c r="M2">
        <v>6911.82</v>
      </c>
    </row>
    <row r="3" spans="1:13">
      <c r="A3" t="s">
        <v>14</v>
      </c>
      <c r="B3">
        <v>267.24</v>
      </c>
      <c r="C3">
        <v>7288.31</v>
      </c>
      <c r="D3">
        <v>154.87</v>
      </c>
      <c r="E3">
        <v>7289.3</v>
      </c>
      <c r="F3">
        <v>269.48</v>
      </c>
      <c r="G3">
        <v>8425.99</v>
      </c>
      <c r="H3">
        <v>168.72</v>
      </c>
      <c r="I3">
        <v>8339.63</v>
      </c>
      <c r="J3">
        <v>267.4</v>
      </c>
      <c r="K3">
        <v>7312.29</v>
      </c>
      <c r="L3">
        <v>158.85</v>
      </c>
      <c r="M3">
        <v>7252.63</v>
      </c>
    </row>
    <row r="4" spans="1:13">
      <c r="A4" t="s">
        <v>15</v>
      </c>
      <c r="B4">
        <v>252.39</v>
      </c>
      <c r="C4">
        <v>7113.75</v>
      </c>
      <c r="D4">
        <v>136.94</v>
      </c>
      <c r="E4">
        <v>7262.13</v>
      </c>
      <c r="F4">
        <v>255.72</v>
      </c>
      <c r="G4">
        <v>8124.37</v>
      </c>
      <c r="H4">
        <v>149.04</v>
      </c>
      <c r="I4">
        <v>8173.54</v>
      </c>
      <c r="J4">
        <v>252.81</v>
      </c>
      <c r="K4">
        <v>7107.29</v>
      </c>
      <c r="L4">
        <v>145.11</v>
      </c>
      <c r="M4">
        <v>7207.04</v>
      </c>
    </row>
    <row r="5" spans="1:13">
      <c r="A5" t="s">
        <v>16</v>
      </c>
      <c r="B5">
        <v>249.87</v>
      </c>
      <c r="C5">
        <v>7062.2</v>
      </c>
      <c r="D5">
        <v>134.29</v>
      </c>
      <c r="E5">
        <v>7023.76</v>
      </c>
      <c r="F5">
        <v>253.23</v>
      </c>
      <c r="G5">
        <v>8073.4</v>
      </c>
      <c r="H5">
        <v>148.67</v>
      </c>
      <c r="I5">
        <v>7992.37</v>
      </c>
      <c r="J5">
        <v>250.34</v>
      </c>
      <c r="K5">
        <v>7057.73</v>
      </c>
      <c r="L5">
        <v>142.33</v>
      </c>
      <c r="M5">
        <v>7003.59</v>
      </c>
    </row>
    <row r="6" spans="1:13">
      <c r="A6" t="s">
        <v>17</v>
      </c>
      <c r="B6">
        <v>259.37</v>
      </c>
      <c r="C6">
        <v>7165.35</v>
      </c>
      <c r="D6">
        <v>134.98</v>
      </c>
      <c r="E6">
        <v>7081.62</v>
      </c>
      <c r="F6">
        <v>265.55</v>
      </c>
      <c r="G6">
        <v>8178.03</v>
      </c>
      <c r="H6">
        <v>143.19</v>
      </c>
      <c r="I6">
        <v>8006.23</v>
      </c>
      <c r="J6">
        <v>262.5</v>
      </c>
      <c r="K6">
        <v>7149.97</v>
      </c>
      <c r="L6">
        <v>-1</v>
      </c>
      <c r="M6">
        <v>213.54</v>
      </c>
    </row>
    <row r="7" spans="1:13">
      <c r="A7" t="s">
        <v>18</v>
      </c>
      <c r="B7">
        <v>345.18</v>
      </c>
      <c r="C7">
        <v>7091.17</v>
      </c>
      <c r="D7">
        <v>154.53</v>
      </c>
      <c r="E7">
        <v>7219.8</v>
      </c>
      <c r="F7">
        <v>351.16</v>
      </c>
      <c r="G7">
        <v>8017.49</v>
      </c>
      <c r="H7">
        <v>172.79</v>
      </c>
      <c r="I7">
        <v>8158.73</v>
      </c>
      <c r="J7">
        <v>350.83</v>
      </c>
      <c r="K7">
        <v>7067.33</v>
      </c>
      <c r="L7">
        <v>180.89</v>
      </c>
      <c r="M7">
        <v>7227.1</v>
      </c>
    </row>
    <row r="8" spans="1:13">
      <c r="A8" t="s">
        <v>19</v>
      </c>
      <c r="B8">
        <v>387.28</v>
      </c>
      <c r="C8">
        <v>6825.59</v>
      </c>
      <c r="D8">
        <v>198.11</v>
      </c>
      <c r="E8">
        <v>6926.75</v>
      </c>
      <c r="F8">
        <v>393.04</v>
      </c>
      <c r="G8">
        <v>7764.32</v>
      </c>
      <c r="H8">
        <v>210.26</v>
      </c>
      <c r="I8">
        <v>7823.76</v>
      </c>
      <c r="J8">
        <v>397.57</v>
      </c>
      <c r="K8">
        <v>6825.12</v>
      </c>
      <c r="L8">
        <v>201.21</v>
      </c>
      <c r="M8">
        <v>6868.91</v>
      </c>
    </row>
    <row r="9" spans="1:13">
      <c r="A9" t="s">
        <v>20</v>
      </c>
      <c r="B9">
        <v>383.21</v>
      </c>
      <c r="C9">
        <v>6998.67</v>
      </c>
      <c r="D9">
        <v>205.48</v>
      </c>
      <c r="E9">
        <v>7183.26</v>
      </c>
      <c r="F9">
        <v>392.54</v>
      </c>
      <c r="G9">
        <v>7977.55</v>
      </c>
      <c r="H9">
        <v>227.16</v>
      </c>
      <c r="I9">
        <v>8119.29</v>
      </c>
      <c r="J9">
        <v>385.15</v>
      </c>
      <c r="K9">
        <v>6999.13</v>
      </c>
      <c r="L9">
        <v>219.69</v>
      </c>
      <c r="M9">
        <v>7113.72</v>
      </c>
    </row>
    <row r="10" spans="1:13">
      <c r="A10" t="s">
        <v>21</v>
      </c>
      <c r="B10">
        <v>387.25</v>
      </c>
      <c r="C10">
        <v>6769.59</v>
      </c>
      <c r="D10">
        <v>205.45</v>
      </c>
      <c r="E10">
        <v>6840.54</v>
      </c>
      <c r="F10">
        <v>390.87</v>
      </c>
      <c r="G10">
        <v>7817.8</v>
      </c>
      <c r="H10">
        <v>225.59</v>
      </c>
      <c r="I10">
        <v>7818.7</v>
      </c>
      <c r="J10">
        <v>387.65</v>
      </c>
      <c r="K10">
        <v>6774.37</v>
      </c>
      <c r="L10">
        <v>212.32</v>
      </c>
      <c r="M10">
        <v>6807.39</v>
      </c>
    </row>
    <row r="11" spans="1:13">
      <c r="A11" t="s">
        <v>22</v>
      </c>
      <c r="B11">
        <v>384.95</v>
      </c>
      <c r="C11">
        <v>7142.09</v>
      </c>
      <c r="D11">
        <v>205.27</v>
      </c>
      <c r="E11">
        <v>7113</v>
      </c>
      <c r="F11">
        <v>388.39</v>
      </c>
      <c r="G11">
        <v>8098.75</v>
      </c>
      <c r="H11">
        <v>227.01</v>
      </c>
      <c r="I11">
        <v>7956.56</v>
      </c>
      <c r="J11">
        <v>387.29</v>
      </c>
      <c r="K11">
        <v>7135.8</v>
      </c>
      <c r="L11">
        <v>212.06</v>
      </c>
      <c r="M11">
        <v>7009.12</v>
      </c>
    </row>
    <row r="13" spans="1:42">
      <c r="A13" s="3" t="s">
        <v>23</v>
      </c>
      <c r="B13" s="3" t="s">
        <v>24</v>
      </c>
      <c r="C13" s="3" t="s">
        <v>25</v>
      </c>
      <c r="D13" s="4" t="s">
        <v>26</v>
      </c>
      <c r="E13" s="3" t="s">
        <v>27</v>
      </c>
      <c r="F13" s="3" t="s">
        <v>28</v>
      </c>
      <c r="G13" s="3" t="s">
        <v>29</v>
      </c>
      <c r="H13" s="3" t="s">
        <v>30</v>
      </c>
      <c r="I13" s="3" t="s">
        <v>31</v>
      </c>
      <c r="J13" s="4" t="s">
        <v>32</v>
      </c>
      <c r="K13" s="3" t="s">
        <v>33</v>
      </c>
      <c r="L13" s="3" t="s">
        <v>34</v>
      </c>
      <c r="M13" s="3" t="s">
        <v>35</v>
      </c>
      <c r="N13" s="3" t="s">
        <v>36</v>
      </c>
      <c r="O13" s="3" t="s">
        <v>37</v>
      </c>
      <c r="P13" s="4" t="s">
        <v>38</v>
      </c>
      <c r="Q13" s="3" t="s">
        <v>39</v>
      </c>
      <c r="R13" s="3" t="s">
        <v>40</v>
      </c>
      <c r="S13" s="3" t="s">
        <v>41</v>
      </c>
      <c r="T13" s="3" t="s">
        <v>42</v>
      </c>
      <c r="U13" s="3" t="s">
        <v>43</v>
      </c>
      <c r="V13" s="4" t="s">
        <v>44</v>
      </c>
      <c r="W13" s="3" t="s">
        <v>45</v>
      </c>
      <c r="X13" s="3" t="s">
        <v>46</v>
      </c>
      <c r="Y13" s="3" t="s">
        <v>47</v>
      </c>
      <c r="Z13" s="3" t="s">
        <v>48</v>
      </c>
      <c r="AA13" s="3" t="s">
        <v>49</v>
      </c>
      <c r="AB13" s="4" t="s">
        <v>50</v>
      </c>
      <c r="AC13" s="3" t="s">
        <v>51</v>
      </c>
      <c r="AD13" s="3" t="s">
        <v>52</v>
      </c>
      <c r="AE13" s="3" t="s">
        <v>53</v>
      </c>
      <c r="AF13" s="3" t="s">
        <v>54</v>
      </c>
      <c r="AG13" s="3" t="s">
        <v>55</v>
      </c>
      <c r="AH13" s="4" t="s">
        <v>56</v>
      </c>
      <c r="AI13" s="3" t="s">
        <v>57</v>
      </c>
      <c r="AJ13" s="3" t="s">
        <v>58</v>
      </c>
      <c r="AK13" s="3" t="s">
        <v>59</v>
      </c>
      <c r="AL13" s="3" t="s">
        <v>60</v>
      </c>
      <c r="AM13" s="3" t="s">
        <v>61</v>
      </c>
      <c r="AN13" s="4" t="s">
        <v>62</v>
      </c>
      <c r="AO13" s="3" t="s">
        <v>63</v>
      </c>
      <c r="AP13" s="3" t="s">
        <v>64</v>
      </c>
    </row>
    <row r="14" spans="1:42">
      <c r="A14" s="1">
        <f>IFERROR(AVERAGEIF($B$2:$B$11,"&lt;&gt; -1"),0)</f>
        <v>327.317</v>
      </c>
      <c r="B14" s="1">
        <f>IFERROR(AVERAGEIF($D$2:$D$11,"&lt;&gt; -1"),0)</f>
        <v>170.005</v>
      </c>
      <c r="C14" s="1">
        <f>IFERROR(AVERAGEIF($F$2:$F$11,"&lt;&gt; -1"),0)</f>
        <v>331.996</v>
      </c>
      <c r="D14" s="1">
        <f>IFERROR(AVERAGEIF($H$2:$H$11,"&lt;&gt; -1"),0)</f>
        <v>186.601</v>
      </c>
      <c r="E14" s="1">
        <f>IFERROR(AVERAGEIF($J$2:$J$11,"&lt;&gt; -1"),0)</f>
        <v>329.883</v>
      </c>
      <c r="F14" s="1">
        <f>IFERROR(AVERAGEIF($L$2:$L$11,"&lt;&gt; -1"),0)</f>
        <v>183.311111111111</v>
      </c>
      <c r="G14" s="1">
        <f>IFERROR(AVERAGEIFS($C$2:$C$11,$B$2:$B$11,"&lt;&gt; -1"),0)</f>
        <v>7027.077</v>
      </c>
      <c r="H14" s="1">
        <f>IFERROR(AVERAGEIFS($E$2:$E$11,$D$2:$D$11,"&lt;&gt; -1"),0)</f>
        <v>7094.148</v>
      </c>
      <c r="I14" s="1">
        <f>IFERROR(AVERAGEIFS($G$2:$G$11,$F$2:$F$11,"&lt;&gt; -1"),0)</f>
        <v>8021.902</v>
      </c>
      <c r="J14" s="1">
        <f>IFERROR(AVERAGEIFS($I$2:$I$11,$H$2:$H$11,"&lt;&gt; -1"),0)</f>
        <v>8024.208</v>
      </c>
      <c r="K14" s="1">
        <f>IFERROR(AVERAGEIFS($K$2:$K$11,$J$2:$J$11,"&lt;&gt; -1"),0)</f>
        <v>7022.056</v>
      </c>
      <c r="L14" s="1">
        <f>IFERROR(AVERAGEIFS($M$2:$M$11,$L$2:$L$11,"&lt;&gt; -1"),0)</f>
        <v>7044.59111111111</v>
      </c>
      <c r="M14" s="1">
        <f>IFERROR(_xlfn.MAXIFS($B$2:$B$11,$B$2:$B$11,"&lt;&gt; -1"),0)</f>
        <v>387.28</v>
      </c>
      <c r="N14" s="1">
        <f>IFERROR(_xlfn.MAXIFS($D$2:$D$11,$D$2:$D$11,"&lt;&gt;-1"),0)</f>
        <v>205.48</v>
      </c>
      <c r="O14" s="1">
        <f>IFERROR(_xlfn.MAXIFS($F$2:$F$11,$F$2:$F$11,"&lt;&gt; -1"),0)</f>
        <v>393.04</v>
      </c>
      <c r="P14" s="1">
        <f>IFERROR(_xlfn.MAXIFS($H$2:$H$11,$H$2:$H$11,"&lt;&gt; -1"),0)</f>
        <v>227.16</v>
      </c>
      <c r="Q14" s="1">
        <f>IFERROR(_xlfn.MAXIFS($J$2:$J$11,$J$2:$J$11,"&lt;&gt; -1"),0)</f>
        <v>397.57</v>
      </c>
      <c r="R14" s="1">
        <f>IFERROR(_xlfn.MAXIFS($L$2:$L$11,$L$2:$L$11,"&lt;&gt; -1"),0)</f>
        <v>219.69</v>
      </c>
      <c r="S14" s="1">
        <f>IFERROR(_xlfn.MINIFS($B$2:$B$11,$B$2:$B$11,"&lt;&gt; -1"),0)</f>
        <v>249.87</v>
      </c>
      <c r="T14" s="1">
        <f>IFERROR(_xlfn.MINIFS($D$2:$D$11,$D$2:$D$11,"&lt;&gt;-1"),0)</f>
        <v>134.29</v>
      </c>
      <c r="U14" s="1">
        <f>IFERROR(_xlfn.MINIFS($F$2:$F$11,$F$2:$F$11,"&lt;&gt; -1"),0)</f>
        <v>253.23</v>
      </c>
      <c r="V14" s="1">
        <f>IFERROR(_xlfn.MINIFS($H$2:$H$11,$H$2:$H$11,"&lt;&gt; -1"),0)</f>
        <v>143.19</v>
      </c>
      <c r="W14" s="1">
        <f>IFERROR(_xlfn.MINIFS($J$2:$J$11,$J$2:$J$11,"&lt;&gt; -1"),0)</f>
        <v>250.34</v>
      </c>
      <c r="X14" s="1">
        <f>IFERROR(_xlfn.MINIFS($L$2:$L$11,$L$2:$L$11,"&lt;&gt; -1"),0)</f>
        <v>142.33</v>
      </c>
      <c r="Y14" s="1">
        <f>IFERROR(_xlfn.MAXIFS($C$2:$C$11,$B$2:$B$11,"&lt;&gt; -1"),0)</f>
        <v>7288.31</v>
      </c>
      <c r="Z14" s="1">
        <f>IFERROR(_xlfn.MAXIFS($E$2:$E$11,$D$2:$D$11,"&lt;&gt; -1"),0)</f>
        <v>7289.3</v>
      </c>
      <c r="AA14" s="1">
        <f>IFERROR(_xlfn.MAXIFS($G$2:$G$11,$F$2:$F$11,"&lt;&gt; -1"),0)</f>
        <v>8425.99</v>
      </c>
      <c r="AB14" s="1">
        <f>IFERROR(_xlfn.MAXIFS($I$2:$I$11,$H$2:$H$11,"&lt;&gt; -1"),0)</f>
        <v>8339.63</v>
      </c>
      <c r="AC14" s="1">
        <f>IFERROR(_xlfn.MAXIFS($K$2:$K$11,$J$2:$J$11,"&lt;&gt; -1"),0)</f>
        <v>7312.29</v>
      </c>
      <c r="AD14" s="1">
        <f>IFERROR(_xlfn.MAXIFS($M$2:$M$11,$L$2:$L$11,"&lt;&gt; -1"),0)</f>
        <v>7252.63</v>
      </c>
      <c r="AE14" s="1">
        <f>IFERROR(_xlfn.MINIFS($C$2:$C$11,$B$2:$B$11,"&lt;&gt; -1"),0)</f>
        <v>6769.59</v>
      </c>
      <c r="AF14" s="1">
        <f>IFERROR(_xlfn.MINIFS($E$2:$E$11,$D$2:$D$11,"&lt;&gt; -1"),0)</f>
        <v>6840.54</v>
      </c>
      <c r="AG14" s="1">
        <f>IFERROR(_xlfn.MINIFS($G$2:$G$11,$F$2:$F$11,"&lt;&gt; -1"),0)</f>
        <v>7741.32</v>
      </c>
      <c r="AH14" s="1">
        <f>IFERROR(_xlfn.MINIFS($I$2:$I$11,$H$2:$H$11,"&lt;&gt; -1"),0)</f>
        <v>7818.7</v>
      </c>
      <c r="AI14" s="1">
        <f>IFERROR(_xlfn.MINIFS($K$2:$K$11,$J$2:$J$11,"&lt;&gt; -1"),0)</f>
        <v>6774.37</v>
      </c>
      <c r="AJ14" s="1">
        <f>IFERROR(_xlfn.MINIFS($M$2:$M$11,$L$2:$L$11,"&lt;&gt; -1"),0)</f>
        <v>6807.39</v>
      </c>
      <c r="AK14" s="1">
        <f>(COUNTIFS($B$2:$B$11,"&gt;0.0",$B$2:$B$11,"&lt;300.0"))/10</f>
        <v>0.4</v>
      </c>
      <c r="AL14" s="1">
        <f>(COUNTIFS($D$2:$D$11,"&gt;0.0",$D$2:$D$11,"&lt;300.0"))/10</f>
        <v>1</v>
      </c>
      <c r="AM14" s="1">
        <f>(COUNTIFS($F$2:$F$11,"&gt;0.0",$F$2:$F$11,"&lt;300.0"))/10</f>
        <v>0.4</v>
      </c>
      <c r="AN14" s="1">
        <f>(COUNTIFS($H$2:$H11,"&gt;0.0",$H$2:$H$11,"&lt;300.0"))/10</f>
        <v>1</v>
      </c>
      <c r="AO14" s="1">
        <f>(COUNTIFS($J$2:$J$11,"&gt;0.0",$J$2:$J$11,"&lt;300.0"))/10</f>
        <v>0.4</v>
      </c>
      <c r="AP14" s="1">
        <f>(COUNTIFS($L$2:$L$11,"&gt;0.0",$L$2:$L$11,"&lt;300.0"))/10</f>
        <v>0.9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13</v>
      </c>
      <c r="B2">
        <v>393.99</v>
      </c>
      <c r="C2">
        <v>6758.23</v>
      </c>
      <c r="D2">
        <v>221.63</v>
      </c>
      <c r="E2">
        <v>7156.4</v>
      </c>
      <c r="F2">
        <v>399.24</v>
      </c>
      <c r="G2">
        <v>7663.13</v>
      </c>
      <c r="H2">
        <v>-1</v>
      </c>
      <c r="I2">
        <v>7532.92</v>
      </c>
      <c r="J2">
        <v>396.65</v>
      </c>
      <c r="K2">
        <v>6760.73</v>
      </c>
      <c r="L2">
        <v>-1</v>
      </c>
      <c r="M2">
        <v>6340.24</v>
      </c>
    </row>
    <row r="3" spans="1:13">
      <c r="A3" t="s">
        <v>14</v>
      </c>
      <c r="B3">
        <v>416.58</v>
      </c>
      <c r="C3">
        <v>7357.53</v>
      </c>
      <c r="D3">
        <v>230.05</v>
      </c>
      <c r="E3">
        <v>7470.22</v>
      </c>
      <c r="F3">
        <v>425.5</v>
      </c>
      <c r="G3">
        <v>8443.65</v>
      </c>
      <c r="H3">
        <v>250.81</v>
      </c>
      <c r="I3">
        <v>8323.2</v>
      </c>
      <c r="J3">
        <v>424.97</v>
      </c>
      <c r="K3">
        <v>7286.2</v>
      </c>
      <c r="L3">
        <v>-1</v>
      </c>
      <c r="M3">
        <v>626.2</v>
      </c>
    </row>
    <row r="4" spans="1:13">
      <c r="A4" t="s">
        <v>15</v>
      </c>
      <c r="B4">
        <v>257.01</v>
      </c>
      <c r="C4">
        <v>7087.34</v>
      </c>
      <c r="D4">
        <v>147.54</v>
      </c>
      <c r="E4">
        <v>7289.22</v>
      </c>
      <c r="F4">
        <v>259.15</v>
      </c>
      <c r="G4">
        <v>8080.56</v>
      </c>
      <c r="H4">
        <v>171.56</v>
      </c>
      <c r="I4">
        <v>8041.24</v>
      </c>
      <c r="J4">
        <v>257.35</v>
      </c>
      <c r="K4">
        <v>7068.47</v>
      </c>
      <c r="L4">
        <v>-1</v>
      </c>
      <c r="M4">
        <v>0</v>
      </c>
    </row>
    <row r="5" spans="1:13">
      <c r="A5" t="s">
        <v>16</v>
      </c>
      <c r="B5">
        <v>233.27</v>
      </c>
      <c r="C5">
        <v>7215.21</v>
      </c>
      <c r="D5">
        <v>149.86</v>
      </c>
      <c r="E5">
        <v>7364.57</v>
      </c>
      <c r="F5">
        <v>245.65</v>
      </c>
      <c r="G5">
        <v>8160.96</v>
      </c>
      <c r="H5">
        <v>169.69</v>
      </c>
      <c r="I5">
        <v>8015.62</v>
      </c>
      <c r="J5">
        <v>237.16</v>
      </c>
      <c r="K5">
        <v>7160.78</v>
      </c>
      <c r="L5">
        <v>-1</v>
      </c>
      <c r="M5">
        <v>5190.61</v>
      </c>
    </row>
    <row r="6" spans="1:13">
      <c r="A6" t="s">
        <v>17</v>
      </c>
      <c r="B6">
        <v>292.11</v>
      </c>
      <c r="C6">
        <v>7043.71</v>
      </c>
      <c r="D6">
        <v>148.53</v>
      </c>
      <c r="E6">
        <v>7048.63</v>
      </c>
      <c r="F6">
        <v>303.74</v>
      </c>
      <c r="G6">
        <v>8022.14</v>
      </c>
      <c r="H6">
        <v>161.37</v>
      </c>
      <c r="I6">
        <v>7959.12</v>
      </c>
      <c r="J6">
        <v>297.88</v>
      </c>
      <c r="K6">
        <v>6996.75</v>
      </c>
      <c r="L6">
        <v>153.63</v>
      </c>
      <c r="M6">
        <v>6982.06</v>
      </c>
    </row>
    <row r="7" spans="1:13">
      <c r="A7" t="s">
        <v>18</v>
      </c>
      <c r="B7">
        <v>329.87</v>
      </c>
      <c r="C7">
        <v>7203.52</v>
      </c>
      <c r="D7">
        <v>209.9</v>
      </c>
      <c r="E7">
        <v>7133.69</v>
      </c>
      <c r="F7">
        <v>338.39</v>
      </c>
      <c r="G7">
        <v>8133.03</v>
      </c>
      <c r="H7">
        <v>222.73</v>
      </c>
      <c r="I7">
        <v>8000.36</v>
      </c>
      <c r="J7">
        <v>351.4</v>
      </c>
      <c r="K7">
        <v>7167.26</v>
      </c>
      <c r="L7">
        <v>215.45</v>
      </c>
      <c r="M7">
        <v>7055.48</v>
      </c>
    </row>
    <row r="8" spans="1:13">
      <c r="A8" t="s">
        <v>19</v>
      </c>
      <c r="B8">
        <v>276.87</v>
      </c>
      <c r="C8">
        <v>6816.45</v>
      </c>
      <c r="D8">
        <v>155.61</v>
      </c>
      <c r="E8">
        <v>7096.17</v>
      </c>
      <c r="F8">
        <v>281.05</v>
      </c>
      <c r="G8">
        <v>7705.08</v>
      </c>
      <c r="H8">
        <v>-1</v>
      </c>
      <c r="I8">
        <v>6469.49</v>
      </c>
      <c r="J8">
        <v>278.03</v>
      </c>
      <c r="K8">
        <v>6822.32</v>
      </c>
      <c r="L8">
        <v>-1</v>
      </c>
      <c r="M8">
        <v>0</v>
      </c>
    </row>
    <row r="9" spans="1:13">
      <c r="A9" t="s">
        <v>20</v>
      </c>
      <c r="B9">
        <v>275.56</v>
      </c>
      <c r="C9">
        <v>7020.65</v>
      </c>
      <c r="D9">
        <v>161.35</v>
      </c>
      <c r="E9">
        <v>7526.06</v>
      </c>
      <c r="F9">
        <v>280.24</v>
      </c>
      <c r="G9">
        <v>8014.32</v>
      </c>
      <c r="H9">
        <v>182.32</v>
      </c>
      <c r="I9">
        <v>8248.55</v>
      </c>
      <c r="J9">
        <v>276.26</v>
      </c>
      <c r="K9">
        <v>7029.26</v>
      </c>
      <c r="L9">
        <v>-1</v>
      </c>
      <c r="M9">
        <v>0</v>
      </c>
    </row>
    <row r="10" spans="1:13">
      <c r="A10" t="s">
        <v>21</v>
      </c>
      <c r="B10">
        <v>261.05</v>
      </c>
      <c r="C10">
        <v>6790.5</v>
      </c>
      <c r="D10">
        <v>150.8</v>
      </c>
      <c r="E10">
        <v>7103.14</v>
      </c>
      <c r="F10">
        <v>267.79</v>
      </c>
      <c r="G10">
        <v>7766.61</v>
      </c>
      <c r="H10">
        <v>165.82</v>
      </c>
      <c r="I10">
        <v>7922.71</v>
      </c>
      <c r="J10">
        <v>269.59</v>
      </c>
      <c r="K10">
        <v>6748.48</v>
      </c>
      <c r="L10">
        <v>-1</v>
      </c>
      <c r="M10">
        <v>0</v>
      </c>
    </row>
    <row r="11" spans="1:13">
      <c r="A11" t="s">
        <v>22</v>
      </c>
      <c r="B11">
        <v>250.57</v>
      </c>
      <c r="C11">
        <v>7202.98</v>
      </c>
      <c r="D11">
        <v>143.33</v>
      </c>
      <c r="E11">
        <v>7139.07</v>
      </c>
      <c r="F11">
        <v>254.86</v>
      </c>
      <c r="G11">
        <v>8166.3</v>
      </c>
      <c r="H11">
        <v>153.33</v>
      </c>
      <c r="I11">
        <v>7951.94</v>
      </c>
      <c r="J11">
        <v>252.74</v>
      </c>
      <c r="K11">
        <v>7173.63</v>
      </c>
      <c r="L11">
        <v>150.52</v>
      </c>
      <c r="M11">
        <v>7040.04</v>
      </c>
    </row>
    <row r="13" spans="1:42">
      <c r="A13" s="3" t="s">
        <v>23</v>
      </c>
      <c r="B13" s="3" t="s">
        <v>24</v>
      </c>
      <c r="C13" s="3" t="s">
        <v>25</v>
      </c>
      <c r="D13" s="4" t="s">
        <v>26</v>
      </c>
      <c r="E13" s="3" t="s">
        <v>27</v>
      </c>
      <c r="F13" s="3" t="s">
        <v>28</v>
      </c>
      <c r="G13" s="3" t="s">
        <v>29</v>
      </c>
      <c r="H13" s="3" t="s">
        <v>30</v>
      </c>
      <c r="I13" s="3" t="s">
        <v>31</v>
      </c>
      <c r="J13" s="4" t="s">
        <v>32</v>
      </c>
      <c r="K13" s="3" t="s">
        <v>33</v>
      </c>
      <c r="L13" s="3" t="s">
        <v>34</v>
      </c>
      <c r="M13" s="3" t="s">
        <v>35</v>
      </c>
      <c r="N13" s="3" t="s">
        <v>36</v>
      </c>
      <c r="O13" s="3" t="s">
        <v>37</v>
      </c>
      <c r="P13" s="4" t="s">
        <v>38</v>
      </c>
      <c r="Q13" s="3" t="s">
        <v>39</v>
      </c>
      <c r="R13" s="3" t="s">
        <v>40</v>
      </c>
      <c r="S13" s="3" t="s">
        <v>41</v>
      </c>
      <c r="T13" s="3" t="s">
        <v>42</v>
      </c>
      <c r="U13" s="3" t="s">
        <v>43</v>
      </c>
      <c r="V13" s="4" t="s">
        <v>44</v>
      </c>
      <c r="W13" s="3" t="s">
        <v>45</v>
      </c>
      <c r="X13" s="3" t="s">
        <v>46</v>
      </c>
      <c r="Y13" s="3" t="s">
        <v>47</v>
      </c>
      <c r="Z13" s="3" t="s">
        <v>48</v>
      </c>
      <c r="AA13" s="3" t="s">
        <v>49</v>
      </c>
      <c r="AB13" s="4" t="s">
        <v>50</v>
      </c>
      <c r="AC13" s="3" t="s">
        <v>51</v>
      </c>
      <c r="AD13" s="3" t="s">
        <v>52</v>
      </c>
      <c r="AE13" s="3" t="s">
        <v>53</v>
      </c>
      <c r="AF13" s="3" t="s">
        <v>54</v>
      </c>
      <c r="AG13" s="3" t="s">
        <v>55</v>
      </c>
      <c r="AH13" s="4" t="s">
        <v>56</v>
      </c>
      <c r="AI13" s="3" t="s">
        <v>57</v>
      </c>
      <c r="AJ13" s="3" t="s">
        <v>58</v>
      </c>
      <c r="AK13" s="3" t="s">
        <v>59</v>
      </c>
      <c r="AL13" s="3" t="s">
        <v>60</v>
      </c>
      <c r="AM13" s="3" t="s">
        <v>61</v>
      </c>
      <c r="AN13" s="4" t="s">
        <v>62</v>
      </c>
      <c r="AO13" s="3" t="s">
        <v>63</v>
      </c>
      <c r="AP13" s="3" t="s">
        <v>64</v>
      </c>
    </row>
    <row r="14" spans="1:42">
      <c r="A14" s="1">
        <f>IFERROR(AVERAGEIF($B$2:$B$11,"&lt;&gt; -1"),0)</f>
        <v>298.688</v>
      </c>
      <c r="B14" s="1">
        <f>IFERROR(AVERAGEIF($D$2:$D$11,"&lt;&gt; -1"),0)</f>
        <v>171.86</v>
      </c>
      <c r="C14" s="1">
        <f>IFERROR(AVERAGEIF($F$2:$F$11,"&lt;&gt; -1"),0)</f>
        <v>305.561</v>
      </c>
      <c r="D14" s="1">
        <f>IFERROR(AVERAGEIF($H$2:$H$11,"&lt;&gt; -1"),0)</f>
        <v>184.70375</v>
      </c>
      <c r="E14" s="1">
        <f>IFERROR(AVERAGEIF($J$2:$J$11,"&lt;&gt; -1"),0)</f>
        <v>304.203</v>
      </c>
      <c r="F14" s="1">
        <f>IFERROR(AVERAGEIF($L$2:$L$11,"&lt;&gt; -1"),0)</f>
        <v>173.2</v>
      </c>
      <c r="G14" s="1">
        <f>IFERROR(AVERAGEIFS($C$2:$C$11,$B$2:$B$11,"&lt;&gt; -1"),0)</f>
        <v>7049.612</v>
      </c>
      <c r="H14" s="1">
        <f>IFERROR(AVERAGEIFS($E$2:$E$11,$D$2:$D$11,"&lt;&gt; -1"),0)</f>
        <v>7232.717</v>
      </c>
      <c r="I14" s="1">
        <f>IFERROR(AVERAGEIFS($G$2:$G$11,$F$2:$F$11,"&lt;&gt; -1"),0)</f>
        <v>8015.578</v>
      </c>
      <c r="J14" s="1">
        <f>IFERROR(AVERAGEIFS($I$2:$I$11,$H$2:$H$11,"&lt;&gt; -1"),0)</f>
        <v>8057.8425</v>
      </c>
      <c r="K14" s="1">
        <f>IFERROR(AVERAGEIFS($K$2:$K$11,$J$2:$J$11,"&lt;&gt; -1"),0)</f>
        <v>7021.388</v>
      </c>
      <c r="L14" s="1">
        <f>IFERROR(AVERAGEIFS($M$2:$M$11,$L$2:$L$11,"&lt;&gt; -1"),0)</f>
        <v>7025.86</v>
      </c>
      <c r="M14" s="1">
        <f>IFERROR(_xlfn.MAXIFS($B$2:$B$11,$B$2:$B$11,"&lt;&gt; -1"),0)</f>
        <v>416.58</v>
      </c>
      <c r="N14" s="1">
        <f>IFERROR(_xlfn.MAXIFS($D$2:$D$11,$D$2:$D$11,"&lt;&gt;-1"),0)</f>
        <v>230.05</v>
      </c>
      <c r="O14" s="1">
        <f>IFERROR(_xlfn.MAXIFS($F$2:$F$11,$F$2:$F$11,"&lt;&gt; -1"),0)</f>
        <v>425.5</v>
      </c>
      <c r="P14" s="1">
        <f>IFERROR(_xlfn.MAXIFS($H$2:$H$11,$H$2:$H$11,"&lt;&gt; -1"),0)</f>
        <v>250.81</v>
      </c>
      <c r="Q14" s="1">
        <f>IFERROR(_xlfn.MAXIFS($J$2:$J$11,$J$2:$J$11,"&lt;&gt; -1"),0)</f>
        <v>424.97</v>
      </c>
      <c r="R14" s="1">
        <f>IFERROR(_xlfn.MAXIFS($L$2:$L$11,$L$2:$L$11,"&lt;&gt; -1"),0)</f>
        <v>215.45</v>
      </c>
      <c r="S14" s="1">
        <f>IFERROR(_xlfn.MINIFS($B$2:$B$11,$B$2:$B$11,"&lt;&gt; -1"),0)</f>
        <v>233.27</v>
      </c>
      <c r="T14" s="1">
        <f>IFERROR(_xlfn.MINIFS($D$2:$D$11,$D$2:$D$11,"&lt;&gt;-1"),0)</f>
        <v>143.33</v>
      </c>
      <c r="U14" s="1">
        <f>IFERROR(_xlfn.MINIFS($F$2:$F$11,$F$2:$F$11,"&lt;&gt; -1"),0)</f>
        <v>245.65</v>
      </c>
      <c r="V14" s="1">
        <f>IFERROR(_xlfn.MINIFS($H$2:$H$11,$H$2:$H$11,"&lt;&gt; -1"),0)</f>
        <v>153.33</v>
      </c>
      <c r="W14" s="1">
        <f>IFERROR(_xlfn.MINIFS($J$2:$J$11,$J$2:$J$11,"&lt;&gt; -1"),0)</f>
        <v>237.16</v>
      </c>
      <c r="X14" s="1">
        <f>IFERROR(_xlfn.MINIFS($L$2:$L$11,$L$2:$L$11,"&lt;&gt; -1"),0)</f>
        <v>150.52</v>
      </c>
      <c r="Y14" s="1">
        <f>IFERROR(_xlfn.MAXIFS($C$2:$C$11,$B$2:$B$11,"&lt;&gt; -1"),0)</f>
        <v>7357.53</v>
      </c>
      <c r="Z14" s="1">
        <f>IFERROR(_xlfn.MAXIFS($E$2:$E$11,$D$2:$D$11,"&lt;&gt; -1"),0)</f>
        <v>7526.06</v>
      </c>
      <c r="AA14" s="1">
        <f>IFERROR(_xlfn.MAXIFS($G$2:$G$11,$F$2:$F$11,"&lt;&gt; -1"),0)</f>
        <v>8443.65</v>
      </c>
      <c r="AB14" s="1">
        <f>IFERROR(_xlfn.MAXIFS($I$2:$I$11,$H$2:$H$11,"&lt;&gt; -1"),0)</f>
        <v>8323.2</v>
      </c>
      <c r="AC14" s="1">
        <f>IFERROR(_xlfn.MAXIFS($K$2:$K$11,$J$2:$J$11,"&lt;&gt; -1"),0)</f>
        <v>7286.2</v>
      </c>
      <c r="AD14" s="1">
        <f>IFERROR(_xlfn.MAXIFS($M$2:$M$11,$L$2:$L$11,"&lt;&gt; -1"),0)</f>
        <v>7055.48</v>
      </c>
      <c r="AE14" s="1">
        <f>IFERROR(_xlfn.MINIFS($C$2:$C$11,$B$2:$B$11,"&lt;&gt; -1"),0)</f>
        <v>6758.23</v>
      </c>
      <c r="AF14" s="1">
        <f>IFERROR(_xlfn.MINIFS($E$2:$E$11,$D$2:$D$11,"&lt;&gt; -1"),0)</f>
        <v>7048.63</v>
      </c>
      <c r="AG14" s="1">
        <f>IFERROR(_xlfn.MINIFS($G$2:$G$11,$F$2:$F$11,"&lt;&gt; -1"),0)</f>
        <v>7663.13</v>
      </c>
      <c r="AH14" s="1">
        <f>IFERROR(_xlfn.MINIFS($I$2:$I$11,$H$2:$H$11,"&lt;&gt; -1"),0)</f>
        <v>7922.71</v>
      </c>
      <c r="AI14" s="1">
        <f>IFERROR(_xlfn.MINIFS($K$2:$K$11,$J$2:$J$11,"&lt;&gt; -1"),0)</f>
        <v>6748.48</v>
      </c>
      <c r="AJ14" s="1">
        <f>IFERROR(_xlfn.MINIFS($M$2:$M$11,$L$2:$L$11,"&lt;&gt; -1"),0)</f>
        <v>6982.06</v>
      </c>
      <c r="AK14" s="1">
        <f>(COUNTIFS($B$2:$B$11,"&gt;0.0",$B$2:$B$11,"&lt;300.0"))/10</f>
        <v>0.7</v>
      </c>
      <c r="AL14" s="1">
        <f>(COUNTIFS($D$2:$D$11,"&gt;0.0",$D$2:$D$11,"&lt;300.0"))/10</f>
        <v>1</v>
      </c>
      <c r="AM14" s="1">
        <f>(COUNTIFS($F$2:$F$11,"&gt;0.0",$F$2:$F$11,"&lt;300.0"))/10</f>
        <v>0.6</v>
      </c>
      <c r="AN14" s="1">
        <f>(COUNTIFS($H$2:$H11,"&gt;0.0",$H$2:$H$11,"&lt;300.0"))/10</f>
        <v>0.8</v>
      </c>
      <c r="AO14" s="1">
        <f>(COUNTIFS($J$2:$J$11,"&gt;0.0",$J$2:$J$11,"&lt;300.0"))/10</f>
        <v>0.7</v>
      </c>
      <c r="AP14" s="1">
        <f>(COUNTIFS($L$2:$L$11,"&gt;0.0",$L$2:$L$11,"&lt;300.0"))/10</f>
        <v>0.3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13</v>
      </c>
      <c r="B2">
        <v>267.92</v>
      </c>
      <c r="C2">
        <v>7190.57</v>
      </c>
      <c r="D2">
        <v>153.01</v>
      </c>
      <c r="E2">
        <v>7262.38</v>
      </c>
      <c r="F2">
        <v>-1</v>
      </c>
      <c r="G2">
        <v>0</v>
      </c>
      <c r="H2">
        <v>168.73</v>
      </c>
      <c r="I2">
        <v>7936.15</v>
      </c>
      <c r="J2">
        <v>-1</v>
      </c>
      <c r="K2">
        <v>0</v>
      </c>
      <c r="L2">
        <v>-1</v>
      </c>
      <c r="M2">
        <v>574</v>
      </c>
    </row>
    <row r="3" spans="1:13">
      <c r="A3" t="s">
        <v>14</v>
      </c>
      <c r="B3">
        <v>276.68</v>
      </c>
      <c r="C3">
        <v>7706.48</v>
      </c>
      <c r="D3">
        <v>160.93</v>
      </c>
      <c r="E3">
        <v>7195.29</v>
      </c>
      <c r="F3">
        <v>-1</v>
      </c>
      <c r="G3">
        <v>5455.94</v>
      </c>
      <c r="H3">
        <v>172.35</v>
      </c>
      <c r="I3">
        <v>8165.09</v>
      </c>
      <c r="J3">
        <v>-1</v>
      </c>
      <c r="K3">
        <v>0</v>
      </c>
      <c r="L3">
        <v>166.16</v>
      </c>
      <c r="M3">
        <v>7113.37</v>
      </c>
    </row>
    <row r="4" spans="1:13">
      <c r="A4" t="s">
        <v>15</v>
      </c>
      <c r="B4">
        <v>281.32</v>
      </c>
      <c r="C4">
        <v>7499.92</v>
      </c>
      <c r="D4">
        <v>159.42</v>
      </c>
      <c r="E4">
        <v>7483.35</v>
      </c>
      <c r="F4">
        <v>-1</v>
      </c>
      <c r="G4">
        <v>0</v>
      </c>
      <c r="H4">
        <v>179.56</v>
      </c>
      <c r="I4">
        <v>8203.23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278.1</v>
      </c>
      <c r="C5">
        <v>7550.21</v>
      </c>
      <c r="D5">
        <v>159.05</v>
      </c>
      <c r="E5">
        <v>7108.72</v>
      </c>
      <c r="F5">
        <v>-1</v>
      </c>
      <c r="G5">
        <v>0</v>
      </c>
      <c r="H5">
        <v>170.2</v>
      </c>
      <c r="I5">
        <v>7934.76</v>
      </c>
      <c r="J5">
        <v>-1</v>
      </c>
      <c r="K5">
        <v>0</v>
      </c>
      <c r="L5">
        <v>166.31</v>
      </c>
      <c r="M5">
        <v>7021.68</v>
      </c>
    </row>
    <row r="6" spans="1:13">
      <c r="A6" t="s">
        <v>17</v>
      </c>
      <c r="B6">
        <v>267.78</v>
      </c>
      <c r="C6">
        <v>7619.39</v>
      </c>
      <c r="D6">
        <v>156.15</v>
      </c>
      <c r="E6">
        <v>7378.23</v>
      </c>
      <c r="F6">
        <v>-1</v>
      </c>
      <c r="G6">
        <v>0</v>
      </c>
      <c r="H6">
        <v>178.38</v>
      </c>
      <c r="I6">
        <v>8066.71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268.79</v>
      </c>
      <c r="C7">
        <v>7309.94</v>
      </c>
      <c r="D7">
        <v>154.62</v>
      </c>
      <c r="E7">
        <v>7095.11</v>
      </c>
      <c r="F7">
        <v>-1</v>
      </c>
      <c r="G7">
        <v>1168.3</v>
      </c>
      <c r="H7">
        <v>165.63</v>
      </c>
      <c r="I7">
        <v>7930.15</v>
      </c>
      <c r="J7">
        <v>-1</v>
      </c>
      <c r="K7">
        <v>0</v>
      </c>
      <c r="L7">
        <v>167.05</v>
      </c>
      <c r="M7">
        <v>6965.79</v>
      </c>
    </row>
    <row r="8" spans="1:13">
      <c r="A8" t="s">
        <v>19</v>
      </c>
      <c r="B8">
        <v>273.51</v>
      </c>
      <c r="C8">
        <v>7349.04</v>
      </c>
      <c r="D8">
        <v>155.46</v>
      </c>
      <c r="E8">
        <v>7184.18</v>
      </c>
      <c r="F8">
        <v>-1</v>
      </c>
      <c r="G8">
        <v>0</v>
      </c>
      <c r="H8">
        <v>-1</v>
      </c>
      <c r="I8">
        <v>830.75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280.62</v>
      </c>
      <c r="C9">
        <v>7648.4</v>
      </c>
      <c r="D9">
        <v>160.58</v>
      </c>
      <c r="E9">
        <v>7590.8</v>
      </c>
      <c r="F9">
        <v>-1</v>
      </c>
      <c r="G9">
        <v>0</v>
      </c>
      <c r="H9">
        <v>184.89</v>
      </c>
      <c r="I9">
        <v>8296.57</v>
      </c>
      <c r="J9">
        <v>-1</v>
      </c>
      <c r="K9">
        <v>0</v>
      </c>
      <c r="L9">
        <v>-1</v>
      </c>
      <c r="M9">
        <v>595.33</v>
      </c>
    </row>
    <row r="10" spans="1:13">
      <c r="A10" t="s">
        <v>21</v>
      </c>
      <c r="B10">
        <v>281.14</v>
      </c>
      <c r="C10">
        <v>7147.95</v>
      </c>
      <c r="D10">
        <v>157.52</v>
      </c>
      <c r="E10">
        <v>7305.82</v>
      </c>
      <c r="F10">
        <v>-1</v>
      </c>
      <c r="G10">
        <v>0</v>
      </c>
      <c r="H10">
        <v>173.8</v>
      </c>
      <c r="I10">
        <v>8087.87</v>
      </c>
      <c r="J10">
        <v>-1</v>
      </c>
      <c r="K10">
        <v>0</v>
      </c>
      <c r="L10">
        <v>-1</v>
      </c>
      <c r="M10">
        <v>423.43</v>
      </c>
    </row>
    <row r="11" spans="1:13">
      <c r="A11" t="s">
        <v>22</v>
      </c>
      <c r="B11">
        <v>276.37</v>
      </c>
      <c r="C11">
        <v>7555.61</v>
      </c>
      <c r="D11">
        <v>157.64</v>
      </c>
      <c r="E11">
        <v>7151.24</v>
      </c>
      <c r="F11">
        <v>-1</v>
      </c>
      <c r="G11">
        <v>0</v>
      </c>
      <c r="H11">
        <v>162.46</v>
      </c>
      <c r="I11">
        <v>8106.97</v>
      </c>
      <c r="J11">
        <v>-1</v>
      </c>
      <c r="K11">
        <v>0</v>
      </c>
      <c r="L11">
        <v>158.64</v>
      </c>
      <c r="M11">
        <v>7122.68</v>
      </c>
    </row>
    <row r="13" spans="1:42">
      <c r="A13" s="3" t="s">
        <v>23</v>
      </c>
      <c r="B13" s="3" t="s">
        <v>24</v>
      </c>
      <c r="C13" s="3" t="s">
        <v>25</v>
      </c>
      <c r="D13" s="4" t="s">
        <v>26</v>
      </c>
      <c r="E13" s="3" t="s">
        <v>27</v>
      </c>
      <c r="F13" s="3" t="s">
        <v>28</v>
      </c>
      <c r="G13" s="3" t="s">
        <v>29</v>
      </c>
      <c r="H13" s="3" t="s">
        <v>30</v>
      </c>
      <c r="I13" s="3" t="s">
        <v>31</v>
      </c>
      <c r="J13" s="4" t="s">
        <v>32</v>
      </c>
      <c r="K13" s="3" t="s">
        <v>33</v>
      </c>
      <c r="L13" s="3" t="s">
        <v>34</v>
      </c>
      <c r="M13" s="3" t="s">
        <v>35</v>
      </c>
      <c r="N13" s="3" t="s">
        <v>36</v>
      </c>
      <c r="O13" s="3" t="s">
        <v>37</v>
      </c>
      <c r="P13" s="4" t="s">
        <v>38</v>
      </c>
      <c r="Q13" s="3" t="s">
        <v>39</v>
      </c>
      <c r="R13" s="3" t="s">
        <v>40</v>
      </c>
      <c r="S13" s="3" t="s">
        <v>41</v>
      </c>
      <c r="T13" s="3" t="s">
        <v>42</v>
      </c>
      <c r="U13" s="3" t="s">
        <v>43</v>
      </c>
      <c r="V13" s="4" t="s">
        <v>44</v>
      </c>
      <c r="W13" s="3" t="s">
        <v>45</v>
      </c>
      <c r="X13" s="3" t="s">
        <v>46</v>
      </c>
      <c r="Y13" s="3" t="s">
        <v>47</v>
      </c>
      <c r="Z13" s="3" t="s">
        <v>48</v>
      </c>
      <c r="AA13" s="3" t="s">
        <v>49</v>
      </c>
      <c r="AB13" s="4" t="s">
        <v>50</v>
      </c>
      <c r="AC13" s="3" t="s">
        <v>51</v>
      </c>
      <c r="AD13" s="3" t="s">
        <v>52</v>
      </c>
      <c r="AE13" s="3" t="s">
        <v>53</v>
      </c>
      <c r="AF13" s="3" t="s">
        <v>54</v>
      </c>
      <c r="AG13" s="3" t="s">
        <v>55</v>
      </c>
      <c r="AH13" s="4" t="s">
        <v>56</v>
      </c>
      <c r="AI13" s="3" t="s">
        <v>57</v>
      </c>
      <c r="AJ13" s="3" t="s">
        <v>58</v>
      </c>
      <c r="AK13" s="3" t="s">
        <v>59</v>
      </c>
      <c r="AL13" s="3" t="s">
        <v>60</v>
      </c>
      <c r="AM13" s="3" t="s">
        <v>61</v>
      </c>
      <c r="AN13" s="4" t="s">
        <v>62</v>
      </c>
      <c r="AO13" s="3" t="s">
        <v>63</v>
      </c>
      <c r="AP13" s="3" t="s">
        <v>64</v>
      </c>
    </row>
    <row r="14" spans="1:42">
      <c r="A14" s="1">
        <f>IFERROR(AVERAGEIF($B$2:$B$11,"&lt;&gt; -1"),0)</f>
        <v>275.223</v>
      </c>
      <c r="B14" s="1">
        <f>IFERROR(AVERAGEIF($D$2:$D$11,"&lt;&gt; -1"),0)</f>
        <v>157.438</v>
      </c>
      <c r="C14" s="1">
        <f>IFERROR(AVERAGEIF($F$2:$F$11,"&lt;&gt; -1"),0)</f>
        <v>0</v>
      </c>
      <c r="D14" s="1">
        <f>IFERROR(AVERAGEIF($H$2:$H$11,"&lt;&gt; -1"),0)</f>
        <v>172.888888888889</v>
      </c>
      <c r="E14" s="1">
        <f>IFERROR(AVERAGEIF($J$2:$J$11,"&lt;&gt; -1"),0)</f>
        <v>0</v>
      </c>
      <c r="F14" s="1">
        <f>IFERROR(AVERAGEIF($L$2:$L$11,"&lt;&gt; -1"),0)</f>
        <v>164.54</v>
      </c>
      <c r="G14" s="1">
        <f>IFERROR(AVERAGEIFS($C$2:$C$11,$B$2:$B$11,"&lt;&gt; -1"),0)</f>
        <v>7457.751</v>
      </c>
      <c r="H14" s="1">
        <f>IFERROR(AVERAGEIFS($E$2:$E$11,$D$2:$D$11,"&lt;&gt; -1"),0)</f>
        <v>7275.512</v>
      </c>
      <c r="I14" s="1">
        <f>IFERROR(AVERAGEIFS($G$2:$G$11,$F$2:$F$11,"&lt;&gt; -1"),0)</f>
        <v>0</v>
      </c>
      <c r="J14" s="1">
        <f>IFERROR(AVERAGEIFS($I$2:$I$11,$H$2:$H$11,"&lt;&gt; -1"),0)</f>
        <v>8080.83333333333</v>
      </c>
      <c r="K14" s="1">
        <f>IFERROR(AVERAGEIFS($K$2:$K$11,$J$2:$J$11,"&lt;&gt; -1"),0)</f>
        <v>0</v>
      </c>
      <c r="L14" s="1">
        <f>IFERROR(AVERAGEIFS($M$2:$M$11,$L$2:$L$11,"&lt;&gt; -1"),0)</f>
        <v>7055.88</v>
      </c>
      <c r="M14" s="1">
        <f>IFERROR(_xlfn.MAXIFS($B$2:$B$11,$B$2:$B$11,"&lt;&gt; -1"),0)</f>
        <v>281.32</v>
      </c>
      <c r="N14" s="1">
        <f>IFERROR(_xlfn.MAXIFS($D$2:$D$11,$D$2:$D$11,"&lt;&gt;-1"),0)</f>
        <v>160.93</v>
      </c>
      <c r="O14" s="1">
        <f>IFERROR(_xlfn.MAXIFS($F$2:$F$11,$F$2:$F$11,"&lt;&gt; -1"),0)</f>
        <v>0</v>
      </c>
      <c r="P14" s="1">
        <f>IFERROR(_xlfn.MAXIFS($H$2:$H$11,$H$2:$H$11,"&lt;&gt; -1"),0)</f>
        <v>184.89</v>
      </c>
      <c r="Q14" s="1">
        <f>IFERROR(_xlfn.MAXIFS($J$2:$J$11,$J$2:$J$11,"&lt;&gt; -1"),0)</f>
        <v>0</v>
      </c>
      <c r="R14" s="1">
        <f>IFERROR(_xlfn.MAXIFS($L$2:$L$11,$L$2:$L$11,"&lt;&gt; -1"),0)</f>
        <v>167.05</v>
      </c>
      <c r="S14" s="1">
        <f>IFERROR(_xlfn.MINIFS($B$2:$B$11,$B$2:$B$11,"&lt;&gt; -1"),0)</f>
        <v>267.78</v>
      </c>
      <c r="T14" s="1">
        <f>IFERROR(_xlfn.MINIFS($D$2:$D$11,$D$2:$D$11,"&lt;&gt;-1"),0)</f>
        <v>153.01</v>
      </c>
      <c r="U14" s="1">
        <f>IFERROR(_xlfn.MINIFS($F$2:$F$11,$F$2:$F$11,"&lt;&gt; -1"),0)</f>
        <v>0</v>
      </c>
      <c r="V14" s="1">
        <f>IFERROR(_xlfn.MINIFS($H$2:$H$11,$H$2:$H$11,"&lt;&gt; -1"),0)</f>
        <v>162.46</v>
      </c>
      <c r="W14" s="1">
        <f>IFERROR(_xlfn.MINIFS($J$2:$J$11,$J$2:$J$11,"&lt;&gt; -1"),0)</f>
        <v>0</v>
      </c>
      <c r="X14" s="1">
        <f>IFERROR(_xlfn.MINIFS($L$2:$L$11,$L$2:$L$11,"&lt;&gt; -1"),0)</f>
        <v>158.64</v>
      </c>
      <c r="Y14" s="1">
        <f>IFERROR(_xlfn.MAXIFS($C$2:$C$11,$B$2:$B$11,"&lt;&gt; -1"),0)</f>
        <v>7706.48</v>
      </c>
      <c r="Z14" s="1">
        <f>IFERROR(_xlfn.MAXIFS($E$2:$E$11,$D$2:$D$11,"&lt;&gt; -1"),0)</f>
        <v>7590.8</v>
      </c>
      <c r="AA14" s="1">
        <f>IFERROR(_xlfn.MAXIFS($G$2:$G$11,$F$2:$F$11,"&lt;&gt; -1"),0)</f>
        <v>0</v>
      </c>
      <c r="AB14" s="1">
        <f>IFERROR(_xlfn.MAXIFS($I$2:$I$11,$H$2:$H$11,"&lt;&gt; -1"),0)</f>
        <v>8296.57</v>
      </c>
      <c r="AC14" s="1">
        <f>IFERROR(_xlfn.MAXIFS($K$2:$K$11,$J$2:$J$11,"&lt;&gt; -1"),0)</f>
        <v>0</v>
      </c>
      <c r="AD14" s="1">
        <f>IFERROR(_xlfn.MAXIFS($M$2:$M$11,$L$2:$L$11,"&lt;&gt; -1"),0)</f>
        <v>7122.68</v>
      </c>
      <c r="AE14" s="1">
        <f>IFERROR(_xlfn.MINIFS($C$2:$C$11,$B$2:$B$11,"&lt;&gt; -1"),0)</f>
        <v>7147.95</v>
      </c>
      <c r="AF14" s="1">
        <f>IFERROR(_xlfn.MINIFS($E$2:$E$11,$D$2:$D$11,"&lt;&gt; -1"),0)</f>
        <v>7095.11</v>
      </c>
      <c r="AG14" s="1">
        <f>IFERROR(_xlfn.MINIFS($G$2:$G$11,$F$2:$F$11,"&lt;&gt; -1"),0)</f>
        <v>0</v>
      </c>
      <c r="AH14" s="1">
        <f>IFERROR(_xlfn.MINIFS($I$2:$I$11,$H$2:$H$11,"&lt;&gt; -1"),0)</f>
        <v>7930.15</v>
      </c>
      <c r="AI14" s="1">
        <f>IFERROR(_xlfn.MINIFS($K$2:$K$11,$J$2:$J$11,"&lt;&gt; -1"),0)</f>
        <v>0</v>
      </c>
      <c r="AJ14" s="1">
        <f>IFERROR(_xlfn.MINIFS($M$2:$M$11,$L$2:$L$11,"&lt;&gt; -1"),0)</f>
        <v>6965.79</v>
      </c>
      <c r="AK14" s="1">
        <f>(COUNTIFS($B$2:$B$11,"&gt;0.0",$B$2:$B$11,"&lt;300.0"))/10</f>
        <v>1</v>
      </c>
      <c r="AL14" s="1">
        <f>(COUNTIFS($D$2:$D$11,"&gt;0.0",$D$2:$D$11,"&lt;300.0"))/10</f>
        <v>1</v>
      </c>
      <c r="AM14" s="1">
        <f>(COUNTIFS($F$2:$F$11,"&gt;0.0",$F$2:$F$11,"&lt;300.0"))/10</f>
        <v>0</v>
      </c>
      <c r="AN14" s="1">
        <f>(COUNTIFS($H$2:$H11,"&gt;0.0",$H$2:$H$11,"&lt;300.0"))/10</f>
        <v>0.9</v>
      </c>
      <c r="AO14" s="1">
        <f>(COUNTIFS($J$2:$J$11,"&gt;0.0",$J$2:$J$11,"&lt;300.0"))/10</f>
        <v>0</v>
      </c>
      <c r="AP14" s="1">
        <f>(COUNTIFS($L$2:$L$11,"&gt;0.0",$L$2:$L$11,"&lt;300.0"))/10</f>
        <v>0.4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13</v>
      </c>
      <c r="B2">
        <v>277.15</v>
      </c>
      <c r="C2">
        <v>7376.83</v>
      </c>
      <c r="D2">
        <v>170.13</v>
      </c>
      <c r="E2">
        <v>7310.24</v>
      </c>
      <c r="F2">
        <v>-1</v>
      </c>
      <c r="G2">
        <v>0</v>
      </c>
      <c r="H2">
        <v>-1</v>
      </c>
      <c r="I2">
        <v>6471.4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281.99</v>
      </c>
      <c r="C3">
        <v>7893.8</v>
      </c>
      <c r="D3">
        <v>173.41</v>
      </c>
      <c r="E3">
        <v>7339.11</v>
      </c>
      <c r="F3">
        <v>-1</v>
      </c>
      <c r="G3">
        <v>0</v>
      </c>
      <c r="H3">
        <v>187.47</v>
      </c>
      <c r="I3">
        <v>8135.84</v>
      </c>
      <c r="J3">
        <v>-1</v>
      </c>
      <c r="K3">
        <v>0</v>
      </c>
      <c r="L3">
        <v>183.96</v>
      </c>
      <c r="M3">
        <v>7171.87</v>
      </c>
    </row>
    <row r="4" spans="1:13">
      <c r="A4" t="s">
        <v>15</v>
      </c>
      <c r="B4">
        <v>281.74</v>
      </c>
      <c r="C4">
        <v>7653.55</v>
      </c>
      <c r="D4">
        <v>170.36</v>
      </c>
      <c r="E4">
        <v>7204.1</v>
      </c>
      <c r="F4">
        <v>-1</v>
      </c>
      <c r="G4">
        <v>0</v>
      </c>
      <c r="H4">
        <v>188.88</v>
      </c>
      <c r="I4">
        <v>7964.65</v>
      </c>
      <c r="J4">
        <v>-1</v>
      </c>
      <c r="K4">
        <v>0</v>
      </c>
      <c r="L4">
        <v>187.83</v>
      </c>
      <c r="M4">
        <v>7090.46</v>
      </c>
    </row>
    <row r="5" spans="1:13">
      <c r="A5" t="s">
        <v>16</v>
      </c>
      <c r="B5">
        <v>280.79</v>
      </c>
      <c r="C5">
        <v>7789.86</v>
      </c>
      <c r="D5">
        <v>171.67</v>
      </c>
      <c r="E5">
        <v>7395.83</v>
      </c>
      <c r="F5">
        <v>-1</v>
      </c>
      <c r="G5">
        <v>0</v>
      </c>
      <c r="H5">
        <v>-1</v>
      </c>
      <c r="I5">
        <v>810.45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278.33</v>
      </c>
      <c r="C6">
        <v>7750.98</v>
      </c>
      <c r="D6">
        <v>169.35</v>
      </c>
      <c r="E6">
        <v>7070.65</v>
      </c>
      <c r="F6">
        <v>-1</v>
      </c>
      <c r="G6">
        <v>0</v>
      </c>
      <c r="H6">
        <v>185.43</v>
      </c>
      <c r="I6">
        <v>7903.88</v>
      </c>
      <c r="J6">
        <v>-1</v>
      </c>
      <c r="K6">
        <v>0</v>
      </c>
      <c r="L6">
        <v>-1</v>
      </c>
      <c r="M6">
        <v>2986.3</v>
      </c>
    </row>
    <row r="7" spans="1:13">
      <c r="A7" t="s">
        <v>18</v>
      </c>
      <c r="B7">
        <v>275.53</v>
      </c>
      <c r="C7">
        <v>7562.42</v>
      </c>
      <c r="D7">
        <v>164.85</v>
      </c>
      <c r="E7">
        <v>7008.81</v>
      </c>
      <c r="F7">
        <v>-1</v>
      </c>
      <c r="G7">
        <v>0</v>
      </c>
      <c r="H7">
        <v>176.28</v>
      </c>
      <c r="I7">
        <v>7893.74</v>
      </c>
      <c r="J7">
        <v>-1</v>
      </c>
      <c r="K7">
        <v>0</v>
      </c>
      <c r="L7">
        <v>188.24</v>
      </c>
      <c r="M7">
        <v>6976.46</v>
      </c>
    </row>
    <row r="8" spans="1:13">
      <c r="A8" t="s">
        <v>19</v>
      </c>
      <c r="B8">
        <v>274.93</v>
      </c>
      <c r="C8">
        <v>7479.17</v>
      </c>
      <c r="D8">
        <v>166.39</v>
      </c>
      <c r="E8">
        <v>7337</v>
      </c>
      <c r="F8">
        <v>-1</v>
      </c>
      <c r="G8">
        <v>0</v>
      </c>
      <c r="H8">
        <v>191.75</v>
      </c>
      <c r="I8">
        <v>7985.86</v>
      </c>
      <c r="J8">
        <v>-1</v>
      </c>
      <c r="K8">
        <v>0</v>
      </c>
      <c r="L8">
        <v>-1</v>
      </c>
      <c r="M8">
        <v>781.23</v>
      </c>
    </row>
    <row r="9" spans="1:13">
      <c r="A9" t="s">
        <v>20</v>
      </c>
      <c r="B9">
        <v>281.27</v>
      </c>
      <c r="C9">
        <v>7906.39</v>
      </c>
      <c r="D9">
        <v>171.85</v>
      </c>
      <c r="E9">
        <v>7496.74</v>
      </c>
      <c r="F9">
        <v>-1</v>
      </c>
      <c r="G9">
        <v>0</v>
      </c>
      <c r="H9">
        <v>195.17</v>
      </c>
      <c r="I9">
        <v>8196.22</v>
      </c>
      <c r="J9">
        <v>-1</v>
      </c>
      <c r="K9">
        <v>0</v>
      </c>
      <c r="L9">
        <v>-1</v>
      </c>
      <c r="M9">
        <v>540.1</v>
      </c>
    </row>
    <row r="10" spans="1:13">
      <c r="A10" t="s">
        <v>21</v>
      </c>
      <c r="B10">
        <v>283.94</v>
      </c>
      <c r="C10">
        <v>7429.87</v>
      </c>
      <c r="D10">
        <v>169.4</v>
      </c>
      <c r="E10">
        <v>6841.98</v>
      </c>
      <c r="F10">
        <v>-1</v>
      </c>
      <c r="G10">
        <v>0</v>
      </c>
      <c r="H10">
        <v>175.37</v>
      </c>
      <c r="I10">
        <v>7834.84</v>
      </c>
      <c r="J10">
        <v>-1</v>
      </c>
      <c r="K10">
        <v>0</v>
      </c>
      <c r="L10">
        <v>171.81</v>
      </c>
      <c r="M10">
        <v>6828.38</v>
      </c>
    </row>
    <row r="11" spans="1:13">
      <c r="A11" t="s">
        <v>22</v>
      </c>
      <c r="B11">
        <v>279.46</v>
      </c>
      <c r="C11">
        <v>7729.93</v>
      </c>
      <c r="D11">
        <v>170.2</v>
      </c>
      <c r="E11">
        <v>7469.61</v>
      </c>
      <c r="F11">
        <v>-1</v>
      </c>
      <c r="G11">
        <v>0</v>
      </c>
      <c r="H11">
        <v>190.54</v>
      </c>
      <c r="I11">
        <v>8242.98</v>
      </c>
      <c r="J11">
        <v>-1</v>
      </c>
      <c r="K11">
        <v>0</v>
      </c>
      <c r="L11">
        <v>-1</v>
      </c>
      <c r="M11">
        <v>0</v>
      </c>
    </row>
    <row r="13" spans="1:42">
      <c r="A13" s="3" t="s">
        <v>23</v>
      </c>
      <c r="B13" s="3" t="s">
        <v>24</v>
      </c>
      <c r="C13" s="3" t="s">
        <v>25</v>
      </c>
      <c r="D13" s="4" t="s">
        <v>26</v>
      </c>
      <c r="E13" s="3" t="s">
        <v>27</v>
      </c>
      <c r="F13" s="3" t="s">
        <v>28</v>
      </c>
      <c r="G13" s="3" t="s">
        <v>29</v>
      </c>
      <c r="H13" s="3" t="s">
        <v>30</v>
      </c>
      <c r="I13" s="3" t="s">
        <v>31</v>
      </c>
      <c r="J13" s="4" t="s">
        <v>32</v>
      </c>
      <c r="K13" s="3" t="s">
        <v>33</v>
      </c>
      <c r="L13" s="3" t="s">
        <v>34</v>
      </c>
      <c r="M13" s="3" t="s">
        <v>35</v>
      </c>
      <c r="N13" s="3" t="s">
        <v>36</v>
      </c>
      <c r="O13" s="3" t="s">
        <v>37</v>
      </c>
      <c r="P13" s="4" t="s">
        <v>38</v>
      </c>
      <c r="Q13" s="3" t="s">
        <v>39</v>
      </c>
      <c r="R13" s="3" t="s">
        <v>40</v>
      </c>
      <c r="S13" s="3" t="s">
        <v>41</v>
      </c>
      <c r="T13" s="3" t="s">
        <v>42</v>
      </c>
      <c r="U13" s="3" t="s">
        <v>43</v>
      </c>
      <c r="V13" s="4" t="s">
        <v>44</v>
      </c>
      <c r="W13" s="3" t="s">
        <v>45</v>
      </c>
      <c r="X13" s="3" t="s">
        <v>46</v>
      </c>
      <c r="Y13" s="3" t="s">
        <v>47</v>
      </c>
      <c r="Z13" s="3" t="s">
        <v>48</v>
      </c>
      <c r="AA13" s="3" t="s">
        <v>49</v>
      </c>
      <c r="AB13" s="4" t="s">
        <v>50</v>
      </c>
      <c r="AC13" s="3" t="s">
        <v>51</v>
      </c>
      <c r="AD13" s="3" t="s">
        <v>52</v>
      </c>
      <c r="AE13" s="3" t="s">
        <v>53</v>
      </c>
      <c r="AF13" s="3" t="s">
        <v>54</v>
      </c>
      <c r="AG13" s="3" t="s">
        <v>55</v>
      </c>
      <c r="AH13" s="4" t="s">
        <v>56</v>
      </c>
      <c r="AI13" s="3" t="s">
        <v>57</v>
      </c>
      <c r="AJ13" s="3" t="s">
        <v>58</v>
      </c>
      <c r="AK13" s="3" t="s">
        <v>59</v>
      </c>
      <c r="AL13" s="3" t="s">
        <v>60</v>
      </c>
      <c r="AM13" s="3" t="s">
        <v>61</v>
      </c>
      <c r="AN13" s="4" t="s">
        <v>62</v>
      </c>
      <c r="AO13" s="3" t="s">
        <v>63</v>
      </c>
      <c r="AP13" s="3" t="s">
        <v>64</v>
      </c>
    </row>
    <row r="14" spans="1:42">
      <c r="A14" s="1">
        <f>IFERROR(AVERAGEIF($B$2:$B$11,"&lt;&gt; -1"),0)</f>
        <v>279.513</v>
      </c>
      <c r="B14" s="1">
        <f>IFERROR(AVERAGEIF($D$2:$D$11,"&lt;&gt; -1"),0)</f>
        <v>169.761</v>
      </c>
      <c r="C14" s="1">
        <f>IFERROR(AVERAGEIF($F$2:$F$11,"&lt;&gt; -1"),0)</f>
        <v>0</v>
      </c>
      <c r="D14" s="1">
        <f>IFERROR(AVERAGEIF($H$2:$H$11,"&lt;&gt; -1"),0)</f>
        <v>186.36125</v>
      </c>
      <c r="E14" s="1">
        <f>IFERROR(AVERAGEIF($J$2:$J$11,"&lt;&gt; -1"),0)</f>
        <v>0</v>
      </c>
      <c r="F14" s="1">
        <f>IFERROR(AVERAGEIF($L$2:$L$11,"&lt;&gt; -1"),0)</f>
        <v>182.96</v>
      </c>
      <c r="G14" s="1">
        <f>IFERROR(AVERAGEIFS($C$2:$C$11,$B$2:$B$11,"&lt;&gt; -1"),0)</f>
        <v>7657.28</v>
      </c>
      <c r="H14" s="1">
        <f>IFERROR(AVERAGEIFS($E$2:$E$11,$D$2:$D$11,"&lt;&gt; -1"),0)</f>
        <v>7247.407</v>
      </c>
      <c r="I14" s="1">
        <f>IFERROR(AVERAGEIFS($G$2:$G$11,$F$2:$F$11,"&lt;&gt; -1"),0)</f>
        <v>0</v>
      </c>
      <c r="J14" s="1">
        <f>IFERROR(AVERAGEIFS($I$2:$I$11,$H$2:$H$11,"&lt;&gt; -1"),0)</f>
        <v>8019.75125</v>
      </c>
      <c r="K14" s="1">
        <f>IFERROR(AVERAGEIFS($K$2:$K$11,$J$2:$J$11,"&lt;&gt; -1"),0)</f>
        <v>0</v>
      </c>
      <c r="L14" s="1">
        <f>IFERROR(AVERAGEIFS($M$2:$M$11,$L$2:$L$11,"&lt;&gt; -1"),0)</f>
        <v>7016.7925</v>
      </c>
      <c r="M14" s="1">
        <f>IFERROR(_xlfn.MAXIFS($B$2:$B$11,$B$2:$B$11,"&lt;&gt; -1"),0)</f>
        <v>283.94</v>
      </c>
      <c r="N14" s="1">
        <f>IFERROR(_xlfn.MAXIFS($D$2:$D$11,$D$2:$D$11,"&lt;&gt;-1"),0)</f>
        <v>173.41</v>
      </c>
      <c r="O14" s="1">
        <f>IFERROR(_xlfn.MAXIFS($F$2:$F$11,$F$2:$F$11,"&lt;&gt; -1"),0)</f>
        <v>0</v>
      </c>
      <c r="P14" s="1">
        <f>IFERROR(_xlfn.MAXIFS($H$2:$H$11,$H$2:$H$11,"&lt;&gt; -1"),0)</f>
        <v>195.17</v>
      </c>
      <c r="Q14" s="1">
        <f>IFERROR(_xlfn.MAXIFS($J$2:$J$11,$J$2:$J$11,"&lt;&gt; -1"),0)</f>
        <v>0</v>
      </c>
      <c r="R14" s="1">
        <f>IFERROR(_xlfn.MAXIFS($L$2:$L$11,$L$2:$L$11,"&lt;&gt; -1"),0)</f>
        <v>188.24</v>
      </c>
      <c r="S14" s="1">
        <f>IFERROR(_xlfn.MINIFS($B$2:$B$11,$B$2:$B$11,"&lt;&gt; -1"),0)</f>
        <v>274.93</v>
      </c>
      <c r="T14" s="1">
        <f>IFERROR(_xlfn.MINIFS($D$2:$D$11,$D$2:$D$11,"&lt;&gt;-1"),0)</f>
        <v>164.85</v>
      </c>
      <c r="U14" s="1">
        <f>IFERROR(_xlfn.MINIFS($F$2:$F$11,$F$2:$F$11,"&lt;&gt; -1"),0)</f>
        <v>0</v>
      </c>
      <c r="V14" s="1">
        <f>IFERROR(_xlfn.MINIFS($H$2:$H$11,$H$2:$H$11,"&lt;&gt; -1"),0)</f>
        <v>175.37</v>
      </c>
      <c r="W14" s="1">
        <f>IFERROR(_xlfn.MINIFS($J$2:$J$11,$J$2:$J$11,"&lt;&gt; -1"),0)</f>
        <v>0</v>
      </c>
      <c r="X14" s="1">
        <f>IFERROR(_xlfn.MINIFS($L$2:$L$11,$L$2:$L$11,"&lt;&gt; -1"),0)</f>
        <v>171.81</v>
      </c>
      <c r="Y14" s="1">
        <f>IFERROR(_xlfn.MAXIFS($C$2:$C$11,$B$2:$B$11,"&lt;&gt; -1"),0)</f>
        <v>7906.39</v>
      </c>
      <c r="Z14" s="1">
        <f>IFERROR(_xlfn.MAXIFS($E$2:$E$11,$D$2:$D$11,"&lt;&gt; -1"),0)</f>
        <v>7496.74</v>
      </c>
      <c r="AA14" s="1">
        <f>IFERROR(_xlfn.MAXIFS($G$2:$G$11,$F$2:$F$11,"&lt;&gt; -1"),0)</f>
        <v>0</v>
      </c>
      <c r="AB14" s="1">
        <f>IFERROR(_xlfn.MAXIFS($I$2:$I$11,$H$2:$H$11,"&lt;&gt; -1"),0)</f>
        <v>8242.98</v>
      </c>
      <c r="AC14" s="1">
        <f>IFERROR(_xlfn.MAXIFS($K$2:$K$11,$J$2:$J$11,"&lt;&gt; -1"),0)</f>
        <v>0</v>
      </c>
      <c r="AD14" s="1">
        <f>IFERROR(_xlfn.MAXIFS($M$2:$M$11,$L$2:$L$11,"&lt;&gt; -1"),0)</f>
        <v>7171.87</v>
      </c>
      <c r="AE14" s="1">
        <f>IFERROR(_xlfn.MINIFS($C$2:$C$11,$B$2:$B$11,"&lt;&gt; -1"),0)</f>
        <v>7376.83</v>
      </c>
      <c r="AF14" s="1">
        <f>IFERROR(_xlfn.MINIFS($E$2:$E$11,$D$2:$D$11,"&lt;&gt; -1"),0)</f>
        <v>6841.98</v>
      </c>
      <c r="AG14" s="1">
        <f>IFERROR(_xlfn.MINIFS($G$2:$G$11,$F$2:$F$11,"&lt;&gt; -1"),0)</f>
        <v>0</v>
      </c>
      <c r="AH14" s="1">
        <f>IFERROR(_xlfn.MINIFS($I$2:$I$11,$H$2:$H$11,"&lt;&gt; -1"),0)</f>
        <v>7834.84</v>
      </c>
      <c r="AI14" s="1">
        <f>IFERROR(_xlfn.MINIFS($K$2:$K$11,$J$2:$J$11,"&lt;&gt; -1"),0)</f>
        <v>0</v>
      </c>
      <c r="AJ14" s="1">
        <f>IFERROR(_xlfn.MINIFS($M$2:$M$11,$L$2:$L$11,"&lt;&gt; -1"),0)</f>
        <v>6828.38</v>
      </c>
      <c r="AK14" s="1">
        <f>(COUNTIFS($B$2:$B$11,"&gt;0.0",$B$2:$B$11,"&lt;300.0"))/10</f>
        <v>1</v>
      </c>
      <c r="AL14" s="1">
        <f>(COUNTIFS($D$2:$D$11,"&gt;0.0",$D$2:$D$11,"&lt;300.0"))/10</f>
        <v>1</v>
      </c>
      <c r="AM14" s="1">
        <f>(COUNTIFS($F$2:$F$11,"&gt;0.0",$F$2:$F$11,"&lt;300.0"))/10</f>
        <v>0</v>
      </c>
      <c r="AN14" s="1">
        <f>(COUNTIFS($H$2:$H11,"&gt;0.0",$H$2:$H$11,"&lt;300.0"))/10</f>
        <v>0.8</v>
      </c>
      <c r="AO14" s="1">
        <f>(COUNTIFS($J$2:$J$11,"&gt;0.0",$J$2:$J$11,"&lt;300.0"))/10</f>
        <v>0</v>
      </c>
      <c r="AP14" s="1">
        <f>(COUNTIFS($L$2:$L$11,"&gt;0.0",$L$2:$L$11,"&lt;300.0"))/10</f>
        <v>0.4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13</v>
      </c>
      <c r="B2">
        <v>279.47</v>
      </c>
      <c r="C2">
        <v>7325.29</v>
      </c>
      <c r="D2">
        <v>181.39</v>
      </c>
      <c r="E2">
        <v>7198.75</v>
      </c>
      <c r="F2">
        <v>-1</v>
      </c>
      <c r="G2">
        <v>0</v>
      </c>
      <c r="H2">
        <v>190.04</v>
      </c>
      <c r="I2">
        <v>7978.82</v>
      </c>
      <c r="J2">
        <v>-1</v>
      </c>
      <c r="K2">
        <v>0</v>
      </c>
      <c r="L2">
        <v>-1</v>
      </c>
      <c r="M2">
        <v>302.42</v>
      </c>
    </row>
    <row r="3" spans="1:13">
      <c r="A3" t="s">
        <v>14</v>
      </c>
      <c r="B3">
        <v>286.29</v>
      </c>
      <c r="C3">
        <v>7613.01</v>
      </c>
      <c r="D3">
        <v>187.53</v>
      </c>
      <c r="E3">
        <v>7595.07</v>
      </c>
      <c r="F3">
        <v>-1</v>
      </c>
      <c r="G3">
        <v>0</v>
      </c>
      <c r="H3">
        <v>-1</v>
      </c>
      <c r="I3">
        <v>6145.5</v>
      </c>
      <c r="J3">
        <v>-1</v>
      </c>
      <c r="K3">
        <v>0</v>
      </c>
      <c r="L3">
        <v>-1</v>
      </c>
      <c r="M3">
        <v>547.42</v>
      </c>
    </row>
    <row r="4" spans="1:13">
      <c r="A4" t="s">
        <v>15</v>
      </c>
      <c r="B4">
        <v>286.02</v>
      </c>
      <c r="C4">
        <v>7641.13</v>
      </c>
      <c r="D4">
        <v>185.22</v>
      </c>
      <c r="E4">
        <v>7356.47</v>
      </c>
      <c r="F4">
        <v>-1</v>
      </c>
      <c r="G4">
        <v>0</v>
      </c>
      <c r="H4">
        <v>202.56</v>
      </c>
      <c r="I4">
        <v>8248.52</v>
      </c>
      <c r="J4">
        <v>-1</v>
      </c>
      <c r="K4">
        <v>0</v>
      </c>
      <c r="L4">
        <v>200.49</v>
      </c>
      <c r="M4">
        <v>7274.42</v>
      </c>
    </row>
    <row r="5" spans="1:13">
      <c r="A5" t="s">
        <v>16</v>
      </c>
      <c r="B5">
        <v>285.42</v>
      </c>
      <c r="C5">
        <v>7588.76</v>
      </c>
      <c r="D5">
        <v>183.74</v>
      </c>
      <c r="E5">
        <v>7349.89</v>
      </c>
      <c r="F5">
        <v>-1</v>
      </c>
      <c r="G5">
        <v>0</v>
      </c>
      <c r="H5">
        <v>201.36</v>
      </c>
      <c r="I5">
        <v>8282.67</v>
      </c>
      <c r="J5">
        <v>-1</v>
      </c>
      <c r="K5">
        <v>0</v>
      </c>
      <c r="L5">
        <v>-1</v>
      </c>
      <c r="M5">
        <v>462.13</v>
      </c>
    </row>
    <row r="6" spans="1:13">
      <c r="A6" t="s">
        <v>17</v>
      </c>
      <c r="B6">
        <v>279.5</v>
      </c>
      <c r="C6">
        <v>7608.24</v>
      </c>
      <c r="D6">
        <v>182.31</v>
      </c>
      <c r="E6">
        <v>7185.97</v>
      </c>
      <c r="F6">
        <v>-1</v>
      </c>
      <c r="G6">
        <v>0</v>
      </c>
      <c r="H6">
        <v>205.09</v>
      </c>
      <c r="I6">
        <v>7958.78</v>
      </c>
      <c r="J6">
        <v>-1</v>
      </c>
      <c r="K6">
        <v>0</v>
      </c>
      <c r="L6">
        <v>192.16</v>
      </c>
      <c r="M6">
        <v>7059.82</v>
      </c>
    </row>
    <row r="7" spans="1:13">
      <c r="A7" t="s">
        <v>18</v>
      </c>
      <c r="B7">
        <v>283.41</v>
      </c>
      <c r="C7">
        <v>7535.82</v>
      </c>
      <c r="D7">
        <v>183.62</v>
      </c>
      <c r="E7">
        <v>7106.96</v>
      </c>
      <c r="F7">
        <v>-1</v>
      </c>
      <c r="G7">
        <v>0</v>
      </c>
      <c r="H7">
        <v>204.97</v>
      </c>
      <c r="I7">
        <v>7942.39</v>
      </c>
      <c r="J7">
        <v>-1</v>
      </c>
      <c r="K7">
        <v>0</v>
      </c>
      <c r="L7">
        <v>193.24</v>
      </c>
      <c r="M7">
        <v>7010.59</v>
      </c>
    </row>
    <row r="8" spans="1:13">
      <c r="A8" t="s">
        <v>19</v>
      </c>
      <c r="B8">
        <v>281.7</v>
      </c>
      <c r="C8">
        <v>7465.37</v>
      </c>
      <c r="D8">
        <v>180.58</v>
      </c>
      <c r="E8">
        <v>7219.56</v>
      </c>
      <c r="F8">
        <v>-1</v>
      </c>
      <c r="G8">
        <v>0</v>
      </c>
      <c r="H8">
        <v>191.17</v>
      </c>
      <c r="I8">
        <v>8095.02</v>
      </c>
      <c r="J8">
        <v>-1</v>
      </c>
      <c r="K8">
        <v>0</v>
      </c>
      <c r="L8">
        <v>204.95</v>
      </c>
      <c r="M8">
        <v>7175.51</v>
      </c>
    </row>
    <row r="9" spans="1:13">
      <c r="A9" t="s">
        <v>20</v>
      </c>
      <c r="B9">
        <v>282.18</v>
      </c>
      <c r="C9">
        <v>7710.44</v>
      </c>
      <c r="D9">
        <v>183.65</v>
      </c>
      <c r="E9">
        <v>7275.14</v>
      </c>
      <c r="F9">
        <v>-1</v>
      </c>
      <c r="G9">
        <v>0</v>
      </c>
      <c r="H9">
        <v>207.27</v>
      </c>
      <c r="I9">
        <v>7933.92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283.33</v>
      </c>
      <c r="C10">
        <v>7458.37</v>
      </c>
      <c r="D10">
        <v>181.52</v>
      </c>
      <c r="E10">
        <v>6714.82</v>
      </c>
      <c r="F10">
        <v>-1</v>
      </c>
      <c r="G10">
        <v>0</v>
      </c>
      <c r="H10">
        <v>183.58</v>
      </c>
      <c r="I10">
        <v>7810.55</v>
      </c>
      <c r="J10">
        <v>-1</v>
      </c>
      <c r="K10">
        <v>0</v>
      </c>
      <c r="L10">
        <v>181.7</v>
      </c>
      <c r="M10">
        <v>6714.82</v>
      </c>
    </row>
    <row r="11" spans="1:13">
      <c r="A11" t="s">
        <v>22</v>
      </c>
      <c r="B11">
        <v>284.09</v>
      </c>
      <c r="C11">
        <v>7528.93</v>
      </c>
      <c r="D11">
        <v>184.32</v>
      </c>
      <c r="E11">
        <v>7539.53</v>
      </c>
      <c r="F11">
        <v>-1</v>
      </c>
      <c r="G11">
        <v>0</v>
      </c>
      <c r="H11">
        <v>-1</v>
      </c>
      <c r="I11">
        <v>0</v>
      </c>
      <c r="J11">
        <v>-1</v>
      </c>
      <c r="K11">
        <v>0</v>
      </c>
      <c r="L11">
        <v>-1</v>
      </c>
      <c r="M11">
        <v>0</v>
      </c>
    </row>
    <row r="13" spans="1:42">
      <c r="A13" s="3" t="s">
        <v>23</v>
      </c>
      <c r="B13" s="3" t="s">
        <v>24</v>
      </c>
      <c r="C13" s="3" t="s">
        <v>25</v>
      </c>
      <c r="D13" s="4" t="s">
        <v>26</v>
      </c>
      <c r="E13" s="3" t="s">
        <v>27</v>
      </c>
      <c r="F13" s="3" t="s">
        <v>28</v>
      </c>
      <c r="G13" s="3" t="s">
        <v>29</v>
      </c>
      <c r="H13" s="3" t="s">
        <v>30</v>
      </c>
      <c r="I13" s="3" t="s">
        <v>31</v>
      </c>
      <c r="J13" s="4" t="s">
        <v>32</v>
      </c>
      <c r="K13" s="3" t="s">
        <v>33</v>
      </c>
      <c r="L13" s="3" t="s">
        <v>34</v>
      </c>
      <c r="M13" s="3" t="s">
        <v>35</v>
      </c>
      <c r="N13" s="3" t="s">
        <v>36</v>
      </c>
      <c r="O13" s="3" t="s">
        <v>37</v>
      </c>
      <c r="P13" s="4" t="s">
        <v>38</v>
      </c>
      <c r="Q13" s="3" t="s">
        <v>39</v>
      </c>
      <c r="R13" s="3" t="s">
        <v>40</v>
      </c>
      <c r="S13" s="3" t="s">
        <v>41</v>
      </c>
      <c r="T13" s="3" t="s">
        <v>42</v>
      </c>
      <c r="U13" s="3" t="s">
        <v>43</v>
      </c>
      <c r="V13" s="4" t="s">
        <v>44</v>
      </c>
      <c r="W13" s="3" t="s">
        <v>45</v>
      </c>
      <c r="X13" s="3" t="s">
        <v>46</v>
      </c>
      <c r="Y13" s="3" t="s">
        <v>47</v>
      </c>
      <c r="Z13" s="3" t="s">
        <v>48</v>
      </c>
      <c r="AA13" s="3" t="s">
        <v>49</v>
      </c>
      <c r="AB13" s="4" t="s">
        <v>50</v>
      </c>
      <c r="AC13" s="3" t="s">
        <v>51</v>
      </c>
      <c r="AD13" s="3" t="s">
        <v>52</v>
      </c>
      <c r="AE13" s="3" t="s">
        <v>53</v>
      </c>
      <c r="AF13" s="3" t="s">
        <v>54</v>
      </c>
      <c r="AG13" s="3" t="s">
        <v>55</v>
      </c>
      <c r="AH13" s="4" t="s">
        <v>56</v>
      </c>
      <c r="AI13" s="3" t="s">
        <v>57</v>
      </c>
      <c r="AJ13" s="3" t="s">
        <v>58</v>
      </c>
      <c r="AK13" s="3" t="s">
        <v>59</v>
      </c>
      <c r="AL13" s="3" t="s">
        <v>60</v>
      </c>
      <c r="AM13" s="3" t="s">
        <v>61</v>
      </c>
      <c r="AN13" s="4" t="s">
        <v>62</v>
      </c>
      <c r="AO13" s="3" t="s">
        <v>63</v>
      </c>
      <c r="AP13" s="3" t="s">
        <v>64</v>
      </c>
    </row>
    <row r="14" spans="1:42">
      <c r="A14" s="1">
        <f>IFERROR(AVERAGEIF($B$2:$B$11,"&lt;&gt; -1"),0)</f>
        <v>283.141</v>
      </c>
      <c r="B14" s="1">
        <f>IFERROR(AVERAGEIF($D$2:$D$11,"&lt;&gt; -1"),0)</f>
        <v>183.388</v>
      </c>
      <c r="C14" s="1">
        <f>IFERROR(AVERAGEIF($F$2:$F$11,"&lt;&gt; -1"),0)</f>
        <v>0</v>
      </c>
      <c r="D14" s="1">
        <f>IFERROR(AVERAGEIF($H$2:$H$11,"&lt;&gt; -1"),0)</f>
        <v>198.255</v>
      </c>
      <c r="E14" s="1">
        <f>IFERROR(AVERAGEIF($J$2:$J$11,"&lt;&gt; -1"),0)</f>
        <v>0</v>
      </c>
      <c r="F14" s="1">
        <f>IFERROR(AVERAGEIF($L$2:$L$11,"&lt;&gt; -1"),0)</f>
        <v>194.508</v>
      </c>
      <c r="G14" s="1">
        <f>IFERROR(AVERAGEIFS($C$2:$C$11,$B$2:$B$11,"&lt;&gt; -1"),0)</f>
        <v>7547.536</v>
      </c>
      <c r="H14" s="1">
        <f>IFERROR(AVERAGEIFS($E$2:$E$11,$D$2:$D$11,"&lt;&gt; -1"),0)</f>
        <v>7254.216</v>
      </c>
      <c r="I14" s="1">
        <f>IFERROR(AVERAGEIFS($G$2:$G$11,$F$2:$F$11,"&lt;&gt; -1"),0)</f>
        <v>0</v>
      </c>
      <c r="J14" s="1">
        <f>IFERROR(AVERAGEIFS($I$2:$I$11,$H$2:$H$11,"&lt;&gt; -1"),0)</f>
        <v>8031.33375</v>
      </c>
      <c r="K14" s="1">
        <f>IFERROR(AVERAGEIFS($K$2:$K$11,$J$2:$J$11,"&lt;&gt; -1"),0)</f>
        <v>0</v>
      </c>
      <c r="L14" s="1">
        <f>IFERROR(AVERAGEIFS($M$2:$M$11,$L$2:$L$11,"&lt;&gt; -1"),0)</f>
        <v>7047.032</v>
      </c>
      <c r="M14" s="1">
        <f>IFERROR(_xlfn.MAXIFS($B$2:$B$11,$B$2:$B$11,"&lt;&gt; -1"),0)</f>
        <v>286.29</v>
      </c>
      <c r="N14" s="1">
        <f>IFERROR(_xlfn.MAXIFS($D$2:$D$11,$D$2:$D$11,"&lt;&gt;-1"),0)</f>
        <v>187.53</v>
      </c>
      <c r="O14" s="1">
        <f>IFERROR(_xlfn.MAXIFS($F$2:$F$11,$F$2:$F$11,"&lt;&gt; -1"),0)</f>
        <v>0</v>
      </c>
      <c r="P14" s="1">
        <f>IFERROR(_xlfn.MAXIFS($H$2:$H$11,$H$2:$H$11,"&lt;&gt; -1"),0)</f>
        <v>207.27</v>
      </c>
      <c r="Q14" s="1">
        <f>IFERROR(_xlfn.MAXIFS($J$2:$J$11,$J$2:$J$11,"&lt;&gt; -1"),0)</f>
        <v>0</v>
      </c>
      <c r="R14" s="1">
        <f>IFERROR(_xlfn.MAXIFS($L$2:$L$11,$L$2:$L$11,"&lt;&gt; -1"),0)</f>
        <v>204.95</v>
      </c>
      <c r="S14" s="1">
        <f>IFERROR(_xlfn.MINIFS($B$2:$B$11,$B$2:$B$11,"&lt;&gt; -1"),0)</f>
        <v>279.47</v>
      </c>
      <c r="T14" s="1">
        <f>IFERROR(_xlfn.MINIFS($D$2:$D$11,$D$2:$D$11,"&lt;&gt;-1"),0)</f>
        <v>180.58</v>
      </c>
      <c r="U14" s="1">
        <f>IFERROR(_xlfn.MINIFS($F$2:$F$11,$F$2:$F$11,"&lt;&gt; -1"),0)</f>
        <v>0</v>
      </c>
      <c r="V14" s="1">
        <f>IFERROR(_xlfn.MINIFS($H$2:$H$11,$H$2:$H$11,"&lt;&gt; -1"),0)</f>
        <v>183.58</v>
      </c>
      <c r="W14" s="1">
        <f>IFERROR(_xlfn.MINIFS($J$2:$J$11,$J$2:$J$11,"&lt;&gt; -1"),0)</f>
        <v>0</v>
      </c>
      <c r="X14" s="1">
        <f>IFERROR(_xlfn.MINIFS($L$2:$L$11,$L$2:$L$11,"&lt;&gt; -1"),0)</f>
        <v>181.7</v>
      </c>
      <c r="Y14" s="1">
        <f>IFERROR(_xlfn.MAXIFS($C$2:$C$11,$B$2:$B$11,"&lt;&gt; -1"),0)</f>
        <v>7710.44</v>
      </c>
      <c r="Z14" s="1">
        <f>IFERROR(_xlfn.MAXIFS($E$2:$E$11,$D$2:$D$11,"&lt;&gt; -1"),0)</f>
        <v>7595.07</v>
      </c>
      <c r="AA14" s="1">
        <f>IFERROR(_xlfn.MAXIFS($G$2:$G$11,$F$2:$F$11,"&lt;&gt; -1"),0)</f>
        <v>0</v>
      </c>
      <c r="AB14" s="1">
        <f>IFERROR(_xlfn.MAXIFS($I$2:$I$11,$H$2:$H$11,"&lt;&gt; -1"),0)</f>
        <v>8282.67</v>
      </c>
      <c r="AC14" s="1">
        <f>IFERROR(_xlfn.MAXIFS($K$2:$K$11,$J$2:$J$11,"&lt;&gt; -1"),0)</f>
        <v>0</v>
      </c>
      <c r="AD14" s="1">
        <f>IFERROR(_xlfn.MAXIFS($M$2:$M$11,$L$2:$L$11,"&lt;&gt; -1"),0)</f>
        <v>7274.42</v>
      </c>
      <c r="AE14" s="1">
        <f>IFERROR(_xlfn.MINIFS($C$2:$C$11,$B$2:$B$11,"&lt;&gt; -1"),0)</f>
        <v>7325.29</v>
      </c>
      <c r="AF14" s="1">
        <f>IFERROR(_xlfn.MINIFS($E$2:$E$11,$D$2:$D$11,"&lt;&gt; -1"),0)</f>
        <v>6714.82</v>
      </c>
      <c r="AG14" s="1">
        <f>IFERROR(_xlfn.MINIFS($G$2:$G$11,$F$2:$F$11,"&lt;&gt; -1"),0)</f>
        <v>0</v>
      </c>
      <c r="AH14" s="1">
        <f>IFERROR(_xlfn.MINIFS($I$2:$I$11,$H$2:$H$11,"&lt;&gt; -1"),0)</f>
        <v>7810.55</v>
      </c>
      <c r="AI14" s="1">
        <f>IFERROR(_xlfn.MINIFS($K$2:$K$11,$J$2:$J$11,"&lt;&gt; -1"),0)</f>
        <v>0</v>
      </c>
      <c r="AJ14" s="1">
        <f>IFERROR(_xlfn.MINIFS($M$2:$M$11,$L$2:$L$11,"&lt;&gt; -1"),0)</f>
        <v>6714.82</v>
      </c>
      <c r="AK14" s="1">
        <f>(COUNTIFS($B$2:$B$11,"&gt;0.0",$B$2:$B$11,"&lt;300.0"))/10</f>
        <v>1</v>
      </c>
      <c r="AL14" s="1">
        <f>(COUNTIFS($D$2:$D$11,"&gt;0.0",$D$2:$D$11,"&lt;300.0"))/10</f>
        <v>1</v>
      </c>
      <c r="AM14" s="1">
        <f>(COUNTIFS($F$2:$F$11,"&gt;0.0",$F$2:$F$11,"&lt;300.0"))/10</f>
        <v>0</v>
      </c>
      <c r="AN14" s="1">
        <f>(COUNTIFS($H$2:$H11,"&gt;0.0",$H$2:$H$11,"&lt;300.0"))/10</f>
        <v>0.8</v>
      </c>
      <c r="AO14" s="1">
        <f>(COUNTIFS($J$2:$J$11,"&gt;0.0",$J$2:$J$11,"&lt;300.0"))/10</f>
        <v>0</v>
      </c>
      <c r="AP14" s="1">
        <f>(COUNTIFS($L$2:$L$11,"&gt;0.0",$L$2:$L$11,"&lt;300.0"))/10</f>
        <v>0.5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13</v>
      </c>
      <c r="B2">
        <v>215.15</v>
      </c>
      <c r="C2">
        <v>6973.27</v>
      </c>
      <c r="D2">
        <v>196.29</v>
      </c>
      <c r="E2">
        <v>7374.56</v>
      </c>
      <c r="F2">
        <v>217.23</v>
      </c>
      <c r="G2">
        <v>7869.65</v>
      </c>
      <c r="H2">
        <v>218.66</v>
      </c>
      <c r="I2">
        <v>8076.91</v>
      </c>
      <c r="J2">
        <v>215.24</v>
      </c>
      <c r="K2">
        <v>6947.03</v>
      </c>
      <c r="L2">
        <v>-1</v>
      </c>
      <c r="M2">
        <v>570.17</v>
      </c>
    </row>
    <row r="3" spans="1:13">
      <c r="A3" t="s">
        <v>14</v>
      </c>
      <c r="B3">
        <v>219.39</v>
      </c>
      <c r="C3">
        <v>7174.95</v>
      </c>
      <c r="D3">
        <v>201.63</v>
      </c>
      <c r="E3">
        <v>7568.07</v>
      </c>
      <c r="F3">
        <v>221.34</v>
      </c>
      <c r="G3">
        <v>8328.82</v>
      </c>
      <c r="H3">
        <v>-1</v>
      </c>
      <c r="I3">
        <v>7930.06</v>
      </c>
      <c r="J3">
        <v>219.54</v>
      </c>
      <c r="K3">
        <v>7174.95</v>
      </c>
      <c r="L3">
        <v>-1</v>
      </c>
      <c r="M3">
        <v>0</v>
      </c>
    </row>
    <row r="4" spans="1:13">
      <c r="A4" t="s">
        <v>15</v>
      </c>
      <c r="B4">
        <v>215.66</v>
      </c>
      <c r="C4">
        <v>7037.96</v>
      </c>
      <c r="D4">
        <v>197.76</v>
      </c>
      <c r="E4">
        <v>7357.52</v>
      </c>
      <c r="F4">
        <v>217.63</v>
      </c>
      <c r="G4">
        <v>8103.77</v>
      </c>
      <c r="H4">
        <v>-1</v>
      </c>
      <c r="I4">
        <v>6902.61</v>
      </c>
      <c r="J4">
        <v>215.79</v>
      </c>
      <c r="K4">
        <v>7037.96</v>
      </c>
      <c r="L4">
        <v>-1</v>
      </c>
      <c r="M4">
        <v>0</v>
      </c>
    </row>
    <row r="5" spans="1:13">
      <c r="A5" t="s">
        <v>16</v>
      </c>
      <c r="B5">
        <v>218.6</v>
      </c>
      <c r="C5">
        <v>7372.03</v>
      </c>
      <c r="D5">
        <v>197.22</v>
      </c>
      <c r="E5">
        <v>7432.3</v>
      </c>
      <c r="F5">
        <v>234.62</v>
      </c>
      <c r="G5">
        <v>8223.01</v>
      </c>
      <c r="H5">
        <v>-1</v>
      </c>
      <c r="I5">
        <v>4489.69</v>
      </c>
      <c r="J5">
        <v>230.46</v>
      </c>
      <c r="K5">
        <v>7278.21</v>
      </c>
      <c r="L5">
        <v>-1</v>
      </c>
      <c r="M5">
        <v>0</v>
      </c>
    </row>
    <row r="6" spans="1:13">
      <c r="A6" t="s">
        <v>17</v>
      </c>
      <c r="B6">
        <v>245.86</v>
      </c>
      <c r="C6">
        <v>7162.39</v>
      </c>
      <c r="D6">
        <v>194</v>
      </c>
      <c r="E6">
        <v>7367.3</v>
      </c>
      <c r="F6">
        <v>255.43</v>
      </c>
      <c r="G6">
        <v>8065.81</v>
      </c>
      <c r="H6">
        <v>-1</v>
      </c>
      <c r="I6">
        <v>7437</v>
      </c>
      <c r="J6">
        <v>253.95</v>
      </c>
      <c r="K6">
        <v>7098.56</v>
      </c>
      <c r="L6">
        <v>-1</v>
      </c>
      <c r="M6">
        <v>0</v>
      </c>
    </row>
    <row r="7" spans="1:13">
      <c r="A7" t="s">
        <v>18</v>
      </c>
      <c r="B7">
        <v>216.71</v>
      </c>
      <c r="C7">
        <v>7201.44</v>
      </c>
      <c r="D7">
        <v>195.24</v>
      </c>
      <c r="E7">
        <v>7389.58</v>
      </c>
      <c r="F7">
        <v>231.85</v>
      </c>
      <c r="G7">
        <v>8047.23</v>
      </c>
      <c r="H7">
        <v>-1</v>
      </c>
      <c r="I7">
        <v>0</v>
      </c>
      <c r="J7">
        <v>226.88</v>
      </c>
      <c r="K7">
        <v>7135.37</v>
      </c>
      <c r="L7">
        <v>-1</v>
      </c>
      <c r="M7">
        <v>0</v>
      </c>
    </row>
    <row r="8" spans="1:13">
      <c r="A8" t="s">
        <v>19</v>
      </c>
      <c r="B8">
        <v>244.17</v>
      </c>
      <c r="C8">
        <v>7185.04</v>
      </c>
      <c r="D8">
        <v>192.86</v>
      </c>
      <c r="E8">
        <v>7482.8</v>
      </c>
      <c r="F8">
        <v>263.65</v>
      </c>
      <c r="G8">
        <v>7879.18</v>
      </c>
      <c r="H8">
        <v>-1</v>
      </c>
      <c r="I8">
        <v>7350.92</v>
      </c>
      <c r="J8">
        <v>259.5</v>
      </c>
      <c r="K8">
        <v>7002.89</v>
      </c>
      <c r="L8">
        <v>-1</v>
      </c>
      <c r="M8">
        <v>0</v>
      </c>
    </row>
    <row r="9" spans="1:13">
      <c r="A9" t="s">
        <v>20</v>
      </c>
      <c r="B9">
        <v>224.49</v>
      </c>
      <c r="C9">
        <v>7491.03</v>
      </c>
      <c r="D9">
        <v>199.46</v>
      </c>
      <c r="E9">
        <v>7831.26</v>
      </c>
      <c r="F9">
        <v>252.24</v>
      </c>
      <c r="G9">
        <v>8202.2</v>
      </c>
      <c r="H9">
        <v>-1</v>
      </c>
      <c r="I9">
        <v>0</v>
      </c>
      <c r="J9">
        <v>-1</v>
      </c>
      <c r="K9">
        <v>348.49</v>
      </c>
      <c r="L9">
        <v>-1</v>
      </c>
      <c r="M9">
        <v>0</v>
      </c>
    </row>
    <row r="10" spans="1:13">
      <c r="A10" t="s">
        <v>21</v>
      </c>
      <c r="B10">
        <v>248.17</v>
      </c>
      <c r="C10">
        <v>6722.81</v>
      </c>
      <c r="D10">
        <v>196.32</v>
      </c>
      <c r="E10">
        <v>7301.14</v>
      </c>
      <c r="F10">
        <v>257.55</v>
      </c>
      <c r="G10">
        <v>7607.62</v>
      </c>
      <c r="H10">
        <v>222.52</v>
      </c>
      <c r="I10">
        <v>8000.2</v>
      </c>
      <c r="J10">
        <v>260.01</v>
      </c>
      <c r="K10">
        <v>6678.36</v>
      </c>
      <c r="L10">
        <v>-1</v>
      </c>
      <c r="M10">
        <v>0</v>
      </c>
    </row>
    <row r="11" spans="1:13">
      <c r="A11" t="s">
        <v>22</v>
      </c>
      <c r="B11">
        <v>216.32</v>
      </c>
      <c r="C11">
        <v>7111.68</v>
      </c>
      <c r="D11">
        <v>196.55</v>
      </c>
      <c r="E11">
        <v>7143.81</v>
      </c>
      <c r="F11">
        <v>224.33</v>
      </c>
      <c r="G11">
        <v>8038.75</v>
      </c>
      <c r="H11">
        <v>216.87</v>
      </c>
      <c r="I11">
        <v>7939.37</v>
      </c>
      <c r="J11">
        <v>218.29</v>
      </c>
      <c r="K11">
        <v>7086.13</v>
      </c>
      <c r="L11">
        <v>-1</v>
      </c>
      <c r="M11">
        <v>0</v>
      </c>
    </row>
    <row r="13" spans="1:42">
      <c r="A13" s="3" t="s">
        <v>23</v>
      </c>
      <c r="B13" s="3" t="s">
        <v>24</v>
      </c>
      <c r="C13" s="3" t="s">
        <v>25</v>
      </c>
      <c r="D13" s="4" t="s">
        <v>26</v>
      </c>
      <c r="E13" s="3" t="s">
        <v>27</v>
      </c>
      <c r="F13" s="3" t="s">
        <v>28</v>
      </c>
      <c r="G13" s="3" t="s">
        <v>29</v>
      </c>
      <c r="H13" s="3" t="s">
        <v>30</v>
      </c>
      <c r="I13" s="3" t="s">
        <v>31</v>
      </c>
      <c r="J13" s="4" t="s">
        <v>32</v>
      </c>
      <c r="K13" s="3" t="s">
        <v>33</v>
      </c>
      <c r="L13" s="3" t="s">
        <v>34</v>
      </c>
      <c r="M13" s="3" t="s">
        <v>35</v>
      </c>
      <c r="N13" s="3" t="s">
        <v>36</v>
      </c>
      <c r="O13" s="3" t="s">
        <v>37</v>
      </c>
      <c r="P13" s="4" t="s">
        <v>38</v>
      </c>
      <c r="Q13" s="3" t="s">
        <v>39</v>
      </c>
      <c r="R13" s="3" t="s">
        <v>40</v>
      </c>
      <c r="S13" s="3" t="s">
        <v>41</v>
      </c>
      <c r="T13" s="3" t="s">
        <v>42</v>
      </c>
      <c r="U13" s="3" t="s">
        <v>43</v>
      </c>
      <c r="V13" s="4" t="s">
        <v>44</v>
      </c>
      <c r="W13" s="3" t="s">
        <v>45</v>
      </c>
      <c r="X13" s="3" t="s">
        <v>46</v>
      </c>
      <c r="Y13" s="3" t="s">
        <v>47</v>
      </c>
      <c r="Z13" s="3" t="s">
        <v>48</v>
      </c>
      <c r="AA13" s="3" t="s">
        <v>49</v>
      </c>
      <c r="AB13" s="4" t="s">
        <v>50</v>
      </c>
      <c r="AC13" s="3" t="s">
        <v>51</v>
      </c>
      <c r="AD13" s="3" t="s">
        <v>52</v>
      </c>
      <c r="AE13" s="3" t="s">
        <v>53</v>
      </c>
      <c r="AF13" s="3" t="s">
        <v>54</v>
      </c>
      <c r="AG13" s="3" t="s">
        <v>55</v>
      </c>
      <c r="AH13" s="4" t="s">
        <v>56</v>
      </c>
      <c r="AI13" s="3" t="s">
        <v>57</v>
      </c>
      <c r="AJ13" s="3" t="s">
        <v>58</v>
      </c>
      <c r="AK13" s="3" t="s">
        <v>59</v>
      </c>
      <c r="AL13" s="3" t="s">
        <v>60</v>
      </c>
      <c r="AM13" s="3" t="s">
        <v>61</v>
      </c>
      <c r="AN13" s="4" t="s">
        <v>62</v>
      </c>
      <c r="AO13" s="3" t="s">
        <v>63</v>
      </c>
      <c r="AP13" s="3" t="s">
        <v>64</v>
      </c>
    </row>
    <row r="14" spans="1:42">
      <c r="A14" s="1">
        <f>IFERROR(AVERAGEIF($B$2:$B$11,"&lt;&gt; -1"),0)</f>
        <v>226.452</v>
      </c>
      <c r="B14" s="1">
        <f>IFERROR(AVERAGEIF($D$2:$D$11,"&lt;&gt; -1"),0)</f>
        <v>196.733</v>
      </c>
      <c r="C14" s="1">
        <f>IFERROR(AVERAGEIF($F$2:$F$11,"&lt;&gt; -1"),0)</f>
        <v>237.587</v>
      </c>
      <c r="D14" s="1">
        <f>IFERROR(AVERAGEIF($H$2:$H$11,"&lt;&gt; -1"),0)</f>
        <v>219.35</v>
      </c>
      <c r="E14" s="1">
        <f>IFERROR(AVERAGEIF($J$2:$J$11,"&lt;&gt; -1"),0)</f>
        <v>233.295555555556</v>
      </c>
      <c r="F14" s="1">
        <f>IFERROR(AVERAGEIF($L$2:$L$11,"&lt;&gt; -1"),0)</f>
        <v>0</v>
      </c>
      <c r="G14" s="1">
        <f>IFERROR(AVERAGEIFS($C$2:$C$11,$B$2:$B$11,"&lt;&gt; -1"),0)</f>
        <v>7143.26</v>
      </c>
      <c r="H14" s="1">
        <f>IFERROR(AVERAGEIFS($E$2:$E$11,$D$2:$D$11,"&lt;&gt; -1"),0)</f>
        <v>7424.834</v>
      </c>
      <c r="I14" s="1">
        <f>IFERROR(AVERAGEIFS($G$2:$G$11,$F$2:$F$11,"&lt;&gt; -1"),0)</f>
        <v>8036.604</v>
      </c>
      <c r="J14" s="1">
        <f>IFERROR(AVERAGEIFS($I$2:$I$11,$H$2:$H$11,"&lt;&gt; -1"),0)</f>
        <v>8005.49333333333</v>
      </c>
      <c r="K14" s="1">
        <f>IFERROR(AVERAGEIFS($K$2:$K$11,$J$2:$J$11,"&lt;&gt; -1"),0)</f>
        <v>7048.82888888889</v>
      </c>
      <c r="L14" s="1">
        <f>IFERROR(AVERAGEIFS($M$2:$M$11,$L$2:$L$11,"&lt;&gt; -1"),0)</f>
        <v>0</v>
      </c>
      <c r="M14" s="1">
        <f>IFERROR(_xlfn.MAXIFS($B$2:$B$11,$B$2:$B$11,"&lt;&gt; -1"),0)</f>
        <v>248.17</v>
      </c>
      <c r="N14" s="1">
        <f>IFERROR(_xlfn.MAXIFS($D$2:$D$11,$D$2:$D$11,"&lt;&gt;-1"),0)</f>
        <v>201.63</v>
      </c>
      <c r="O14" s="1">
        <f>IFERROR(_xlfn.MAXIFS($F$2:$F$11,$F$2:$F$11,"&lt;&gt; -1"),0)</f>
        <v>263.65</v>
      </c>
      <c r="P14" s="1">
        <f>IFERROR(_xlfn.MAXIFS($H$2:$H$11,$H$2:$H$11,"&lt;&gt; -1"),0)</f>
        <v>222.52</v>
      </c>
      <c r="Q14" s="1">
        <f>IFERROR(_xlfn.MAXIFS($J$2:$J$11,$J$2:$J$11,"&lt;&gt; -1"),0)</f>
        <v>260.01</v>
      </c>
      <c r="R14" s="1">
        <f>IFERROR(_xlfn.MAXIFS($L$2:$L$11,$L$2:$L$11,"&lt;&gt; -1"),0)</f>
        <v>0</v>
      </c>
      <c r="S14" s="1">
        <f>IFERROR(_xlfn.MINIFS($B$2:$B$11,$B$2:$B$11,"&lt;&gt; -1"),0)</f>
        <v>215.15</v>
      </c>
      <c r="T14" s="1">
        <f>IFERROR(_xlfn.MINIFS($D$2:$D$11,$D$2:$D$11,"&lt;&gt;-1"),0)</f>
        <v>192.86</v>
      </c>
      <c r="U14" s="1">
        <f>IFERROR(_xlfn.MINIFS($F$2:$F$11,$F$2:$F$11,"&lt;&gt; -1"),0)</f>
        <v>217.23</v>
      </c>
      <c r="V14" s="1">
        <f>IFERROR(_xlfn.MINIFS($H$2:$H$11,$H$2:$H$11,"&lt;&gt; -1"),0)</f>
        <v>216.87</v>
      </c>
      <c r="W14" s="1">
        <f>IFERROR(_xlfn.MINIFS($J$2:$J$11,$J$2:$J$11,"&lt;&gt; -1"),0)</f>
        <v>215.24</v>
      </c>
      <c r="X14" s="1">
        <f>IFERROR(_xlfn.MINIFS($L$2:$L$11,$L$2:$L$11,"&lt;&gt; -1"),0)</f>
        <v>0</v>
      </c>
      <c r="Y14" s="1">
        <f>IFERROR(_xlfn.MAXIFS($C$2:$C$11,$B$2:$B$11,"&lt;&gt; -1"),0)</f>
        <v>7491.03</v>
      </c>
      <c r="Z14" s="1">
        <f>IFERROR(_xlfn.MAXIFS($E$2:$E$11,$D$2:$D$11,"&lt;&gt; -1"),0)</f>
        <v>7831.26</v>
      </c>
      <c r="AA14" s="1">
        <f>IFERROR(_xlfn.MAXIFS($G$2:$G$11,$F$2:$F$11,"&lt;&gt; -1"),0)</f>
        <v>8328.82</v>
      </c>
      <c r="AB14" s="1">
        <f>IFERROR(_xlfn.MAXIFS($I$2:$I$11,$H$2:$H$11,"&lt;&gt; -1"),0)</f>
        <v>8076.91</v>
      </c>
      <c r="AC14" s="1">
        <f>IFERROR(_xlfn.MAXIFS($K$2:$K$11,$J$2:$J$11,"&lt;&gt; -1"),0)</f>
        <v>7278.21</v>
      </c>
      <c r="AD14" s="1">
        <f>IFERROR(_xlfn.MAXIFS($M$2:$M$11,$L$2:$L$11,"&lt;&gt; -1"),0)</f>
        <v>0</v>
      </c>
      <c r="AE14" s="1">
        <f>IFERROR(_xlfn.MINIFS($C$2:$C$11,$B$2:$B$11,"&lt;&gt; -1"),0)</f>
        <v>6722.81</v>
      </c>
      <c r="AF14" s="1">
        <f>IFERROR(_xlfn.MINIFS($E$2:$E$11,$D$2:$D$11,"&lt;&gt; -1"),0)</f>
        <v>7143.81</v>
      </c>
      <c r="AG14" s="1">
        <f>IFERROR(_xlfn.MINIFS($G$2:$G$11,$F$2:$F$11,"&lt;&gt; -1"),0)</f>
        <v>7607.62</v>
      </c>
      <c r="AH14" s="1">
        <f>IFERROR(_xlfn.MINIFS($I$2:$I$11,$H$2:$H$11,"&lt;&gt; -1"),0)</f>
        <v>7939.37</v>
      </c>
      <c r="AI14" s="1">
        <f>IFERROR(_xlfn.MINIFS($K$2:$K$11,$J$2:$J$11,"&lt;&gt; -1"),0)</f>
        <v>6678.36</v>
      </c>
      <c r="AJ14" s="1">
        <f>IFERROR(_xlfn.MINIFS($M$2:$M$11,$L$2:$L$11,"&lt;&gt; -1"),0)</f>
        <v>0</v>
      </c>
      <c r="AK14" s="1">
        <f>(COUNTIFS($B$2:$B$11,"&gt;0.0",$B$2:$B$11,"&lt;300.0"))/10</f>
        <v>1</v>
      </c>
      <c r="AL14" s="1">
        <f>(COUNTIFS($D$2:$D$11,"&gt;0.0",$D$2:$D$11,"&lt;300.0"))/10</f>
        <v>1</v>
      </c>
      <c r="AM14" s="1">
        <f>(COUNTIFS($F$2:$F$11,"&gt;0.0",$F$2:$F$11,"&lt;300.0"))/10</f>
        <v>1</v>
      </c>
      <c r="AN14" s="1">
        <f>(COUNTIFS($H$2:$H11,"&gt;0.0",$H$2:$H$11,"&lt;300.0"))/10</f>
        <v>0.3</v>
      </c>
      <c r="AO14" s="1">
        <f>(COUNTIFS($J$2:$J$11,"&gt;0.0",$J$2:$J$11,"&lt;300.0"))/10</f>
        <v>0.9</v>
      </c>
      <c r="AP14" s="1">
        <f>(COUNTIFS($L$2:$L$11,"&gt;0.0",$L$2:$L$11,"&lt;300.0"))/10</f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7"/>
  <sheetViews>
    <sheetView tabSelected="1" workbookViewId="0">
      <selection activeCell="D11" sqref="D10:D11"/>
    </sheetView>
  </sheetViews>
  <sheetFormatPr defaultColWidth="8.72727272727273" defaultRowHeight="14" outlineLevelRow="6"/>
  <sheetData>
    <row r="1" spans="1:42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46</v>
      </c>
      <c r="Y1" t="s">
        <v>47</v>
      </c>
      <c r="Z1" t="s">
        <v>48</v>
      </c>
      <c r="AA1" t="s">
        <v>49</v>
      </c>
      <c r="AB1" t="s">
        <v>50</v>
      </c>
      <c r="AC1" t="s">
        <v>51</v>
      </c>
      <c r="AD1" t="s">
        <v>52</v>
      </c>
      <c r="AE1" t="s">
        <v>53</v>
      </c>
      <c r="AF1" t="s">
        <v>54</v>
      </c>
      <c r="AG1" t="s">
        <v>55</v>
      </c>
      <c r="AH1" t="s">
        <v>56</v>
      </c>
      <c r="AI1" t="s">
        <v>57</v>
      </c>
      <c r="AJ1" t="s">
        <v>58</v>
      </c>
      <c r="AK1" t="s">
        <v>59</v>
      </c>
      <c r="AL1" t="s">
        <v>60</v>
      </c>
      <c r="AM1" t="s">
        <v>61</v>
      </c>
      <c r="AN1" t="s">
        <v>62</v>
      </c>
      <c r="AO1" t="s">
        <v>63</v>
      </c>
      <c r="AP1" t="s">
        <v>64</v>
      </c>
    </row>
    <row r="2" spans="1:42">
      <c r="A2">
        <v>327.317</v>
      </c>
      <c r="B2">
        <v>170.005</v>
      </c>
      <c r="C2">
        <v>331.996</v>
      </c>
      <c r="D2">
        <v>186.601</v>
      </c>
      <c r="E2">
        <v>329.883</v>
      </c>
      <c r="F2">
        <v>183.311111111111</v>
      </c>
      <c r="G2">
        <v>7027.077</v>
      </c>
      <c r="H2">
        <v>7094.148</v>
      </c>
      <c r="I2">
        <v>8021.902</v>
      </c>
      <c r="J2">
        <v>8024.208</v>
      </c>
      <c r="K2">
        <v>7022.056</v>
      </c>
      <c r="L2">
        <v>7044.59111111111</v>
      </c>
      <c r="M2">
        <v>387.28</v>
      </c>
      <c r="N2">
        <v>205.48</v>
      </c>
      <c r="O2">
        <v>393.04</v>
      </c>
      <c r="P2">
        <v>227.16</v>
      </c>
      <c r="Q2">
        <v>397.57</v>
      </c>
      <c r="R2">
        <v>219.69</v>
      </c>
      <c r="S2">
        <v>249.87</v>
      </c>
      <c r="T2">
        <v>134.29</v>
      </c>
      <c r="U2">
        <v>253.23</v>
      </c>
      <c r="V2">
        <v>143.19</v>
      </c>
      <c r="W2">
        <v>250.34</v>
      </c>
      <c r="X2">
        <v>142.33</v>
      </c>
      <c r="Y2">
        <v>7288.31</v>
      </c>
      <c r="Z2">
        <v>7289.3</v>
      </c>
      <c r="AA2">
        <v>8425.99</v>
      </c>
      <c r="AB2">
        <v>8339.63</v>
      </c>
      <c r="AC2">
        <v>7312.29</v>
      </c>
      <c r="AD2">
        <v>7252.63</v>
      </c>
      <c r="AE2">
        <v>6769.59</v>
      </c>
      <c r="AF2">
        <v>6840.54</v>
      </c>
      <c r="AG2">
        <v>7741.32</v>
      </c>
      <c r="AH2">
        <v>7818.7</v>
      </c>
      <c r="AI2">
        <v>6774.37</v>
      </c>
      <c r="AJ2">
        <v>6807.39</v>
      </c>
      <c r="AK2">
        <v>0.4</v>
      </c>
      <c r="AL2">
        <v>1</v>
      </c>
      <c r="AM2">
        <v>0.4</v>
      </c>
      <c r="AN2">
        <v>1</v>
      </c>
      <c r="AO2">
        <v>0.4</v>
      </c>
      <c r="AP2">
        <v>0.9</v>
      </c>
    </row>
    <row r="3" spans="1:42">
      <c r="A3">
        <v>298.688</v>
      </c>
      <c r="B3">
        <v>171.86</v>
      </c>
      <c r="C3">
        <v>305.561</v>
      </c>
      <c r="D3">
        <v>184.70375</v>
      </c>
      <c r="E3">
        <v>304.203</v>
      </c>
      <c r="F3">
        <v>173.2</v>
      </c>
      <c r="G3">
        <v>7049.612</v>
      </c>
      <c r="H3">
        <v>7232.717</v>
      </c>
      <c r="I3">
        <v>8015.578</v>
      </c>
      <c r="J3">
        <v>8057.8425</v>
      </c>
      <c r="K3">
        <v>7021.388</v>
      </c>
      <c r="L3">
        <v>7025.86</v>
      </c>
      <c r="M3">
        <v>416.58</v>
      </c>
      <c r="N3">
        <v>230.05</v>
      </c>
      <c r="O3">
        <v>425.5</v>
      </c>
      <c r="P3">
        <v>250.81</v>
      </c>
      <c r="Q3">
        <v>424.97</v>
      </c>
      <c r="R3">
        <v>215.45</v>
      </c>
      <c r="S3">
        <v>233.27</v>
      </c>
      <c r="T3">
        <v>143.33</v>
      </c>
      <c r="U3">
        <v>245.65</v>
      </c>
      <c r="V3">
        <v>153.33</v>
      </c>
      <c r="W3">
        <v>237.16</v>
      </c>
      <c r="X3">
        <v>150.52</v>
      </c>
      <c r="Y3">
        <v>7357.53</v>
      </c>
      <c r="Z3" s="1">
        <v>7526.06</v>
      </c>
      <c r="AA3" s="1">
        <v>8443.65</v>
      </c>
      <c r="AB3" s="1">
        <v>8323.2</v>
      </c>
      <c r="AC3" s="1">
        <v>7286.2</v>
      </c>
      <c r="AD3" s="1">
        <v>7055.48</v>
      </c>
      <c r="AE3" s="1">
        <v>6758.23</v>
      </c>
      <c r="AF3" s="1">
        <v>7048.63</v>
      </c>
      <c r="AG3" s="1">
        <v>7663.13</v>
      </c>
      <c r="AH3" s="1">
        <v>7922.71</v>
      </c>
      <c r="AI3" s="1">
        <v>6748.48</v>
      </c>
      <c r="AJ3" s="1">
        <v>6982.06</v>
      </c>
      <c r="AK3" s="1">
        <v>0.7</v>
      </c>
      <c r="AL3" s="1">
        <v>1</v>
      </c>
      <c r="AM3" s="1">
        <v>0.6</v>
      </c>
      <c r="AN3" s="1">
        <v>0.8</v>
      </c>
      <c r="AO3" s="1">
        <v>0.7</v>
      </c>
      <c r="AP3" s="1">
        <v>0.3</v>
      </c>
    </row>
    <row r="4" spans="1:42">
      <c r="A4">
        <v>275.223</v>
      </c>
      <c r="B4">
        <v>157.438</v>
      </c>
      <c r="C4">
        <v>0</v>
      </c>
      <c r="D4">
        <v>172.888888888889</v>
      </c>
      <c r="E4">
        <v>0</v>
      </c>
      <c r="F4">
        <v>164.54</v>
      </c>
      <c r="G4">
        <v>7457.751</v>
      </c>
      <c r="H4">
        <v>7275.512</v>
      </c>
      <c r="I4">
        <v>0</v>
      </c>
      <c r="J4">
        <v>8080.83333333333</v>
      </c>
      <c r="K4">
        <v>0</v>
      </c>
      <c r="L4">
        <v>7055.88</v>
      </c>
      <c r="M4">
        <v>281.32</v>
      </c>
      <c r="N4">
        <v>160.93</v>
      </c>
      <c r="O4">
        <v>0</v>
      </c>
      <c r="P4">
        <v>184.89</v>
      </c>
      <c r="Q4">
        <v>0</v>
      </c>
      <c r="R4">
        <v>167.05</v>
      </c>
      <c r="S4">
        <v>267.78</v>
      </c>
      <c r="T4">
        <v>153.01</v>
      </c>
      <c r="U4">
        <v>0</v>
      </c>
      <c r="V4">
        <v>162.46</v>
      </c>
      <c r="W4">
        <v>0</v>
      </c>
      <c r="X4">
        <v>158.64</v>
      </c>
      <c r="Y4">
        <v>7706.48</v>
      </c>
      <c r="Z4">
        <v>7590.8</v>
      </c>
      <c r="AA4">
        <v>0</v>
      </c>
      <c r="AB4">
        <v>8296.57</v>
      </c>
      <c r="AC4">
        <v>0</v>
      </c>
      <c r="AD4">
        <v>7122.68</v>
      </c>
      <c r="AE4">
        <v>7147.95</v>
      </c>
      <c r="AF4">
        <v>7095.11</v>
      </c>
      <c r="AG4">
        <v>0</v>
      </c>
      <c r="AH4">
        <v>7930.15</v>
      </c>
      <c r="AI4">
        <v>0</v>
      </c>
      <c r="AJ4">
        <v>6965.79</v>
      </c>
      <c r="AK4">
        <v>1</v>
      </c>
      <c r="AL4">
        <v>1</v>
      </c>
      <c r="AM4">
        <v>0</v>
      </c>
      <c r="AN4">
        <v>0.9</v>
      </c>
      <c r="AO4">
        <v>0</v>
      </c>
      <c r="AP4">
        <v>0.4</v>
      </c>
    </row>
    <row r="5" spans="1:42">
      <c r="A5">
        <v>279.513</v>
      </c>
      <c r="B5">
        <v>169.761</v>
      </c>
      <c r="C5">
        <v>0</v>
      </c>
      <c r="D5">
        <v>186.36125</v>
      </c>
      <c r="E5">
        <v>0</v>
      </c>
      <c r="F5">
        <v>182.96</v>
      </c>
      <c r="G5">
        <v>7657.28</v>
      </c>
      <c r="H5">
        <v>7247.407</v>
      </c>
      <c r="I5">
        <v>0</v>
      </c>
      <c r="J5">
        <v>8019.75125</v>
      </c>
      <c r="K5">
        <v>0</v>
      </c>
      <c r="L5">
        <v>7016.7925</v>
      </c>
      <c r="M5">
        <v>283.94</v>
      </c>
      <c r="N5">
        <v>173.41</v>
      </c>
      <c r="O5">
        <v>0</v>
      </c>
      <c r="P5">
        <v>195.17</v>
      </c>
      <c r="Q5">
        <v>0</v>
      </c>
      <c r="R5">
        <v>188.24</v>
      </c>
      <c r="S5">
        <v>274.93</v>
      </c>
      <c r="T5">
        <v>164.85</v>
      </c>
      <c r="U5">
        <v>0</v>
      </c>
      <c r="V5">
        <v>175.37</v>
      </c>
      <c r="W5">
        <v>0</v>
      </c>
      <c r="X5">
        <v>171.81</v>
      </c>
      <c r="Y5">
        <v>7906.39</v>
      </c>
      <c r="Z5">
        <v>7496.74</v>
      </c>
      <c r="AA5">
        <v>0</v>
      </c>
      <c r="AB5">
        <v>8242.98</v>
      </c>
      <c r="AC5">
        <v>0</v>
      </c>
      <c r="AD5">
        <v>7171.87</v>
      </c>
      <c r="AE5">
        <v>7376.83</v>
      </c>
      <c r="AF5">
        <v>6841.98</v>
      </c>
      <c r="AG5">
        <v>0</v>
      </c>
      <c r="AH5">
        <v>7834.84</v>
      </c>
      <c r="AI5">
        <v>0</v>
      </c>
      <c r="AJ5">
        <v>6828.38</v>
      </c>
      <c r="AK5">
        <v>1</v>
      </c>
      <c r="AL5">
        <v>1</v>
      </c>
      <c r="AM5">
        <v>0</v>
      </c>
      <c r="AN5">
        <v>0.8</v>
      </c>
      <c r="AO5">
        <v>0</v>
      </c>
      <c r="AP5">
        <v>0.4</v>
      </c>
    </row>
    <row r="6" spans="1:42">
      <c r="A6">
        <v>283.141</v>
      </c>
      <c r="B6">
        <v>183.388</v>
      </c>
      <c r="C6">
        <v>0</v>
      </c>
      <c r="D6">
        <v>198.255</v>
      </c>
      <c r="E6">
        <v>0</v>
      </c>
      <c r="F6">
        <v>194.508</v>
      </c>
      <c r="G6">
        <v>7547.536</v>
      </c>
      <c r="H6">
        <v>7254.216</v>
      </c>
      <c r="I6">
        <v>0</v>
      </c>
      <c r="J6">
        <v>8031.33375</v>
      </c>
      <c r="K6">
        <v>0</v>
      </c>
      <c r="L6">
        <v>7047.032</v>
      </c>
      <c r="M6">
        <v>286.29</v>
      </c>
      <c r="N6">
        <v>187.53</v>
      </c>
      <c r="O6">
        <v>0</v>
      </c>
      <c r="P6">
        <v>207.27</v>
      </c>
      <c r="Q6">
        <v>0</v>
      </c>
      <c r="R6">
        <v>204.95</v>
      </c>
      <c r="S6">
        <v>279.47</v>
      </c>
      <c r="T6">
        <v>180.58</v>
      </c>
      <c r="U6">
        <v>0</v>
      </c>
      <c r="V6">
        <v>183.58</v>
      </c>
      <c r="W6">
        <v>0</v>
      </c>
      <c r="X6">
        <v>181.7</v>
      </c>
      <c r="Y6">
        <v>7710.44</v>
      </c>
      <c r="Z6">
        <v>7595.07</v>
      </c>
      <c r="AA6">
        <v>0</v>
      </c>
      <c r="AB6">
        <v>8282.67</v>
      </c>
      <c r="AC6">
        <v>0</v>
      </c>
      <c r="AD6">
        <v>7274.42</v>
      </c>
      <c r="AE6">
        <v>7325.29</v>
      </c>
      <c r="AF6">
        <v>6714.82</v>
      </c>
      <c r="AG6">
        <v>0</v>
      </c>
      <c r="AH6">
        <v>7810.55</v>
      </c>
      <c r="AI6">
        <v>0</v>
      </c>
      <c r="AJ6">
        <v>6714.82</v>
      </c>
      <c r="AK6">
        <v>1</v>
      </c>
      <c r="AL6">
        <v>1</v>
      </c>
      <c r="AM6">
        <v>0</v>
      </c>
      <c r="AN6">
        <v>0.8</v>
      </c>
      <c r="AO6">
        <v>0</v>
      </c>
      <c r="AP6">
        <v>0.5</v>
      </c>
    </row>
    <row r="7" spans="1:42">
      <c r="A7">
        <v>226.452</v>
      </c>
      <c r="B7">
        <v>196.733</v>
      </c>
      <c r="C7">
        <v>237.587</v>
      </c>
      <c r="D7">
        <v>219.35</v>
      </c>
      <c r="E7">
        <v>233.295555555556</v>
      </c>
      <c r="F7">
        <v>0</v>
      </c>
      <c r="G7">
        <v>7143.26</v>
      </c>
      <c r="H7">
        <v>7424.834</v>
      </c>
      <c r="I7">
        <v>8036.604</v>
      </c>
      <c r="J7">
        <v>8005.49333333333</v>
      </c>
      <c r="K7">
        <v>7048.82888888889</v>
      </c>
      <c r="L7">
        <v>0</v>
      </c>
      <c r="M7">
        <v>248.17</v>
      </c>
      <c r="N7">
        <v>201.63</v>
      </c>
      <c r="O7">
        <v>263.65</v>
      </c>
      <c r="P7">
        <v>222.52</v>
      </c>
      <c r="Q7">
        <v>260.01</v>
      </c>
      <c r="R7">
        <v>0</v>
      </c>
      <c r="S7">
        <v>215.15</v>
      </c>
      <c r="T7">
        <v>192.86</v>
      </c>
      <c r="U7">
        <v>217.23</v>
      </c>
      <c r="V7">
        <v>216.87</v>
      </c>
      <c r="W7">
        <v>215.24</v>
      </c>
      <c r="X7">
        <v>0</v>
      </c>
      <c r="Y7">
        <v>7491.03</v>
      </c>
      <c r="Z7">
        <v>7831.26</v>
      </c>
      <c r="AA7">
        <v>8328.82</v>
      </c>
      <c r="AB7">
        <v>8076.91</v>
      </c>
      <c r="AC7">
        <v>7278.21</v>
      </c>
      <c r="AD7">
        <v>0</v>
      </c>
      <c r="AE7">
        <v>6722.81</v>
      </c>
      <c r="AF7">
        <v>7143.81</v>
      </c>
      <c r="AG7">
        <v>7607.62</v>
      </c>
      <c r="AH7">
        <v>7939.37</v>
      </c>
      <c r="AI7">
        <v>6678.36</v>
      </c>
      <c r="AJ7">
        <v>0</v>
      </c>
      <c r="AK7">
        <v>1</v>
      </c>
      <c r="AL7">
        <v>1</v>
      </c>
      <c r="AM7">
        <v>1</v>
      </c>
      <c r="AN7">
        <v>0.3</v>
      </c>
      <c r="AO7">
        <v>0.9</v>
      </c>
      <c r="AP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20_100</vt:lpstr>
      <vt:lpstr>40_100</vt:lpstr>
      <vt:lpstr>60_100</vt:lpstr>
      <vt:lpstr>80_100</vt:lpstr>
      <vt:lpstr>100_100</vt:lpstr>
      <vt:lpstr>120_100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WPS_1666204842</cp:lastModifiedBy>
  <dcterms:created xsi:type="dcterms:W3CDTF">2024-09-25T19:29:00Z</dcterms:created>
  <dcterms:modified xsi:type="dcterms:W3CDTF">2024-09-26T02:23:59Z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0FE22A958B794C669EE80CB1E7F960BF_12</vt:lpwstr>
  </property>
  <property fmtid="{D5CDD505-2E9C-101B-9397-08002B2CF9AE}" pid="3" name="KSOProductBuildVer">
    <vt:lpwstr>2052-12.1.0.17827</vt:lpwstr>
  </property>
</Properties>
</file>