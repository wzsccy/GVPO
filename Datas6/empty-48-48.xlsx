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3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<sst xmlns="http://schemas.openxmlformats.org/spreadsheetml/2006/main" count="432" uniqueCount="65">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</sst>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534.34</v>
      </c>
      <c r="C2">
        <v>10924.72</v>
      </c>
      <c r="D2">
        <v>398.68</v>
      </c>
      <c r="E2">
        <v>10773.2</v>
      </c>
      <c r="F2">
        <v>546.69</v>
      </c>
      <c r="G2">
        <v>12547.14</v>
      </c>
      <c r="H2">
        <v>-1</v>
      </c>
      <c r="I2">
        <v>9228.53</v>
      </c>
      <c r="J2">
        <v>537.03</v>
      </c>
      <c r="K2">
        <v>10915.8</v>
      </c>
      <c r="L2">
        <v>-1</v>
      </c>
      <c r="M2">
        <v>9578.79</v>
      </c>
    </row>
    <row r="3" spans="1:13">
      <c r="A3" t="s">
        <v>14</v>
      </c>
      <c r="B3">
        <v>396.24</v>
      </c>
      <c r="C3">
        <v>10339.02</v>
      </c>
      <c r="D3">
        <v>281.08</v>
      </c>
      <c r="E3">
        <v>10735.58</v>
      </c>
      <c r="F3">
        <v>402.86</v>
      </c>
      <c r="G3">
        <v>11818.2</v>
      </c>
      <c r="H3">
        <v>-1</v>
      </c>
      <c r="I3">
        <v>10830.74</v>
      </c>
      <c r="J3">
        <v>397.67</v>
      </c>
      <c r="K3">
        <v>10344.15</v>
      </c>
      <c r="L3">
        <v>307.85</v>
      </c>
      <c r="M3">
        <v>10729.8</v>
      </c>
    </row>
    <row r="4" spans="1:13">
      <c r="A4" t="s">
        <v>15</v>
      </c>
      <c r="B4">
        <v>391.06</v>
      </c>
      <c r="C4">
        <v>10267.96</v>
      </c>
      <c r="D4">
        <v>270.74</v>
      </c>
      <c r="E4">
        <v>10240.5</v>
      </c>
      <c r="F4">
        <v>406.6</v>
      </c>
      <c r="G4">
        <v>11636.51</v>
      </c>
      <c r="H4">
        <v>-1</v>
      </c>
      <c r="I4">
        <v>8035.53</v>
      </c>
      <c r="J4">
        <v>398.73</v>
      </c>
      <c r="K4">
        <v>10251.25</v>
      </c>
      <c r="L4">
        <v>286.44</v>
      </c>
      <c r="M4">
        <v>10193.73</v>
      </c>
    </row>
    <row r="5" spans="1:13">
      <c r="A5" t="s">
        <v>16</v>
      </c>
      <c r="B5">
        <v>559.66</v>
      </c>
      <c r="C5">
        <v>10507.07</v>
      </c>
      <c r="D5">
        <v>366.35</v>
      </c>
      <c r="E5">
        <v>10315.05</v>
      </c>
      <c r="F5">
        <v>587.32</v>
      </c>
      <c r="G5">
        <v>12092.98</v>
      </c>
      <c r="H5">
        <v>-1</v>
      </c>
      <c r="I5">
        <v>10366.07</v>
      </c>
      <c r="J5">
        <v>-1</v>
      </c>
      <c r="K5">
        <v>1029.39</v>
      </c>
      <c r="L5">
        <v>383.86</v>
      </c>
      <c r="M5">
        <v>10289.81</v>
      </c>
    </row>
    <row r="6" spans="1:13">
      <c r="A6" t="s">
        <v>17</v>
      </c>
      <c r="B6">
        <v>621.05</v>
      </c>
      <c r="C6">
        <v>10909.94</v>
      </c>
      <c r="D6">
        <v>438.45</v>
      </c>
      <c r="E6">
        <v>11136.9</v>
      </c>
      <c r="F6">
        <v>640.01</v>
      </c>
      <c r="G6">
        <v>12447.4</v>
      </c>
      <c r="H6">
        <v>-1</v>
      </c>
      <c r="I6">
        <v>6723.45</v>
      </c>
      <c r="J6">
        <v>625.55</v>
      </c>
      <c r="K6">
        <v>10877.03</v>
      </c>
      <c r="L6">
        <v>-1</v>
      </c>
      <c r="M6">
        <v>6001.96</v>
      </c>
    </row>
    <row r="7" spans="1:13">
      <c r="A7" t="s">
        <v>18</v>
      </c>
      <c r="B7">
        <v>593.77</v>
      </c>
      <c r="C7">
        <v>10176.46</v>
      </c>
      <c r="D7">
        <v>413.75</v>
      </c>
      <c r="E7">
        <v>10383.54</v>
      </c>
      <c r="F7">
        <v>601.34</v>
      </c>
      <c r="G7">
        <v>11755.72</v>
      </c>
      <c r="H7">
        <v>-1</v>
      </c>
      <c r="I7">
        <v>4856.54</v>
      </c>
      <c r="J7">
        <v>595.11</v>
      </c>
      <c r="K7">
        <v>10156.9</v>
      </c>
      <c r="L7">
        <v>-1</v>
      </c>
      <c r="M7">
        <v>2345.42</v>
      </c>
    </row>
    <row r="8" spans="1:13">
      <c r="A8" t="s">
        <v>19</v>
      </c>
      <c r="B8">
        <v>621.19</v>
      </c>
      <c r="C8">
        <v>10761.53</v>
      </c>
      <c r="D8">
        <v>439.93</v>
      </c>
      <c r="E8">
        <v>10749.91</v>
      </c>
      <c r="F8">
        <v>634.16</v>
      </c>
      <c r="G8">
        <v>12250.64</v>
      </c>
      <c r="H8">
        <v>-1</v>
      </c>
      <c r="I8">
        <v>11479.57</v>
      </c>
      <c r="J8">
        <v>630.38</v>
      </c>
      <c r="K8">
        <v>10763.59</v>
      </c>
      <c r="L8">
        <v>-1</v>
      </c>
      <c r="M8">
        <v>4184.52</v>
      </c>
    </row>
    <row r="9" spans="1:13">
      <c r="A9" t="s">
        <v>20</v>
      </c>
      <c r="B9">
        <v>473.54</v>
      </c>
      <c r="C9">
        <v>10299.6</v>
      </c>
      <c r="D9">
        <v>360.36</v>
      </c>
      <c r="E9">
        <v>10488.28</v>
      </c>
      <c r="F9">
        <v>483.23</v>
      </c>
      <c r="G9">
        <v>11769.99</v>
      </c>
      <c r="H9">
        <v>-1</v>
      </c>
      <c r="I9">
        <v>9892.35</v>
      </c>
      <c r="J9">
        <v>486.24</v>
      </c>
      <c r="K9">
        <v>10295.31</v>
      </c>
      <c r="L9">
        <v>-1</v>
      </c>
      <c r="M9">
        <v>8289.39</v>
      </c>
    </row>
    <row r="10" spans="1:13">
      <c r="A10" t="s">
        <v>21</v>
      </c>
      <c r="B10">
        <v>399.53</v>
      </c>
      <c r="C10">
        <v>10543.86</v>
      </c>
      <c r="D10">
        <v>286.26</v>
      </c>
      <c r="E10">
        <v>10843.49</v>
      </c>
      <c r="F10">
        <v>404.91</v>
      </c>
      <c r="G10">
        <v>12045.06</v>
      </c>
      <c r="H10">
        <v>-1</v>
      </c>
      <c r="I10">
        <v>11368.38</v>
      </c>
      <c r="J10">
        <v>400.43</v>
      </c>
      <c r="K10">
        <v>10549.82</v>
      </c>
      <c r="L10">
        <v>306.39</v>
      </c>
      <c r="M10">
        <v>10795.47</v>
      </c>
    </row>
    <row r="11" spans="1:13">
      <c r="A11" t="s">
        <v>22</v>
      </c>
      <c r="B11">
        <v>502.82</v>
      </c>
      <c r="C11">
        <v>10288.01</v>
      </c>
      <c r="D11">
        <v>348.17</v>
      </c>
      <c r="E11">
        <v>10656.29</v>
      </c>
      <c r="F11">
        <v>508.37</v>
      </c>
      <c r="G11">
        <v>11738.68</v>
      </c>
      <c r="H11">
        <v>-1</v>
      </c>
      <c r="I11">
        <v>11872.55</v>
      </c>
      <c r="J11">
        <v>510.84</v>
      </c>
      <c r="K11">
        <v>10304.27</v>
      </c>
      <c r="L11">
        <v>371.86</v>
      </c>
      <c r="M11">
        <v>10618.71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509.32</v>
      </c>
      <c r="B14" s="4">
        <f>IFERROR(AVERAGEIF($D$2:$D$11,"&lt;&gt; -1"),0)</f>
        <v>360.377</v>
      </c>
      <c r="C14" s="4">
        <f>IFERROR(AVERAGEIF($F$2:$F$11,"&lt;&gt; -1"),0)</f>
        <v>521.549</v>
      </c>
      <c r="D14" s="4">
        <f>IFERROR(AVERAGEIF($H$2:$H$11,"&lt;&gt; -1"),0)</f>
        <v>0</v>
      </c>
      <c r="E14" s="4">
        <f>IFERROR(AVERAGEIF($J$2:$J$11,"&lt;&gt; -1"),0)</f>
        <v>509.108888888889</v>
      </c>
      <c r="F14" s="4">
        <f>IFERROR(AVERAGEIF($L$2:$L$11,"&lt;&gt; -1"),0)</f>
        <v>331.28</v>
      </c>
      <c r="G14" s="4">
        <f>IFERROR(AVERAGEIFS($C$2:$C$11,$B$2:$B$11,"&lt;&gt; -1"),0)</f>
        <v>10501.817</v>
      </c>
      <c r="H14" s="4">
        <f>IFERROR(AVERAGEIFS($E$2:$E$11,$D$2:$D$11,"&lt;&gt; -1"),0)</f>
        <v>10632.274</v>
      </c>
      <c r="I14" s="4">
        <f>IFERROR(AVERAGEIFS($G$2:$G$11,$F$2:$F$11,"&lt;&gt; -1"),0)</f>
        <v>12010.232</v>
      </c>
      <c r="J14" s="4">
        <f>IFERROR(AVERAGEIFS($I$2:$I$11,$H$2:$H$11,"&lt;&gt; -1"),0)</f>
        <v>0</v>
      </c>
      <c r="K14" s="4">
        <f>IFERROR(AVERAGEIFS($K$2:$K$11,$J$2:$J$11,"&lt;&gt; -1"),0)</f>
        <v>10495.3466666667</v>
      </c>
      <c r="L14" s="4">
        <f>IFERROR(AVERAGEIFS($M$2:$M$11,$L$2:$L$11,"&lt;&gt; -1"),0)</f>
        <v>10525.504</v>
      </c>
      <c r="M14" s="4">
        <f>IFERROR(_xlfn.MAXIFS($B$2:$B$11,$B$2:$B$11,"&lt;&gt; -1"),0)</f>
        <v>621.19</v>
      </c>
      <c r="N14" s="4">
        <f>IFERROR(_xlfn.MAXIFS($D$2:$D$11,$D$2:$D$11,"&lt;&gt;-1"),0)</f>
        <v>439.93</v>
      </c>
      <c r="O14" s="4">
        <f>IFERROR(_xlfn.MAXIFS($F$2:$F$11,$F$2:$F$11,"&lt;&gt; -1"),0)</f>
        <v>640.01</v>
      </c>
      <c r="P14" s="4">
        <f>IFERROR(_xlfn.MAXIFS($H$2:$H$11,$H$2:$H$11,"&lt;&gt; -1"),0)</f>
        <v>0</v>
      </c>
      <c r="Q14" s="4">
        <f>IFERROR(_xlfn.MAXIFS($J$2:$J$11,$J$2:$J$11,"&lt;&gt; -1"),0)</f>
        <v>630.38</v>
      </c>
      <c r="R14" s="4">
        <f>IFERROR(_xlfn.MAXIFS($L$2:$L$11,$L$2:$L$11,"&lt;&gt; -1"),0)</f>
        <v>383.86</v>
      </c>
      <c r="S14" s="4">
        <f>IFERROR(_xlfn.MINIFS($B$2:$B$11,$B$2:$B$11,"&lt;&gt; -1"),0)</f>
        <v>391.06</v>
      </c>
      <c r="T14" s="4">
        <f>IFERROR(_xlfn.MINIFS($D$2:$D$11,$D$2:$D$11,"&lt;&gt;-1"),0)</f>
        <v>270.74</v>
      </c>
      <c r="U14" s="4">
        <f>IFERROR(_xlfn.MINIFS($F$2:$F$11,$F$2:$F$11,"&lt;&gt; -1"),0)</f>
        <v>402.86</v>
      </c>
      <c r="V14" s="4">
        <f>IFERROR(_xlfn.MINIFS($H$2:$H$11,$H$2:$H$11,"&lt;&gt; -1"),0)</f>
        <v>0</v>
      </c>
      <c r="W14" s="4">
        <f>IFERROR(_xlfn.MINIFS($J$2:$J$11,$J$2:$J$11,"&lt;&gt; -1"),0)</f>
        <v>397.67</v>
      </c>
      <c r="X14" s="4">
        <f>IFERROR(_xlfn.MINIFS($L$2:$L$11,$L$2:$L$11,"&lt;&gt; -1"),0)</f>
        <v>286.44</v>
      </c>
      <c r="Y14" s="4">
        <f>IFERROR(_xlfn.MAXIFS($C$2:$C$11,$B$2:$B$11,"&lt;&gt; -1"),0)</f>
        <v>10924.72</v>
      </c>
      <c r="Z14" s="4">
        <f>IFERROR(_xlfn.MAXIFS($E$2:$E$11,$D$2:$D$11,"&lt;&gt; -1"),0)</f>
        <v>11136.9</v>
      </c>
      <c r="AA14" s="4">
        <f>IFERROR(_xlfn.MAXIFS($G$2:$G$11,$F$2:$F$11,"&lt;&gt; -1"),0)</f>
        <v>12547.14</v>
      </c>
      <c r="AB14" s="4">
        <f>IFERROR(_xlfn.MAXIFS($I$2:$I$11,$H$2:$H$11,"&lt;&gt; -1"),0)</f>
        <v>0</v>
      </c>
      <c r="AC14" s="4">
        <f>IFERROR(_xlfn.MAXIFS($K$2:$K$11,$J$2:$J$11,"&lt;&gt; -1"),0)</f>
        <v>10915.8</v>
      </c>
      <c r="AD14" s="4">
        <f>IFERROR(_xlfn.MAXIFS($M$2:$M$11,$L$2:$L$11,"&lt;&gt; -1"),0)</f>
        <v>10795.47</v>
      </c>
      <c r="AE14" s="4">
        <f>IFERROR(_xlfn.MINIFS($C$2:$C$11,$B$2:$B$11,"&lt;&gt; -1"),0)</f>
        <v>10176.46</v>
      </c>
      <c r="AF14" s="4">
        <f>IFERROR(_xlfn.MINIFS($E$2:$E$11,$D$2:$D$11,"&lt;&gt; -1"),0)</f>
        <v>10240.5</v>
      </c>
      <c r="AG14" s="4">
        <f>IFERROR(_xlfn.MINIFS($G$2:$G$11,$F$2:$F$11,"&lt;&gt; -1"),0)</f>
        <v>11636.51</v>
      </c>
      <c r="AH14" s="4">
        <f>IFERROR(_xlfn.MINIFS($I$2:$I$11,$H$2:$H$11,"&lt;&gt; -1"),0)</f>
        <v>0</v>
      </c>
      <c r="AI14" s="4">
        <f>IFERROR(_xlfn.MINIFS($K$2:$K$11,$J$2:$J$11,"&lt;&gt; -1"),0)</f>
        <v>10156.9</v>
      </c>
      <c r="AJ14" s="4">
        <f>IFERROR(_xlfn.MINIFS($M$2:$M$11,$L$2:$L$11,"&lt;&gt; -1"),0)</f>
        <v>10193.73</v>
      </c>
      <c r="AK14" s="4">
        <f>(COUNTIFS($B$2:$B$11,"&gt;0.0",$B$2:$B$11,"&lt;500.0"))/10</f>
        <v>0.4</v>
      </c>
      <c r="AL14" s="4">
        <f>(COUNTIFS($D$2:$D$11,"&gt;0.0",$D$2:$D$11,"&lt;500.0"))/10</f>
        <v>1</v>
      </c>
      <c r="AM14" s="4">
        <f>(COUNTIFS($F$2:$F$11,"&gt;0.0",$F$2:$F$11,"&lt;500.0"))/10</f>
        <v>0.4</v>
      </c>
      <c r="AN14" s="4">
        <f>(COUNTIFS($H$2:$H11,"&gt;0.0",$H$2:$H$11,"&lt;500.0"))/10</f>
        <v>0</v>
      </c>
      <c r="AO14" s="4">
        <f>(COUNTIFS($J$2:$J$11,"&gt;0.0",$J$2:$J$11,"&lt;500.0"))/10</f>
        <v>0.4</v>
      </c>
      <c r="AP14" s="4">
        <f>(COUNTIFS($L$2:$L$11,"&gt;0.0",$L$2:$L$11,"&lt;500.0"))/10</f>
        <v>0.5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456.12</v>
      </c>
      <c r="C2">
        <v>10846.73</v>
      </c>
      <c r="D2">
        <v>333.15</v>
      </c>
      <c r="E2">
        <v>10923.43</v>
      </c>
      <c r="F2">
        <v>472.54</v>
      </c>
      <c r="G2">
        <v>12444.64</v>
      </c>
      <c r="H2">
        <v>-1</v>
      </c>
      <c r="I2">
        <v>10942.16</v>
      </c>
      <c r="J2">
        <v>462.53</v>
      </c>
      <c r="K2">
        <v>10845.44</v>
      </c>
      <c r="L2">
        <v>354.11</v>
      </c>
      <c r="M2">
        <v>10863.26</v>
      </c>
    </row>
    <row r="3" spans="1:13">
      <c r="A3" t="s">
        <v>14</v>
      </c>
      <c r="B3">
        <v>421.24</v>
      </c>
      <c r="C3">
        <v>10199.49</v>
      </c>
      <c r="D3">
        <v>313.27</v>
      </c>
      <c r="E3">
        <v>10739</v>
      </c>
      <c r="F3">
        <v>429.92</v>
      </c>
      <c r="G3">
        <v>11666.04</v>
      </c>
      <c r="H3">
        <v>-1</v>
      </c>
      <c r="I3">
        <v>11881.34</v>
      </c>
      <c r="J3">
        <v>422.85</v>
      </c>
      <c r="K3">
        <v>10198.03</v>
      </c>
      <c r="L3">
        <v>320.05</v>
      </c>
      <c r="M3">
        <v>10664.19</v>
      </c>
    </row>
    <row r="4" spans="1:13">
      <c r="A4" t="s">
        <v>15</v>
      </c>
      <c r="B4">
        <v>391.47</v>
      </c>
      <c r="C4">
        <v>10203.48</v>
      </c>
      <c r="D4">
        <v>284.87</v>
      </c>
      <c r="E4">
        <v>10361.97</v>
      </c>
      <c r="F4">
        <v>403.73</v>
      </c>
      <c r="G4">
        <v>11641.99</v>
      </c>
      <c r="H4">
        <v>-1</v>
      </c>
      <c r="I4">
        <v>6690.67</v>
      </c>
      <c r="J4">
        <v>-1</v>
      </c>
      <c r="K4">
        <v>6003.68</v>
      </c>
      <c r="L4">
        <v>298.71</v>
      </c>
      <c r="M4">
        <v>10321.84</v>
      </c>
    </row>
    <row r="5" spans="1:13">
      <c r="A5" t="s">
        <v>16</v>
      </c>
      <c r="B5">
        <v>405.54</v>
      </c>
      <c r="C5">
        <v>10461.44</v>
      </c>
      <c r="D5">
        <v>297.44</v>
      </c>
      <c r="E5">
        <v>10644</v>
      </c>
      <c r="F5">
        <v>418.62</v>
      </c>
      <c r="G5">
        <v>11998.92</v>
      </c>
      <c r="H5">
        <v>-1</v>
      </c>
      <c r="I5">
        <v>8820.22</v>
      </c>
      <c r="J5">
        <v>431.34</v>
      </c>
      <c r="K5">
        <v>10433.99</v>
      </c>
      <c r="L5">
        <v>-1</v>
      </c>
      <c r="M5">
        <v>9579.78</v>
      </c>
    </row>
    <row r="6" spans="1:13">
      <c r="A6" t="s">
        <v>17</v>
      </c>
      <c r="B6">
        <v>425.13</v>
      </c>
      <c r="C6">
        <v>11055.75</v>
      </c>
      <c r="D6">
        <v>308.59</v>
      </c>
      <c r="E6">
        <v>11068.21</v>
      </c>
      <c r="F6">
        <v>447.65</v>
      </c>
      <c r="G6">
        <v>12625.62</v>
      </c>
      <c r="H6">
        <v>-1</v>
      </c>
      <c r="I6">
        <v>9776.17</v>
      </c>
      <c r="J6">
        <v>433.77</v>
      </c>
      <c r="K6">
        <v>11035.43</v>
      </c>
      <c r="L6">
        <v>333.16</v>
      </c>
      <c r="M6">
        <v>11015.66</v>
      </c>
    </row>
    <row r="7" spans="1:13">
      <c r="A7" t="s">
        <v>18</v>
      </c>
      <c r="B7">
        <v>362.79</v>
      </c>
      <c r="C7">
        <v>9961.15</v>
      </c>
      <c r="D7">
        <v>293.54</v>
      </c>
      <c r="E7">
        <v>10350.69</v>
      </c>
      <c r="F7">
        <v>368.07</v>
      </c>
      <c r="G7">
        <v>11535.07</v>
      </c>
      <c r="H7">
        <v>-1</v>
      </c>
      <c r="I7">
        <v>11031.41</v>
      </c>
      <c r="J7">
        <v>363.49</v>
      </c>
      <c r="K7">
        <v>9961.15</v>
      </c>
      <c r="L7">
        <v>307.87</v>
      </c>
      <c r="M7">
        <v>10269.11</v>
      </c>
    </row>
    <row r="8" spans="1:13">
      <c r="A8" t="s">
        <v>19</v>
      </c>
      <c r="B8">
        <v>415.83</v>
      </c>
      <c r="C8">
        <v>10788.46</v>
      </c>
      <c r="D8">
        <v>308.77</v>
      </c>
      <c r="E8">
        <v>11164.7</v>
      </c>
      <c r="F8">
        <v>426.57</v>
      </c>
      <c r="G8">
        <v>12232.32</v>
      </c>
      <c r="H8">
        <v>-1</v>
      </c>
      <c r="I8">
        <v>8721.75</v>
      </c>
      <c r="J8">
        <v>425.02</v>
      </c>
      <c r="K8">
        <v>10790.92</v>
      </c>
      <c r="L8">
        <v>-1</v>
      </c>
      <c r="M8">
        <v>942.93</v>
      </c>
    </row>
    <row r="9" spans="1:13">
      <c r="A9" t="s">
        <v>20</v>
      </c>
      <c r="B9">
        <v>404.11</v>
      </c>
      <c r="C9">
        <v>10162.32</v>
      </c>
      <c r="D9">
        <v>291.92</v>
      </c>
      <c r="E9">
        <v>10376.12</v>
      </c>
      <c r="F9">
        <v>415.8</v>
      </c>
      <c r="G9">
        <v>11635.46</v>
      </c>
      <c r="H9">
        <v>-1</v>
      </c>
      <c r="I9">
        <v>10392.06</v>
      </c>
      <c r="J9">
        <v>410.14</v>
      </c>
      <c r="K9">
        <v>10173.1</v>
      </c>
      <c r="L9">
        <v>315.21</v>
      </c>
      <c r="M9">
        <v>10317.55</v>
      </c>
    </row>
    <row r="10" spans="1:13">
      <c r="A10" t="s">
        <v>21</v>
      </c>
      <c r="B10">
        <v>411.87</v>
      </c>
      <c r="C10">
        <v>10563.28</v>
      </c>
      <c r="D10">
        <v>302.22</v>
      </c>
      <c r="E10">
        <v>10597.99</v>
      </c>
      <c r="F10">
        <v>417.64</v>
      </c>
      <c r="G10">
        <v>12106.93</v>
      </c>
      <c r="H10">
        <v>322.66</v>
      </c>
      <c r="I10">
        <v>12133.77</v>
      </c>
      <c r="J10">
        <v>413.23</v>
      </c>
      <c r="K10">
        <v>10592.57</v>
      </c>
      <c r="L10">
        <v>315.83</v>
      </c>
      <c r="M10">
        <v>10589.38</v>
      </c>
    </row>
    <row r="11" spans="1:13">
      <c r="A11" t="s">
        <v>22</v>
      </c>
      <c r="B11">
        <v>413.97</v>
      </c>
      <c r="C11">
        <v>10313.28</v>
      </c>
      <c r="D11">
        <v>300.01</v>
      </c>
      <c r="E11">
        <v>10540.22</v>
      </c>
      <c r="F11">
        <v>425.44</v>
      </c>
      <c r="G11">
        <v>11756.34</v>
      </c>
      <c r="H11">
        <v>-1</v>
      </c>
      <c r="I11">
        <v>11288.86</v>
      </c>
      <c r="J11">
        <v>416.72</v>
      </c>
      <c r="K11">
        <v>10308.37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410.807</v>
      </c>
      <c r="B14" s="4">
        <f>IFERROR(AVERAGEIF($D$2:$D$11,"&lt;&gt; -1"),0)</f>
        <v>303.378</v>
      </c>
      <c r="C14" s="4">
        <f>IFERROR(AVERAGEIF($F$2:$F$11,"&lt;&gt; -1"),0)</f>
        <v>422.598</v>
      </c>
      <c r="D14" s="4">
        <f>IFERROR(AVERAGEIF($H$2:$H$11,"&lt;&gt; -1"),0)</f>
        <v>322.66</v>
      </c>
      <c r="E14" s="4">
        <f>IFERROR(AVERAGEIF($J$2:$J$11,"&lt;&gt; -1"),0)</f>
        <v>419.898888888889</v>
      </c>
      <c r="F14" s="4">
        <f>IFERROR(AVERAGEIF($L$2:$L$11,"&lt;&gt; -1"),0)</f>
        <v>320.705714285714</v>
      </c>
      <c r="G14" s="4">
        <f>IFERROR(AVERAGEIFS($C$2:$C$11,$B$2:$B$11,"&lt;&gt; -1"),0)</f>
        <v>10455.538</v>
      </c>
      <c r="H14" s="4">
        <f>IFERROR(AVERAGEIFS($E$2:$E$11,$D$2:$D$11,"&lt;&gt; -1"),0)</f>
        <v>10676.633</v>
      </c>
      <c r="I14" s="4">
        <f>IFERROR(AVERAGEIFS($G$2:$G$11,$F$2:$F$11,"&lt;&gt; -1"),0)</f>
        <v>11964.333</v>
      </c>
      <c r="J14" s="4">
        <f>IFERROR(AVERAGEIFS($I$2:$I$11,$H$2:$H$11,"&lt;&gt; -1"),0)</f>
        <v>12133.77</v>
      </c>
      <c r="K14" s="4">
        <f>IFERROR(AVERAGEIFS($K$2:$K$11,$J$2:$J$11,"&lt;&gt; -1"),0)</f>
        <v>10482.1111111111</v>
      </c>
      <c r="L14" s="4">
        <f>IFERROR(AVERAGEIFS($M$2:$M$11,$L$2:$L$11,"&lt;&gt; -1"),0)</f>
        <v>10577.2842857143</v>
      </c>
      <c r="M14" s="4">
        <f>IFERROR(_xlfn.MAXIFS($B$2:$B$11,$B$2:$B$11,"&lt;&gt; -1"),0)</f>
        <v>456.12</v>
      </c>
      <c r="N14" s="4">
        <f>IFERROR(_xlfn.MAXIFS($D$2:$D$11,$D$2:$D$11,"&lt;&gt;-1"),0)</f>
        <v>333.15</v>
      </c>
      <c r="O14" s="4">
        <f>IFERROR(_xlfn.MAXIFS($F$2:$F$11,$F$2:$F$11,"&lt;&gt; -1"),0)</f>
        <v>472.54</v>
      </c>
      <c r="P14" s="4">
        <f>IFERROR(_xlfn.MAXIFS($H$2:$H$11,$H$2:$H$11,"&lt;&gt; -1"),0)</f>
        <v>322.66</v>
      </c>
      <c r="Q14" s="4">
        <f>IFERROR(_xlfn.MAXIFS($J$2:$J$11,$J$2:$J$11,"&lt;&gt; -1"),0)</f>
        <v>462.53</v>
      </c>
      <c r="R14" s="4">
        <f>IFERROR(_xlfn.MAXIFS($L$2:$L$11,$L$2:$L$11,"&lt;&gt; -1"),0)</f>
        <v>354.11</v>
      </c>
      <c r="S14" s="4">
        <f>IFERROR(_xlfn.MINIFS($B$2:$B$11,$B$2:$B$11,"&lt;&gt; -1"),0)</f>
        <v>362.79</v>
      </c>
      <c r="T14" s="4">
        <f>IFERROR(_xlfn.MINIFS($D$2:$D$11,$D$2:$D$11,"&lt;&gt;-1"),0)</f>
        <v>284.87</v>
      </c>
      <c r="U14" s="4">
        <f>IFERROR(_xlfn.MINIFS($F$2:$F$11,$F$2:$F$11,"&lt;&gt; -1"),0)</f>
        <v>368.07</v>
      </c>
      <c r="V14" s="4">
        <f>IFERROR(_xlfn.MINIFS($H$2:$H$11,$H$2:$H$11,"&lt;&gt; -1"),0)</f>
        <v>322.66</v>
      </c>
      <c r="W14" s="4">
        <f>IFERROR(_xlfn.MINIFS($J$2:$J$11,$J$2:$J$11,"&lt;&gt; -1"),0)</f>
        <v>363.49</v>
      </c>
      <c r="X14" s="4">
        <f>IFERROR(_xlfn.MINIFS($L$2:$L$11,$L$2:$L$11,"&lt;&gt; -1"),0)</f>
        <v>298.71</v>
      </c>
      <c r="Y14" s="4">
        <f>IFERROR(_xlfn.MAXIFS($C$2:$C$11,$B$2:$B$11,"&lt;&gt; -1"),0)</f>
        <v>11055.75</v>
      </c>
      <c r="Z14" s="4">
        <f>IFERROR(_xlfn.MAXIFS($E$2:$E$11,$D$2:$D$11,"&lt;&gt; -1"),0)</f>
        <v>11164.7</v>
      </c>
      <c r="AA14" s="4">
        <f>IFERROR(_xlfn.MAXIFS($G$2:$G$11,$F$2:$F$11,"&lt;&gt; -1"),0)</f>
        <v>12625.62</v>
      </c>
      <c r="AB14" s="4">
        <f>IFERROR(_xlfn.MAXIFS($I$2:$I$11,$H$2:$H$11,"&lt;&gt; -1"),0)</f>
        <v>12133.77</v>
      </c>
      <c r="AC14" s="4">
        <f>IFERROR(_xlfn.MAXIFS($K$2:$K$11,$J$2:$J$11,"&lt;&gt; -1"),0)</f>
        <v>11035.43</v>
      </c>
      <c r="AD14" s="4">
        <f>IFERROR(_xlfn.MAXIFS($M$2:$M$11,$L$2:$L$11,"&lt;&gt; -1"),0)</f>
        <v>11015.66</v>
      </c>
      <c r="AE14" s="4">
        <f>IFERROR(_xlfn.MINIFS($C$2:$C$11,$B$2:$B$11,"&lt;&gt; -1"),0)</f>
        <v>9961.15</v>
      </c>
      <c r="AF14" s="4">
        <f>IFERROR(_xlfn.MINIFS($E$2:$E$11,$D$2:$D$11,"&lt;&gt; -1"),0)</f>
        <v>10350.69</v>
      </c>
      <c r="AG14" s="4">
        <f>IFERROR(_xlfn.MINIFS($G$2:$G$11,$F$2:$F$11,"&lt;&gt; -1"),0)</f>
        <v>11535.07</v>
      </c>
      <c r="AH14" s="4">
        <f>IFERROR(_xlfn.MINIFS($I$2:$I$11,$H$2:$H$11,"&lt;&gt; -1"),0)</f>
        <v>12133.77</v>
      </c>
      <c r="AI14" s="4">
        <f>IFERROR(_xlfn.MINIFS($K$2:$K$11,$J$2:$J$11,"&lt;&gt; -1"),0)</f>
        <v>9961.15</v>
      </c>
      <c r="AJ14" s="4">
        <f>IFERROR(_xlfn.MINIFS($M$2:$M$11,$L$2:$L$11,"&lt;&gt; -1"),0)</f>
        <v>10269.11</v>
      </c>
      <c r="AK14" s="4">
        <f>(COUNTIFS($B$2:$B$11,"&gt;0.0",$B$2:$B$11,"&lt;500.0"))/10</f>
        <v>1</v>
      </c>
      <c r="AL14" s="4">
        <f>(COUNTIFS($D$2:$D$11,"&gt;0.0",$D$2:$D$11,"&lt;500.0"))/10</f>
        <v>1</v>
      </c>
      <c r="AM14" s="4">
        <f>(COUNTIFS($F$2:$F$11,"&gt;0.0",$F$2:$F$11,"&lt;500.0"))/10</f>
        <v>1</v>
      </c>
      <c r="AN14" s="4">
        <f>(COUNTIFS($H$2:$H11,"&gt;0.0",$H$2:$H$11,"&lt;500.0"))/10</f>
        <v>0.1</v>
      </c>
      <c r="AO14" s="4">
        <f>(COUNTIFS($J$2:$J$11,"&gt;0.0",$J$2:$J$11,"&lt;500.0"))/10</f>
        <v>0.9</v>
      </c>
      <c r="AP14" s="4">
        <f>(COUNTIFS($L$2:$L$11,"&gt;0.0",$L$2:$L$11,"&lt;500.0"))/10</f>
        <v>0.7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446.33</v>
      </c>
      <c r="C2">
        <v>10994.92</v>
      </c>
      <c r="D2">
        <v>331.64</v>
      </c>
      <c r="E2">
        <v>10899.81</v>
      </c>
      <c r="F2">
        <v>-1</v>
      </c>
      <c r="G2">
        <v>0</v>
      </c>
      <c r="H2">
        <v>358.65</v>
      </c>
      <c r="I2">
        <v>12561.27</v>
      </c>
      <c r="J2">
        <v>-1</v>
      </c>
      <c r="K2">
        <v>0</v>
      </c>
      <c r="L2">
        <v>337.92</v>
      </c>
      <c r="M2">
        <v>10860.49</v>
      </c>
    </row>
    <row r="3" spans="1:13">
      <c r="A3" t="s">
        <v>14</v>
      </c>
      <c r="B3">
        <v>440.22</v>
      </c>
      <c r="C3">
        <v>10830.23</v>
      </c>
      <c r="D3">
        <v>318.46</v>
      </c>
      <c r="E3">
        <v>10269.53</v>
      </c>
      <c r="F3">
        <v>-1</v>
      </c>
      <c r="G3">
        <v>0</v>
      </c>
      <c r="H3">
        <v>336.13</v>
      </c>
      <c r="I3">
        <v>11742.47</v>
      </c>
      <c r="J3">
        <v>-1</v>
      </c>
      <c r="K3">
        <v>0</v>
      </c>
      <c r="L3">
        <v>-1</v>
      </c>
      <c r="M3">
        <v>3958.76</v>
      </c>
    </row>
    <row r="4" spans="1:13">
      <c r="A4" t="s">
        <v>15</v>
      </c>
      <c r="B4">
        <v>436.36</v>
      </c>
      <c r="C4">
        <v>10163.35</v>
      </c>
      <c r="D4">
        <v>310.19</v>
      </c>
      <c r="E4">
        <v>9940.5</v>
      </c>
      <c r="F4">
        <v>-1</v>
      </c>
      <c r="G4">
        <v>1755.42</v>
      </c>
      <c r="H4">
        <v>333.31</v>
      </c>
      <c r="I4">
        <v>11292.38</v>
      </c>
      <c r="J4">
        <v>-1</v>
      </c>
      <c r="K4">
        <v>0</v>
      </c>
      <c r="L4">
        <v>317.84</v>
      </c>
      <c r="M4">
        <v>9910.62</v>
      </c>
    </row>
    <row r="5" spans="1:13">
      <c r="A5" t="s">
        <v>16</v>
      </c>
      <c r="B5">
        <v>440.57</v>
      </c>
      <c r="C5">
        <v>10510.64</v>
      </c>
      <c r="D5">
        <v>322.91</v>
      </c>
      <c r="E5">
        <v>10623.15</v>
      </c>
      <c r="F5">
        <v>-1</v>
      </c>
      <c r="G5">
        <v>0</v>
      </c>
      <c r="H5">
        <v>-1</v>
      </c>
      <c r="I5">
        <v>8447.09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453.44</v>
      </c>
      <c r="C6">
        <v>11306.66</v>
      </c>
      <c r="D6">
        <v>336.36</v>
      </c>
      <c r="E6">
        <v>11087.1</v>
      </c>
      <c r="F6">
        <v>-1</v>
      </c>
      <c r="G6">
        <v>0</v>
      </c>
      <c r="H6">
        <v>-1</v>
      </c>
      <c r="I6">
        <v>8894.97</v>
      </c>
      <c r="J6">
        <v>-1</v>
      </c>
      <c r="K6">
        <v>0</v>
      </c>
      <c r="L6">
        <v>-1</v>
      </c>
      <c r="M6">
        <v>3492.33</v>
      </c>
    </row>
    <row r="7" spans="1:13">
      <c r="A7" t="s">
        <v>18</v>
      </c>
      <c r="B7">
        <v>437.73</v>
      </c>
      <c r="C7">
        <v>10322.36</v>
      </c>
      <c r="D7">
        <v>319.12</v>
      </c>
      <c r="E7">
        <v>10351.19</v>
      </c>
      <c r="F7">
        <v>-1</v>
      </c>
      <c r="G7">
        <v>6435.82</v>
      </c>
      <c r="H7">
        <v>-1</v>
      </c>
      <c r="I7">
        <v>10470.01</v>
      </c>
      <c r="J7">
        <v>-1</v>
      </c>
      <c r="K7">
        <v>0</v>
      </c>
      <c r="L7">
        <v>-1</v>
      </c>
      <c r="M7">
        <v>3696.07</v>
      </c>
    </row>
    <row r="8" spans="1:13">
      <c r="A8" t="s">
        <v>19</v>
      </c>
      <c r="B8">
        <v>452.65</v>
      </c>
      <c r="C8">
        <v>11015.4</v>
      </c>
      <c r="D8">
        <v>329.4</v>
      </c>
      <c r="E8">
        <v>10880.96</v>
      </c>
      <c r="F8">
        <v>-1</v>
      </c>
      <c r="G8">
        <v>0</v>
      </c>
      <c r="H8">
        <v>350.2</v>
      </c>
      <c r="I8">
        <v>12382.16</v>
      </c>
      <c r="J8">
        <v>-1</v>
      </c>
      <c r="K8">
        <v>0</v>
      </c>
      <c r="L8">
        <v>-1</v>
      </c>
      <c r="M8">
        <v>10804.16</v>
      </c>
    </row>
    <row r="9" spans="1:13">
      <c r="A9" t="s">
        <v>20</v>
      </c>
      <c r="B9">
        <v>436.74</v>
      </c>
      <c r="C9">
        <v>10509.51</v>
      </c>
      <c r="D9">
        <v>316.31</v>
      </c>
      <c r="E9">
        <v>10273.86</v>
      </c>
      <c r="F9">
        <v>-1</v>
      </c>
      <c r="G9">
        <v>6861.32</v>
      </c>
      <c r="H9">
        <v>-1</v>
      </c>
      <c r="I9">
        <v>8022.76</v>
      </c>
      <c r="J9">
        <v>-1</v>
      </c>
      <c r="K9">
        <v>0</v>
      </c>
      <c r="L9">
        <v>-1</v>
      </c>
      <c r="M9">
        <v>740.47</v>
      </c>
    </row>
    <row r="10" spans="1:13">
      <c r="A10" t="s">
        <v>21</v>
      </c>
      <c r="B10">
        <v>450.46</v>
      </c>
      <c r="C10">
        <v>10849.68</v>
      </c>
      <c r="D10">
        <v>329.77</v>
      </c>
      <c r="E10">
        <v>10812.68</v>
      </c>
      <c r="F10">
        <v>-1</v>
      </c>
      <c r="G10">
        <v>0</v>
      </c>
      <c r="H10">
        <v>-1</v>
      </c>
      <c r="I10">
        <v>11300.51</v>
      </c>
      <c r="J10">
        <v>-1</v>
      </c>
      <c r="K10">
        <v>0</v>
      </c>
      <c r="L10">
        <v>-1</v>
      </c>
      <c r="M10">
        <v>6443.48</v>
      </c>
    </row>
    <row r="11" spans="1:13">
      <c r="A11" t="s">
        <v>22</v>
      </c>
      <c r="B11">
        <v>441.07</v>
      </c>
      <c r="C11">
        <v>10407.64</v>
      </c>
      <c r="D11">
        <v>322.33</v>
      </c>
      <c r="E11">
        <v>10479.87</v>
      </c>
      <c r="F11">
        <v>-1</v>
      </c>
      <c r="G11">
        <v>4605.32</v>
      </c>
      <c r="H11">
        <v>-1</v>
      </c>
      <c r="I11">
        <v>9371.9</v>
      </c>
      <c r="J11">
        <v>-1</v>
      </c>
      <c r="K11">
        <v>0</v>
      </c>
      <c r="L11">
        <v>-1</v>
      </c>
      <c r="M11">
        <v>346.66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ht="13" customHeight="1" spans="1:42">
      <c r="A14" s="4">
        <f>IFERROR(AVERAGEIF($B$2:$B$11,"&lt;&gt; -1"),0)</f>
        <v>443.557</v>
      </c>
      <c r="B14" s="4">
        <f>IFERROR(AVERAGEIF($D$2:$D$11,"&lt;&gt; -1"),0)</f>
        <v>323.649</v>
      </c>
      <c r="C14" s="4">
        <f>IFERROR(AVERAGEIF($F$2:$F$11,"&lt;&gt; -1"),0)</f>
        <v>0</v>
      </c>
      <c r="D14" s="4">
        <f>IFERROR(AVERAGEIF($H$2:$H$11,"&lt;&gt; -1"),0)</f>
        <v>344.5725</v>
      </c>
      <c r="E14" s="4">
        <f>IFERROR(AVERAGEIF($J$2:$J$11,"&lt;&gt; -1"),0)</f>
        <v>0</v>
      </c>
      <c r="F14" s="4">
        <f>IFERROR(AVERAGEIF($L$2:$L$11,"&lt;&gt; -1"),0)</f>
        <v>327.88</v>
      </c>
      <c r="G14" s="4">
        <f>IFERROR(AVERAGEIFS($C$2:$C$11,$B$2:$B$11,"&lt;&gt; -1"),0)</f>
        <v>10691.039</v>
      </c>
      <c r="H14" s="4">
        <f>IFERROR(AVERAGEIFS($E$2:$E$11,$D$2:$D$11,"&lt;&gt; -1"),0)</f>
        <v>10561.865</v>
      </c>
      <c r="I14" s="4">
        <f>IFERROR(AVERAGEIFS($G$2:$G$11,$F$2:$F$11,"&lt;&gt; -1"),0)</f>
        <v>0</v>
      </c>
      <c r="J14" s="4">
        <f>IFERROR(AVERAGEIFS($I$2:$I$11,$H$2:$H$11,"&lt;&gt; -1"),0)</f>
        <v>11994.57</v>
      </c>
      <c r="K14" s="4">
        <f>IFERROR(AVERAGEIFS($K$2:$K$11,$J$2:$J$11,"&lt;&gt; -1"),0)</f>
        <v>0</v>
      </c>
      <c r="L14" s="4">
        <f>IFERROR(AVERAGEIFS($M$2:$M$11,$L$2:$L$11,"&lt;&gt; -1"),0)</f>
        <v>10385.555</v>
      </c>
      <c r="M14" s="4">
        <f>IFERROR(_xlfn.MAXIFS($B$2:$B$11,$B$2:$B$11,"&lt;&gt; -1"),0)</f>
        <v>453.44</v>
      </c>
      <c r="N14" s="4">
        <f>IFERROR(_xlfn.MAXIFS($D$2:$D$11,$D$2:$D$11,"&lt;&gt;-1"),0)</f>
        <v>336.36</v>
      </c>
      <c r="O14" s="4">
        <f>IFERROR(_xlfn.MAXIFS($F$2:$F$11,$F$2:$F$11,"&lt;&gt; -1"),0)</f>
        <v>0</v>
      </c>
      <c r="P14" s="4">
        <f>IFERROR(_xlfn.MAXIFS($H$2:$H$11,$H$2:$H$11,"&lt;&gt; -1"),0)</f>
        <v>358.65</v>
      </c>
      <c r="Q14" s="4">
        <f>IFERROR(_xlfn.MAXIFS($J$2:$J$11,$J$2:$J$11,"&lt;&gt; -1"),0)</f>
        <v>0</v>
      </c>
      <c r="R14" s="4">
        <f>IFERROR(_xlfn.MAXIFS($L$2:$L$11,$L$2:$L$11,"&lt;&gt; -1"),0)</f>
        <v>337.92</v>
      </c>
      <c r="S14" s="4">
        <f>IFERROR(_xlfn.MINIFS($B$2:$B$11,$B$2:$B$11,"&lt;&gt; -1"),0)</f>
        <v>436.36</v>
      </c>
      <c r="T14" s="4">
        <f>IFERROR(_xlfn.MINIFS($D$2:$D$11,$D$2:$D$11,"&lt;&gt;-1"),0)</f>
        <v>310.19</v>
      </c>
      <c r="U14" s="4">
        <f>IFERROR(_xlfn.MINIFS($F$2:$F$11,$F$2:$F$11,"&lt;&gt; -1"),0)</f>
        <v>0</v>
      </c>
      <c r="V14" s="4">
        <f>IFERROR(_xlfn.MINIFS($H$2:$H$11,$H$2:$H$11,"&lt;&gt; -1"),0)</f>
        <v>333.31</v>
      </c>
      <c r="W14" s="4">
        <f>IFERROR(_xlfn.MINIFS($J$2:$J$11,$J$2:$J$11,"&lt;&gt; -1"),0)</f>
        <v>0</v>
      </c>
      <c r="X14" s="4">
        <f>IFERROR(_xlfn.MINIFS($L$2:$L$11,$L$2:$L$11,"&lt;&gt; -1"),0)</f>
        <v>317.84</v>
      </c>
      <c r="Y14" s="4">
        <f>IFERROR(_xlfn.MAXIFS($C$2:$C$11,$B$2:$B$11,"&lt;&gt; -1"),0)</f>
        <v>11306.66</v>
      </c>
      <c r="Z14" s="4">
        <f>IFERROR(_xlfn.MAXIFS($E$2:$E$11,$D$2:$D$11,"&lt;&gt; -1"),0)</f>
        <v>11087.1</v>
      </c>
      <c r="AA14" s="4">
        <f>IFERROR(_xlfn.MAXIFS($G$2:$G$11,$F$2:$F$11,"&lt;&gt; -1"),0)</f>
        <v>0</v>
      </c>
      <c r="AB14" s="4">
        <f>IFERROR(_xlfn.MAXIFS($I$2:$I$11,$H$2:$H$11,"&lt;&gt; -1"),0)</f>
        <v>12561.27</v>
      </c>
      <c r="AC14" s="4">
        <f>IFERROR(_xlfn.MAXIFS($K$2:$K$11,$J$2:$J$11,"&lt;&gt; -1"),0)</f>
        <v>0</v>
      </c>
      <c r="AD14" s="4">
        <f>IFERROR(_xlfn.MAXIFS($M$2:$M$11,$L$2:$L$11,"&lt;&gt; -1"),0)</f>
        <v>10860.49</v>
      </c>
      <c r="AE14" s="4">
        <f>IFERROR(_xlfn.MINIFS($C$2:$C$11,$B$2:$B$11,"&lt;&gt; -1"),0)</f>
        <v>10163.35</v>
      </c>
      <c r="AF14" s="4">
        <f>IFERROR(_xlfn.MINIFS($E$2:$E$11,$D$2:$D$11,"&lt;&gt; -1"),0)</f>
        <v>9940.5</v>
      </c>
      <c r="AG14" s="4">
        <f>IFERROR(_xlfn.MINIFS($G$2:$G$11,$F$2:$F$11,"&lt;&gt; -1"),0)</f>
        <v>0</v>
      </c>
      <c r="AH14" s="4">
        <f>IFERROR(_xlfn.MINIFS($I$2:$I$11,$H$2:$H$11,"&lt;&gt; -1"),0)</f>
        <v>11292.38</v>
      </c>
      <c r="AI14" s="4">
        <f>IFERROR(_xlfn.MINIFS($K$2:$K$11,$J$2:$J$11,"&lt;&gt; -1"),0)</f>
        <v>0</v>
      </c>
      <c r="AJ14" s="4">
        <f>IFERROR(_xlfn.MINIFS($M$2:$M$11,$L$2:$L$11,"&lt;&gt; -1"),0)</f>
        <v>9910.62</v>
      </c>
      <c r="AK14" s="4">
        <f>(COUNTIFS($B$2:$B$11,"&gt;0.0",$B$2:$B$11,"&lt;500.0"))/10</f>
        <v>1</v>
      </c>
      <c r="AL14" s="4">
        <f>(COUNTIFS($D$2:$D$11,"&gt;0.0",$D$2:$D$11,"&lt;500.0"))/10</f>
        <v>1</v>
      </c>
      <c r="AM14" s="4">
        <f>(COUNTIFS($F$2:$F$11,"&gt;0.0",$F$2:$F$11,"&lt;500.0"))/10</f>
        <v>0</v>
      </c>
      <c r="AN14" s="4">
        <f>(COUNTIFS($H$2:$H11,"&gt;0.0",$H$2:$H$11,"&lt;500.0"))/10</f>
        <v>0.4</v>
      </c>
      <c r="AO14" s="4">
        <f>(COUNTIFS($J$2:$J$11,"&gt;0.0",$J$2:$J$11,"&lt;500.0"))/10</f>
        <v>0</v>
      </c>
      <c r="AP14" s="4">
        <f>(COUNTIFS($L$2:$L$11,"&gt;0.0",$L$2:$L$11,"&lt;500.0"))/10</f>
        <v>0.2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tabSelected="1" topLeftCell="S7" workbookViewId="0">
      <selection activeCell="AJ22" sqref="AJ22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464.85</v>
      </c>
      <c r="C2">
        <v>10907.8</v>
      </c>
      <c r="D2">
        <v>354.79</v>
      </c>
      <c r="E2">
        <v>10758.43</v>
      </c>
      <c r="F2">
        <v>-1</v>
      </c>
      <c r="G2">
        <v>0</v>
      </c>
      <c r="H2">
        <v>-1</v>
      </c>
      <c r="I2">
        <v>9815.23</v>
      </c>
      <c r="J2">
        <v>-1</v>
      </c>
      <c r="K2">
        <v>0</v>
      </c>
      <c r="L2">
        <v>371.1</v>
      </c>
      <c r="M2">
        <v>10734.1</v>
      </c>
    </row>
    <row r="3" spans="1:13">
      <c r="A3" t="s">
        <v>14</v>
      </c>
      <c r="B3">
        <v>457.6</v>
      </c>
      <c r="C3">
        <v>10719.72</v>
      </c>
      <c r="D3">
        <v>345.6</v>
      </c>
      <c r="E3">
        <v>10594.09</v>
      </c>
      <c r="F3">
        <v>-1</v>
      </c>
      <c r="G3">
        <v>0</v>
      </c>
      <c r="H3">
        <v>-1</v>
      </c>
      <c r="I3">
        <v>9356.32</v>
      </c>
      <c r="J3">
        <v>-1</v>
      </c>
      <c r="K3">
        <v>0</v>
      </c>
      <c r="L3">
        <v>-1</v>
      </c>
      <c r="M3">
        <v>4827.44</v>
      </c>
    </row>
    <row r="4" spans="1:13">
      <c r="A4" t="s">
        <v>15</v>
      </c>
      <c r="B4">
        <v>444.96</v>
      </c>
      <c r="C4">
        <v>10548.65</v>
      </c>
      <c r="D4">
        <v>334.86</v>
      </c>
      <c r="E4">
        <v>10248.63</v>
      </c>
      <c r="F4">
        <v>-1</v>
      </c>
      <c r="G4">
        <v>0</v>
      </c>
      <c r="H4">
        <v>-1</v>
      </c>
      <c r="I4">
        <v>7585.91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463.8</v>
      </c>
      <c r="C5">
        <v>10409.74</v>
      </c>
      <c r="D5">
        <v>351.48</v>
      </c>
      <c r="E5">
        <v>10638.01</v>
      </c>
      <c r="F5">
        <v>-1</v>
      </c>
      <c r="G5">
        <v>0</v>
      </c>
      <c r="H5">
        <v>-1</v>
      </c>
      <c r="I5">
        <v>5860.45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476.56</v>
      </c>
      <c r="C6">
        <v>11445.24</v>
      </c>
      <c r="D6">
        <v>364.38</v>
      </c>
      <c r="E6">
        <v>11124.48</v>
      </c>
      <c r="F6">
        <v>-1</v>
      </c>
      <c r="G6">
        <v>0</v>
      </c>
      <c r="H6">
        <v>-1</v>
      </c>
      <c r="I6">
        <v>6100.79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454.5</v>
      </c>
      <c r="C7">
        <v>10305.58</v>
      </c>
      <c r="D7">
        <v>346.46</v>
      </c>
      <c r="E7">
        <v>10023.92</v>
      </c>
      <c r="F7">
        <v>-1</v>
      </c>
      <c r="G7">
        <v>0</v>
      </c>
      <c r="H7">
        <v>363.85</v>
      </c>
      <c r="I7">
        <v>11550.2</v>
      </c>
      <c r="J7">
        <v>-1</v>
      </c>
      <c r="K7">
        <v>0</v>
      </c>
      <c r="L7">
        <v>360.79</v>
      </c>
      <c r="M7">
        <v>10010.02</v>
      </c>
    </row>
    <row r="8" spans="1:13">
      <c r="A8" t="s">
        <v>19</v>
      </c>
      <c r="B8">
        <v>468.68</v>
      </c>
      <c r="C8">
        <v>10881.31</v>
      </c>
      <c r="D8">
        <v>356.53</v>
      </c>
      <c r="E8">
        <v>10903.88</v>
      </c>
      <c r="F8">
        <v>-1</v>
      </c>
      <c r="G8">
        <v>0</v>
      </c>
      <c r="H8">
        <v>-1</v>
      </c>
      <c r="I8">
        <v>7244.42</v>
      </c>
      <c r="J8">
        <v>-1</v>
      </c>
      <c r="K8">
        <v>0</v>
      </c>
      <c r="L8">
        <v>-1</v>
      </c>
      <c r="M8">
        <v>7261.88</v>
      </c>
    </row>
    <row r="9" spans="1:13">
      <c r="A9" t="s">
        <v>20</v>
      </c>
      <c r="B9">
        <v>455.93</v>
      </c>
      <c r="C9">
        <v>10883.22</v>
      </c>
      <c r="D9">
        <v>345.23</v>
      </c>
      <c r="E9">
        <v>10075.37</v>
      </c>
      <c r="F9">
        <v>-1</v>
      </c>
      <c r="G9">
        <v>0</v>
      </c>
      <c r="H9">
        <v>-1</v>
      </c>
      <c r="I9">
        <v>9754.75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469.64</v>
      </c>
      <c r="C10">
        <v>11141.17</v>
      </c>
      <c r="D10">
        <v>355.66</v>
      </c>
      <c r="E10">
        <v>10727.87</v>
      </c>
      <c r="F10">
        <v>-1</v>
      </c>
      <c r="G10">
        <v>0</v>
      </c>
      <c r="H10">
        <v>383</v>
      </c>
      <c r="I10">
        <v>12143.07</v>
      </c>
      <c r="J10">
        <v>-1</v>
      </c>
      <c r="K10">
        <v>0</v>
      </c>
      <c r="L10">
        <v>-1</v>
      </c>
      <c r="M10">
        <v>5870.11</v>
      </c>
    </row>
    <row r="11" spans="1:13">
      <c r="A11" t="s">
        <v>22</v>
      </c>
      <c r="B11">
        <v>463.26</v>
      </c>
      <c r="C11">
        <v>10626.73</v>
      </c>
      <c r="D11">
        <v>349.86</v>
      </c>
      <c r="E11">
        <v>10536.55</v>
      </c>
      <c r="F11">
        <v>-1</v>
      </c>
      <c r="G11">
        <v>0</v>
      </c>
      <c r="H11">
        <v>-1</v>
      </c>
      <c r="I11">
        <v>8478.87</v>
      </c>
      <c r="J11">
        <v>-1</v>
      </c>
      <c r="K11">
        <v>0</v>
      </c>
      <c r="L11">
        <v>-1</v>
      </c>
      <c r="M11">
        <v>697.51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461.978</v>
      </c>
      <c r="B14" s="4">
        <f>IFERROR(AVERAGEIF($D$2:$D$11,"&lt;&gt; -1"),0)</f>
        <v>350.485</v>
      </c>
      <c r="C14" s="4">
        <f>IFERROR(AVERAGEIF($F$2:$F$11,"&lt;&gt; -1"),0)</f>
        <v>0</v>
      </c>
      <c r="D14" s="4">
        <f>IFERROR(AVERAGEIF($H$2:$H$11,"&lt;&gt; -1"),0)</f>
        <v>373.425</v>
      </c>
      <c r="E14" s="4">
        <f>IFERROR(AVERAGEIF($J$2:$J$11,"&lt;&gt; -1"),0)</f>
        <v>0</v>
      </c>
      <c r="F14" s="4">
        <f>IFERROR(AVERAGEIF($L$2:$L$11,"&lt;&gt; -1"),0)</f>
        <v>365.945</v>
      </c>
      <c r="G14" s="4">
        <f>IFERROR(AVERAGEIFS($C$2:$C$11,$B$2:$B$11,"&lt;&gt; -1"),0)</f>
        <v>10786.916</v>
      </c>
      <c r="H14" s="4">
        <f>IFERROR(AVERAGEIFS($E$2:$E$11,$D$2:$D$11,"&lt;&gt; -1"),0)</f>
        <v>10563.123</v>
      </c>
      <c r="I14" s="4">
        <f>IFERROR(AVERAGEIFS($G$2:$G$11,$F$2:$F$11,"&lt;&gt; -1"),0)</f>
        <v>0</v>
      </c>
      <c r="J14" s="4">
        <f>IFERROR(AVERAGEIFS($I$2:$I$11,$H$2:$H$11,"&lt;&gt; -1"),0)</f>
        <v>11846.635</v>
      </c>
      <c r="K14" s="4">
        <f>IFERROR(AVERAGEIFS($K$2:$K$11,$J$2:$J$11,"&lt;&gt; -1"),0)</f>
        <v>0</v>
      </c>
      <c r="L14" s="4">
        <f>IFERROR(AVERAGEIFS($M$2:$M$11,$L$2:$L$11,"&lt;&gt; -1"),0)</f>
        <v>10372.06</v>
      </c>
      <c r="M14" s="4">
        <f>IFERROR(_xlfn.MAXIFS($B$2:$B$11,$B$2:$B$11,"&lt;&gt; -1"),0)</f>
        <v>476.56</v>
      </c>
      <c r="N14" s="4">
        <f>IFERROR(_xlfn.MAXIFS($D$2:$D$11,$D$2:$D$11,"&lt;&gt;-1"),0)</f>
        <v>364.38</v>
      </c>
      <c r="O14" s="4">
        <f>IFERROR(_xlfn.MAXIFS($F$2:$F$11,$F$2:$F$11,"&lt;&gt; -1"),0)</f>
        <v>0</v>
      </c>
      <c r="P14" s="4">
        <f>IFERROR(_xlfn.MAXIFS($H$2:$H$11,$H$2:$H$11,"&lt;&gt; -1"),0)</f>
        <v>383</v>
      </c>
      <c r="Q14" s="4">
        <f>IFERROR(_xlfn.MAXIFS($J$2:$J$11,$J$2:$J$11,"&lt;&gt; -1"),0)</f>
        <v>0</v>
      </c>
      <c r="R14" s="4">
        <f>IFERROR(_xlfn.MAXIFS($L$2:$L$11,$L$2:$L$11,"&lt;&gt; -1"),0)</f>
        <v>371.1</v>
      </c>
      <c r="S14" s="4">
        <f>IFERROR(_xlfn.MINIFS($B$2:$B$11,$B$2:$B$11,"&lt;&gt; -1"),0)</f>
        <v>444.96</v>
      </c>
      <c r="T14" s="4">
        <f>IFERROR(_xlfn.MINIFS($D$2:$D$11,$D$2:$D$11,"&lt;&gt;-1"),0)</f>
        <v>334.86</v>
      </c>
      <c r="U14" s="4">
        <f>IFERROR(_xlfn.MINIFS($F$2:$F$11,$F$2:$F$11,"&lt;&gt; -1"),0)</f>
        <v>0</v>
      </c>
      <c r="V14" s="4">
        <f>IFERROR(_xlfn.MINIFS($H$2:$H$11,$H$2:$H$11,"&lt;&gt; -1"),0)</f>
        <v>363.85</v>
      </c>
      <c r="W14" s="4">
        <f>IFERROR(_xlfn.MINIFS($J$2:$J$11,$J$2:$J$11,"&lt;&gt; -1"),0)</f>
        <v>0</v>
      </c>
      <c r="X14" s="4">
        <f>IFERROR(_xlfn.MINIFS($L$2:$L$11,$L$2:$L$11,"&lt;&gt; -1"),0)</f>
        <v>360.79</v>
      </c>
      <c r="Y14" s="4">
        <f>IFERROR(_xlfn.MAXIFS($C$2:$C$11,$B$2:$B$11,"&lt;&gt; -1"),0)</f>
        <v>11445.24</v>
      </c>
      <c r="Z14" s="4">
        <f>IFERROR(_xlfn.MAXIFS($E$2:$E$11,$D$2:$D$11,"&lt;&gt; -1"),0)</f>
        <v>11124.48</v>
      </c>
      <c r="AA14" s="4">
        <f>IFERROR(_xlfn.MAXIFS($G$2:$G$11,$F$2:$F$11,"&lt;&gt; -1"),0)</f>
        <v>0</v>
      </c>
      <c r="AB14" s="4">
        <f>IFERROR(_xlfn.MAXIFS($I$2:$I$11,$H$2:$H$11,"&lt;&gt; -1"),0)</f>
        <v>12143.07</v>
      </c>
      <c r="AC14" s="4">
        <f>IFERROR(_xlfn.MAXIFS($K$2:$K$11,$J$2:$J$11,"&lt;&gt; -1"),0)</f>
        <v>0</v>
      </c>
      <c r="AD14" s="4">
        <f>IFERROR(_xlfn.MAXIFS($M$2:$M$11,$L$2:$L$11,"&lt;&gt; -1"),0)</f>
        <v>10734.1</v>
      </c>
      <c r="AE14" s="4">
        <f>IFERROR(_xlfn.MINIFS($C$2:$C$11,$B$2:$B$11,"&lt;&gt; -1"),0)</f>
        <v>10305.58</v>
      </c>
      <c r="AF14" s="4">
        <f>IFERROR(_xlfn.MINIFS($E$2:$E$11,$D$2:$D$11,"&lt;&gt; -1"),0)</f>
        <v>10023.92</v>
      </c>
      <c r="AG14" s="4">
        <f>IFERROR(_xlfn.MINIFS($G$2:$G$11,$F$2:$F$11,"&lt;&gt; -1"),0)</f>
        <v>0</v>
      </c>
      <c r="AH14" s="4">
        <f>IFERROR(_xlfn.MINIFS($I$2:$I$11,$H$2:$H$11,"&lt;&gt; -1"),0)</f>
        <v>11550.2</v>
      </c>
      <c r="AI14" s="4">
        <f>IFERROR(_xlfn.MINIFS($K$2:$K$11,$J$2:$J$11,"&lt;&gt; -1"),0)</f>
        <v>0</v>
      </c>
      <c r="AJ14" s="4">
        <f>IFERROR(_xlfn.MINIFS($M$2:$M$11,$L$2:$L$11,"&lt;&gt; -1"),0)</f>
        <v>10010.02</v>
      </c>
      <c r="AK14" s="4">
        <f>(COUNTIFS($B$2:$B$11,"&gt;0.0",$B$2:$B$11,"&lt;500.0"))/10</f>
        <v>1</v>
      </c>
      <c r="AL14" s="4">
        <f>(COUNTIFS($D$2:$D$11,"&gt;0.0",$D$2:$D$11,"&lt;500.0"))/10</f>
        <v>1</v>
      </c>
      <c r="AM14" s="4">
        <f>(COUNTIFS($F$2:$F$11,"&gt;0.0",$F$2:$F$11,"&lt;500.0"))/10</f>
        <v>0</v>
      </c>
      <c r="AN14" s="4">
        <f>(COUNTIFS($H$2:$H11,"&gt;0.0",$H$2:$H$11,"&lt;500.0"))/10</f>
        <v>0.2</v>
      </c>
      <c r="AO14" s="4">
        <f>(COUNTIFS($J$2:$J$11,"&gt;0.0",$J$2:$J$11,"&lt;500.0"))/10</f>
        <v>0</v>
      </c>
      <c r="AP14" s="4">
        <f>(COUNTIFS($L$2:$L$11,"&gt;0.0",$L$2:$L$11,"&lt;500.0"))/10</f>
        <v>0.2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478.27</v>
      </c>
      <c r="C2">
        <v>10917.57</v>
      </c>
      <c r="D2">
        <v>382.48</v>
      </c>
      <c r="E2">
        <v>11035.89</v>
      </c>
      <c r="F2">
        <v>-1</v>
      </c>
      <c r="G2">
        <v>0</v>
      </c>
      <c r="H2">
        <v>-1</v>
      </c>
      <c r="I2">
        <v>6225.71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473.84</v>
      </c>
      <c r="C3">
        <v>10731.21</v>
      </c>
      <c r="D3">
        <v>373.21</v>
      </c>
      <c r="E3">
        <v>10687.92</v>
      </c>
      <c r="F3">
        <v>-1</v>
      </c>
      <c r="G3">
        <v>0</v>
      </c>
      <c r="H3">
        <v>-1</v>
      </c>
      <c r="I3">
        <v>5418.6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461.08</v>
      </c>
      <c r="C4">
        <v>10232.3</v>
      </c>
      <c r="D4">
        <v>360.78</v>
      </c>
      <c r="E4">
        <v>10054.91</v>
      </c>
      <c r="F4">
        <v>-1</v>
      </c>
      <c r="G4">
        <v>0</v>
      </c>
      <c r="H4">
        <v>-1</v>
      </c>
      <c r="I4">
        <v>7770.35</v>
      </c>
      <c r="J4">
        <v>-1</v>
      </c>
      <c r="K4">
        <v>0</v>
      </c>
      <c r="L4">
        <v>-1</v>
      </c>
      <c r="M4">
        <v>3976.32</v>
      </c>
    </row>
    <row r="5" spans="1:13">
      <c r="A5" t="s">
        <v>16</v>
      </c>
      <c r="B5">
        <v>480.6</v>
      </c>
      <c r="C5">
        <v>10788.33</v>
      </c>
      <c r="D5">
        <v>379.54</v>
      </c>
      <c r="E5">
        <v>10763.87</v>
      </c>
      <c r="F5">
        <v>-1</v>
      </c>
      <c r="G5">
        <v>0</v>
      </c>
      <c r="H5">
        <v>-1</v>
      </c>
      <c r="I5">
        <v>7176.64</v>
      </c>
      <c r="J5">
        <v>-1</v>
      </c>
      <c r="K5">
        <v>0</v>
      </c>
      <c r="L5">
        <v>-1</v>
      </c>
      <c r="M5">
        <v>1086.63</v>
      </c>
    </row>
    <row r="6" spans="1:13">
      <c r="A6" t="s">
        <v>17</v>
      </c>
      <c r="B6">
        <v>494.31</v>
      </c>
      <c r="C6">
        <v>11447.8</v>
      </c>
      <c r="D6">
        <v>394.48</v>
      </c>
      <c r="E6">
        <v>11122.51</v>
      </c>
      <c r="F6">
        <v>-1</v>
      </c>
      <c r="G6">
        <v>0</v>
      </c>
      <c r="H6">
        <v>-1</v>
      </c>
      <c r="I6">
        <v>7041.44</v>
      </c>
      <c r="J6">
        <v>-1</v>
      </c>
      <c r="K6">
        <v>0</v>
      </c>
      <c r="L6">
        <v>-1</v>
      </c>
      <c r="M6">
        <v>905.45</v>
      </c>
    </row>
    <row r="7" spans="1:13">
      <c r="A7" t="s">
        <v>18</v>
      </c>
      <c r="B7">
        <v>469.32</v>
      </c>
      <c r="C7">
        <v>10713.82</v>
      </c>
      <c r="D7">
        <v>370.78</v>
      </c>
      <c r="E7">
        <v>10204.95</v>
      </c>
      <c r="F7">
        <v>-1</v>
      </c>
      <c r="G7">
        <v>0</v>
      </c>
      <c r="H7">
        <v>-1</v>
      </c>
      <c r="I7">
        <v>7088.35</v>
      </c>
      <c r="J7">
        <v>-1</v>
      </c>
      <c r="K7">
        <v>0</v>
      </c>
      <c r="L7">
        <v>-1</v>
      </c>
      <c r="M7">
        <v>607.29</v>
      </c>
    </row>
    <row r="8" spans="1:13">
      <c r="A8" t="s">
        <v>19</v>
      </c>
      <c r="B8">
        <v>483.15</v>
      </c>
      <c r="C8">
        <v>10767.91</v>
      </c>
      <c r="D8">
        <v>382.81</v>
      </c>
      <c r="E8">
        <v>11008.32</v>
      </c>
      <c r="F8">
        <v>-1</v>
      </c>
      <c r="G8">
        <v>0</v>
      </c>
      <c r="H8">
        <v>-1</v>
      </c>
      <c r="I8">
        <v>6883.53</v>
      </c>
      <c r="J8">
        <v>-1</v>
      </c>
      <c r="K8">
        <v>0</v>
      </c>
      <c r="L8">
        <v>-1</v>
      </c>
      <c r="M8">
        <v>6359.86</v>
      </c>
    </row>
    <row r="9" spans="1:13">
      <c r="A9" t="s">
        <v>20</v>
      </c>
      <c r="B9">
        <v>474.19</v>
      </c>
      <c r="C9">
        <v>10789.59</v>
      </c>
      <c r="D9">
        <v>373.42</v>
      </c>
      <c r="E9">
        <v>10367.41</v>
      </c>
      <c r="F9">
        <v>-1</v>
      </c>
      <c r="G9">
        <v>0</v>
      </c>
      <c r="H9">
        <v>-1</v>
      </c>
      <c r="I9">
        <v>8334.66</v>
      </c>
      <c r="J9">
        <v>-1</v>
      </c>
      <c r="K9">
        <v>0</v>
      </c>
      <c r="L9">
        <v>-1</v>
      </c>
      <c r="M9">
        <v>1454.97</v>
      </c>
    </row>
    <row r="10" spans="1:13">
      <c r="A10" t="s">
        <v>21</v>
      </c>
      <c r="B10">
        <v>481.26</v>
      </c>
      <c r="C10">
        <v>10823.29</v>
      </c>
      <c r="D10">
        <v>379.93</v>
      </c>
      <c r="E10">
        <v>10612.68</v>
      </c>
      <c r="F10">
        <v>-1</v>
      </c>
      <c r="G10">
        <v>0</v>
      </c>
      <c r="H10">
        <v>-1</v>
      </c>
      <c r="I10">
        <v>11968.23</v>
      </c>
      <c r="J10">
        <v>-1</v>
      </c>
      <c r="K10">
        <v>0</v>
      </c>
      <c r="L10">
        <v>-1</v>
      </c>
      <c r="M10">
        <v>9893.98</v>
      </c>
    </row>
    <row r="11" spans="1:13">
      <c r="A11" t="s">
        <v>22</v>
      </c>
      <c r="B11">
        <v>479.13</v>
      </c>
      <c r="C11">
        <v>10408.95</v>
      </c>
      <c r="D11">
        <v>377.27</v>
      </c>
      <c r="E11">
        <v>10207.96</v>
      </c>
      <c r="F11">
        <v>-1</v>
      </c>
      <c r="G11">
        <v>0</v>
      </c>
      <c r="H11">
        <v>-1</v>
      </c>
      <c r="I11">
        <v>7535.67</v>
      </c>
      <c r="J11">
        <v>-1</v>
      </c>
      <c r="K11">
        <v>0</v>
      </c>
      <c r="L11">
        <v>399.41</v>
      </c>
      <c r="M11">
        <v>10150.03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477.515</v>
      </c>
      <c r="B14" s="4">
        <f>IFERROR(AVERAGEIF($D$2:$D$11,"&lt;&gt; -1"),0)</f>
        <v>377.47</v>
      </c>
      <c r="C14" s="4">
        <f>IFERROR(AVERAGEIF($F$2:$F$11,"&lt;&gt; -1"),0)</f>
        <v>0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399.41</v>
      </c>
      <c r="G14" s="4">
        <f>IFERROR(AVERAGEIFS($C$2:$C$11,$B$2:$B$11,"&lt;&gt; -1"),0)</f>
        <v>10762.077</v>
      </c>
      <c r="H14" s="4">
        <f>IFERROR(AVERAGEIFS($E$2:$E$11,$D$2:$D$11,"&lt;&gt; -1"),0)</f>
        <v>10606.642</v>
      </c>
      <c r="I14" s="4">
        <f>IFERROR(AVERAGEIFS($G$2:$G$11,$F$2:$F$11,"&lt;&gt; -1"),0)</f>
        <v>0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10150.03</v>
      </c>
      <c r="M14" s="4">
        <f>IFERROR(_xlfn.MAXIFS($B$2:$B$11,$B$2:$B$11,"&lt;&gt; -1"),0)</f>
        <v>494.31</v>
      </c>
      <c r="N14" s="4">
        <f>IFERROR(_xlfn.MAXIFS($D$2:$D$11,$D$2:$D$11,"&lt;&gt;-1"),0)</f>
        <v>394.48</v>
      </c>
      <c r="O14" s="4">
        <f>IFERROR(_xlfn.MAXIFS($F$2:$F$11,$F$2:$F$11,"&lt;&gt; -1"),0)</f>
        <v>0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399.41</v>
      </c>
      <c r="S14" s="4">
        <f>IFERROR(_xlfn.MINIFS($B$2:$B$11,$B$2:$B$11,"&lt;&gt; -1"),0)</f>
        <v>461.08</v>
      </c>
      <c r="T14" s="4">
        <f>IFERROR(_xlfn.MINIFS($D$2:$D$11,$D$2:$D$11,"&lt;&gt;-1"),0)</f>
        <v>360.78</v>
      </c>
      <c r="U14" s="4">
        <f>IFERROR(_xlfn.MINIFS($F$2:$F$11,$F$2:$F$11,"&lt;&gt; -1"),0)</f>
        <v>0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399.41</v>
      </c>
      <c r="Y14" s="4">
        <f>IFERROR(_xlfn.MAXIFS($C$2:$C$11,$B$2:$B$11,"&lt;&gt; -1"),0)</f>
        <v>11447.8</v>
      </c>
      <c r="Z14" s="4">
        <f>IFERROR(_xlfn.MAXIFS($E$2:$E$11,$D$2:$D$11,"&lt;&gt; -1"),0)</f>
        <v>11122.51</v>
      </c>
      <c r="AA14" s="4">
        <f>IFERROR(_xlfn.MAXIFS($G$2:$G$11,$F$2:$F$11,"&lt;&gt; -1"),0)</f>
        <v>0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10150.03</v>
      </c>
      <c r="AE14" s="4">
        <f>IFERROR(_xlfn.MINIFS($C$2:$C$11,$B$2:$B$11,"&lt;&gt; -1"),0)</f>
        <v>10232.3</v>
      </c>
      <c r="AF14" s="4">
        <f>IFERROR(_xlfn.MINIFS($E$2:$E$11,$D$2:$D$11,"&lt;&gt; -1"),0)</f>
        <v>10054.91</v>
      </c>
      <c r="AG14" s="4">
        <f>IFERROR(_xlfn.MINIFS($G$2:$G$11,$F$2:$F$11,"&lt;&gt; -1"),0)</f>
        <v>0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10150.03</v>
      </c>
      <c r="AK14" s="4">
        <f>(COUNTIFS($B$2:$B$11,"&gt;0.0",$B$2:$B$11,"&lt;500.0"))/10</f>
        <v>1</v>
      </c>
      <c r="AL14" s="4">
        <f>(COUNTIFS($D$2:$D$11,"&gt;0.0",$D$2:$D$11,"&lt;500.0"))/10</f>
        <v>1</v>
      </c>
      <c r="AM14" s="4">
        <f>(COUNTIFS($F$2:$F$11,"&gt;0.0",$F$2:$F$11,"&lt;500.0"))/10</f>
        <v>0</v>
      </c>
      <c r="AN14" s="4">
        <f>(COUNTIFS($H$2:$H11,"&gt;0.0",$H$2:$H$11,"&lt;500.0"))/10</f>
        <v>0</v>
      </c>
      <c r="AO14" s="4">
        <f>(COUNTIFS($J$2:$J$11,"&gt;0.0",$J$2:$J$11,"&lt;500.0"))/10</f>
        <v>0</v>
      </c>
      <c r="AP14" s="4">
        <f>(COUNTIFS($L$2:$L$11,"&gt;0.0",$L$2:$L$11,"&lt;500.0"))/10</f>
        <v>0.1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458.51</v>
      </c>
      <c r="C2">
        <v>10566.06</v>
      </c>
      <c r="D2">
        <v>406.73</v>
      </c>
      <c r="E2">
        <v>10968.94</v>
      </c>
      <c r="F2">
        <v>484.43</v>
      </c>
      <c r="G2">
        <v>12121.56</v>
      </c>
      <c r="H2">
        <v>-1</v>
      </c>
      <c r="I2">
        <v>2062.99</v>
      </c>
      <c r="J2">
        <v>484.84</v>
      </c>
      <c r="K2">
        <v>10573.31</v>
      </c>
      <c r="L2">
        <v>-1</v>
      </c>
      <c r="M2">
        <v>0</v>
      </c>
    </row>
    <row r="3" spans="1:13">
      <c r="A3" t="s">
        <v>14</v>
      </c>
      <c r="B3">
        <v>455.14</v>
      </c>
      <c r="C3">
        <v>10139.49</v>
      </c>
      <c r="D3">
        <v>402.37</v>
      </c>
      <c r="E3">
        <v>10943.07</v>
      </c>
      <c r="F3">
        <v>482.07</v>
      </c>
      <c r="G3">
        <v>11558.15</v>
      </c>
      <c r="H3">
        <v>-1</v>
      </c>
      <c r="I3">
        <v>6717.02</v>
      </c>
      <c r="J3">
        <v>467.74</v>
      </c>
      <c r="K3">
        <v>10122</v>
      </c>
      <c r="L3">
        <v>-1</v>
      </c>
      <c r="M3">
        <v>3781.56</v>
      </c>
    </row>
    <row r="4" spans="1:13">
      <c r="A4" t="s">
        <v>15</v>
      </c>
      <c r="B4">
        <v>417.96</v>
      </c>
      <c r="C4">
        <v>10342.64</v>
      </c>
      <c r="D4">
        <v>391.75</v>
      </c>
      <c r="E4">
        <v>10637.48</v>
      </c>
      <c r="F4">
        <v>-1</v>
      </c>
      <c r="G4">
        <v>5531.71</v>
      </c>
      <c r="H4">
        <v>-1</v>
      </c>
      <c r="I4">
        <v>4901.23</v>
      </c>
      <c r="J4">
        <v>-1</v>
      </c>
      <c r="K4">
        <v>8286.77</v>
      </c>
      <c r="L4">
        <v>-1</v>
      </c>
      <c r="M4">
        <v>0</v>
      </c>
    </row>
    <row r="5" spans="1:13">
      <c r="A5" t="s">
        <v>16</v>
      </c>
      <c r="B5">
        <v>428.45</v>
      </c>
      <c r="C5">
        <v>10553.96</v>
      </c>
      <c r="D5">
        <v>406.64</v>
      </c>
      <c r="E5">
        <v>10622.3</v>
      </c>
      <c r="F5">
        <v>-1</v>
      </c>
      <c r="G5">
        <v>7595.44</v>
      </c>
      <c r="H5">
        <v>-1</v>
      </c>
      <c r="I5">
        <v>4464.11</v>
      </c>
      <c r="J5">
        <v>453.76</v>
      </c>
      <c r="K5">
        <v>10481.25</v>
      </c>
      <c r="L5">
        <v>-1</v>
      </c>
      <c r="M5">
        <v>7952.18</v>
      </c>
    </row>
    <row r="6" spans="1:13">
      <c r="A6" t="s">
        <v>17</v>
      </c>
      <c r="B6">
        <v>438.7</v>
      </c>
      <c r="C6">
        <v>10826.55</v>
      </c>
      <c r="D6">
        <v>416.04</v>
      </c>
      <c r="E6">
        <v>11091.3</v>
      </c>
      <c r="F6">
        <v>-1</v>
      </c>
      <c r="G6">
        <v>9146.58</v>
      </c>
      <c r="H6">
        <v>-1</v>
      </c>
      <c r="I6">
        <v>6749.33</v>
      </c>
      <c r="J6">
        <v>-1</v>
      </c>
      <c r="K6">
        <v>10303.57</v>
      </c>
      <c r="L6">
        <v>-1</v>
      </c>
      <c r="M6">
        <v>0</v>
      </c>
    </row>
    <row r="7" spans="1:13">
      <c r="A7" t="s">
        <v>18</v>
      </c>
      <c r="B7">
        <v>453.43</v>
      </c>
      <c r="C7">
        <v>10234.4</v>
      </c>
      <c r="D7">
        <v>400.83</v>
      </c>
      <c r="E7">
        <v>10611.99</v>
      </c>
      <c r="F7">
        <v>-1</v>
      </c>
      <c r="G7">
        <v>11413.3</v>
      </c>
      <c r="H7">
        <v>-1</v>
      </c>
      <c r="I7">
        <v>6164.73</v>
      </c>
      <c r="J7">
        <v>474.34</v>
      </c>
      <c r="K7">
        <v>10174.68</v>
      </c>
      <c r="L7">
        <v>-1</v>
      </c>
      <c r="M7">
        <v>964.48</v>
      </c>
    </row>
    <row r="8" spans="1:13">
      <c r="A8" t="s">
        <v>19</v>
      </c>
      <c r="B8">
        <v>457.58</v>
      </c>
      <c r="C8">
        <v>10727.98</v>
      </c>
      <c r="D8">
        <v>406.46</v>
      </c>
      <c r="E8">
        <v>11213.85</v>
      </c>
      <c r="F8">
        <v>-1</v>
      </c>
      <c r="G8">
        <v>8079.75</v>
      </c>
      <c r="H8">
        <v>-1</v>
      </c>
      <c r="I8">
        <v>7181.14</v>
      </c>
      <c r="J8">
        <v>-1</v>
      </c>
      <c r="K8">
        <v>4709.66</v>
      </c>
      <c r="L8">
        <v>-1</v>
      </c>
      <c r="M8">
        <v>0</v>
      </c>
    </row>
    <row r="9" spans="1:13">
      <c r="A9" t="s">
        <v>20</v>
      </c>
      <c r="B9">
        <v>419.04</v>
      </c>
      <c r="C9">
        <v>10266.45</v>
      </c>
      <c r="D9">
        <v>399.64</v>
      </c>
      <c r="E9">
        <v>10329.47</v>
      </c>
      <c r="F9">
        <v>430.85</v>
      </c>
      <c r="G9">
        <v>11780.6</v>
      </c>
      <c r="H9">
        <v>-1</v>
      </c>
      <c r="I9">
        <v>5964.55</v>
      </c>
      <c r="J9">
        <v>-1</v>
      </c>
      <c r="K9">
        <v>6891.56</v>
      </c>
      <c r="L9">
        <v>-1</v>
      </c>
      <c r="M9">
        <v>6110.94</v>
      </c>
    </row>
    <row r="10" spans="1:13">
      <c r="A10" t="s">
        <v>21</v>
      </c>
      <c r="B10">
        <v>439.09</v>
      </c>
      <c r="C10">
        <v>10623.76</v>
      </c>
      <c r="D10">
        <v>412.98</v>
      </c>
      <c r="E10">
        <v>10741.88</v>
      </c>
      <c r="F10">
        <v>-1</v>
      </c>
      <c r="G10">
        <v>5035.41</v>
      </c>
      <c r="H10">
        <v>-1</v>
      </c>
      <c r="I10">
        <v>0</v>
      </c>
      <c r="J10">
        <v>-1</v>
      </c>
      <c r="K10">
        <v>5986.93</v>
      </c>
      <c r="L10">
        <v>-1</v>
      </c>
      <c r="M10">
        <v>0</v>
      </c>
    </row>
    <row r="11" spans="1:13">
      <c r="A11" t="s">
        <v>22</v>
      </c>
      <c r="B11">
        <v>422.51</v>
      </c>
      <c r="C11">
        <v>10136.49</v>
      </c>
      <c r="D11">
        <v>406.06</v>
      </c>
      <c r="E11">
        <v>10732.82</v>
      </c>
      <c r="F11">
        <v>427.69</v>
      </c>
      <c r="G11">
        <v>11583.9</v>
      </c>
      <c r="H11">
        <v>-1</v>
      </c>
      <c r="I11">
        <v>0</v>
      </c>
      <c r="J11">
        <v>423.23</v>
      </c>
      <c r="K11">
        <v>10136.49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439.041</v>
      </c>
      <c r="B14" s="4">
        <f>IFERROR(AVERAGEIF($D$2:$D$11,"&lt;&gt; -1"),0)</f>
        <v>404.95</v>
      </c>
      <c r="C14" s="4">
        <f>IFERROR(AVERAGEIF($F$2:$F$11,"&lt;&gt; -1"),0)</f>
        <v>456.26</v>
      </c>
      <c r="D14" s="4">
        <f>IFERROR(AVERAGEIF($H$2:$H$11,"&lt;&gt; -1"),0)</f>
        <v>0</v>
      </c>
      <c r="E14" s="4">
        <f>IFERROR(AVERAGEIF($J$2:$J$11,"&lt;&gt; -1"),0)</f>
        <v>460.782</v>
      </c>
      <c r="F14" s="4">
        <f>IFERROR(AVERAGEIF($L$2:$L$11,"&lt;&gt; -1"),0)</f>
        <v>0</v>
      </c>
      <c r="G14" s="4">
        <f>IFERROR(AVERAGEIFS($C$2:$C$11,$B$2:$B$11,"&lt;&gt; -1"),0)</f>
        <v>10441.778</v>
      </c>
      <c r="H14" s="4">
        <f>IFERROR(AVERAGEIFS($E$2:$E$11,$D$2:$D$11,"&lt;&gt; -1"),0)</f>
        <v>10789.31</v>
      </c>
      <c r="I14" s="4">
        <f>IFERROR(AVERAGEIFS($G$2:$G$11,$F$2:$F$11,"&lt;&gt; -1"),0)</f>
        <v>11761.0525</v>
      </c>
      <c r="J14" s="4">
        <f>IFERROR(AVERAGEIFS($I$2:$I$11,$H$2:$H$11,"&lt;&gt; -1"),0)</f>
        <v>0</v>
      </c>
      <c r="K14" s="4">
        <f>IFERROR(AVERAGEIFS($K$2:$K$11,$J$2:$J$11,"&lt;&gt; -1"),0)</f>
        <v>10297.546</v>
      </c>
      <c r="L14" s="4">
        <f>IFERROR(AVERAGEIFS($M$2:$M$11,$L$2:$L$11,"&lt;&gt; -1"),0)</f>
        <v>0</v>
      </c>
      <c r="M14" s="4">
        <f>IFERROR(_xlfn.MAXIFS($B$2:$B$11,$B$2:$B$11,"&lt;&gt; -1"),0)</f>
        <v>458.51</v>
      </c>
      <c r="N14" s="4">
        <f>IFERROR(_xlfn.MAXIFS($D$2:$D$11,$D$2:$D$11,"&lt;&gt;-1"),0)</f>
        <v>416.04</v>
      </c>
      <c r="O14" s="4">
        <f>IFERROR(_xlfn.MAXIFS($F$2:$F$11,$F$2:$F$11,"&lt;&gt; -1"),0)</f>
        <v>484.43</v>
      </c>
      <c r="P14" s="4">
        <f>IFERROR(_xlfn.MAXIFS($H$2:$H$11,$H$2:$H$11,"&lt;&gt; -1"),0)</f>
        <v>0</v>
      </c>
      <c r="Q14" s="4">
        <f>IFERROR(_xlfn.MAXIFS($J$2:$J$11,$J$2:$J$11,"&lt;&gt; -1"),0)</f>
        <v>484.84</v>
      </c>
      <c r="R14" s="4">
        <f>IFERROR(_xlfn.MAXIFS($L$2:$L$11,$L$2:$L$11,"&lt;&gt; -1"),0)</f>
        <v>0</v>
      </c>
      <c r="S14" s="4">
        <f>IFERROR(_xlfn.MINIFS($B$2:$B$11,$B$2:$B$11,"&lt;&gt; -1"),0)</f>
        <v>417.96</v>
      </c>
      <c r="T14" s="4">
        <f>IFERROR(_xlfn.MINIFS($D$2:$D$11,$D$2:$D$11,"&lt;&gt;-1"),0)</f>
        <v>391.75</v>
      </c>
      <c r="U14" s="4">
        <f>IFERROR(_xlfn.MINIFS($F$2:$F$11,$F$2:$F$11,"&lt;&gt; -1"),0)</f>
        <v>427.69</v>
      </c>
      <c r="V14" s="4">
        <f>IFERROR(_xlfn.MINIFS($H$2:$H$11,$H$2:$H$11,"&lt;&gt; -1"),0)</f>
        <v>0</v>
      </c>
      <c r="W14" s="4">
        <f>IFERROR(_xlfn.MINIFS($J$2:$J$11,$J$2:$J$11,"&lt;&gt; -1"),0)</f>
        <v>423.23</v>
      </c>
      <c r="X14" s="4">
        <f>IFERROR(_xlfn.MINIFS($L$2:$L$11,$L$2:$L$11,"&lt;&gt; -1"),0)</f>
        <v>0</v>
      </c>
      <c r="Y14" s="4">
        <f>IFERROR(_xlfn.MAXIFS($C$2:$C$11,$B$2:$B$11,"&lt;&gt; -1"),0)</f>
        <v>10826.55</v>
      </c>
      <c r="Z14" s="4">
        <f>IFERROR(_xlfn.MAXIFS($E$2:$E$11,$D$2:$D$11,"&lt;&gt; -1"),0)</f>
        <v>11213.85</v>
      </c>
      <c r="AA14" s="4">
        <f>IFERROR(_xlfn.MAXIFS($G$2:$G$11,$F$2:$F$11,"&lt;&gt; -1"),0)</f>
        <v>12121.56</v>
      </c>
      <c r="AB14" s="4">
        <f>IFERROR(_xlfn.MAXIFS($I$2:$I$11,$H$2:$H$11,"&lt;&gt; -1"),0)</f>
        <v>0</v>
      </c>
      <c r="AC14" s="4">
        <f>IFERROR(_xlfn.MAXIFS($K$2:$K$11,$J$2:$J$11,"&lt;&gt; -1"),0)</f>
        <v>10573.31</v>
      </c>
      <c r="AD14" s="4">
        <f>IFERROR(_xlfn.MAXIFS($M$2:$M$11,$L$2:$L$11,"&lt;&gt; -1"),0)</f>
        <v>0</v>
      </c>
      <c r="AE14" s="4">
        <f>IFERROR(_xlfn.MINIFS($C$2:$C$11,$B$2:$B$11,"&lt;&gt; -1"),0)</f>
        <v>10136.49</v>
      </c>
      <c r="AF14" s="4">
        <f>IFERROR(_xlfn.MINIFS($E$2:$E$11,$D$2:$D$11,"&lt;&gt; -1"),0)</f>
        <v>10329.47</v>
      </c>
      <c r="AG14" s="4">
        <f>IFERROR(_xlfn.MINIFS($G$2:$G$11,$F$2:$F$11,"&lt;&gt; -1"),0)</f>
        <v>11558.15</v>
      </c>
      <c r="AH14" s="4">
        <f>IFERROR(_xlfn.MINIFS($I$2:$I$11,$H$2:$H$11,"&lt;&gt; -1"),0)</f>
        <v>0</v>
      </c>
      <c r="AI14" s="4">
        <f>IFERROR(_xlfn.MINIFS($K$2:$K$11,$J$2:$J$11,"&lt;&gt; -1"),0)</f>
        <v>10122</v>
      </c>
      <c r="AJ14" s="4">
        <f>IFERROR(_xlfn.MINIFS($M$2:$M$11,$L$2:$L$11,"&lt;&gt; -1"),0)</f>
        <v>0</v>
      </c>
      <c r="AK14" s="4">
        <f>(COUNTIFS($B$2:$B$11,"&gt;0.0",$B$2:$B$11,"&lt;500.0"))/10</f>
        <v>1</v>
      </c>
      <c r="AL14" s="4">
        <f>(COUNTIFS($D$2:$D$11,"&gt;0.0",$D$2:$D$11,"&lt;500.0"))/10</f>
        <v>1</v>
      </c>
      <c r="AM14" s="4">
        <f>(COUNTIFS($F$2:$F$11,"&gt;0.0",$F$2:$F$11,"&lt;500.0"))/10</f>
        <v>0.4</v>
      </c>
      <c r="AN14" s="4">
        <f>(COUNTIFS($H$2:$H11,"&gt;0.0",$H$2:$H$11,"&lt;500.0"))/10</f>
        <v>0</v>
      </c>
      <c r="AO14" s="4">
        <f>(COUNTIFS($J$2:$J$11,"&gt;0.0",$J$2:$J$11,"&lt;500.0"))/10</f>
        <v>0.5</v>
      </c>
      <c r="AP14" s="4">
        <f>(COUNTIFS($L$2:$L$11,"&gt;0.0",$L$2:$L$11,"&lt;500.0"))/10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workbookViewId="0">
      <selection activeCell="A7" sqref="$A7:$XFD7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509.32</v>
      </c>
      <c r="B2">
        <v>360.377</v>
      </c>
      <c r="C2">
        <v>521.549</v>
      </c>
      <c r="D2">
        <v>0</v>
      </c>
      <c r="E2">
        <v>509.108888888889</v>
      </c>
      <c r="F2">
        <v>331.28</v>
      </c>
      <c r="G2">
        <v>10501.817</v>
      </c>
      <c r="H2">
        <v>10632.274</v>
      </c>
      <c r="I2">
        <v>12010.232</v>
      </c>
      <c r="J2">
        <v>0</v>
      </c>
      <c r="K2">
        <v>10495.3466666667</v>
      </c>
      <c r="L2">
        <v>10525.504</v>
      </c>
      <c r="M2">
        <v>621.19</v>
      </c>
      <c r="N2">
        <v>439.93</v>
      </c>
      <c r="O2">
        <v>640.01</v>
      </c>
      <c r="P2">
        <v>0</v>
      </c>
      <c r="Q2">
        <v>630.38</v>
      </c>
      <c r="R2">
        <v>383.86</v>
      </c>
      <c r="S2">
        <v>391.06</v>
      </c>
      <c r="T2">
        <v>270.74</v>
      </c>
      <c r="U2">
        <v>402.86</v>
      </c>
      <c r="V2">
        <v>0</v>
      </c>
      <c r="W2">
        <v>397.67</v>
      </c>
      <c r="X2">
        <v>286.44</v>
      </c>
      <c r="Y2">
        <v>10924.72</v>
      </c>
      <c r="Z2">
        <v>11136.9</v>
      </c>
      <c r="AA2">
        <v>12547.14</v>
      </c>
      <c r="AB2">
        <v>0</v>
      </c>
      <c r="AC2">
        <v>10915.8</v>
      </c>
      <c r="AD2">
        <v>10795.47</v>
      </c>
      <c r="AE2">
        <v>10176.46</v>
      </c>
      <c r="AF2">
        <v>10240.5</v>
      </c>
      <c r="AG2">
        <v>11636.51</v>
      </c>
      <c r="AH2">
        <v>0</v>
      </c>
      <c r="AI2">
        <v>10156.9</v>
      </c>
      <c r="AJ2">
        <v>10193.73</v>
      </c>
      <c r="AK2">
        <v>0.4</v>
      </c>
      <c r="AL2">
        <v>1</v>
      </c>
      <c r="AM2">
        <v>0.4</v>
      </c>
      <c r="AN2">
        <v>0</v>
      </c>
      <c r="AO2">
        <v>0.4</v>
      </c>
      <c r="AP2">
        <v>0.5</v>
      </c>
    </row>
    <row r="3" spans="1:42">
      <c r="A3">
        <v>410.807</v>
      </c>
      <c r="B3">
        <v>303.378</v>
      </c>
      <c r="C3">
        <v>422.598</v>
      </c>
      <c r="D3">
        <v>322.66</v>
      </c>
      <c r="E3">
        <v>419.898888888889</v>
      </c>
      <c r="F3">
        <v>320.705714285714</v>
      </c>
      <c r="G3">
        <v>10455.538</v>
      </c>
      <c r="H3">
        <v>10676.633</v>
      </c>
      <c r="I3">
        <v>11964.333</v>
      </c>
      <c r="J3">
        <v>12133.77</v>
      </c>
      <c r="K3">
        <v>10482.1111111111</v>
      </c>
      <c r="L3">
        <v>10577.2842857143</v>
      </c>
      <c r="M3">
        <v>456.12</v>
      </c>
      <c r="N3">
        <v>333.15</v>
      </c>
      <c r="O3">
        <v>472.54</v>
      </c>
      <c r="P3">
        <v>322.66</v>
      </c>
      <c r="Q3">
        <v>462.53</v>
      </c>
      <c r="R3">
        <v>354.11</v>
      </c>
      <c r="S3">
        <v>362.79</v>
      </c>
      <c r="T3">
        <v>284.87</v>
      </c>
      <c r="U3">
        <v>368.07</v>
      </c>
      <c r="V3">
        <v>322.66</v>
      </c>
      <c r="W3">
        <v>363.49</v>
      </c>
      <c r="X3">
        <v>298.71</v>
      </c>
      <c r="Y3">
        <v>11055.75</v>
      </c>
      <c r="Z3">
        <v>11164.7</v>
      </c>
      <c r="AA3">
        <v>12625.62</v>
      </c>
      <c r="AB3">
        <v>12133.77</v>
      </c>
      <c r="AC3">
        <v>11035.43</v>
      </c>
      <c r="AD3">
        <v>11015.66</v>
      </c>
      <c r="AE3">
        <v>9961.15</v>
      </c>
      <c r="AF3">
        <v>10350.69</v>
      </c>
      <c r="AG3">
        <v>11535.07</v>
      </c>
      <c r="AH3">
        <v>12133.77</v>
      </c>
      <c r="AI3">
        <v>9961.15</v>
      </c>
      <c r="AJ3">
        <v>10269.11</v>
      </c>
      <c r="AK3">
        <v>1</v>
      </c>
      <c r="AL3">
        <v>1</v>
      </c>
      <c r="AM3">
        <v>1</v>
      </c>
      <c r="AN3">
        <v>0.1</v>
      </c>
      <c r="AO3">
        <v>0.9</v>
      </c>
      <c r="AP3">
        <v>0.7</v>
      </c>
    </row>
    <row r="4" spans="1:42">
      <c r="A4">
        <v>443.557</v>
      </c>
      <c r="B4">
        <v>323.649</v>
      </c>
      <c r="C4">
        <v>0</v>
      </c>
      <c r="D4">
        <v>344.5725</v>
      </c>
      <c r="E4">
        <v>0</v>
      </c>
      <c r="F4">
        <v>327.88</v>
      </c>
      <c r="G4">
        <v>10691.039</v>
      </c>
      <c r="H4">
        <v>10561.865</v>
      </c>
      <c r="I4">
        <v>0</v>
      </c>
      <c r="J4">
        <v>11994.57</v>
      </c>
      <c r="K4">
        <v>0</v>
      </c>
      <c r="L4">
        <v>10385.555</v>
      </c>
      <c r="M4">
        <v>453.44</v>
      </c>
      <c r="N4">
        <v>336.36</v>
      </c>
      <c r="O4">
        <v>0</v>
      </c>
      <c r="P4">
        <v>358.65</v>
      </c>
      <c r="Q4">
        <v>0</v>
      </c>
      <c r="R4">
        <v>337.92</v>
      </c>
      <c r="S4">
        <v>436.36</v>
      </c>
      <c r="T4">
        <v>310.19</v>
      </c>
      <c r="U4">
        <v>0</v>
      </c>
      <c r="V4">
        <v>333.31</v>
      </c>
      <c r="W4">
        <v>0</v>
      </c>
      <c r="X4">
        <v>317.84</v>
      </c>
      <c r="Y4">
        <v>11306.66</v>
      </c>
      <c r="Z4">
        <v>11087.1</v>
      </c>
      <c r="AA4">
        <v>0</v>
      </c>
      <c r="AB4">
        <v>12561.27</v>
      </c>
      <c r="AC4">
        <v>0</v>
      </c>
      <c r="AD4">
        <v>10860.49</v>
      </c>
      <c r="AE4">
        <v>10163.35</v>
      </c>
      <c r="AF4">
        <v>9940.5</v>
      </c>
      <c r="AG4">
        <v>0</v>
      </c>
      <c r="AH4">
        <v>11292.38</v>
      </c>
      <c r="AI4">
        <v>0</v>
      </c>
      <c r="AJ4">
        <v>9910.62</v>
      </c>
      <c r="AK4">
        <v>1</v>
      </c>
      <c r="AL4">
        <v>1</v>
      </c>
      <c r="AM4">
        <v>0</v>
      </c>
      <c r="AN4">
        <v>0.4</v>
      </c>
      <c r="AO4">
        <v>0</v>
      </c>
      <c r="AP4">
        <v>0.2</v>
      </c>
    </row>
    <row r="5" spans="1:42">
      <c r="A5">
        <v>461.978</v>
      </c>
      <c r="B5">
        <v>350.485</v>
      </c>
      <c r="C5">
        <v>0</v>
      </c>
      <c r="D5">
        <v>373.425</v>
      </c>
      <c r="E5">
        <v>0</v>
      </c>
      <c r="F5">
        <v>365.945</v>
      </c>
      <c r="G5">
        <v>10786.916</v>
      </c>
      <c r="H5">
        <v>10563.123</v>
      </c>
      <c r="I5">
        <v>0</v>
      </c>
      <c r="J5">
        <v>11846.635</v>
      </c>
      <c r="K5">
        <v>0</v>
      </c>
      <c r="L5">
        <v>10372.06</v>
      </c>
      <c r="M5">
        <v>476.56</v>
      </c>
      <c r="N5">
        <v>364.38</v>
      </c>
      <c r="O5">
        <v>0</v>
      </c>
      <c r="P5">
        <v>383</v>
      </c>
      <c r="Q5">
        <v>0</v>
      </c>
      <c r="R5">
        <v>371.1</v>
      </c>
      <c r="S5">
        <v>444.96</v>
      </c>
      <c r="T5">
        <v>334.86</v>
      </c>
      <c r="U5">
        <v>0</v>
      </c>
      <c r="V5">
        <v>363.85</v>
      </c>
      <c r="W5">
        <v>0</v>
      </c>
      <c r="X5">
        <v>360.79</v>
      </c>
      <c r="Y5">
        <v>11445.24</v>
      </c>
      <c r="Z5">
        <v>11124.48</v>
      </c>
      <c r="AA5">
        <v>0</v>
      </c>
      <c r="AB5">
        <v>12143.07</v>
      </c>
      <c r="AC5">
        <v>0</v>
      </c>
      <c r="AD5">
        <v>10734.1</v>
      </c>
      <c r="AE5">
        <v>10305.58</v>
      </c>
      <c r="AF5">
        <v>10023.92</v>
      </c>
      <c r="AG5">
        <v>0</v>
      </c>
      <c r="AH5">
        <v>11550.2</v>
      </c>
      <c r="AI5">
        <v>0</v>
      </c>
      <c r="AJ5">
        <v>10010.02</v>
      </c>
      <c r="AK5">
        <v>1</v>
      </c>
      <c r="AL5">
        <v>1</v>
      </c>
      <c r="AM5">
        <v>0</v>
      </c>
      <c r="AN5">
        <v>0.2</v>
      </c>
      <c r="AO5">
        <v>0</v>
      </c>
      <c r="AP5">
        <v>0.2</v>
      </c>
    </row>
    <row r="6" spans="1:42">
      <c r="A6">
        <v>477.515</v>
      </c>
      <c r="B6">
        <v>377.47</v>
      </c>
      <c r="C6">
        <v>0</v>
      </c>
      <c r="D6">
        <v>0</v>
      </c>
      <c r="E6">
        <v>0</v>
      </c>
      <c r="F6">
        <v>399.41</v>
      </c>
      <c r="G6">
        <v>10762.077</v>
      </c>
      <c r="H6">
        <v>10606.642</v>
      </c>
      <c r="I6">
        <v>0</v>
      </c>
      <c r="J6">
        <v>0</v>
      </c>
      <c r="K6">
        <v>0</v>
      </c>
      <c r="L6">
        <v>10150.03</v>
      </c>
      <c r="M6">
        <v>494.31</v>
      </c>
      <c r="N6">
        <v>394.48</v>
      </c>
      <c r="O6">
        <v>0</v>
      </c>
      <c r="P6">
        <v>0</v>
      </c>
      <c r="Q6">
        <v>0</v>
      </c>
      <c r="R6">
        <v>399.41</v>
      </c>
      <c r="S6">
        <v>461.08</v>
      </c>
      <c r="T6">
        <v>360.78</v>
      </c>
      <c r="U6">
        <v>0</v>
      </c>
      <c r="V6">
        <v>0</v>
      </c>
      <c r="W6">
        <v>0</v>
      </c>
      <c r="X6">
        <v>399.41</v>
      </c>
      <c r="Y6">
        <v>11447.8</v>
      </c>
      <c r="Z6">
        <v>11122.51</v>
      </c>
      <c r="AA6">
        <v>0</v>
      </c>
      <c r="AB6">
        <v>0</v>
      </c>
      <c r="AC6">
        <v>0</v>
      </c>
      <c r="AD6">
        <v>10150.03</v>
      </c>
      <c r="AE6">
        <v>10232.3</v>
      </c>
      <c r="AF6">
        <v>10054.91</v>
      </c>
      <c r="AG6">
        <v>0</v>
      </c>
      <c r="AH6">
        <v>0</v>
      </c>
      <c r="AI6">
        <v>0</v>
      </c>
      <c r="AJ6">
        <v>10150.03</v>
      </c>
      <c r="AK6">
        <v>1</v>
      </c>
      <c r="AL6">
        <v>1</v>
      </c>
      <c r="AM6">
        <v>0</v>
      </c>
      <c r="AN6">
        <v>0</v>
      </c>
      <c r="AO6">
        <v>0</v>
      </c>
      <c r="AP6">
        <v>0.1</v>
      </c>
    </row>
    <row r="7" spans="1:42">
      <c r="A7">
        <v>439.041</v>
      </c>
      <c r="B7">
        <v>404.95</v>
      </c>
      <c r="C7">
        <v>456.26</v>
      </c>
      <c r="D7">
        <v>0</v>
      </c>
      <c r="E7">
        <v>460.782</v>
      </c>
      <c r="F7">
        <v>0</v>
      </c>
      <c r="G7">
        <v>10441.778</v>
      </c>
      <c r="H7">
        <v>10789.31</v>
      </c>
      <c r="I7">
        <v>11761.0525</v>
      </c>
      <c r="J7">
        <v>0</v>
      </c>
      <c r="K7">
        <v>10297.546</v>
      </c>
      <c r="L7">
        <v>0</v>
      </c>
      <c r="M7">
        <v>458.51</v>
      </c>
      <c r="N7">
        <v>416.04</v>
      </c>
      <c r="O7">
        <v>484.43</v>
      </c>
      <c r="P7">
        <v>0</v>
      </c>
      <c r="Q7">
        <v>484.84</v>
      </c>
      <c r="R7">
        <v>0</v>
      </c>
      <c r="S7">
        <v>417.96</v>
      </c>
      <c r="T7">
        <v>391.75</v>
      </c>
      <c r="U7">
        <v>427.69</v>
      </c>
      <c r="V7">
        <v>0</v>
      </c>
      <c r="W7">
        <v>423.23</v>
      </c>
      <c r="X7">
        <v>0</v>
      </c>
      <c r="Y7">
        <v>10826.55</v>
      </c>
      <c r="Z7">
        <v>11213.85</v>
      </c>
      <c r="AA7">
        <v>12121.56</v>
      </c>
      <c r="AB7">
        <v>0</v>
      </c>
      <c r="AC7">
        <v>10573.31</v>
      </c>
      <c r="AD7">
        <v>0</v>
      </c>
      <c r="AE7">
        <v>10136.49</v>
      </c>
      <c r="AF7">
        <v>10329.47</v>
      </c>
      <c r="AG7">
        <v>11558.15</v>
      </c>
      <c r="AH7">
        <v>0</v>
      </c>
      <c r="AI7">
        <v>10122</v>
      </c>
      <c r="AJ7">
        <v>0</v>
      </c>
      <c r="AK7">
        <v>1</v>
      </c>
      <c r="AL7">
        <v>1</v>
      </c>
      <c r="AM7">
        <v>0.4</v>
      </c>
      <c r="AN7">
        <v>0</v>
      </c>
      <c r="AO7">
        <v>0.5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2024-09-25T22:47:00Z</dcterms:created>
  <dcterms:modified xsi:type="dcterms:W3CDTF">2024-09-26T02:29:32Z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F9830E4D620446FE9D09E964AD080063_12</vt:lpwstr>
  </property>
  <property fmtid="{D5CDD505-2E9C-101B-9397-08002B2CF9AE}" pid="3" name="KSOProductBuildVer">
    <vt:lpwstr>2052-12.1.0.17827</vt:lpwstr>
  </property>
</Properties>
</file>