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<sst xmlns="http://schemas.openxmlformats.org/spreadsheetml/2006/main" count="402" uniqueCount="60">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</sst>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B8" sqref="A8:AP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2072.01</v>
      </c>
      <c r="C2">
        <v>51837.7</v>
      </c>
      <c r="D2">
        <v>1895.64</v>
      </c>
      <c r="E2">
        <v>49451.88</v>
      </c>
      <c r="F2">
        <v>-1</v>
      </c>
      <c r="G2">
        <v>28042.28</v>
      </c>
      <c r="H2">
        <v>-1</v>
      </c>
      <c r="I2">
        <v>9520.36</v>
      </c>
      <c r="J2">
        <v>2083.14</v>
      </c>
      <c r="K2">
        <v>51980.4</v>
      </c>
      <c r="L2">
        <v>-1</v>
      </c>
      <c r="M2">
        <v>7657.52</v>
      </c>
    </row>
    <row r="3" spans="1:13">
      <c r="A3" t="s">
        <v>14</v>
      </c>
      <c r="B3">
        <v>2578.05</v>
      </c>
      <c r="C3">
        <v>52416.53</v>
      </c>
      <c r="D3">
        <v>2468.13</v>
      </c>
      <c r="E3">
        <v>51251.45</v>
      </c>
      <c r="F3">
        <v>-1</v>
      </c>
      <c r="G3">
        <v>21789.37</v>
      </c>
      <c r="H3">
        <v>-1</v>
      </c>
      <c r="I3">
        <v>13155.74</v>
      </c>
      <c r="J3">
        <v>-1</v>
      </c>
      <c r="K3">
        <v>8038.44</v>
      </c>
      <c r="L3">
        <v>-1</v>
      </c>
      <c r="M3">
        <v>20970.06</v>
      </c>
    </row>
    <row r="4" spans="1:13">
      <c r="A4" t="s">
        <v>15</v>
      </c>
      <c r="B4">
        <v>1936.69</v>
      </c>
      <c r="C4">
        <v>50536.9</v>
      </c>
      <c r="D4">
        <v>1825.69</v>
      </c>
      <c r="E4">
        <v>50592.61</v>
      </c>
      <c r="F4">
        <v>-1</v>
      </c>
      <c r="G4">
        <v>1919.22</v>
      </c>
      <c r="H4">
        <v>-1</v>
      </c>
      <c r="I4">
        <v>1285.76</v>
      </c>
      <c r="J4">
        <v>-1</v>
      </c>
      <c r="K4">
        <v>1722.39</v>
      </c>
      <c r="L4">
        <v>-1</v>
      </c>
      <c r="M4">
        <v>22973.41</v>
      </c>
    </row>
    <row r="5" spans="1:13">
      <c r="A5" t="s">
        <v>16</v>
      </c>
      <c r="B5">
        <v>1729.94</v>
      </c>
      <c r="C5">
        <v>49478.87</v>
      </c>
      <c r="D5">
        <v>1620.21</v>
      </c>
      <c r="E5">
        <v>50215.56</v>
      </c>
      <c r="F5">
        <v>-1</v>
      </c>
      <c r="G5">
        <v>40457.12</v>
      </c>
      <c r="H5">
        <v>-1</v>
      </c>
      <c r="I5">
        <v>17228.29</v>
      </c>
      <c r="J5">
        <v>1739.8</v>
      </c>
      <c r="K5">
        <v>49722.81</v>
      </c>
      <c r="L5">
        <v>-1</v>
      </c>
      <c r="M5">
        <v>32421.2</v>
      </c>
    </row>
    <row r="6" spans="1:13">
      <c r="A6" t="s">
        <v>17</v>
      </c>
      <c r="B6">
        <v>1717.12</v>
      </c>
      <c r="C6">
        <v>48562.65</v>
      </c>
      <c r="D6">
        <v>1602.19</v>
      </c>
      <c r="E6">
        <v>48780.33</v>
      </c>
      <c r="F6">
        <v>-1</v>
      </c>
      <c r="G6">
        <v>20375.79</v>
      </c>
      <c r="H6">
        <v>-1</v>
      </c>
      <c r="I6">
        <v>2942.32</v>
      </c>
      <c r="J6">
        <v>1725.5</v>
      </c>
      <c r="K6">
        <v>48664.68</v>
      </c>
      <c r="L6">
        <v>-1</v>
      </c>
      <c r="M6">
        <v>2664.92</v>
      </c>
    </row>
    <row r="8" spans="1:42">
      <c r="A8" s="2" t="s">
        <v>18</v>
      </c>
      <c r="B8" s="2" t="s">
        <v>19</v>
      </c>
      <c r="C8" s="2" t="s">
        <v>20</v>
      </c>
      <c r="D8" s="3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3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3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3" t="s">
        <v>39</v>
      </c>
      <c r="W8" s="2" t="s">
        <v>40</v>
      </c>
      <c r="X8" s="2" t="s">
        <v>41</v>
      </c>
      <c r="Y8" s="2" t="s">
        <v>42</v>
      </c>
      <c r="Z8" s="2" t="s">
        <v>43</v>
      </c>
      <c r="AA8" s="2" t="s">
        <v>44</v>
      </c>
      <c r="AB8" s="3" t="s">
        <v>45</v>
      </c>
      <c r="AC8" s="2" t="s">
        <v>46</v>
      </c>
      <c r="AD8" s="2" t="s">
        <v>47</v>
      </c>
      <c r="AE8" s="2" t="s">
        <v>48</v>
      </c>
      <c r="AF8" s="2" t="s">
        <v>49</v>
      </c>
      <c r="AG8" s="2" t="s">
        <v>50</v>
      </c>
      <c r="AH8" s="3" t="s">
        <v>51</v>
      </c>
      <c r="AI8" s="2" t="s">
        <v>52</v>
      </c>
      <c r="AJ8" s="2" t="s">
        <v>53</v>
      </c>
      <c r="AK8" s="2" t="s">
        <v>54</v>
      </c>
      <c r="AL8" s="2" t="s">
        <v>55</v>
      </c>
      <c r="AM8" s="2" t="s">
        <v>56</v>
      </c>
      <c r="AN8" s="3" t="s">
        <v>57</v>
      </c>
      <c r="AO8" s="2" t="s">
        <v>58</v>
      </c>
      <c r="AP8" s="2" t="s">
        <v>59</v>
      </c>
    </row>
    <row r="9" spans="1:42">
      <c r="A9" s="4">
        <f>IFERROR(AVERAGEIF($B$2:$B$6,"&lt;&gt; -1"),0)</f>
        <v>2006.762</v>
      </c>
      <c r="B9" s="4">
        <f>IFERROR(AVERAGEIF($D$2:$D$6,"&lt;&gt; -1"),0)</f>
        <v>1882.372</v>
      </c>
      <c r="C9" s="4">
        <f>IFERROR(AVERAGEIF($F$2:$F$6,"&lt;&gt; -1"),0)</f>
        <v>0</v>
      </c>
      <c r="D9" s="4">
        <f>IFERROR(AVERAGEIF($H$2:$H$6,"&lt;&gt; -1"),0)</f>
        <v>0</v>
      </c>
      <c r="E9" s="4">
        <f>IFERROR(AVERAGEIF($J$2:$J$6,"&lt;&gt; -1"),0)</f>
        <v>1849.48</v>
      </c>
      <c r="F9" s="4">
        <f>IFERROR(AVERAGEIF($L$2:$L$6,"&lt;&gt; -1"),0)</f>
        <v>0</v>
      </c>
      <c r="G9" s="4">
        <f>IFERROR(AVERAGEIFS($C$2:$C$6,$B$2:$B$6,"&lt;&gt; -1"),0)</f>
        <v>50566.53</v>
      </c>
      <c r="H9" s="4">
        <f>IFERROR(AVERAGEIFS($E$2:$E$6,$D$2:$D$6,"&lt;&gt; -1"),0)</f>
        <v>50058.366</v>
      </c>
      <c r="I9" s="4">
        <f>IFERROR(AVERAGEIFS($G$2:$G$6,$F$2:$F$6,"&lt;&gt; -1"),0)</f>
        <v>0</v>
      </c>
      <c r="J9" s="4">
        <f>IFERROR(AVERAGEIFS($I$2:$I$6,$H$2:$H$6,"&lt;&gt; -1"),0)</f>
        <v>0</v>
      </c>
      <c r="K9" s="4">
        <f>IFERROR(AVERAGEIFS($K$2:$K$6,$J$2:$J$6,"&lt;&gt; -1"),0)</f>
        <v>50122.63</v>
      </c>
      <c r="L9" s="4">
        <f>IFERROR(AVERAGEIFS($M$2:$M$6,$L$2:$L$6,"&lt;&gt; -1"),0)</f>
        <v>0</v>
      </c>
      <c r="M9" s="4">
        <f>IFERROR(_xlfn.MAXIFS($B$2:$B$6,$B$2:$B$6,"&lt;&gt; -1"),0)</f>
        <v>2578.05</v>
      </c>
      <c r="N9" s="4">
        <f>IFERROR(_xlfn.MAXIFS($D$2:$D$6,$D$2:$D$6,"&lt;&gt;-1"),0)</f>
        <v>2468.13</v>
      </c>
      <c r="O9" s="4">
        <f>IFERROR(_xlfn.MAXIFS($F$2:$F$6,$F$2:$F$6,"&lt;&gt; -1"),0)</f>
        <v>0</v>
      </c>
      <c r="P9" s="4">
        <f>IFERROR(_xlfn.MAXIFS($H$2:$H$6,$H$2:$H$6,"&lt;&gt; -1"),0)</f>
        <v>0</v>
      </c>
      <c r="Q9" s="4">
        <f>IFERROR(_xlfn.MAXIFS($J$2:$J$6,$J$2:$J$6,"&lt;&gt; -1"),0)</f>
        <v>2083.14</v>
      </c>
      <c r="R9" s="4">
        <f>IFERROR(_xlfn.MAXIFS($L$2:$L$6,$L$2:$L$6,"&lt;&gt; -1"),0)</f>
        <v>0</v>
      </c>
      <c r="S9" s="4">
        <f>IFERROR(_xlfn.MINIFS($B$2:$B$6,$B$2:$B$6,"&lt;&gt; -1"),0)</f>
        <v>1717.12</v>
      </c>
      <c r="T9" s="4">
        <f>IFERROR(_xlfn.MINIFS($D$2:$D$6,$D$2:$D$6,"&lt;&gt;-1"),0)</f>
        <v>1602.19</v>
      </c>
      <c r="U9" s="4">
        <f>IFERROR(_xlfn.MINIFS($F$2:$F$6,$F$2:$F$6,"&lt;&gt; -1"),0)</f>
        <v>0</v>
      </c>
      <c r="V9" s="4">
        <f>IFERROR(_xlfn.MINIFS($H$2:$H$6,$H$2:$H$6,"&lt;&gt; -1"),0)</f>
        <v>0</v>
      </c>
      <c r="W9" s="4">
        <f>IFERROR(_xlfn.MINIFS($J$2:$J$6,$J$2:$J$6,"&lt;&gt; -1"),0)</f>
        <v>1725.5</v>
      </c>
      <c r="X9" s="4">
        <f>IFERROR(_xlfn.MINIFS($L$2:$L$6,$L$2:$L$6,"&lt;&gt; -1"),0)</f>
        <v>0</v>
      </c>
      <c r="Y9" s="4">
        <f>IFERROR(_xlfn.MAXIFS($C$2:$C$6,$B$2:$B$6,"&lt;&gt; -1"),0)</f>
        <v>52416.53</v>
      </c>
      <c r="Z9" s="4">
        <f>IFERROR(_xlfn.MAXIFS($E$2:$E$6,$D$2:$D$6,"&lt;&gt; -1"),0)</f>
        <v>51251.45</v>
      </c>
      <c r="AA9" s="4">
        <f>IFERROR(_xlfn.MAXIFS($G$2:$G$6,$F$2:$F$6,"&lt;&gt; -1"),0)</f>
        <v>0</v>
      </c>
      <c r="AB9" s="4">
        <f>IFERROR(_xlfn.MAXIFS($I$2:$I$6,$H$2:$H$6,"&lt;&gt; -1"),0)</f>
        <v>0</v>
      </c>
      <c r="AC9" s="4">
        <f>IFERROR(_xlfn.MAXIFS($K$2:$K$6,$J$2:$J$6,"&lt;&gt; -1"),0)</f>
        <v>51980.4</v>
      </c>
      <c r="AD9" s="4">
        <f>IFERROR(_xlfn.MAXIFS($M$2:$M$6,$L$2:$L$6,"&lt;&gt; -1"),0)</f>
        <v>0</v>
      </c>
      <c r="AE9" s="4">
        <f>IFERROR(_xlfn.MINIFS($C$2:$C$6,$B$2:$B$6,"&lt;&gt; -1"),0)</f>
        <v>48562.65</v>
      </c>
      <c r="AF9" s="4">
        <f>IFERROR(_xlfn.MINIFS($E$2:$E$6,$D$2:$D$6,"&lt;&gt; -1"),0)</f>
        <v>48780.33</v>
      </c>
      <c r="AG9" s="4">
        <f>IFERROR(_xlfn.MINIFS($G$2:$G$6,$F$2:$F$6,"&lt;&gt; -1"),0)</f>
        <v>0</v>
      </c>
      <c r="AH9" s="4">
        <f>IFERROR(_xlfn.MINIFS($I$2:$I$6,$H$2:$H$6,"&lt;&gt; -1"),0)</f>
        <v>0</v>
      </c>
      <c r="AI9" s="4">
        <f>IFERROR(_xlfn.MINIFS($K$2:$K$6,$J$2:$J$6,"&lt;&gt; -1"),0)</f>
        <v>48664.68</v>
      </c>
      <c r="AJ9" s="4">
        <f>IFERROR(_xlfn.MINIFS($M$2:$M$6,$L$2:$L$6,"&lt;&gt; -1"),0)</f>
        <v>0</v>
      </c>
      <c r="AK9" s="4">
        <f>(COUNTIFS($B$2:$B$6,"&gt;0.0",$B$2:$B$6,"&lt;3000.0"))/5</f>
        <v>1</v>
      </c>
      <c r="AL9" s="4">
        <f>(COUNTIFS($D$2:$D$6,"&gt;0.0",$D$2:$D$6,"&lt;3000.0"))/5</f>
        <v>1</v>
      </c>
      <c r="AM9" s="4">
        <f>(COUNTIFS($F$2:$F$6,"&gt;0.0",$F$2:$F$6,"&lt;3000.0"))/5</f>
        <v>0</v>
      </c>
      <c r="AN9" s="4">
        <f>(COUNTIFS($H$2:$H$6,"&gt;0.0",$H$2:$H$6,"&lt;3000.0"))/5</f>
        <v>0</v>
      </c>
      <c r="AO9" s="4">
        <f>(COUNTIFS($J$2:$J$6,"&gt;0.0",$J$2:$J$6,"&lt;3000.0"))/5</f>
        <v>0.6</v>
      </c>
      <c r="AP9" s="4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"/>
  <sheetViews>
    <sheetView workbookViewId="0">
      <selection activeCell="A10" sqref="$A10:$XFD10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1902.64</v>
      </c>
      <c r="C2">
        <v>50678.23</v>
      </c>
      <c r="D2">
        <v>1797.75</v>
      </c>
      <c r="E2">
        <v>50395.06</v>
      </c>
      <c r="F2">
        <v>-1</v>
      </c>
      <c r="G2">
        <v>44152.26</v>
      </c>
      <c r="H2">
        <v>-1</v>
      </c>
      <c r="I2">
        <v>1801.95</v>
      </c>
      <c r="J2">
        <v>1910.85</v>
      </c>
      <c r="K2">
        <v>50884.91</v>
      </c>
      <c r="L2">
        <v>-1</v>
      </c>
      <c r="M2">
        <v>7478.48</v>
      </c>
    </row>
    <row r="3" spans="1:13">
      <c r="A3" t="s">
        <v>14</v>
      </c>
      <c r="B3">
        <v>1914.98</v>
      </c>
      <c r="C3">
        <v>52593.85</v>
      </c>
      <c r="D3">
        <v>1810.64</v>
      </c>
      <c r="E3">
        <v>52156.65</v>
      </c>
      <c r="F3">
        <v>-1</v>
      </c>
      <c r="G3">
        <v>29092.31</v>
      </c>
      <c r="H3">
        <v>-1</v>
      </c>
      <c r="I3">
        <v>4695.57</v>
      </c>
      <c r="J3">
        <v>1930.77</v>
      </c>
      <c r="K3">
        <v>52723.15</v>
      </c>
      <c r="L3">
        <v>-1</v>
      </c>
      <c r="M3">
        <v>0</v>
      </c>
    </row>
    <row r="4" spans="1:13">
      <c r="A4" t="s">
        <v>15</v>
      </c>
      <c r="B4">
        <v>1857.15</v>
      </c>
      <c r="C4">
        <v>51211.19</v>
      </c>
      <c r="D4">
        <v>1784.32</v>
      </c>
      <c r="E4">
        <v>50827.37</v>
      </c>
      <c r="F4">
        <v>-1</v>
      </c>
      <c r="G4">
        <v>2343.09</v>
      </c>
      <c r="H4">
        <v>-1</v>
      </c>
      <c r="I4">
        <v>0</v>
      </c>
      <c r="J4">
        <v>-1</v>
      </c>
      <c r="K4">
        <v>28236.56</v>
      </c>
      <c r="L4">
        <v>-1</v>
      </c>
      <c r="M4">
        <v>0</v>
      </c>
    </row>
    <row r="5" spans="1:13">
      <c r="A5" t="s">
        <v>16</v>
      </c>
      <c r="B5">
        <v>1882.13</v>
      </c>
      <c r="C5">
        <v>49028.18</v>
      </c>
      <c r="D5">
        <v>1771.5</v>
      </c>
      <c r="E5">
        <v>49464.18</v>
      </c>
      <c r="F5">
        <v>-1</v>
      </c>
      <c r="G5">
        <v>19616.2</v>
      </c>
      <c r="H5">
        <v>-1</v>
      </c>
      <c r="I5">
        <v>0</v>
      </c>
      <c r="J5">
        <v>-1</v>
      </c>
      <c r="K5">
        <v>38786.22</v>
      </c>
      <c r="L5">
        <v>-1</v>
      </c>
      <c r="M5">
        <v>1558.84</v>
      </c>
    </row>
    <row r="6" spans="1:13">
      <c r="A6" t="s">
        <v>17</v>
      </c>
      <c r="B6">
        <v>1868.11</v>
      </c>
      <c r="C6">
        <v>49769.87</v>
      </c>
      <c r="D6">
        <v>1765.9</v>
      </c>
      <c r="E6">
        <v>49579.44</v>
      </c>
      <c r="F6">
        <v>-1</v>
      </c>
      <c r="G6">
        <v>14979.15</v>
      </c>
      <c r="H6">
        <v>-1</v>
      </c>
      <c r="I6">
        <v>4590.36</v>
      </c>
      <c r="J6">
        <v>-1</v>
      </c>
      <c r="K6">
        <v>12551.57</v>
      </c>
      <c r="L6">
        <v>-1</v>
      </c>
      <c r="M6">
        <v>0</v>
      </c>
    </row>
    <row r="9" spans="1:42">
      <c r="A9" s="2" t="s">
        <v>18</v>
      </c>
      <c r="B9" s="2" t="s">
        <v>19</v>
      </c>
      <c r="C9" s="2" t="s">
        <v>20</v>
      </c>
      <c r="D9" s="3" t="s">
        <v>21</v>
      </c>
      <c r="E9" s="2" t="s">
        <v>22</v>
      </c>
      <c r="F9" s="2" t="s">
        <v>23</v>
      </c>
      <c r="G9" s="2" t="s">
        <v>24</v>
      </c>
      <c r="H9" s="2" t="s">
        <v>25</v>
      </c>
      <c r="I9" s="2" t="s">
        <v>26</v>
      </c>
      <c r="J9" s="3" t="s">
        <v>27</v>
      </c>
      <c r="K9" s="2" t="s">
        <v>28</v>
      </c>
      <c r="L9" s="2" t="s">
        <v>29</v>
      </c>
      <c r="M9" s="2" t="s">
        <v>30</v>
      </c>
      <c r="N9" s="2" t="s">
        <v>31</v>
      </c>
      <c r="O9" s="2" t="s">
        <v>32</v>
      </c>
      <c r="P9" s="3" t="s">
        <v>33</v>
      </c>
      <c r="Q9" s="2" t="s">
        <v>34</v>
      </c>
      <c r="R9" s="2" t="s">
        <v>35</v>
      </c>
      <c r="S9" s="2" t="s">
        <v>36</v>
      </c>
      <c r="T9" s="2" t="s">
        <v>37</v>
      </c>
      <c r="U9" s="2" t="s">
        <v>38</v>
      </c>
      <c r="V9" s="3" t="s">
        <v>39</v>
      </c>
      <c r="W9" s="2" t="s">
        <v>40</v>
      </c>
      <c r="X9" s="2" t="s">
        <v>41</v>
      </c>
      <c r="Y9" s="2" t="s">
        <v>42</v>
      </c>
      <c r="Z9" s="2" t="s">
        <v>43</v>
      </c>
      <c r="AA9" s="2" t="s">
        <v>44</v>
      </c>
      <c r="AB9" s="3" t="s">
        <v>45</v>
      </c>
      <c r="AC9" s="2" t="s">
        <v>46</v>
      </c>
      <c r="AD9" s="2" t="s">
        <v>47</v>
      </c>
      <c r="AE9" s="2" t="s">
        <v>48</v>
      </c>
      <c r="AF9" s="2" t="s">
        <v>49</v>
      </c>
      <c r="AG9" s="2" t="s">
        <v>50</v>
      </c>
      <c r="AH9" s="3" t="s">
        <v>51</v>
      </c>
      <c r="AI9" s="2" t="s">
        <v>52</v>
      </c>
      <c r="AJ9" s="2" t="s">
        <v>53</v>
      </c>
      <c r="AK9" s="2" t="s">
        <v>54</v>
      </c>
      <c r="AL9" s="2" t="s">
        <v>55</v>
      </c>
      <c r="AM9" s="2" t="s">
        <v>56</v>
      </c>
      <c r="AN9" s="3" t="s">
        <v>57</v>
      </c>
      <c r="AO9" s="2" t="s">
        <v>58</v>
      </c>
      <c r="AP9" s="2" t="s">
        <v>59</v>
      </c>
    </row>
    <row r="10" spans="1:42">
      <c r="A10" s="4">
        <f>IFERROR(AVERAGEIF($B$2:$B$6,"&lt;&gt; -1"),0)</f>
        <v>1885.002</v>
      </c>
      <c r="B10" s="4">
        <f>IFERROR(AVERAGEIF($D$2:$D$6,"&lt;&gt; -1"),0)</f>
        <v>1786.022</v>
      </c>
      <c r="C10" s="4">
        <f>IFERROR(AVERAGEIF($F$2:$F$6,"&lt;&gt; -1"),0)</f>
        <v>0</v>
      </c>
      <c r="D10" s="4">
        <f>IFERROR(AVERAGEIF($H$2:$H$6,"&lt;&gt; -1"),0)</f>
        <v>0</v>
      </c>
      <c r="E10" s="4">
        <f>IFERROR(AVERAGEIF($J$2:$J$6,"&lt;&gt; -1"),0)</f>
        <v>1920.81</v>
      </c>
      <c r="F10" s="4">
        <f>IFERROR(AVERAGEIF($L$2:$L$6,"&lt;&gt; -1"),0)</f>
        <v>0</v>
      </c>
      <c r="G10" s="4">
        <f>IFERROR(AVERAGEIFS($C$2:$C$6,$B$2:$B$6,"&lt;&gt; -1"),0)</f>
        <v>50656.264</v>
      </c>
      <c r="H10" s="4">
        <f>IFERROR(AVERAGEIFS($E$2:$E$6,$D$2:$D$6,"&lt;&gt; -1"),0)</f>
        <v>50484.54</v>
      </c>
      <c r="I10" s="4">
        <f>IFERROR(AVERAGEIFS($G$2:$G$6,$F$2:$F$6,"&lt;&gt; -1"),0)</f>
        <v>0</v>
      </c>
      <c r="J10" s="4">
        <f>IFERROR(AVERAGEIFS($I$2:$I$6,$H$2:$H$6,"&lt;&gt; -1"),0)</f>
        <v>0</v>
      </c>
      <c r="K10" s="4">
        <f>IFERROR(AVERAGEIFS($K$2:$K$6,$J$2:$J$6,"&lt;&gt; -1"),0)</f>
        <v>51804.03</v>
      </c>
      <c r="L10" s="4">
        <f>IFERROR(AVERAGEIFS($M$2:$M$6,$L$2:$L$6,"&lt;&gt; -1"),0)</f>
        <v>0</v>
      </c>
      <c r="M10" s="4">
        <f>IFERROR(_xlfn.MAXIFS($B$2:$B$6,$B$2:$B$6,"&lt;&gt; -1"),0)</f>
        <v>1914.98</v>
      </c>
      <c r="N10" s="4">
        <f>IFERROR(_xlfn.MAXIFS($D$2:$D$6,$D$2:$D$6,"&lt;&gt;-1"),0)</f>
        <v>1810.64</v>
      </c>
      <c r="O10" s="4">
        <f>IFERROR(_xlfn.MAXIFS($F$2:$F$6,$F$2:$F$6,"&lt;&gt; -1"),0)</f>
        <v>0</v>
      </c>
      <c r="P10" s="4">
        <f>IFERROR(_xlfn.MAXIFS($H$2:$H$6,$H$2:$H$6,"&lt;&gt; -1"),0)</f>
        <v>0</v>
      </c>
      <c r="Q10" s="4">
        <f>IFERROR(_xlfn.MAXIFS($J$2:$J$6,$J$2:$J$6,"&lt;&gt; -1"),0)</f>
        <v>1930.77</v>
      </c>
      <c r="R10" s="4">
        <f>IFERROR(_xlfn.MAXIFS($L$2:$L$6,$L$2:$L$6,"&lt;&gt; -1"),0)</f>
        <v>0</v>
      </c>
      <c r="S10" s="4">
        <f>IFERROR(_xlfn.MINIFS($B$2:$B$6,$B$2:$B$6,"&lt;&gt; -1"),0)</f>
        <v>1857.15</v>
      </c>
      <c r="T10" s="4">
        <f>IFERROR(_xlfn.MINIFS($D$2:$D$6,$D$2:$D$6,"&lt;&gt;-1"),0)</f>
        <v>1765.9</v>
      </c>
      <c r="U10" s="4">
        <f>IFERROR(_xlfn.MINIFS($F$2:$F$6,$F$2:$F$6,"&lt;&gt; -1"),0)</f>
        <v>0</v>
      </c>
      <c r="V10" s="4">
        <f>IFERROR(_xlfn.MINIFS($H$2:$H$6,$H$2:$H$6,"&lt;&gt; -1"),0)</f>
        <v>0</v>
      </c>
      <c r="W10" s="4">
        <f>IFERROR(_xlfn.MINIFS($J$2:$J$6,$J$2:$J$6,"&lt;&gt; -1"),0)</f>
        <v>1910.85</v>
      </c>
      <c r="X10" s="4">
        <f>IFERROR(_xlfn.MINIFS($L$2:$L$6,$L$2:$L$6,"&lt;&gt; -1"),0)</f>
        <v>0</v>
      </c>
      <c r="Y10" s="4">
        <f>IFERROR(_xlfn.MAXIFS($C$2:$C$6,$B$2:$B$6,"&lt;&gt; -1"),0)</f>
        <v>52593.85</v>
      </c>
      <c r="Z10" s="4">
        <f>IFERROR(_xlfn.MAXIFS($E$2:$E$6,$D$2:$D$6,"&lt;&gt; -1"),0)</f>
        <v>52156.65</v>
      </c>
      <c r="AA10" s="4">
        <f>IFERROR(_xlfn.MAXIFS($G$2:$G$6,$F$2:$F$6,"&lt;&gt; -1"),0)</f>
        <v>0</v>
      </c>
      <c r="AB10" s="4">
        <f>IFERROR(_xlfn.MAXIFS($I$2:$I$6,$H$2:$H$6,"&lt;&gt; -1"),0)</f>
        <v>0</v>
      </c>
      <c r="AC10" s="4">
        <f>IFERROR(_xlfn.MAXIFS($K$2:$K$6,$J$2:$J$6,"&lt;&gt; -1"),0)</f>
        <v>52723.15</v>
      </c>
      <c r="AD10" s="4">
        <f>IFERROR(_xlfn.MAXIFS($M$2:$M$6,$L$2:$L$6,"&lt;&gt; -1"),0)</f>
        <v>0</v>
      </c>
      <c r="AE10" s="4">
        <f>IFERROR(_xlfn.MINIFS($C$2:$C$6,$B$2:$B$6,"&lt;&gt; -1"),0)</f>
        <v>49028.18</v>
      </c>
      <c r="AF10" s="4">
        <f>IFERROR(_xlfn.MINIFS($E$2:$E$6,$D$2:$D$6,"&lt;&gt; -1"),0)</f>
        <v>49464.18</v>
      </c>
      <c r="AG10" s="4">
        <f>IFERROR(_xlfn.MINIFS($G$2:$G$6,$F$2:$F$6,"&lt;&gt; -1"),0)</f>
        <v>0</v>
      </c>
      <c r="AH10" s="4">
        <f>IFERROR(_xlfn.MINIFS($I$2:$I$6,$H$2:$H$6,"&lt;&gt; -1"),0)</f>
        <v>0</v>
      </c>
      <c r="AI10" s="4">
        <f>IFERROR(_xlfn.MINIFS($K$2:$K$6,$J$2:$J$6,"&lt;&gt; -1"),0)</f>
        <v>50884.91</v>
      </c>
      <c r="AJ10" s="4">
        <f>IFERROR(_xlfn.MINIFS($M$2:$M$6,$L$2:$L$6,"&lt;&gt; -1"),0)</f>
        <v>0</v>
      </c>
      <c r="AK10" s="4">
        <f>(COUNTIFS($B$2:$B$6,"&gt;0.0",$B$2:$B$6,"&lt;3000.0"))/5</f>
        <v>1</v>
      </c>
      <c r="AL10" s="4">
        <f>(COUNTIFS($D$2:$D$6,"&gt;0.0",$D$2:$D$6,"&lt;3000.0"))/5</f>
        <v>1</v>
      </c>
      <c r="AM10" s="4">
        <f>(COUNTIFS($F$2:$F$6,"&gt;0.0",$F$2:$F$6,"&lt;3000.0"))/5</f>
        <v>0</v>
      </c>
      <c r="AN10" s="4">
        <f>(COUNTIFS($H$2:$H$6,"&gt;0.0",$H$2:$H$6,"&lt;3000.0"))/5</f>
        <v>0</v>
      </c>
      <c r="AO10" s="4">
        <f>(COUNTIFS($J$2:$J$6,"&gt;0.0",$J$2:$J$6,"&lt;3000.0"))/5</f>
        <v>0.4</v>
      </c>
      <c r="AP10" s="4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$A9:$XFD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2084.23</v>
      </c>
      <c r="C2">
        <v>50230.53</v>
      </c>
      <c r="D2">
        <v>1960.21</v>
      </c>
      <c r="E2">
        <v>51875.25</v>
      </c>
      <c r="F2">
        <v>-1</v>
      </c>
      <c r="G2">
        <v>0</v>
      </c>
      <c r="H2">
        <v>-1</v>
      </c>
      <c r="I2">
        <v>3706.04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2116</v>
      </c>
      <c r="C3">
        <v>51197.04</v>
      </c>
      <c r="D3">
        <v>1990.98</v>
      </c>
      <c r="E3">
        <v>52973.48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2071.65</v>
      </c>
      <c r="C4">
        <v>49491.49</v>
      </c>
      <c r="D4">
        <v>1950.64</v>
      </c>
      <c r="E4">
        <v>48118.65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2064.71</v>
      </c>
      <c r="C5">
        <v>48771.69</v>
      </c>
      <c r="D5">
        <v>1939.87</v>
      </c>
      <c r="E5">
        <v>51959.51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2052.6</v>
      </c>
      <c r="C6">
        <v>49604.14</v>
      </c>
      <c r="D6">
        <v>1927.08</v>
      </c>
      <c r="E6">
        <v>50079.57</v>
      </c>
      <c r="F6">
        <v>-1</v>
      </c>
      <c r="G6">
        <v>0</v>
      </c>
      <c r="H6">
        <v>-1</v>
      </c>
      <c r="I6">
        <v>4699.42</v>
      </c>
      <c r="J6">
        <v>-1</v>
      </c>
      <c r="K6">
        <v>0</v>
      </c>
      <c r="L6">
        <v>-1</v>
      </c>
      <c r="M6">
        <v>0</v>
      </c>
    </row>
    <row r="8" spans="1:42">
      <c r="A8" s="2" t="s">
        <v>18</v>
      </c>
      <c r="B8" s="2" t="s">
        <v>19</v>
      </c>
      <c r="C8" s="2" t="s">
        <v>20</v>
      </c>
      <c r="D8" s="3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3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3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3" t="s">
        <v>39</v>
      </c>
      <c r="W8" s="2" t="s">
        <v>40</v>
      </c>
      <c r="X8" s="2" t="s">
        <v>41</v>
      </c>
      <c r="Y8" s="2" t="s">
        <v>42</v>
      </c>
      <c r="Z8" s="2" t="s">
        <v>43</v>
      </c>
      <c r="AA8" s="2" t="s">
        <v>44</v>
      </c>
      <c r="AB8" s="3" t="s">
        <v>45</v>
      </c>
      <c r="AC8" s="2" t="s">
        <v>46</v>
      </c>
      <c r="AD8" s="2" t="s">
        <v>47</v>
      </c>
      <c r="AE8" s="2" t="s">
        <v>48</v>
      </c>
      <c r="AF8" s="2" t="s">
        <v>49</v>
      </c>
      <c r="AG8" s="2" t="s">
        <v>50</v>
      </c>
      <c r="AH8" s="3" t="s">
        <v>51</v>
      </c>
      <c r="AI8" s="2" t="s">
        <v>52</v>
      </c>
      <c r="AJ8" s="2" t="s">
        <v>53</v>
      </c>
      <c r="AK8" s="2" t="s">
        <v>54</v>
      </c>
      <c r="AL8" s="2" t="s">
        <v>55</v>
      </c>
      <c r="AM8" s="2" t="s">
        <v>56</v>
      </c>
      <c r="AN8" s="3" t="s">
        <v>57</v>
      </c>
      <c r="AO8" s="2" t="s">
        <v>58</v>
      </c>
      <c r="AP8" s="2" t="s">
        <v>59</v>
      </c>
    </row>
    <row r="9" spans="1:42">
      <c r="A9" s="4">
        <f>IFERROR(AVERAGEIF($B$2:$B$6,"&lt;&gt; -1"),0)</f>
        <v>2077.838</v>
      </c>
      <c r="B9" s="4">
        <f>IFERROR(AVERAGEIF($D$2:$D$6,"&lt;&gt; -1"),0)</f>
        <v>1953.756</v>
      </c>
      <c r="C9" s="4">
        <f>IFERROR(AVERAGEIF($F$2:$F$6,"&lt;&gt; -1"),0)</f>
        <v>0</v>
      </c>
      <c r="D9" s="4">
        <f>IFERROR(AVERAGEIF($H$2:$H$6,"&lt;&gt; -1"),0)</f>
        <v>0</v>
      </c>
      <c r="E9" s="4">
        <f>IFERROR(AVERAGEIF($J$2:$J$6,"&lt;&gt; -1"),0)</f>
        <v>0</v>
      </c>
      <c r="F9" s="4">
        <f>IFERROR(AVERAGEIF($L$2:$L$6,"&lt;&gt; -1"),0)</f>
        <v>0</v>
      </c>
      <c r="G9" s="4">
        <f>IFERROR(AVERAGEIFS($C$2:$C$6,$B$2:$B$6,"&lt;&gt; -1"),0)</f>
        <v>49858.978</v>
      </c>
      <c r="H9" s="4">
        <f>IFERROR(AVERAGEIFS($E$2:$E$6,$D$2:$D$6,"&lt;&gt; -1"),0)</f>
        <v>51001.292</v>
      </c>
      <c r="I9" s="4">
        <f>IFERROR(AVERAGEIFS($G$2:$G$6,$F$2:$F$6,"&lt;&gt; -1"),0)</f>
        <v>0</v>
      </c>
      <c r="J9" s="4">
        <f>IFERROR(AVERAGEIFS($I$2:$I$6,$H$2:$H$6,"&lt;&gt; -1"),0)</f>
        <v>0</v>
      </c>
      <c r="K9" s="4">
        <f>IFERROR(AVERAGEIFS($K$2:$K$6,$J$2:$J$6,"&lt;&gt; -1"),0)</f>
        <v>0</v>
      </c>
      <c r="L9" s="4">
        <f>IFERROR(AVERAGEIFS($M$2:$M$6,$L$2:$L$6,"&lt;&gt; -1"),0)</f>
        <v>0</v>
      </c>
      <c r="M9" s="4">
        <f>IFERROR(_xlfn.MAXIFS($B$2:$B$6,$B$2:$B$6,"&lt;&gt; -1"),0)</f>
        <v>2116</v>
      </c>
      <c r="N9" s="4">
        <f>IFERROR(_xlfn.MAXIFS($D$2:$D$6,$D$2:$D$6,"&lt;&gt;-1"),0)</f>
        <v>1990.98</v>
      </c>
      <c r="O9" s="4">
        <f>IFERROR(_xlfn.MAXIFS($F$2:$F$6,$F$2:$F$6,"&lt;&gt; -1"),0)</f>
        <v>0</v>
      </c>
      <c r="P9" s="4">
        <f>IFERROR(_xlfn.MAXIFS($H$2:$H$6,$H$2:$H$6,"&lt;&gt; -1"),0)</f>
        <v>0</v>
      </c>
      <c r="Q9" s="4">
        <f>IFERROR(_xlfn.MAXIFS($J$2:$J$6,$J$2:$J$6,"&lt;&gt; -1"),0)</f>
        <v>0</v>
      </c>
      <c r="R9" s="4">
        <f>IFERROR(_xlfn.MAXIFS($L$2:$L$6,$L$2:$L$6,"&lt;&gt; -1"),0)</f>
        <v>0</v>
      </c>
      <c r="S9" s="4">
        <f>IFERROR(_xlfn.MINIFS($B$2:$B$6,$B$2:$B$6,"&lt;&gt; -1"),0)</f>
        <v>2052.6</v>
      </c>
      <c r="T9" s="4">
        <f>IFERROR(_xlfn.MINIFS($D$2:$D$6,$D$2:$D$6,"&lt;&gt;-1"),0)</f>
        <v>1927.08</v>
      </c>
      <c r="U9" s="4">
        <f>IFERROR(_xlfn.MINIFS($F$2:$F$6,$F$2:$F$6,"&lt;&gt; -1"),0)</f>
        <v>0</v>
      </c>
      <c r="V9" s="4">
        <f>IFERROR(_xlfn.MINIFS($H$2:$H$6,$H$2:$H$6,"&lt;&gt; -1"),0)</f>
        <v>0</v>
      </c>
      <c r="W9" s="4">
        <f>IFERROR(_xlfn.MINIFS($J$2:$J$6,$J$2:$J$6,"&lt;&gt; -1"),0)</f>
        <v>0</v>
      </c>
      <c r="X9" s="4">
        <f>IFERROR(_xlfn.MINIFS($L$2:$L$6,$L$2:$L$6,"&lt;&gt; -1"),0)</f>
        <v>0</v>
      </c>
      <c r="Y9" s="4">
        <f>IFERROR(_xlfn.MAXIFS($C$2:$C$6,$B$2:$B$6,"&lt;&gt; -1"),0)</f>
        <v>51197.04</v>
      </c>
      <c r="Z9" s="4">
        <f>IFERROR(_xlfn.MAXIFS($E$2:$E$6,$D$2:$D$6,"&lt;&gt; -1"),0)</f>
        <v>52973.48</v>
      </c>
      <c r="AA9" s="4">
        <f>IFERROR(_xlfn.MAXIFS($G$2:$G$6,$F$2:$F$6,"&lt;&gt; -1"),0)</f>
        <v>0</v>
      </c>
      <c r="AB9" s="4">
        <f>IFERROR(_xlfn.MAXIFS($I$2:$I$6,$H$2:$H$6,"&lt;&gt; -1"),0)</f>
        <v>0</v>
      </c>
      <c r="AC9" s="4">
        <f>IFERROR(_xlfn.MAXIFS($K$2:$K$6,$J$2:$J$6,"&lt;&gt; -1"),0)</f>
        <v>0</v>
      </c>
      <c r="AD9" s="4">
        <f>IFERROR(_xlfn.MAXIFS($M$2:$M$6,$L$2:$L$6,"&lt;&gt; -1"),0)</f>
        <v>0</v>
      </c>
      <c r="AE9" s="4">
        <f>IFERROR(_xlfn.MINIFS($C$2:$C$6,$B$2:$B$6,"&lt;&gt; -1"),0)</f>
        <v>48771.69</v>
      </c>
      <c r="AF9" s="4">
        <f>IFERROR(_xlfn.MINIFS($E$2:$E$6,$D$2:$D$6,"&lt;&gt; -1"),0)</f>
        <v>48118.65</v>
      </c>
      <c r="AG9" s="4">
        <f>IFERROR(_xlfn.MINIFS($G$2:$G$6,$F$2:$F$6,"&lt;&gt; -1"),0)</f>
        <v>0</v>
      </c>
      <c r="AH9" s="4">
        <f>IFERROR(_xlfn.MINIFS($I$2:$I$6,$H$2:$H$6,"&lt;&gt; -1"),0)</f>
        <v>0</v>
      </c>
      <c r="AI9" s="4">
        <f>IFERROR(_xlfn.MINIFS($K$2:$K$6,$J$2:$J$6,"&lt;&gt; -1"),0)</f>
        <v>0</v>
      </c>
      <c r="AJ9" s="4">
        <f>IFERROR(_xlfn.MINIFS($M$2:$M$6,$L$2:$L$6,"&lt;&gt; -1"),0)</f>
        <v>0</v>
      </c>
      <c r="AK9" s="4">
        <f>(COUNTIFS($B$2:$B$6,"&gt;0.0",$B$2:$B$6,"&lt;3000.0"))/5</f>
        <v>1</v>
      </c>
      <c r="AL9" s="4">
        <f>(COUNTIFS($D$2:$D$6,"&gt;0.0",$D$2:$D$6,"&lt;3000.0"))/5</f>
        <v>1</v>
      </c>
      <c r="AM9" s="4">
        <f>(COUNTIFS($F$2:$F$6,"&gt;0.0",$F$2:$F$6,"&lt;3000.0"))/5</f>
        <v>0</v>
      </c>
      <c r="AN9" s="4">
        <f>(COUNTIFS($H$2:$H$6,"&gt;0.0",$H$2:$H$6,"&lt;3000.0"))/5</f>
        <v>0</v>
      </c>
      <c r="AO9" s="4">
        <f>(COUNTIFS($J$2:$J$6,"&gt;0.0",$J$2:$J$6,"&lt;3000.0"))/5</f>
        <v>0</v>
      </c>
      <c r="AP9" s="4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"/>
  <sheetViews>
    <sheetView workbookViewId="0">
      <selection activeCell="A10" sqref="$A10:$XFD10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2215.67</v>
      </c>
      <c r="C2">
        <v>48821.7</v>
      </c>
      <c r="D2">
        <v>2099.36</v>
      </c>
      <c r="E2">
        <v>50412.86</v>
      </c>
      <c r="F2">
        <v>-1</v>
      </c>
      <c r="G2">
        <v>0</v>
      </c>
      <c r="H2">
        <v>-1</v>
      </c>
      <c r="I2">
        <v>8685.28</v>
      </c>
      <c r="J2">
        <v>-1</v>
      </c>
      <c r="K2">
        <v>0</v>
      </c>
      <c r="L2">
        <v>-1</v>
      </c>
      <c r="M2">
        <v>20330.45</v>
      </c>
    </row>
    <row r="3" spans="1:13">
      <c r="A3" t="s">
        <v>14</v>
      </c>
      <c r="B3">
        <v>2217.36</v>
      </c>
      <c r="C3">
        <v>50431.38</v>
      </c>
      <c r="D3">
        <v>2108.2</v>
      </c>
      <c r="E3">
        <v>51665.55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2163.06</v>
      </c>
      <c r="C4">
        <v>50585.2</v>
      </c>
      <c r="D4">
        <v>2057.26</v>
      </c>
      <c r="E4">
        <v>50443.96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2149.64</v>
      </c>
      <c r="C5">
        <v>48720.82</v>
      </c>
      <c r="D5">
        <v>2043.91</v>
      </c>
      <c r="E5">
        <v>48687.82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2150.22</v>
      </c>
      <c r="C6">
        <v>51227.98</v>
      </c>
      <c r="D6">
        <v>2036.24</v>
      </c>
      <c r="E6">
        <v>50247.36</v>
      </c>
      <c r="F6">
        <v>-1</v>
      </c>
      <c r="G6">
        <v>0</v>
      </c>
      <c r="H6">
        <v>-1</v>
      </c>
      <c r="I6">
        <v>11507.85</v>
      </c>
      <c r="J6">
        <v>-1</v>
      </c>
      <c r="K6">
        <v>0</v>
      </c>
      <c r="L6">
        <v>-1</v>
      </c>
      <c r="M6">
        <v>6296.55</v>
      </c>
    </row>
    <row r="9" spans="1:42">
      <c r="A9" s="2" t="s">
        <v>18</v>
      </c>
      <c r="B9" s="2" t="s">
        <v>19</v>
      </c>
      <c r="C9" s="2" t="s">
        <v>20</v>
      </c>
      <c r="D9" s="3" t="s">
        <v>21</v>
      </c>
      <c r="E9" s="2" t="s">
        <v>22</v>
      </c>
      <c r="F9" s="2" t="s">
        <v>23</v>
      </c>
      <c r="G9" s="2" t="s">
        <v>24</v>
      </c>
      <c r="H9" s="2" t="s">
        <v>25</v>
      </c>
      <c r="I9" s="2" t="s">
        <v>26</v>
      </c>
      <c r="J9" s="3" t="s">
        <v>27</v>
      </c>
      <c r="K9" s="2" t="s">
        <v>28</v>
      </c>
      <c r="L9" s="2" t="s">
        <v>29</v>
      </c>
      <c r="M9" s="2" t="s">
        <v>30</v>
      </c>
      <c r="N9" s="2" t="s">
        <v>31</v>
      </c>
      <c r="O9" s="2" t="s">
        <v>32</v>
      </c>
      <c r="P9" s="3" t="s">
        <v>33</v>
      </c>
      <c r="Q9" s="2" t="s">
        <v>34</v>
      </c>
      <c r="R9" s="2" t="s">
        <v>35</v>
      </c>
      <c r="S9" s="2" t="s">
        <v>36</v>
      </c>
      <c r="T9" s="2" t="s">
        <v>37</v>
      </c>
      <c r="U9" s="2" t="s">
        <v>38</v>
      </c>
      <c r="V9" s="3" t="s">
        <v>39</v>
      </c>
      <c r="W9" s="2" t="s">
        <v>40</v>
      </c>
      <c r="X9" s="2" t="s">
        <v>41</v>
      </c>
      <c r="Y9" s="2" t="s">
        <v>42</v>
      </c>
      <c r="Z9" s="2" t="s">
        <v>43</v>
      </c>
      <c r="AA9" s="2" t="s">
        <v>44</v>
      </c>
      <c r="AB9" s="3" t="s">
        <v>45</v>
      </c>
      <c r="AC9" s="2" t="s">
        <v>46</v>
      </c>
      <c r="AD9" s="2" t="s">
        <v>47</v>
      </c>
      <c r="AE9" s="2" t="s">
        <v>48</v>
      </c>
      <c r="AF9" s="2" t="s">
        <v>49</v>
      </c>
      <c r="AG9" s="2" t="s">
        <v>50</v>
      </c>
      <c r="AH9" s="3" t="s">
        <v>51</v>
      </c>
      <c r="AI9" s="2" t="s">
        <v>52</v>
      </c>
      <c r="AJ9" s="2" t="s">
        <v>53</v>
      </c>
      <c r="AK9" s="2" t="s">
        <v>54</v>
      </c>
      <c r="AL9" s="2" t="s">
        <v>55</v>
      </c>
      <c r="AM9" s="2" t="s">
        <v>56</v>
      </c>
      <c r="AN9" s="3" t="s">
        <v>57</v>
      </c>
      <c r="AO9" s="2" t="s">
        <v>58</v>
      </c>
      <c r="AP9" s="2" t="s">
        <v>59</v>
      </c>
    </row>
    <row r="10" spans="1:42">
      <c r="A10" s="4">
        <f>IFERROR(AVERAGEIF($B$2:$B$6,"&lt;&gt; -1"),0)</f>
        <v>2179.19</v>
      </c>
      <c r="B10" s="4">
        <f>IFERROR(AVERAGEIF($D$2:$D$6,"&lt;&gt; -1"),0)</f>
        <v>2068.994</v>
      </c>
      <c r="C10" s="4">
        <f>IFERROR(AVERAGEIF($F$2:$F$6,"&lt;&gt; -1"),0)</f>
        <v>0</v>
      </c>
      <c r="D10" s="4">
        <f>IFERROR(AVERAGEIF($H$2:$H$6,"&lt;&gt; -1"),0)</f>
        <v>0</v>
      </c>
      <c r="E10" s="4">
        <f>IFERROR(AVERAGEIF($J$2:$J$6,"&lt;&gt; -1"),0)</f>
        <v>0</v>
      </c>
      <c r="F10" s="4">
        <f>IFERROR(AVERAGEIF($L$2:$L$6,"&lt;&gt; -1"),0)</f>
        <v>0</v>
      </c>
      <c r="G10" s="4">
        <f>IFERROR(AVERAGEIFS($C$2:$C$6,$B$2:$B$6,"&lt;&gt; -1"),0)</f>
        <v>49957.416</v>
      </c>
      <c r="H10" s="4">
        <f>IFERROR(AVERAGEIFS($E$2:$E$6,$D$2:$D$6,"&lt;&gt; -1"),0)</f>
        <v>50291.51</v>
      </c>
      <c r="I10" s="4">
        <f>IFERROR(AVERAGEIFS($G$2:$G$6,$F$2:$F$6,"&lt;&gt; -1"),0)</f>
        <v>0</v>
      </c>
      <c r="J10" s="4">
        <f>IFERROR(AVERAGEIFS($I$2:$I$6,$H$2:$H$6,"&lt;&gt; -1"),0)</f>
        <v>0</v>
      </c>
      <c r="K10" s="4">
        <f>IFERROR(AVERAGEIFS($K$2:$K$6,$J$2:$J$6,"&lt;&gt; -1"),0)</f>
        <v>0</v>
      </c>
      <c r="L10" s="4">
        <f>IFERROR(AVERAGEIFS($M$2:$M$6,$L$2:$L$6,"&lt;&gt; -1"),0)</f>
        <v>0</v>
      </c>
      <c r="M10" s="4">
        <f>IFERROR(_xlfn.MAXIFS($B$2:$B$6,$B$2:$B$6,"&lt;&gt; -1"),0)</f>
        <v>2217.36</v>
      </c>
      <c r="N10" s="4">
        <f>IFERROR(_xlfn.MAXIFS($D$2:$D$6,$D$2:$D$6,"&lt;&gt;-1"),0)</f>
        <v>2108.2</v>
      </c>
      <c r="O10" s="4">
        <f>IFERROR(_xlfn.MAXIFS($F$2:$F$6,$F$2:$F$6,"&lt;&gt; -1"),0)</f>
        <v>0</v>
      </c>
      <c r="P10" s="4">
        <f>IFERROR(_xlfn.MAXIFS($H$2:$H$6,$H$2:$H$6,"&lt;&gt; -1"),0)</f>
        <v>0</v>
      </c>
      <c r="Q10" s="4">
        <f>IFERROR(_xlfn.MAXIFS($J$2:$J$6,$J$2:$J$6,"&lt;&gt; -1"),0)</f>
        <v>0</v>
      </c>
      <c r="R10" s="4">
        <f>IFERROR(_xlfn.MAXIFS($L$2:$L$6,$L$2:$L$6,"&lt;&gt; -1"),0)</f>
        <v>0</v>
      </c>
      <c r="S10" s="4">
        <f>IFERROR(_xlfn.MINIFS($B$2:$B$6,$B$2:$B$6,"&lt;&gt; -1"),0)</f>
        <v>2149.64</v>
      </c>
      <c r="T10" s="4">
        <f>IFERROR(_xlfn.MINIFS($D$2:$D$6,$D$2:$D$6,"&lt;&gt;-1"),0)</f>
        <v>2036.24</v>
      </c>
      <c r="U10" s="4">
        <f>IFERROR(_xlfn.MINIFS($F$2:$F$6,$F$2:$F$6,"&lt;&gt; -1"),0)</f>
        <v>0</v>
      </c>
      <c r="V10" s="4">
        <f>IFERROR(_xlfn.MINIFS($H$2:$H$6,$H$2:$H$6,"&lt;&gt; -1"),0)</f>
        <v>0</v>
      </c>
      <c r="W10" s="4">
        <f>IFERROR(_xlfn.MINIFS($J$2:$J$6,$J$2:$J$6,"&lt;&gt; -1"),0)</f>
        <v>0</v>
      </c>
      <c r="X10" s="4">
        <f>IFERROR(_xlfn.MINIFS($L$2:$L$6,$L$2:$L$6,"&lt;&gt; -1"),0)</f>
        <v>0</v>
      </c>
      <c r="Y10" s="4">
        <f>IFERROR(_xlfn.MAXIFS($C$2:$C$6,$B$2:$B$6,"&lt;&gt; -1"),0)</f>
        <v>51227.98</v>
      </c>
      <c r="Z10" s="4">
        <f>IFERROR(_xlfn.MAXIFS($E$2:$E$6,$D$2:$D$6,"&lt;&gt; -1"),0)</f>
        <v>51665.55</v>
      </c>
      <c r="AA10" s="4">
        <f>IFERROR(_xlfn.MAXIFS($G$2:$G$6,$F$2:$F$6,"&lt;&gt; -1"),0)</f>
        <v>0</v>
      </c>
      <c r="AB10" s="4">
        <f>IFERROR(_xlfn.MAXIFS($I$2:$I$6,$H$2:$H$6,"&lt;&gt; -1"),0)</f>
        <v>0</v>
      </c>
      <c r="AC10" s="4">
        <f>IFERROR(_xlfn.MAXIFS($K$2:$K$6,$J$2:$J$6,"&lt;&gt; -1"),0)</f>
        <v>0</v>
      </c>
      <c r="AD10" s="4">
        <f>IFERROR(_xlfn.MAXIFS($M$2:$M$6,$L$2:$L$6,"&lt;&gt; -1"),0)</f>
        <v>0</v>
      </c>
      <c r="AE10" s="4">
        <f>IFERROR(_xlfn.MINIFS($C$2:$C$6,$B$2:$B$6,"&lt;&gt; -1"),0)</f>
        <v>48720.82</v>
      </c>
      <c r="AF10" s="4">
        <f>IFERROR(_xlfn.MINIFS($E$2:$E$6,$D$2:$D$6,"&lt;&gt; -1"),0)</f>
        <v>48687.82</v>
      </c>
      <c r="AG10" s="4">
        <f>IFERROR(_xlfn.MINIFS($G$2:$G$6,$F$2:$F$6,"&lt;&gt; -1"),0)</f>
        <v>0</v>
      </c>
      <c r="AH10" s="4">
        <f>IFERROR(_xlfn.MINIFS($I$2:$I$6,$H$2:$H$6,"&lt;&gt; -1"),0)</f>
        <v>0</v>
      </c>
      <c r="AI10" s="4">
        <f>IFERROR(_xlfn.MINIFS($K$2:$K$6,$J$2:$J$6,"&lt;&gt; -1"),0)</f>
        <v>0</v>
      </c>
      <c r="AJ10" s="4">
        <f>IFERROR(_xlfn.MINIFS($M$2:$M$6,$L$2:$L$6,"&lt;&gt; -1"),0)</f>
        <v>0</v>
      </c>
      <c r="AK10" s="4">
        <f>(COUNTIFS($B$2:$B$6,"&gt;0.0",$B$2:$B$6,"&lt;3000.0"))/5</f>
        <v>1</v>
      </c>
      <c r="AL10" s="4">
        <f>(COUNTIFS($D$2:$D$6,"&gt;0.0",$D$2:$D$6,"&lt;3000.0"))/5</f>
        <v>1</v>
      </c>
      <c r="AM10" s="4">
        <f>(COUNTIFS($F$2:$F$6,"&gt;0.0",$F$2:$F$6,"&lt;3000.0"))/5</f>
        <v>0</v>
      </c>
      <c r="AN10" s="4">
        <f>(COUNTIFS($H$2:$H$6,"&gt;0.0",$H$2:$H$6,"&lt;3000.0"))/5</f>
        <v>0</v>
      </c>
      <c r="AO10" s="4">
        <f>(COUNTIFS($J$2:$J$6,"&gt;0.0",$J$2:$J$6,"&lt;3000.0"))/5</f>
        <v>0</v>
      </c>
      <c r="AP10" s="4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$A9:$XFD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2258.38</v>
      </c>
      <c r="C2">
        <v>49627.51</v>
      </c>
      <c r="D2">
        <v>2165.65</v>
      </c>
      <c r="E2">
        <v>50193.87</v>
      </c>
      <c r="F2">
        <v>-1</v>
      </c>
      <c r="G2">
        <v>0</v>
      </c>
      <c r="H2">
        <v>-1</v>
      </c>
      <c r="I2">
        <v>4306.01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2324.18</v>
      </c>
      <c r="C3">
        <v>51689.99</v>
      </c>
      <c r="D3">
        <v>2228</v>
      </c>
      <c r="E3">
        <v>52200.26</v>
      </c>
      <c r="F3">
        <v>-1</v>
      </c>
      <c r="G3">
        <v>0</v>
      </c>
      <c r="H3">
        <v>-1</v>
      </c>
      <c r="I3">
        <v>19323.65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2278.41</v>
      </c>
      <c r="C4">
        <v>50168.98</v>
      </c>
      <c r="D4">
        <v>2185.48</v>
      </c>
      <c r="E4">
        <v>50850.21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2356.91</v>
      </c>
      <c r="C5">
        <v>49207.75</v>
      </c>
      <c r="D5">
        <v>2262.51</v>
      </c>
      <c r="E5">
        <v>50775.23</v>
      </c>
      <c r="F5">
        <v>-1</v>
      </c>
      <c r="G5">
        <v>0</v>
      </c>
      <c r="H5">
        <v>-1</v>
      </c>
      <c r="I5">
        <v>8138.48</v>
      </c>
      <c r="J5">
        <v>-1</v>
      </c>
      <c r="K5">
        <v>0</v>
      </c>
      <c r="L5">
        <v>-1</v>
      </c>
      <c r="M5">
        <v>3185</v>
      </c>
    </row>
    <row r="6" spans="1:13">
      <c r="A6" t="s">
        <v>17</v>
      </c>
      <c r="B6">
        <v>2296.2</v>
      </c>
      <c r="C6">
        <v>48237.45</v>
      </c>
      <c r="D6">
        <v>2194.33</v>
      </c>
      <c r="E6">
        <v>48949.66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8" spans="1:42">
      <c r="A8" s="2" t="s">
        <v>18</v>
      </c>
      <c r="B8" s="2" t="s">
        <v>19</v>
      </c>
      <c r="C8" s="2" t="s">
        <v>20</v>
      </c>
      <c r="D8" s="3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3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3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3" t="s">
        <v>39</v>
      </c>
      <c r="W8" s="2" t="s">
        <v>40</v>
      </c>
      <c r="X8" s="2" t="s">
        <v>41</v>
      </c>
      <c r="Y8" s="2" t="s">
        <v>42</v>
      </c>
      <c r="Z8" s="2" t="s">
        <v>43</v>
      </c>
      <c r="AA8" s="2" t="s">
        <v>44</v>
      </c>
      <c r="AB8" s="3" t="s">
        <v>45</v>
      </c>
      <c r="AC8" s="2" t="s">
        <v>46</v>
      </c>
      <c r="AD8" s="2" t="s">
        <v>47</v>
      </c>
      <c r="AE8" s="2" t="s">
        <v>48</v>
      </c>
      <c r="AF8" s="2" t="s">
        <v>49</v>
      </c>
      <c r="AG8" s="2" t="s">
        <v>50</v>
      </c>
      <c r="AH8" s="3" t="s">
        <v>51</v>
      </c>
      <c r="AI8" s="2" t="s">
        <v>52</v>
      </c>
      <c r="AJ8" s="2" t="s">
        <v>53</v>
      </c>
      <c r="AK8" s="2" t="s">
        <v>54</v>
      </c>
      <c r="AL8" s="2" t="s">
        <v>55</v>
      </c>
      <c r="AM8" s="2" t="s">
        <v>56</v>
      </c>
      <c r="AN8" s="3" t="s">
        <v>57</v>
      </c>
      <c r="AO8" s="2" t="s">
        <v>58</v>
      </c>
      <c r="AP8" s="2" t="s">
        <v>59</v>
      </c>
    </row>
    <row r="9" spans="1:42">
      <c r="A9" s="4">
        <f>IFERROR(AVERAGEIF($B$2:$B$6,"&lt;&gt; -1"),0)</f>
        <v>2302.816</v>
      </c>
      <c r="B9" s="4">
        <f>IFERROR(AVERAGEIF($D$2:$D$6,"&lt;&gt; -1"),0)</f>
        <v>2207.194</v>
      </c>
      <c r="C9" s="4">
        <f>IFERROR(AVERAGEIF($F$2:$F$6,"&lt;&gt; -1"),0)</f>
        <v>0</v>
      </c>
      <c r="D9" s="4">
        <f>IFERROR(AVERAGEIF($H$2:$H$6,"&lt;&gt; -1"),0)</f>
        <v>0</v>
      </c>
      <c r="E9" s="4">
        <f>IFERROR(AVERAGEIF($J$2:$J$6,"&lt;&gt; -1"),0)</f>
        <v>0</v>
      </c>
      <c r="F9" s="4">
        <f>IFERROR(AVERAGEIF($L$2:$L$6,"&lt;&gt; -1"),0)</f>
        <v>0</v>
      </c>
      <c r="G9" s="4">
        <f>IFERROR(AVERAGEIFS($C$2:$C$6,$B$2:$B$6,"&lt;&gt; -1"),0)</f>
        <v>49786.336</v>
      </c>
      <c r="H9" s="4">
        <f>IFERROR(AVERAGEIFS($E$2:$E$6,$D$2:$D$6,"&lt;&gt; -1"),0)</f>
        <v>50593.846</v>
      </c>
      <c r="I9" s="4">
        <f>IFERROR(AVERAGEIFS($G$2:$G$6,$F$2:$F$6,"&lt;&gt; -1"),0)</f>
        <v>0</v>
      </c>
      <c r="J9" s="4">
        <f>IFERROR(AVERAGEIFS($I$2:$I$6,$H$2:$H$6,"&lt;&gt; -1"),0)</f>
        <v>0</v>
      </c>
      <c r="K9" s="4">
        <f>IFERROR(AVERAGEIFS($K$2:$K$6,$J$2:$J$6,"&lt;&gt; -1"),0)</f>
        <v>0</v>
      </c>
      <c r="L9" s="4">
        <f>IFERROR(AVERAGEIFS($M$2:$M$6,$L$2:$L$6,"&lt;&gt; -1"),0)</f>
        <v>0</v>
      </c>
      <c r="M9" s="4">
        <f>IFERROR(_xlfn.MAXIFS($B$2:$B$6,$B$2:$B$6,"&lt;&gt; -1"),0)</f>
        <v>2356.91</v>
      </c>
      <c r="N9" s="4">
        <f>IFERROR(_xlfn.MAXIFS($D$2:$D$6,$D$2:$D$6,"&lt;&gt;-1"),0)</f>
        <v>2262.51</v>
      </c>
      <c r="O9" s="4">
        <f>IFERROR(_xlfn.MAXIFS($F$2:$F$6,$F$2:$F$6,"&lt;&gt; -1"),0)</f>
        <v>0</v>
      </c>
      <c r="P9" s="4">
        <f>IFERROR(_xlfn.MAXIFS($H$2:$H$6,$H$2:$H$6,"&lt;&gt; -1"),0)</f>
        <v>0</v>
      </c>
      <c r="Q9" s="4">
        <f>IFERROR(_xlfn.MAXIFS($J$2:$J$6,$J$2:$J$6,"&lt;&gt; -1"),0)</f>
        <v>0</v>
      </c>
      <c r="R9" s="4">
        <f>IFERROR(_xlfn.MAXIFS($L$2:$L$6,$L$2:$L$6,"&lt;&gt; -1"),0)</f>
        <v>0</v>
      </c>
      <c r="S9" s="4">
        <f>IFERROR(_xlfn.MINIFS($B$2:$B$6,$B$2:$B$6,"&lt;&gt; -1"),0)</f>
        <v>2258.38</v>
      </c>
      <c r="T9" s="4">
        <f>IFERROR(_xlfn.MINIFS($D$2:$D$6,$D$2:$D$6,"&lt;&gt;-1"),0)</f>
        <v>2165.65</v>
      </c>
      <c r="U9" s="4">
        <f>IFERROR(_xlfn.MINIFS($F$2:$F$6,$F$2:$F$6,"&lt;&gt; -1"),0)</f>
        <v>0</v>
      </c>
      <c r="V9" s="4">
        <f>IFERROR(_xlfn.MINIFS($H$2:$H$6,$H$2:$H$6,"&lt;&gt; -1"),0)</f>
        <v>0</v>
      </c>
      <c r="W9" s="4">
        <f>IFERROR(_xlfn.MINIFS($J$2:$J$6,$J$2:$J$6,"&lt;&gt; -1"),0)</f>
        <v>0</v>
      </c>
      <c r="X9" s="4">
        <f>IFERROR(_xlfn.MINIFS($L$2:$L$6,$L$2:$L$6,"&lt;&gt; -1"),0)</f>
        <v>0</v>
      </c>
      <c r="Y9" s="4">
        <f>IFERROR(_xlfn.MAXIFS($C$2:$C$6,$B$2:$B$6,"&lt;&gt; -1"),0)</f>
        <v>51689.99</v>
      </c>
      <c r="Z9" s="4">
        <f>IFERROR(_xlfn.MAXIFS($E$2:$E$6,$D$2:$D$6,"&lt;&gt; -1"),0)</f>
        <v>52200.26</v>
      </c>
      <c r="AA9" s="4">
        <f>IFERROR(_xlfn.MAXIFS($G$2:$G$6,$F$2:$F$6,"&lt;&gt; -1"),0)</f>
        <v>0</v>
      </c>
      <c r="AB9" s="4">
        <f>IFERROR(_xlfn.MAXIFS($I$2:$I$6,$H$2:$H$6,"&lt;&gt; -1"),0)</f>
        <v>0</v>
      </c>
      <c r="AC9" s="4">
        <f>IFERROR(_xlfn.MAXIFS($K$2:$K$6,$J$2:$J$6,"&lt;&gt; -1"),0)</f>
        <v>0</v>
      </c>
      <c r="AD9" s="4">
        <f>IFERROR(_xlfn.MAXIFS($M$2:$M$6,$L$2:$L$6,"&lt;&gt; -1"),0)</f>
        <v>0</v>
      </c>
      <c r="AE9" s="4">
        <f>IFERROR(_xlfn.MINIFS($C$2:$C$6,$B$2:$B$6,"&lt;&gt; -1"),0)</f>
        <v>48237.45</v>
      </c>
      <c r="AF9" s="4">
        <f>IFERROR(_xlfn.MINIFS($E$2:$E$6,$D$2:$D$6,"&lt;&gt; -1"),0)</f>
        <v>48949.66</v>
      </c>
      <c r="AG9" s="4">
        <f>IFERROR(_xlfn.MINIFS($G$2:$G$6,$F$2:$F$6,"&lt;&gt; -1"),0)</f>
        <v>0</v>
      </c>
      <c r="AH9" s="4">
        <f>IFERROR(_xlfn.MINIFS($I$2:$I$6,$H$2:$H$6,"&lt;&gt; -1"),0)</f>
        <v>0</v>
      </c>
      <c r="AI9" s="4">
        <f>IFERROR(_xlfn.MINIFS($K$2:$K$6,$J$2:$J$6,"&lt;&gt; -1"),0)</f>
        <v>0</v>
      </c>
      <c r="AJ9" s="4">
        <f>IFERROR(_xlfn.MINIFS($M$2:$M$6,$L$2:$L$6,"&lt;&gt; -1"),0)</f>
        <v>0</v>
      </c>
      <c r="AK9" s="4">
        <f>(COUNTIFS($B$2:$B$6,"&gt;0.0",$B$2:$B$6,"&lt;3000.0"))/5</f>
        <v>1</v>
      </c>
      <c r="AL9" s="4">
        <f>(COUNTIFS($D$2:$D$6,"&gt;0.0",$D$2:$D$6,"&lt;3000.0"))/5</f>
        <v>1</v>
      </c>
      <c r="AM9" s="4">
        <f>(COUNTIFS($F$2:$F$6,"&gt;0.0",$F$2:$F$6,"&lt;3000.0"))/5</f>
        <v>0</v>
      </c>
      <c r="AN9" s="4">
        <f>(COUNTIFS($H$2:$H$6,"&gt;0.0",$H$2:$H$6,"&lt;3000.0"))/5</f>
        <v>0</v>
      </c>
      <c r="AO9" s="4">
        <f>(COUNTIFS($J$2:$J$6,"&gt;0.0",$J$2:$J$6,"&lt;3000.0"))/5</f>
        <v>0</v>
      </c>
      <c r="AP9" s="4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$A9:$XFD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2435.8</v>
      </c>
      <c r="C2">
        <v>50768.38</v>
      </c>
      <c r="D2">
        <v>2429.42</v>
      </c>
      <c r="E2">
        <v>50676.72</v>
      </c>
      <c r="F2">
        <v>-1</v>
      </c>
      <c r="G2">
        <v>41881.78</v>
      </c>
      <c r="H2">
        <v>-1</v>
      </c>
      <c r="I2">
        <v>0</v>
      </c>
      <c r="J2">
        <v>2444.18</v>
      </c>
      <c r="K2">
        <v>50865.15</v>
      </c>
      <c r="L2">
        <v>-1</v>
      </c>
      <c r="M2">
        <v>0</v>
      </c>
    </row>
    <row r="3" spans="1:13">
      <c r="A3" t="s">
        <v>14</v>
      </c>
      <c r="B3">
        <v>2423.83</v>
      </c>
      <c r="C3">
        <v>52424.79</v>
      </c>
      <c r="D3">
        <v>2377.83</v>
      </c>
      <c r="E3">
        <v>52024.61</v>
      </c>
      <c r="F3">
        <v>-1</v>
      </c>
      <c r="G3">
        <v>4140.18</v>
      </c>
      <c r="H3">
        <v>-1</v>
      </c>
      <c r="I3">
        <v>6325.84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2381.69</v>
      </c>
      <c r="C4">
        <v>52225.77</v>
      </c>
      <c r="D4">
        <v>2333.29</v>
      </c>
      <c r="E4">
        <v>51010.96</v>
      </c>
      <c r="F4">
        <v>-1</v>
      </c>
      <c r="G4">
        <v>0</v>
      </c>
      <c r="H4">
        <v>-1</v>
      </c>
      <c r="I4">
        <v>0</v>
      </c>
      <c r="J4">
        <v>-1</v>
      </c>
      <c r="K4">
        <v>6699.91</v>
      </c>
      <c r="L4">
        <v>-1</v>
      </c>
      <c r="M4">
        <v>0</v>
      </c>
    </row>
    <row r="5" spans="1:13">
      <c r="A5" t="s">
        <v>16</v>
      </c>
      <c r="B5">
        <v>2389.34</v>
      </c>
      <c r="C5">
        <v>51556.09</v>
      </c>
      <c r="D5">
        <v>2366.1</v>
      </c>
      <c r="E5">
        <v>52609.74</v>
      </c>
      <c r="F5">
        <v>-1</v>
      </c>
      <c r="G5">
        <v>0</v>
      </c>
      <c r="H5">
        <v>-1</v>
      </c>
      <c r="I5">
        <v>0</v>
      </c>
      <c r="J5">
        <v>-1</v>
      </c>
      <c r="K5">
        <v>4632.01</v>
      </c>
      <c r="L5">
        <v>-1</v>
      </c>
      <c r="M5">
        <v>0</v>
      </c>
    </row>
    <row r="6" spans="1:13">
      <c r="A6" t="s">
        <v>17</v>
      </c>
      <c r="B6">
        <v>2299.77</v>
      </c>
      <c r="C6">
        <v>48911.57</v>
      </c>
      <c r="D6">
        <v>2291.84</v>
      </c>
      <c r="E6">
        <v>49619.9</v>
      </c>
      <c r="F6">
        <v>-1</v>
      </c>
      <c r="G6">
        <v>41740.02</v>
      </c>
      <c r="H6">
        <v>-1</v>
      </c>
      <c r="I6">
        <v>0</v>
      </c>
      <c r="J6">
        <v>2308.08</v>
      </c>
      <c r="K6">
        <v>49013.55</v>
      </c>
      <c r="L6">
        <v>-1</v>
      </c>
      <c r="M6">
        <v>0</v>
      </c>
    </row>
    <row r="8" spans="1:42">
      <c r="A8" s="2" t="s">
        <v>18</v>
      </c>
      <c r="B8" s="2" t="s">
        <v>19</v>
      </c>
      <c r="C8" s="2" t="s">
        <v>20</v>
      </c>
      <c r="D8" s="3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3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3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3" t="s">
        <v>39</v>
      </c>
      <c r="W8" s="2" t="s">
        <v>40</v>
      </c>
      <c r="X8" s="2" t="s">
        <v>41</v>
      </c>
      <c r="Y8" s="2" t="s">
        <v>42</v>
      </c>
      <c r="Z8" s="2" t="s">
        <v>43</v>
      </c>
      <c r="AA8" s="2" t="s">
        <v>44</v>
      </c>
      <c r="AB8" s="3" t="s">
        <v>45</v>
      </c>
      <c r="AC8" s="2" t="s">
        <v>46</v>
      </c>
      <c r="AD8" s="2" t="s">
        <v>47</v>
      </c>
      <c r="AE8" s="2" t="s">
        <v>48</v>
      </c>
      <c r="AF8" s="2" t="s">
        <v>49</v>
      </c>
      <c r="AG8" s="2" t="s">
        <v>50</v>
      </c>
      <c r="AH8" s="3" t="s">
        <v>51</v>
      </c>
      <c r="AI8" s="2" t="s">
        <v>52</v>
      </c>
      <c r="AJ8" s="2" t="s">
        <v>53</v>
      </c>
      <c r="AK8" s="2" t="s">
        <v>54</v>
      </c>
      <c r="AL8" s="2" t="s">
        <v>55</v>
      </c>
      <c r="AM8" s="2" t="s">
        <v>56</v>
      </c>
      <c r="AN8" s="3" t="s">
        <v>57</v>
      </c>
      <c r="AO8" s="2" t="s">
        <v>58</v>
      </c>
      <c r="AP8" s="2" t="s">
        <v>59</v>
      </c>
    </row>
    <row r="9" spans="1:42">
      <c r="A9" s="4">
        <f>IFERROR(AVERAGEIF($B$2:$B$6,"&lt;&gt; -1"),0)</f>
        <v>2386.086</v>
      </c>
      <c r="B9" s="4">
        <f>IFERROR(AVERAGEIF($D$2:$D$6,"&lt;&gt; -1"),0)</f>
        <v>2359.696</v>
      </c>
      <c r="C9" s="4">
        <f>IFERROR(AVERAGEIF($F$2:$F$6,"&lt;&gt; -1"),0)</f>
        <v>0</v>
      </c>
      <c r="D9" s="4">
        <f>IFERROR(AVERAGEIF($H$2:$H$6,"&lt;&gt; -1"),0)</f>
        <v>0</v>
      </c>
      <c r="E9" s="4">
        <f>IFERROR(AVERAGEIF($J$2:$J$6,"&lt;&gt; -1"),0)</f>
        <v>2376.13</v>
      </c>
      <c r="F9" s="4">
        <f>IFERROR(AVERAGEIF($L$2:$L$6,"&lt;&gt; -1"),0)</f>
        <v>0</v>
      </c>
      <c r="G9" s="4">
        <f>IFERROR(AVERAGEIFS($C$2:$C$6,$B$2:$B$6,"&lt;&gt; -1"),0)</f>
        <v>51177.32</v>
      </c>
      <c r="H9" s="4">
        <f>IFERROR(AVERAGEIFS($E$2:$E$6,$D$2:$D$6,"&lt;&gt; -1"),0)</f>
        <v>51188.386</v>
      </c>
      <c r="I9" s="4">
        <f>IFERROR(AVERAGEIFS($G$2:$G$6,$F$2:$F$6,"&lt;&gt; -1"),0)</f>
        <v>0</v>
      </c>
      <c r="J9" s="4">
        <f>IFERROR(AVERAGEIFS($I$2:$I$6,$H$2:$H$6,"&lt;&gt; -1"),0)</f>
        <v>0</v>
      </c>
      <c r="K9" s="4">
        <f>IFERROR(AVERAGEIFS($K$2:$K$6,$J$2:$J$6,"&lt;&gt; -1"),0)</f>
        <v>49939.35</v>
      </c>
      <c r="L9" s="4">
        <f>IFERROR(AVERAGEIFS($M$2:$M$6,$L$2:$L$6,"&lt;&gt; -1"),0)</f>
        <v>0</v>
      </c>
      <c r="M9" s="4">
        <f>IFERROR(_xlfn.MAXIFS($B$2:$B$6,$B$2:$B$6,"&lt;&gt; -1"),0)</f>
        <v>2435.8</v>
      </c>
      <c r="N9" s="4">
        <f>IFERROR(_xlfn.MAXIFS($D$2:$D$6,$D$2:$D$6,"&lt;&gt;-1"),0)</f>
        <v>2429.42</v>
      </c>
      <c r="O9" s="4">
        <f>IFERROR(_xlfn.MAXIFS($F$2:$F$6,$F$2:$F$6,"&lt;&gt; -1"),0)</f>
        <v>0</v>
      </c>
      <c r="P9" s="4">
        <f>IFERROR(_xlfn.MAXIFS($H$2:$H$6,$H$2:$H$6,"&lt;&gt; -1"),0)</f>
        <v>0</v>
      </c>
      <c r="Q9" s="4">
        <f>IFERROR(_xlfn.MAXIFS($J$2:$J$6,$J$2:$J$6,"&lt;&gt; -1"),0)</f>
        <v>2444.18</v>
      </c>
      <c r="R9" s="4">
        <f>IFERROR(_xlfn.MAXIFS($L$2:$L$6,$L$2:$L$6,"&lt;&gt; -1"),0)</f>
        <v>0</v>
      </c>
      <c r="S9" s="4">
        <f>IFERROR(_xlfn.MINIFS($B$2:$B$6,$B$2:$B$6,"&lt;&gt; -1"),0)</f>
        <v>2299.77</v>
      </c>
      <c r="T9" s="4">
        <f>IFERROR(_xlfn.MINIFS($D$2:$D$6,$D$2:$D$6,"&lt;&gt;-1"),0)</f>
        <v>2291.84</v>
      </c>
      <c r="U9" s="4">
        <f>IFERROR(_xlfn.MINIFS($F$2:$F$6,$F$2:$F$6,"&lt;&gt; -1"),0)</f>
        <v>0</v>
      </c>
      <c r="V9" s="4">
        <f>IFERROR(_xlfn.MINIFS($H$2:$H$6,$H$2:$H$6,"&lt;&gt; -1"),0)</f>
        <v>0</v>
      </c>
      <c r="W9" s="4">
        <f>IFERROR(_xlfn.MINIFS($J$2:$J$6,$J$2:$J$6,"&lt;&gt; -1"),0)</f>
        <v>2308.08</v>
      </c>
      <c r="X9" s="4">
        <f>IFERROR(_xlfn.MINIFS($L$2:$L$6,$L$2:$L$6,"&lt;&gt; -1"),0)</f>
        <v>0</v>
      </c>
      <c r="Y9" s="4">
        <f>IFERROR(_xlfn.MAXIFS($C$2:$C$6,$B$2:$B$6,"&lt;&gt; -1"),0)</f>
        <v>52424.79</v>
      </c>
      <c r="Z9" s="4">
        <f>IFERROR(_xlfn.MAXIFS($E$2:$E$6,$D$2:$D$6,"&lt;&gt; -1"),0)</f>
        <v>52609.74</v>
      </c>
      <c r="AA9" s="4">
        <f>IFERROR(_xlfn.MAXIFS($G$2:$G$6,$F$2:$F$6,"&lt;&gt; -1"),0)</f>
        <v>0</v>
      </c>
      <c r="AB9" s="4">
        <f>IFERROR(_xlfn.MAXIFS($I$2:$I$6,$H$2:$H$6,"&lt;&gt; -1"),0)</f>
        <v>0</v>
      </c>
      <c r="AC9" s="4">
        <f>IFERROR(_xlfn.MAXIFS($K$2:$K$6,$J$2:$J$6,"&lt;&gt; -1"),0)</f>
        <v>50865.15</v>
      </c>
      <c r="AD9" s="4">
        <f>IFERROR(_xlfn.MAXIFS($M$2:$M$6,$L$2:$L$6,"&lt;&gt; -1"),0)</f>
        <v>0</v>
      </c>
      <c r="AE9" s="4">
        <f>IFERROR(_xlfn.MINIFS($C$2:$C$6,$B$2:$B$6,"&lt;&gt; -1"),0)</f>
        <v>48911.57</v>
      </c>
      <c r="AF9" s="4">
        <f>IFERROR(_xlfn.MINIFS($E$2:$E$6,$D$2:$D$6,"&lt;&gt; -1"),0)</f>
        <v>49619.9</v>
      </c>
      <c r="AG9" s="4">
        <f>IFERROR(_xlfn.MINIFS($G$2:$G$6,$F$2:$F$6,"&lt;&gt; -1"),0)</f>
        <v>0</v>
      </c>
      <c r="AH9" s="4">
        <f>IFERROR(_xlfn.MINIFS($I$2:$I$6,$H$2:$H$6,"&lt;&gt; -1"),0)</f>
        <v>0</v>
      </c>
      <c r="AI9" s="4">
        <f>IFERROR(_xlfn.MINIFS($K$2:$K$6,$J$2:$J$6,"&lt;&gt; -1"),0)</f>
        <v>49013.55</v>
      </c>
      <c r="AJ9" s="4">
        <f>IFERROR(_xlfn.MINIFS($M$2:$M$6,$L$2:$L$6,"&lt;&gt; -1"),0)</f>
        <v>0</v>
      </c>
      <c r="AK9" s="4">
        <f>(COUNTIFS($B$2:$B$6,"&gt;0.0",$B$2:$B$6,"&lt;3000.0"))/5</f>
        <v>1</v>
      </c>
      <c r="AL9" s="4">
        <f>(COUNTIFS($D$2:$D$6,"&gt;0.0",$D$2:$D$6,"&lt;3000.0"))/5</f>
        <v>1</v>
      </c>
      <c r="AM9" s="4">
        <f>(COUNTIFS($F$2:$F$6,"&gt;0.0",$F$2:$F$6,"&lt;3000.0"))/5</f>
        <v>0</v>
      </c>
      <c r="AN9" s="4">
        <f>(COUNTIFS($H$2:$H$6,"&gt;0.0",$H$2:$H$6,"&lt;3000.0"))/5</f>
        <v>0</v>
      </c>
      <c r="AO9" s="4">
        <f>(COUNTIFS($J$2:$J$6,"&gt;0.0",$J$2:$J$6,"&lt;3000.0"))/5</f>
        <v>0.4</v>
      </c>
      <c r="AP9" s="4">
        <f>(COUNTIFS($L$2:$L$6,"&gt;0.0",$L$2:$L$6,"&lt;3000.0"))/5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F11" sqref="F11"/>
    </sheetView>
  </sheetViews>
  <sheetFormatPr defaultColWidth="8.72727272727273" defaultRowHeight="14" outlineLevelRow="6"/>
  <sheetData>
    <row r="1" spans="1:4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</row>
    <row r="2" spans="1:42">
      <c r="A2">
        <v>2006.762</v>
      </c>
      <c r="B2">
        <v>1882.372</v>
      </c>
      <c r="C2">
        <v>0</v>
      </c>
      <c r="D2">
        <v>0</v>
      </c>
      <c r="E2">
        <v>1849.48</v>
      </c>
      <c r="F2">
        <v>0</v>
      </c>
      <c r="G2">
        <v>50566.53</v>
      </c>
      <c r="H2">
        <v>50058.366</v>
      </c>
      <c r="I2">
        <v>0</v>
      </c>
      <c r="J2">
        <v>0</v>
      </c>
      <c r="K2">
        <v>50122.63</v>
      </c>
      <c r="L2">
        <v>0</v>
      </c>
      <c r="M2">
        <v>2578.05</v>
      </c>
      <c r="N2">
        <v>2468.13</v>
      </c>
      <c r="O2">
        <v>0</v>
      </c>
      <c r="P2">
        <v>0</v>
      </c>
      <c r="Q2">
        <v>2083.14</v>
      </c>
      <c r="R2">
        <v>0</v>
      </c>
      <c r="S2">
        <v>1717.12</v>
      </c>
      <c r="T2">
        <v>1602.19</v>
      </c>
      <c r="U2">
        <v>0</v>
      </c>
      <c r="V2">
        <v>0</v>
      </c>
      <c r="W2">
        <v>1725.5</v>
      </c>
      <c r="X2">
        <v>0</v>
      </c>
      <c r="Y2">
        <v>52416.53</v>
      </c>
      <c r="Z2">
        <v>51251.45</v>
      </c>
      <c r="AA2">
        <v>0</v>
      </c>
      <c r="AB2">
        <v>0</v>
      </c>
      <c r="AC2">
        <v>51980.4</v>
      </c>
      <c r="AD2">
        <v>0</v>
      </c>
      <c r="AE2">
        <v>48562.65</v>
      </c>
      <c r="AF2">
        <v>48780.33</v>
      </c>
      <c r="AG2">
        <v>0</v>
      </c>
      <c r="AH2">
        <v>0</v>
      </c>
      <c r="AI2">
        <v>48664.68</v>
      </c>
      <c r="AJ2">
        <v>0</v>
      </c>
      <c r="AK2">
        <v>1</v>
      </c>
      <c r="AL2">
        <v>1</v>
      </c>
      <c r="AM2">
        <v>0</v>
      </c>
      <c r="AN2">
        <v>0</v>
      </c>
      <c r="AO2">
        <v>0.6</v>
      </c>
      <c r="AP2">
        <v>0</v>
      </c>
    </row>
    <row r="3" spans="1:42">
      <c r="A3">
        <v>1885.002</v>
      </c>
      <c r="B3">
        <v>1786.022</v>
      </c>
      <c r="C3">
        <v>0</v>
      </c>
      <c r="D3">
        <v>0</v>
      </c>
      <c r="E3">
        <v>1920.81</v>
      </c>
      <c r="F3">
        <v>0</v>
      </c>
      <c r="G3">
        <v>50656.264</v>
      </c>
      <c r="H3">
        <v>50484.54</v>
      </c>
      <c r="I3">
        <v>0</v>
      </c>
      <c r="J3">
        <v>0</v>
      </c>
      <c r="K3">
        <v>51804.03</v>
      </c>
      <c r="L3">
        <v>0</v>
      </c>
      <c r="M3">
        <v>1914.98</v>
      </c>
      <c r="N3">
        <v>1810.64</v>
      </c>
      <c r="O3">
        <v>0</v>
      </c>
      <c r="P3">
        <v>0</v>
      </c>
      <c r="Q3">
        <v>1930.77</v>
      </c>
      <c r="R3">
        <v>0</v>
      </c>
      <c r="S3">
        <v>1857.15</v>
      </c>
      <c r="T3">
        <v>1765.9</v>
      </c>
      <c r="U3">
        <v>0</v>
      </c>
      <c r="V3">
        <v>0</v>
      </c>
      <c r="W3">
        <v>1910.85</v>
      </c>
      <c r="X3">
        <v>0</v>
      </c>
      <c r="Y3">
        <v>52593.85</v>
      </c>
      <c r="Z3">
        <v>52156.65</v>
      </c>
      <c r="AA3">
        <v>0</v>
      </c>
      <c r="AB3">
        <v>0</v>
      </c>
      <c r="AC3">
        <v>52723.15</v>
      </c>
      <c r="AD3">
        <v>0</v>
      </c>
      <c r="AE3">
        <v>49028.18</v>
      </c>
      <c r="AF3">
        <v>49464.18</v>
      </c>
      <c r="AG3">
        <v>0</v>
      </c>
      <c r="AH3">
        <v>0</v>
      </c>
      <c r="AI3">
        <v>50884.91</v>
      </c>
      <c r="AJ3">
        <v>0</v>
      </c>
      <c r="AK3">
        <v>1</v>
      </c>
      <c r="AL3">
        <v>1</v>
      </c>
      <c r="AM3">
        <v>0</v>
      </c>
      <c r="AN3">
        <v>0</v>
      </c>
      <c r="AO3">
        <v>0.4</v>
      </c>
      <c r="AP3">
        <v>0</v>
      </c>
    </row>
    <row r="4" spans="1:42">
      <c r="A4">
        <v>2077.838</v>
      </c>
      <c r="B4">
        <v>1953.756</v>
      </c>
      <c r="C4">
        <v>0</v>
      </c>
      <c r="D4">
        <v>0</v>
      </c>
      <c r="E4">
        <v>0</v>
      </c>
      <c r="F4">
        <v>0</v>
      </c>
      <c r="G4">
        <v>49858.978</v>
      </c>
      <c r="H4">
        <v>51001.292</v>
      </c>
      <c r="I4">
        <v>0</v>
      </c>
      <c r="J4">
        <v>0</v>
      </c>
      <c r="K4">
        <v>0</v>
      </c>
      <c r="L4">
        <v>0</v>
      </c>
      <c r="M4">
        <v>2116</v>
      </c>
      <c r="N4">
        <v>1990.98</v>
      </c>
      <c r="O4">
        <v>0</v>
      </c>
      <c r="P4">
        <v>0</v>
      </c>
      <c r="Q4">
        <v>0</v>
      </c>
      <c r="R4">
        <v>0</v>
      </c>
      <c r="S4">
        <v>2052.6</v>
      </c>
      <c r="T4">
        <v>1927.08</v>
      </c>
      <c r="U4">
        <v>0</v>
      </c>
      <c r="V4">
        <v>0</v>
      </c>
      <c r="W4">
        <v>0</v>
      </c>
      <c r="X4">
        <v>0</v>
      </c>
      <c r="Y4">
        <v>51197.04</v>
      </c>
      <c r="Z4">
        <v>52973.48</v>
      </c>
      <c r="AA4">
        <v>0</v>
      </c>
      <c r="AB4">
        <v>0</v>
      </c>
      <c r="AC4">
        <v>0</v>
      </c>
      <c r="AD4">
        <v>0</v>
      </c>
      <c r="AE4">
        <v>48771.69</v>
      </c>
      <c r="AF4">
        <v>48118.65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</row>
    <row r="5" spans="1:42">
      <c r="A5">
        <v>2179.19</v>
      </c>
      <c r="B5">
        <v>2068.994</v>
      </c>
      <c r="C5">
        <v>0</v>
      </c>
      <c r="D5">
        <v>0</v>
      </c>
      <c r="E5">
        <v>0</v>
      </c>
      <c r="F5">
        <v>0</v>
      </c>
      <c r="G5">
        <v>49957.416</v>
      </c>
      <c r="H5">
        <v>50291.51</v>
      </c>
      <c r="I5">
        <v>0</v>
      </c>
      <c r="J5">
        <v>0</v>
      </c>
      <c r="K5">
        <v>0</v>
      </c>
      <c r="L5">
        <v>0</v>
      </c>
      <c r="M5">
        <v>2217.36</v>
      </c>
      <c r="N5">
        <v>2108.2</v>
      </c>
      <c r="O5">
        <v>0</v>
      </c>
      <c r="P5">
        <v>0</v>
      </c>
      <c r="Q5">
        <v>0</v>
      </c>
      <c r="R5">
        <v>0</v>
      </c>
      <c r="S5">
        <v>2149.64</v>
      </c>
      <c r="T5">
        <v>2036.24</v>
      </c>
      <c r="U5">
        <v>0</v>
      </c>
      <c r="V5">
        <v>0</v>
      </c>
      <c r="W5">
        <v>0</v>
      </c>
      <c r="X5">
        <v>0</v>
      </c>
      <c r="Y5">
        <v>51227.98</v>
      </c>
      <c r="Z5">
        <v>51665.55</v>
      </c>
      <c r="AA5">
        <v>0</v>
      </c>
      <c r="AB5">
        <v>0</v>
      </c>
      <c r="AC5">
        <v>0</v>
      </c>
      <c r="AD5">
        <v>0</v>
      </c>
      <c r="AE5">
        <v>48720.82</v>
      </c>
      <c r="AF5">
        <v>48687.82</v>
      </c>
      <c r="AG5">
        <v>0</v>
      </c>
      <c r="AH5">
        <v>0</v>
      </c>
      <c r="AI5">
        <v>0</v>
      </c>
      <c r="AJ5">
        <v>0</v>
      </c>
      <c r="AK5">
        <v>1</v>
      </c>
      <c r="AL5">
        <v>1</v>
      </c>
      <c r="AM5">
        <v>0</v>
      </c>
      <c r="AN5">
        <v>0</v>
      </c>
      <c r="AO5">
        <v>0</v>
      </c>
      <c r="AP5">
        <v>0</v>
      </c>
    </row>
    <row r="6" spans="1:42">
      <c r="A6">
        <v>2302.816</v>
      </c>
      <c r="B6">
        <v>2207.194</v>
      </c>
      <c r="C6">
        <v>0</v>
      </c>
      <c r="D6">
        <v>0</v>
      </c>
      <c r="E6">
        <v>0</v>
      </c>
      <c r="F6">
        <v>0</v>
      </c>
      <c r="G6">
        <v>49786.336</v>
      </c>
      <c r="H6">
        <v>50593.846</v>
      </c>
      <c r="I6">
        <v>0</v>
      </c>
      <c r="J6">
        <v>0</v>
      </c>
      <c r="K6">
        <v>0</v>
      </c>
      <c r="L6">
        <v>0</v>
      </c>
      <c r="M6">
        <v>2356.91</v>
      </c>
      <c r="N6">
        <v>2262.51</v>
      </c>
      <c r="O6">
        <v>0</v>
      </c>
      <c r="P6">
        <v>0</v>
      </c>
      <c r="Q6">
        <v>0</v>
      </c>
      <c r="R6">
        <v>0</v>
      </c>
      <c r="S6">
        <v>2258.38</v>
      </c>
      <c r="T6">
        <v>2165.65</v>
      </c>
      <c r="U6">
        <v>0</v>
      </c>
      <c r="V6">
        <v>0</v>
      </c>
      <c r="W6">
        <v>0</v>
      </c>
      <c r="X6">
        <v>0</v>
      </c>
      <c r="Y6">
        <v>51689.99</v>
      </c>
      <c r="Z6">
        <v>52200.26</v>
      </c>
      <c r="AA6">
        <v>0</v>
      </c>
      <c r="AB6">
        <v>0</v>
      </c>
      <c r="AC6">
        <v>0</v>
      </c>
      <c r="AD6">
        <v>0</v>
      </c>
      <c r="AE6">
        <v>48237.45</v>
      </c>
      <c r="AF6">
        <v>48949.66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</row>
    <row r="7" spans="1:42">
      <c r="A7">
        <v>2386.086</v>
      </c>
      <c r="B7">
        <v>2359.696</v>
      </c>
      <c r="C7">
        <v>0</v>
      </c>
      <c r="D7">
        <v>0</v>
      </c>
      <c r="E7">
        <v>2376.13</v>
      </c>
      <c r="F7">
        <v>0</v>
      </c>
      <c r="G7">
        <v>51177.32</v>
      </c>
      <c r="H7">
        <v>51188.386</v>
      </c>
      <c r="I7">
        <v>0</v>
      </c>
      <c r="J7">
        <v>0</v>
      </c>
      <c r="K7">
        <v>49939.35</v>
      </c>
      <c r="L7">
        <v>0</v>
      </c>
      <c r="M7">
        <v>2435.8</v>
      </c>
      <c r="N7">
        <v>2429.42</v>
      </c>
      <c r="O7">
        <v>0</v>
      </c>
      <c r="P7">
        <v>0</v>
      </c>
      <c r="Q7">
        <v>2444.18</v>
      </c>
      <c r="R7">
        <v>0</v>
      </c>
      <c r="S7">
        <v>2299.77</v>
      </c>
      <c r="T7">
        <v>2291.84</v>
      </c>
      <c r="U7">
        <v>0</v>
      </c>
      <c r="V7">
        <v>0</v>
      </c>
      <c r="W7">
        <v>2308.08</v>
      </c>
      <c r="X7">
        <v>0</v>
      </c>
      <c r="Y7">
        <v>52424.79</v>
      </c>
      <c r="Z7">
        <v>52609.74</v>
      </c>
      <c r="AA7">
        <v>0</v>
      </c>
      <c r="AB7">
        <v>0</v>
      </c>
      <c r="AC7">
        <v>50865.15</v>
      </c>
      <c r="AD7">
        <v>0</v>
      </c>
      <c r="AE7">
        <v>48911.57</v>
      </c>
      <c r="AF7">
        <v>49619.9</v>
      </c>
      <c r="AG7">
        <v>0</v>
      </c>
      <c r="AH7">
        <v>0</v>
      </c>
      <c r="AI7">
        <v>49013.55</v>
      </c>
      <c r="AJ7">
        <v>0</v>
      </c>
      <c r="AK7">
        <v>1</v>
      </c>
      <c r="AL7">
        <v>1</v>
      </c>
      <c r="AM7">
        <v>0</v>
      </c>
      <c r="AN7">
        <v>0</v>
      </c>
      <c r="AO7">
        <v>0.4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WPS_1666204842</cp:lastModifiedBy>
  <dcterms:created xsi:type="dcterms:W3CDTF">2024-09-26T08:21:00Z</dcterms:created>
  <dcterms:modified xsi:type="dcterms:W3CDTF">2024-09-26T08:26:47Z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603EC5A2EFEB4FF8867599145262DB71_12</vt:lpwstr>
  </property>
  <property fmtid="{D5CDD505-2E9C-101B-9397-08002B2CF9AE}" pid="3" name="KSOProductBuildVer">
    <vt:lpwstr>2052-12.1.0.17827</vt:lpwstr>
  </property>
</Properties>
</file>