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<sst xmlns="http://schemas.openxmlformats.org/spreadsheetml/2006/main" count="432" uniqueCount="65">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</sst>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B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646.4</v>
      </c>
      <c r="C2">
        <v>13957.45</v>
      </c>
      <c r="D2">
        <v>535.54</v>
      </c>
      <c r="E2">
        <v>13934.36</v>
      </c>
      <c r="F2">
        <v>654.71</v>
      </c>
      <c r="G2">
        <v>15825.72</v>
      </c>
      <c r="H2">
        <v>-1</v>
      </c>
      <c r="I2">
        <v>12992.9</v>
      </c>
      <c r="J2">
        <v>648.03</v>
      </c>
      <c r="K2">
        <v>13919.08</v>
      </c>
      <c r="L2">
        <v>-1</v>
      </c>
      <c r="M2">
        <v>13219.91</v>
      </c>
    </row>
    <row r="3" spans="1:13">
      <c r="A3" t="s">
        <v>14</v>
      </c>
      <c r="B3">
        <v>525.9</v>
      </c>
      <c r="C3">
        <v>14107.5</v>
      </c>
      <c r="D3">
        <v>413.95</v>
      </c>
      <c r="E3">
        <v>14035.05</v>
      </c>
      <c r="F3">
        <v>534.69</v>
      </c>
      <c r="G3">
        <v>15691.87</v>
      </c>
      <c r="H3">
        <v>-1</v>
      </c>
      <c r="I3">
        <v>6934.08</v>
      </c>
      <c r="J3">
        <v>527.57</v>
      </c>
      <c r="K3">
        <v>14106.93</v>
      </c>
      <c r="L3">
        <v>-1</v>
      </c>
      <c r="M3">
        <v>12137.57</v>
      </c>
    </row>
    <row r="4" spans="1:13">
      <c r="A4" t="s">
        <v>15</v>
      </c>
      <c r="B4">
        <v>656.36</v>
      </c>
      <c r="C4">
        <v>14127.54</v>
      </c>
      <c r="D4">
        <v>474.79</v>
      </c>
      <c r="E4">
        <v>13898.63</v>
      </c>
      <c r="F4">
        <v>678.2</v>
      </c>
      <c r="G4">
        <v>15739.81</v>
      </c>
      <c r="H4">
        <v>-1</v>
      </c>
      <c r="I4">
        <v>5511.42</v>
      </c>
      <c r="J4">
        <v>664.27</v>
      </c>
      <c r="K4">
        <v>14104.53</v>
      </c>
      <c r="L4">
        <v>-1</v>
      </c>
      <c r="M4">
        <v>6574.77</v>
      </c>
    </row>
    <row r="5" spans="1:13">
      <c r="A5" t="s">
        <v>16</v>
      </c>
      <c r="B5">
        <v>803.08</v>
      </c>
      <c r="C5">
        <v>13956.78</v>
      </c>
      <c r="D5">
        <v>620.31</v>
      </c>
      <c r="E5">
        <v>14255.14</v>
      </c>
      <c r="F5">
        <v>827.56</v>
      </c>
      <c r="G5">
        <v>15680.75</v>
      </c>
      <c r="H5">
        <v>-1</v>
      </c>
      <c r="I5">
        <v>6199.04</v>
      </c>
      <c r="J5">
        <v>807.16</v>
      </c>
      <c r="K5">
        <v>13881.1</v>
      </c>
      <c r="L5">
        <v>-1</v>
      </c>
      <c r="M5">
        <v>11825.65</v>
      </c>
    </row>
    <row r="6" spans="1:13">
      <c r="A6" t="s">
        <v>17</v>
      </c>
      <c r="B6">
        <v>818.21</v>
      </c>
      <c r="C6">
        <v>14336.74</v>
      </c>
      <c r="D6">
        <v>639.19</v>
      </c>
      <c r="E6">
        <v>14485</v>
      </c>
      <c r="F6">
        <v>830.33</v>
      </c>
      <c r="G6">
        <v>15936.75</v>
      </c>
      <c r="H6">
        <v>-1</v>
      </c>
      <c r="I6">
        <v>5942.55</v>
      </c>
      <c r="J6">
        <v>820.44</v>
      </c>
      <c r="K6">
        <v>14322.22</v>
      </c>
      <c r="L6">
        <v>-1</v>
      </c>
      <c r="M6">
        <v>4140.46</v>
      </c>
    </row>
    <row r="7" spans="1:13">
      <c r="A7" t="s">
        <v>18</v>
      </c>
      <c r="B7">
        <v>757.42</v>
      </c>
      <c r="C7">
        <v>14178.89</v>
      </c>
      <c r="D7">
        <v>619.61</v>
      </c>
      <c r="E7">
        <v>14204.8</v>
      </c>
      <c r="F7">
        <v>765.96</v>
      </c>
      <c r="G7">
        <v>15926.36</v>
      </c>
      <c r="H7">
        <v>-1</v>
      </c>
      <c r="I7">
        <v>8154.29</v>
      </c>
      <c r="J7">
        <v>759.01</v>
      </c>
      <c r="K7">
        <v>14113.14</v>
      </c>
      <c r="L7">
        <v>-1</v>
      </c>
      <c r="M7">
        <v>12591.72</v>
      </c>
    </row>
    <row r="8" spans="1:13">
      <c r="A8" t="s">
        <v>19</v>
      </c>
      <c r="B8">
        <v>548.98</v>
      </c>
      <c r="C8">
        <v>14561</v>
      </c>
      <c r="D8">
        <v>434.97</v>
      </c>
      <c r="E8">
        <v>14698.6</v>
      </c>
      <c r="F8">
        <v>562.71</v>
      </c>
      <c r="G8">
        <v>16254.17</v>
      </c>
      <c r="H8">
        <v>-1</v>
      </c>
      <c r="I8">
        <v>6412.77</v>
      </c>
      <c r="J8">
        <v>562.34</v>
      </c>
      <c r="K8">
        <v>14570.35</v>
      </c>
      <c r="L8">
        <v>-1</v>
      </c>
      <c r="M8">
        <v>8060.24</v>
      </c>
    </row>
    <row r="9" spans="1:13">
      <c r="A9" t="s">
        <v>20</v>
      </c>
      <c r="B9">
        <v>633.02</v>
      </c>
      <c r="C9">
        <v>13530.61</v>
      </c>
      <c r="D9">
        <v>510.51</v>
      </c>
      <c r="E9">
        <v>13811.9</v>
      </c>
      <c r="F9">
        <v>642.11</v>
      </c>
      <c r="G9">
        <v>15081.6</v>
      </c>
      <c r="H9">
        <v>-1</v>
      </c>
      <c r="I9">
        <v>14418.97</v>
      </c>
      <c r="J9">
        <v>660.1</v>
      </c>
      <c r="K9">
        <v>13516.22</v>
      </c>
      <c r="L9">
        <v>520.16</v>
      </c>
      <c r="M9">
        <v>13750.02</v>
      </c>
    </row>
    <row r="10" spans="1:13">
      <c r="A10" t="s">
        <v>21</v>
      </c>
      <c r="B10">
        <v>579.45</v>
      </c>
      <c r="C10">
        <v>14201.12</v>
      </c>
      <c r="D10">
        <v>456.98</v>
      </c>
      <c r="E10">
        <v>14908.75</v>
      </c>
      <c r="F10">
        <v>595.42</v>
      </c>
      <c r="G10">
        <v>16027.17</v>
      </c>
      <c r="H10">
        <v>-1</v>
      </c>
      <c r="I10">
        <v>10499.69</v>
      </c>
      <c r="J10">
        <v>582.83</v>
      </c>
      <c r="K10">
        <v>14178.3</v>
      </c>
      <c r="L10">
        <v>-1</v>
      </c>
      <c r="M10">
        <v>2955.28</v>
      </c>
    </row>
    <row r="11" spans="1:13">
      <c r="A11" t="s">
        <v>22</v>
      </c>
      <c r="B11">
        <v>518.17</v>
      </c>
      <c r="C11">
        <v>14318.52</v>
      </c>
      <c r="D11">
        <v>409.88</v>
      </c>
      <c r="E11">
        <v>14139.26</v>
      </c>
      <c r="F11">
        <v>526.03</v>
      </c>
      <c r="G11">
        <v>16020.52</v>
      </c>
      <c r="H11">
        <v>-1</v>
      </c>
      <c r="I11">
        <v>8126.37</v>
      </c>
      <c r="J11">
        <v>519.64</v>
      </c>
      <c r="K11">
        <v>14263.48</v>
      </c>
      <c r="L11">
        <v>427.13</v>
      </c>
      <c r="M11">
        <v>14053.2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648.699</v>
      </c>
      <c r="B14" s="4">
        <f>IFERROR(AVERAGEIF($D$2:$D$11,"&lt;&gt; -1"),0)</f>
        <v>511.573</v>
      </c>
      <c r="C14" s="4">
        <f>IFERROR(AVERAGEIF($F$2:$F$11,"&lt;&gt; -1"),0)</f>
        <v>661.772</v>
      </c>
      <c r="D14" s="4">
        <f>IFERROR(AVERAGEIF($H$2:$H$11,"&lt;&gt; -1"),0)</f>
        <v>0</v>
      </c>
      <c r="E14" s="4">
        <f>IFERROR(AVERAGEIF($J$2:$J$11,"&lt;&gt; -1"),0)</f>
        <v>655.139</v>
      </c>
      <c r="F14" s="4">
        <f>IFERROR(AVERAGEIF($L$2:$L$11,"&lt;&gt; -1"),0)</f>
        <v>473.645</v>
      </c>
      <c r="G14" s="4">
        <f>IFERROR(AVERAGEIFS($C$2:$C$11,$B$2:$B$11,"&lt;&gt; -1"),0)</f>
        <v>14127.615</v>
      </c>
      <c r="H14" s="4">
        <f>IFERROR(AVERAGEIFS($E$2:$E$11,$D$2:$D$11,"&lt;&gt; -1"),0)</f>
        <v>14237.149</v>
      </c>
      <c r="I14" s="4">
        <f>IFERROR(AVERAGEIFS($G$2:$G$11,$F$2:$F$11,"&lt;&gt; -1"),0)</f>
        <v>15818.472</v>
      </c>
      <c r="J14" s="4">
        <f>IFERROR(AVERAGEIFS($I$2:$I$11,$H$2:$H$11,"&lt;&gt; -1"),0)</f>
        <v>0</v>
      </c>
      <c r="K14" s="4">
        <f>IFERROR(AVERAGEIFS($K$2:$K$11,$J$2:$J$11,"&lt;&gt; -1"),0)</f>
        <v>14097.535</v>
      </c>
      <c r="L14" s="4">
        <f>IFERROR(AVERAGEIFS($M$2:$M$11,$L$2:$L$11,"&lt;&gt; -1"),0)</f>
        <v>13901.61</v>
      </c>
      <c r="M14" s="4">
        <f>IFERROR(_xlfn.MAXIFS($B$2:$B$11,$B$2:$B$11,"&lt;&gt; -1"),0)</f>
        <v>818.21</v>
      </c>
      <c r="N14" s="4">
        <f>IFERROR(_xlfn.MAXIFS($D$2:$D$11,$D$2:$D$11,"&lt;&gt;-1"),0)</f>
        <v>639.19</v>
      </c>
      <c r="O14" s="4">
        <f>IFERROR(_xlfn.MAXIFS($F$2:$F$11,$F$2:$F$11,"&lt;&gt; -1"),0)</f>
        <v>830.33</v>
      </c>
      <c r="P14" s="4">
        <f>IFERROR(_xlfn.MAXIFS($H$2:$H$11,$H$2:$H$11,"&lt;&gt; -1"),0)</f>
        <v>0</v>
      </c>
      <c r="Q14" s="4">
        <f>IFERROR(_xlfn.MAXIFS($J$2:$J$11,$J$2:$J$11,"&lt;&gt; -1"),0)</f>
        <v>820.44</v>
      </c>
      <c r="R14" s="4">
        <f>IFERROR(_xlfn.MAXIFS($L$2:$L$11,$L$2:$L$11,"&lt;&gt; -1"),0)</f>
        <v>520.16</v>
      </c>
      <c r="S14" s="4">
        <f>IFERROR(_xlfn.MINIFS($B$2:$B$11,$B$2:$B$11,"&lt;&gt; -1"),0)</f>
        <v>518.17</v>
      </c>
      <c r="T14" s="4">
        <f>IFERROR(_xlfn.MINIFS($D$2:$D$11,$D$2:$D$11,"&lt;&gt;-1"),0)</f>
        <v>409.88</v>
      </c>
      <c r="U14" s="4">
        <f>IFERROR(_xlfn.MINIFS($F$2:$F$11,$F$2:$F$11,"&lt;&gt; -1"),0)</f>
        <v>526.03</v>
      </c>
      <c r="V14" s="4">
        <f>IFERROR(_xlfn.MINIFS($H$2:$H$11,$H$2:$H$11,"&lt;&gt; -1"),0)</f>
        <v>0</v>
      </c>
      <c r="W14" s="4">
        <f>IFERROR(_xlfn.MINIFS($J$2:$J$11,$J$2:$J$11,"&lt;&gt; -1"),0)</f>
        <v>519.64</v>
      </c>
      <c r="X14" s="4">
        <f>IFERROR(_xlfn.MINIFS($L$2:$L$11,$L$2:$L$11,"&lt;&gt; -1"),0)</f>
        <v>427.13</v>
      </c>
      <c r="Y14" s="4">
        <f>IFERROR(_xlfn.MAXIFS($C$2:$C$11,$B$2:$B$11,"&lt;&gt; -1"),0)</f>
        <v>14561</v>
      </c>
      <c r="Z14" s="4">
        <f>IFERROR(_xlfn.MAXIFS($E$2:$E$11,$D$2:$D$11,"&lt;&gt; -1"),0)</f>
        <v>14908.75</v>
      </c>
      <c r="AA14" s="4">
        <f>IFERROR(_xlfn.MAXIFS($G$2:$G$11,$F$2:$F$11,"&lt;&gt; -1"),0)</f>
        <v>16254.17</v>
      </c>
      <c r="AB14" s="4">
        <f>IFERROR(_xlfn.MAXIFS($I$2:$I$11,$H$2:$H$11,"&lt;&gt; -1"),0)</f>
        <v>0</v>
      </c>
      <c r="AC14" s="4">
        <f>IFERROR(_xlfn.MAXIFS($K$2:$K$11,$J$2:$J$11,"&lt;&gt; -1"),0)</f>
        <v>14570.35</v>
      </c>
      <c r="AD14" s="4">
        <f>IFERROR(_xlfn.MAXIFS($M$2:$M$11,$L$2:$L$11,"&lt;&gt; -1"),0)</f>
        <v>14053.2</v>
      </c>
      <c r="AE14" s="4">
        <f>IFERROR(_xlfn.MINIFS($C$2:$C$11,$B$2:$B$11,"&lt;&gt; -1"),0)</f>
        <v>13530.61</v>
      </c>
      <c r="AF14" s="4">
        <f>IFERROR(_xlfn.MINIFS($E$2:$E$11,$D$2:$D$11,"&lt;&gt; -1"),0)</f>
        <v>13811.9</v>
      </c>
      <c r="AG14" s="4">
        <f>IFERROR(_xlfn.MINIFS($G$2:$G$11,$F$2:$F$11,"&lt;&gt; -1"),0)</f>
        <v>15081.6</v>
      </c>
      <c r="AH14" s="4">
        <f>IFERROR(_xlfn.MINIFS($I$2:$I$11,$H$2:$H$11,"&lt;&gt; -1"),0)</f>
        <v>0</v>
      </c>
      <c r="AI14" s="4">
        <f>IFERROR(_xlfn.MINIFS($K$2:$K$11,$J$2:$J$11,"&lt;&gt; -1"),0)</f>
        <v>13516.22</v>
      </c>
      <c r="AJ14" s="4">
        <f>IFERROR(_xlfn.MINIFS($M$2:$M$11,$L$2:$L$11,"&lt;&gt; -1"),0)</f>
        <v>13750.02</v>
      </c>
      <c r="AK14" s="4">
        <f>(COUNTIFS($B$2:$B$11,"&gt;0.0",$B$2:$B$11,"&lt;700.0"))/10</f>
        <v>0.7</v>
      </c>
      <c r="AL14" s="4">
        <f>(COUNTIFS($D$2:$D$11,"&gt;0.0",$D$2:$D$11,"&lt;700.0"))/10</f>
        <v>1</v>
      </c>
      <c r="AM14" s="4">
        <f>(COUNTIFS($F$2:$F$11,"&gt;0.0",$F$2:$F$11,"&lt;700.0"))/10</f>
        <v>0.7</v>
      </c>
      <c r="AN14" s="4">
        <f>(COUNTIFS($H$2:$H11,"&gt;0.0",$H$2:$H$11,"&lt;700.0"))/10</f>
        <v>0</v>
      </c>
      <c r="AO14" s="4">
        <f>(COUNTIFS($J$2:$J$11,"&gt;0.0",$J$2:$J$11,"&lt;700.0"))/10</f>
        <v>0.7</v>
      </c>
      <c r="AP14" s="4">
        <f>(COUNTIFS($L$2:$L$11,"&gt;0.0",$L$2:$L$11,"&lt;700.0"))/10</f>
        <v>0.2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541.46</v>
      </c>
      <c r="C2">
        <v>13958.68</v>
      </c>
      <c r="D2">
        <v>435.97</v>
      </c>
      <c r="E2">
        <v>14142.45</v>
      </c>
      <c r="F2">
        <v>-1</v>
      </c>
      <c r="G2">
        <v>12710.49</v>
      </c>
      <c r="H2">
        <v>-1</v>
      </c>
      <c r="I2">
        <v>7637.45</v>
      </c>
      <c r="J2">
        <v>-1</v>
      </c>
      <c r="K2">
        <v>654.65</v>
      </c>
      <c r="L2">
        <v>-1</v>
      </c>
      <c r="M2">
        <v>0</v>
      </c>
    </row>
    <row r="3" spans="1:13">
      <c r="A3" t="s">
        <v>14</v>
      </c>
      <c r="B3">
        <v>556.05</v>
      </c>
      <c r="C3">
        <v>14076.42</v>
      </c>
      <c r="D3">
        <v>442.94</v>
      </c>
      <c r="E3">
        <v>14103.68</v>
      </c>
      <c r="F3">
        <v>574.57</v>
      </c>
      <c r="G3">
        <v>15629.96</v>
      </c>
      <c r="H3">
        <v>-1</v>
      </c>
      <c r="I3">
        <v>7624.28</v>
      </c>
      <c r="J3">
        <v>583.09</v>
      </c>
      <c r="K3">
        <v>14031.26</v>
      </c>
      <c r="L3">
        <v>-1</v>
      </c>
      <c r="M3">
        <v>0</v>
      </c>
    </row>
    <row r="4" spans="1:13">
      <c r="A4" t="s">
        <v>15</v>
      </c>
      <c r="B4">
        <v>560.81</v>
      </c>
      <c r="C4">
        <v>14458.72</v>
      </c>
      <c r="D4">
        <v>451.77</v>
      </c>
      <c r="E4">
        <v>14393.29</v>
      </c>
      <c r="F4">
        <v>586.34</v>
      </c>
      <c r="G4">
        <v>16077.07</v>
      </c>
      <c r="H4">
        <v>-1</v>
      </c>
      <c r="I4">
        <v>9506.51</v>
      </c>
      <c r="J4">
        <v>565.21</v>
      </c>
      <c r="K4">
        <v>14393.75</v>
      </c>
      <c r="L4">
        <v>-1</v>
      </c>
      <c r="M4">
        <v>3406.56</v>
      </c>
    </row>
    <row r="5" spans="1:13">
      <c r="A5" t="s">
        <v>16</v>
      </c>
      <c r="B5">
        <v>553.38</v>
      </c>
      <c r="C5">
        <v>13873.85</v>
      </c>
      <c r="D5">
        <v>442.89</v>
      </c>
      <c r="E5">
        <v>13815.38</v>
      </c>
      <c r="F5">
        <v>-1</v>
      </c>
      <c r="G5">
        <v>13977.38</v>
      </c>
      <c r="H5">
        <v>-1</v>
      </c>
      <c r="I5">
        <v>6152.58</v>
      </c>
      <c r="J5">
        <v>565.86</v>
      </c>
      <c r="K5">
        <v>13768.93</v>
      </c>
      <c r="L5">
        <v>-1</v>
      </c>
      <c r="M5">
        <v>0</v>
      </c>
    </row>
    <row r="6" spans="1:13">
      <c r="A6" t="s">
        <v>17</v>
      </c>
      <c r="B6">
        <v>565.09</v>
      </c>
      <c r="C6">
        <v>14573.36</v>
      </c>
      <c r="D6">
        <v>453.38</v>
      </c>
      <c r="E6">
        <v>14830.18</v>
      </c>
      <c r="F6">
        <v>573.89</v>
      </c>
      <c r="G6">
        <v>16174.34</v>
      </c>
      <c r="H6">
        <v>-1</v>
      </c>
      <c r="I6">
        <v>9146.77</v>
      </c>
      <c r="J6">
        <v>566.56</v>
      </c>
      <c r="K6">
        <v>14541.15</v>
      </c>
      <c r="L6">
        <v>-1</v>
      </c>
      <c r="M6">
        <v>1246.69</v>
      </c>
    </row>
    <row r="7" spans="1:13">
      <c r="A7" t="s">
        <v>18</v>
      </c>
      <c r="B7">
        <v>544.81</v>
      </c>
      <c r="C7">
        <v>13925.28</v>
      </c>
      <c r="D7">
        <v>435.86</v>
      </c>
      <c r="E7">
        <v>14271.8</v>
      </c>
      <c r="F7">
        <v>-1</v>
      </c>
      <c r="G7">
        <v>7343.12</v>
      </c>
      <c r="H7">
        <v>-1</v>
      </c>
      <c r="I7">
        <v>8991.47</v>
      </c>
      <c r="J7">
        <v>-1</v>
      </c>
      <c r="K7">
        <v>8559.94</v>
      </c>
      <c r="L7">
        <v>-1</v>
      </c>
      <c r="M7">
        <v>7429.8</v>
      </c>
    </row>
    <row r="8" spans="1:13">
      <c r="A8" t="s">
        <v>19</v>
      </c>
      <c r="B8">
        <v>567.53</v>
      </c>
      <c r="C8">
        <v>14686.54</v>
      </c>
      <c r="D8">
        <v>456.05</v>
      </c>
      <c r="E8">
        <v>14578.47</v>
      </c>
      <c r="F8">
        <v>-1</v>
      </c>
      <c r="G8">
        <v>14505.78</v>
      </c>
      <c r="H8">
        <v>-1</v>
      </c>
      <c r="I8">
        <v>7203.42</v>
      </c>
      <c r="J8">
        <v>-1</v>
      </c>
      <c r="K8">
        <v>1782.93</v>
      </c>
      <c r="L8">
        <v>-1</v>
      </c>
      <c r="M8">
        <v>5866</v>
      </c>
    </row>
    <row r="9" spans="1:13">
      <c r="A9" t="s">
        <v>20</v>
      </c>
      <c r="B9">
        <v>535.72</v>
      </c>
      <c r="C9">
        <v>13656.63</v>
      </c>
      <c r="D9">
        <v>430.52</v>
      </c>
      <c r="E9">
        <v>14159.94</v>
      </c>
      <c r="F9">
        <v>559.55</v>
      </c>
      <c r="G9">
        <v>15176.3</v>
      </c>
      <c r="H9">
        <v>-1</v>
      </c>
      <c r="I9">
        <v>5416.8</v>
      </c>
      <c r="J9">
        <v>-1</v>
      </c>
      <c r="K9">
        <v>2175.54</v>
      </c>
      <c r="L9">
        <v>-1</v>
      </c>
      <c r="M9">
        <v>0</v>
      </c>
    </row>
    <row r="10" spans="1:13">
      <c r="A10" t="s">
        <v>21</v>
      </c>
      <c r="B10">
        <v>572.72</v>
      </c>
      <c r="C10">
        <v>14360.76</v>
      </c>
      <c r="D10">
        <v>462.13</v>
      </c>
      <c r="E10">
        <v>14479.03</v>
      </c>
      <c r="F10">
        <v>592.59</v>
      </c>
      <c r="G10">
        <v>16156.58</v>
      </c>
      <c r="H10">
        <v>-1</v>
      </c>
      <c r="I10">
        <v>6520.72</v>
      </c>
      <c r="J10">
        <v>578.96</v>
      </c>
      <c r="K10">
        <v>14311.46</v>
      </c>
      <c r="L10">
        <v>-1</v>
      </c>
      <c r="M10">
        <v>5084.72</v>
      </c>
    </row>
    <row r="11" spans="1:13">
      <c r="A11" t="s">
        <v>22</v>
      </c>
      <c r="B11">
        <v>559.45</v>
      </c>
      <c r="C11">
        <v>14333.28</v>
      </c>
      <c r="D11">
        <v>450.63</v>
      </c>
      <c r="E11">
        <v>14823.97</v>
      </c>
      <c r="F11">
        <v>567.32</v>
      </c>
      <c r="G11">
        <v>15972.02</v>
      </c>
      <c r="H11">
        <v>-1</v>
      </c>
      <c r="I11">
        <v>5248.64</v>
      </c>
      <c r="J11">
        <v>561.67</v>
      </c>
      <c r="K11">
        <v>14273.27</v>
      </c>
      <c r="L11">
        <v>-1</v>
      </c>
      <c r="M11">
        <v>1187.87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555.702</v>
      </c>
      <c r="B14" s="4">
        <f>IFERROR(AVERAGEIF($D$2:$D$11,"&lt;&gt; -1"),0)</f>
        <v>446.214</v>
      </c>
      <c r="C14" s="4">
        <f>IFERROR(AVERAGEIF($F$2:$F$11,"&lt;&gt; -1"),0)</f>
        <v>575.71</v>
      </c>
      <c r="D14" s="4">
        <f>IFERROR(AVERAGEIF($H$2:$H$11,"&lt;&gt; -1"),0)</f>
        <v>0</v>
      </c>
      <c r="E14" s="4">
        <f>IFERROR(AVERAGEIF($J$2:$J$11,"&lt;&gt; -1"),0)</f>
        <v>570.225</v>
      </c>
      <c r="F14" s="4">
        <f>IFERROR(AVERAGEIF($L$2:$L$11,"&lt;&gt; -1"),0)</f>
        <v>0</v>
      </c>
      <c r="G14" s="4">
        <f>IFERROR(AVERAGEIFS($C$2:$C$11,$B$2:$B$11,"&lt;&gt; -1"),0)</f>
        <v>14190.352</v>
      </c>
      <c r="H14" s="4">
        <f>IFERROR(AVERAGEIFS($E$2:$E$11,$D$2:$D$11,"&lt;&gt; -1"),0)</f>
        <v>14359.819</v>
      </c>
      <c r="I14" s="4">
        <f>IFERROR(AVERAGEIFS($G$2:$G$11,$F$2:$F$11,"&lt;&gt; -1"),0)</f>
        <v>15864.3783333333</v>
      </c>
      <c r="J14" s="4">
        <f>IFERROR(AVERAGEIFS($I$2:$I$11,$H$2:$H$11,"&lt;&gt; -1"),0)</f>
        <v>0</v>
      </c>
      <c r="K14" s="4">
        <f>IFERROR(AVERAGEIFS($K$2:$K$11,$J$2:$J$11,"&lt;&gt; -1"),0)</f>
        <v>14219.97</v>
      </c>
      <c r="L14" s="4">
        <f>IFERROR(AVERAGEIFS($M$2:$M$11,$L$2:$L$11,"&lt;&gt; -1"),0)</f>
        <v>0</v>
      </c>
      <c r="M14" s="4">
        <f>IFERROR(_xlfn.MAXIFS($B$2:$B$11,$B$2:$B$11,"&lt;&gt; -1"),0)</f>
        <v>572.72</v>
      </c>
      <c r="N14" s="4">
        <f>IFERROR(_xlfn.MAXIFS($D$2:$D$11,$D$2:$D$11,"&lt;&gt;-1"),0)</f>
        <v>462.13</v>
      </c>
      <c r="O14" s="4">
        <f>IFERROR(_xlfn.MAXIFS($F$2:$F$11,$F$2:$F$11,"&lt;&gt; -1"),0)</f>
        <v>592.59</v>
      </c>
      <c r="P14" s="4">
        <f>IFERROR(_xlfn.MAXIFS($H$2:$H$11,$H$2:$H$11,"&lt;&gt; -1"),0)</f>
        <v>0</v>
      </c>
      <c r="Q14" s="4">
        <f>IFERROR(_xlfn.MAXIFS($J$2:$J$11,$J$2:$J$11,"&lt;&gt; -1"),0)</f>
        <v>583.09</v>
      </c>
      <c r="R14" s="4">
        <f>IFERROR(_xlfn.MAXIFS($L$2:$L$11,$L$2:$L$11,"&lt;&gt; -1"),0)</f>
        <v>0</v>
      </c>
      <c r="S14" s="4">
        <f>IFERROR(_xlfn.MINIFS($B$2:$B$11,$B$2:$B$11,"&lt;&gt; -1"),0)</f>
        <v>535.72</v>
      </c>
      <c r="T14" s="4">
        <f>IFERROR(_xlfn.MINIFS($D$2:$D$11,$D$2:$D$11,"&lt;&gt;-1"),0)</f>
        <v>430.52</v>
      </c>
      <c r="U14" s="4">
        <f>IFERROR(_xlfn.MINIFS($F$2:$F$11,$F$2:$F$11,"&lt;&gt; -1"),0)</f>
        <v>559.55</v>
      </c>
      <c r="V14" s="4">
        <f>IFERROR(_xlfn.MINIFS($H$2:$H$11,$H$2:$H$11,"&lt;&gt; -1"),0)</f>
        <v>0</v>
      </c>
      <c r="W14" s="4">
        <f>IFERROR(_xlfn.MINIFS($J$2:$J$11,$J$2:$J$11,"&lt;&gt; -1"),0)</f>
        <v>561.67</v>
      </c>
      <c r="X14" s="4">
        <f>IFERROR(_xlfn.MINIFS($L$2:$L$11,$L$2:$L$11,"&lt;&gt; -1"),0)</f>
        <v>0</v>
      </c>
      <c r="Y14" s="4">
        <f>IFERROR(_xlfn.MAXIFS($C$2:$C$11,$B$2:$B$11,"&lt;&gt; -1"),0)</f>
        <v>14686.54</v>
      </c>
      <c r="Z14" s="4">
        <f>IFERROR(_xlfn.MAXIFS($E$2:$E$11,$D$2:$D$11,"&lt;&gt; -1"),0)</f>
        <v>14830.18</v>
      </c>
      <c r="AA14" s="4">
        <f>IFERROR(_xlfn.MAXIFS($G$2:$G$11,$F$2:$F$11,"&lt;&gt; -1"),0)</f>
        <v>16174.34</v>
      </c>
      <c r="AB14" s="4">
        <f>IFERROR(_xlfn.MAXIFS($I$2:$I$11,$H$2:$H$11,"&lt;&gt; -1"),0)</f>
        <v>0</v>
      </c>
      <c r="AC14" s="4">
        <f>IFERROR(_xlfn.MAXIFS($K$2:$K$11,$J$2:$J$11,"&lt;&gt; -1"),0)</f>
        <v>14541.15</v>
      </c>
      <c r="AD14" s="4">
        <f>IFERROR(_xlfn.MAXIFS($M$2:$M$11,$L$2:$L$11,"&lt;&gt; -1"),0)</f>
        <v>0</v>
      </c>
      <c r="AE14" s="4">
        <f>IFERROR(_xlfn.MINIFS($C$2:$C$11,$B$2:$B$11,"&lt;&gt; -1"),0)</f>
        <v>13656.63</v>
      </c>
      <c r="AF14" s="4">
        <f>IFERROR(_xlfn.MINIFS($E$2:$E$11,$D$2:$D$11,"&lt;&gt; -1"),0)</f>
        <v>13815.38</v>
      </c>
      <c r="AG14" s="4">
        <f>IFERROR(_xlfn.MINIFS($G$2:$G$11,$F$2:$F$11,"&lt;&gt; -1"),0)</f>
        <v>15176.3</v>
      </c>
      <c r="AH14" s="4">
        <f>IFERROR(_xlfn.MINIFS($I$2:$I$11,$H$2:$H$11,"&lt;&gt; -1"),0)</f>
        <v>0</v>
      </c>
      <c r="AI14" s="4">
        <f>IFERROR(_xlfn.MINIFS($K$2:$K$11,$J$2:$J$11,"&lt;&gt; -1"),0)</f>
        <v>13768.93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0.6</v>
      </c>
      <c r="AN14" s="4">
        <f>(COUNTIFS($H$2:$H11,"&gt;0.0",$H$2:$H$11,"&lt;700.0"))/10</f>
        <v>0</v>
      </c>
      <c r="AO14" s="4">
        <f>(COUNTIFS($J$2:$J$11,"&gt;0.0",$J$2:$J$11,"&lt;700.0"))/10</f>
        <v>0.6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596.47</v>
      </c>
      <c r="C2">
        <v>13919.58</v>
      </c>
      <c r="D2">
        <v>478.44</v>
      </c>
      <c r="E2">
        <v>14223.82</v>
      </c>
      <c r="F2">
        <v>-1</v>
      </c>
      <c r="G2">
        <v>0</v>
      </c>
      <c r="H2">
        <v>-1</v>
      </c>
      <c r="I2">
        <v>11201.56</v>
      </c>
      <c r="J2">
        <v>-1</v>
      </c>
      <c r="K2">
        <v>0</v>
      </c>
      <c r="L2">
        <v>-1</v>
      </c>
      <c r="M2">
        <v>7418.07</v>
      </c>
    </row>
    <row r="3" spans="1:13">
      <c r="A3" t="s">
        <v>14</v>
      </c>
      <c r="B3">
        <v>602.32</v>
      </c>
      <c r="C3">
        <v>14470.14</v>
      </c>
      <c r="D3">
        <v>481.9</v>
      </c>
      <c r="E3">
        <v>13888.81</v>
      </c>
      <c r="F3">
        <v>-1</v>
      </c>
      <c r="G3">
        <v>0</v>
      </c>
      <c r="H3">
        <v>-1</v>
      </c>
      <c r="I3">
        <v>10344.93</v>
      </c>
      <c r="J3">
        <v>-1</v>
      </c>
      <c r="K3">
        <v>0</v>
      </c>
      <c r="L3">
        <v>-1</v>
      </c>
      <c r="M3">
        <v>5738.25</v>
      </c>
    </row>
    <row r="4" spans="1:13">
      <c r="A4" t="s">
        <v>15</v>
      </c>
      <c r="B4">
        <v>611</v>
      </c>
      <c r="C4">
        <v>14246.54</v>
      </c>
      <c r="D4">
        <v>490.87</v>
      </c>
      <c r="E4">
        <v>14603.73</v>
      </c>
      <c r="F4">
        <v>-1</v>
      </c>
      <c r="G4">
        <v>0</v>
      </c>
      <c r="H4">
        <v>-1</v>
      </c>
      <c r="I4">
        <v>6869.22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601.25</v>
      </c>
      <c r="C5">
        <v>14464.2</v>
      </c>
      <c r="D5">
        <v>482.14</v>
      </c>
      <c r="E5">
        <v>14185.67</v>
      </c>
      <c r="F5">
        <v>-1</v>
      </c>
      <c r="G5">
        <v>0</v>
      </c>
      <c r="H5">
        <v>-1</v>
      </c>
      <c r="I5">
        <v>10398.82</v>
      </c>
      <c r="J5">
        <v>-1</v>
      </c>
      <c r="K5">
        <v>0</v>
      </c>
      <c r="L5">
        <v>490.88</v>
      </c>
      <c r="M5">
        <v>14075.33</v>
      </c>
    </row>
    <row r="6" spans="1:13">
      <c r="A6" t="s">
        <v>17</v>
      </c>
      <c r="B6">
        <v>619.93</v>
      </c>
      <c r="C6">
        <v>15198.31</v>
      </c>
      <c r="D6">
        <v>499.65</v>
      </c>
      <c r="E6">
        <v>14924.68</v>
      </c>
      <c r="F6">
        <v>-1</v>
      </c>
      <c r="G6">
        <v>2520.43</v>
      </c>
      <c r="H6">
        <v>-1</v>
      </c>
      <c r="I6">
        <v>9873.72</v>
      </c>
      <c r="J6">
        <v>-1</v>
      </c>
      <c r="K6">
        <v>0</v>
      </c>
      <c r="L6">
        <v>-1</v>
      </c>
      <c r="M6">
        <v>6333.33</v>
      </c>
    </row>
    <row r="7" spans="1:13">
      <c r="A7" t="s">
        <v>18</v>
      </c>
      <c r="B7">
        <v>595.98</v>
      </c>
      <c r="C7">
        <v>14029.74</v>
      </c>
      <c r="D7">
        <v>480.11</v>
      </c>
      <c r="E7">
        <v>14624.83</v>
      </c>
      <c r="F7">
        <v>-1</v>
      </c>
      <c r="G7">
        <v>0</v>
      </c>
      <c r="H7">
        <v>-1</v>
      </c>
      <c r="I7">
        <v>6663.13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619.19</v>
      </c>
      <c r="C8">
        <v>14808.81</v>
      </c>
      <c r="D8">
        <v>500.71</v>
      </c>
      <c r="E8">
        <v>14563.83</v>
      </c>
      <c r="F8">
        <v>-1</v>
      </c>
      <c r="G8">
        <v>2249.24</v>
      </c>
      <c r="H8">
        <v>-1</v>
      </c>
      <c r="I8">
        <v>8472.51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595.52</v>
      </c>
      <c r="C9">
        <v>14268</v>
      </c>
      <c r="D9">
        <v>474.47</v>
      </c>
      <c r="E9">
        <v>14355.27</v>
      </c>
      <c r="F9">
        <v>-1</v>
      </c>
      <c r="G9">
        <v>2396.75</v>
      </c>
      <c r="H9">
        <v>-1</v>
      </c>
      <c r="I9">
        <v>6913.85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628.95</v>
      </c>
      <c r="C10">
        <v>14973.98</v>
      </c>
      <c r="D10">
        <v>505.97</v>
      </c>
      <c r="E10">
        <v>14843.07</v>
      </c>
      <c r="F10">
        <v>-1</v>
      </c>
      <c r="G10">
        <v>0</v>
      </c>
      <c r="H10">
        <v>-1</v>
      </c>
      <c r="I10">
        <v>3201.21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614.64</v>
      </c>
      <c r="C11">
        <v>14876.94</v>
      </c>
      <c r="D11">
        <v>494.63</v>
      </c>
      <c r="E11">
        <v>14524.64</v>
      </c>
      <c r="F11">
        <v>-1</v>
      </c>
      <c r="G11">
        <v>0</v>
      </c>
      <c r="H11">
        <v>-1</v>
      </c>
      <c r="I11">
        <v>10225.31</v>
      </c>
      <c r="J11">
        <v>-1</v>
      </c>
      <c r="K11">
        <v>0</v>
      </c>
      <c r="L11">
        <v>-1</v>
      </c>
      <c r="M11">
        <v>3756.68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608.525</v>
      </c>
      <c r="B14" s="4">
        <f>IFERROR(AVERAGEIF($D$2:$D$11,"&lt;&gt; -1"),0)</f>
        <v>488.889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490.88</v>
      </c>
      <c r="G14" s="4">
        <f>IFERROR(AVERAGEIFS($C$2:$C$11,$B$2:$B$11,"&lt;&gt; -1"),0)</f>
        <v>14525.624</v>
      </c>
      <c r="H14" s="4">
        <f>IFERROR(AVERAGEIFS($E$2:$E$11,$D$2:$D$11,"&lt;&gt; -1"),0)</f>
        <v>14473.835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14075.33</v>
      </c>
      <c r="M14" s="4">
        <f>IFERROR(_xlfn.MAXIFS($B$2:$B$11,$B$2:$B$11,"&lt;&gt; -1"),0)</f>
        <v>628.95</v>
      </c>
      <c r="N14" s="4">
        <f>IFERROR(_xlfn.MAXIFS($D$2:$D$11,$D$2:$D$11,"&lt;&gt;-1"),0)</f>
        <v>505.97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490.88</v>
      </c>
      <c r="S14" s="4">
        <f>IFERROR(_xlfn.MINIFS($B$2:$B$11,$B$2:$B$11,"&lt;&gt; -1"),0)</f>
        <v>595.52</v>
      </c>
      <c r="T14" s="4">
        <f>IFERROR(_xlfn.MINIFS($D$2:$D$11,$D$2:$D$11,"&lt;&gt;-1"),0)</f>
        <v>474.47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490.88</v>
      </c>
      <c r="Y14" s="4">
        <f>IFERROR(_xlfn.MAXIFS($C$2:$C$11,$B$2:$B$11,"&lt;&gt; -1"),0)</f>
        <v>15198.31</v>
      </c>
      <c r="Z14" s="4">
        <f>IFERROR(_xlfn.MAXIFS($E$2:$E$11,$D$2:$D$11,"&lt;&gt; -1"),0)</f>
        <v>14924.68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14075.33</v>
      </c>
      <c r="AE14" s="4">
        <f>IFERROR(_xlfn.MINIFS($C$2:$C$11,$B$2:$B$11,"&lt;&gt; -1"),0)</f>
        <v>13919.58</v>
      </c>
      <c r="AF14" s="4">
        <f>IFERROR(_xlfn.MINIFS($E$2:$E$11,$D$2:$D$11,"&lt;&gt; -1"),0)</f>
        <v>13888.81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14075.33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631.9</v>
      </c>
      <c r="C2">
        <v>14683.62</v>
      </c>
      <c r="D2">
        <v>523.67</v>
      </c>
      <c r="E2">
        <v>14141.77</v>
      </c>
      <c r="F2">
        <v>-1</v>
      </c>
      <c r="G2">
        <v>0</v>
      </c>
      <c r="H2">
        <v>-1</v>
      </c>
      <c r="I2">
        <v>9612.3</v>
      </c>
      <c r="J2">
        <v>-1</v>
      </c>
      <c r="K2">
        <v>0</v>
      </c>
      <c r="L2">
        <v>-1</v>
      </c>
      <c r="M2">
        <v>10084.75</v>
      </c>
    </row>
    <row r="3" spans="1:13">
      <c r="A3" t="s">
        <v>14</v>
      </c>
      <c r="B3">
        <v>631.51</v>
      </c>
      <c r="C3">
        <v>14288.15</v>
      </c>
      <c r="D3">
        <v>522.1</v>
      </c>
      <c r="E3">
        <v>14172.78</v>
      </c>
      <c r="F3">
        <v>-1</v>
      </c>
      <c r="G3">
        <v>0</v>
      </c>
      <c r="H3">
        <v>-1</v>
      </c>
      <c r="I3">
        <v>7561.22</v>
      </c>
      <c r="J3">
        <v>-1</v>
      </c>
      <c r="K3">
        <v>0</v>
      </c>
      <c r="L3">
        <v>-1</v>
      </c>
      <c r="M3">
        <v>4097.72</v>
      </c>
    </row>
    <row r="4" spans="1:13">
      <c r="A4" t="s">
        <v>15</v>
      </c>
      <c r="B4">
        <v>641.51</v>
      </c>
      <c r="C4">
        <v>14710.65</v>
      </c>
      <c r="D4">
        <v>528.61</v>
      </c>
      <c r="E4">
        <v>14246.9</v>
      </c>
      <c r="F4">
        <v>-1</v>
      </c>
      <c r="G4">
        <v>0</v>
      </c>
      <c r="H4">
        <v>546.17</v>
      </c>
      <c r="I4">
        <v>15900.55</v>
      </c>
      <c r="J4">
        <v>-1</v>
      </c>
      <c r="K4">
        <v>0</v>
      </c>
      <c r="L4">
        <v>533.57</v>
      </c>
      <c r="M4">
        <v>14231.28</v>
      </c>
    </row>
    <row r="5" spans="1:13">
      <c r="A5" t="s">
        <v>16</v>
      </c>
      <c r="B5">
        <v>637.14</v>
      </c>
      <c r="C5">
        <v>14320.74</v>
      </c>
      <c r="D5">
        <v>526.91</v>
      </c>
      <c r="E5">
        <v>14025.65</v>
      </c>
      <c r="F5">
        <v>-1</v>
      </c>
      <c r="G5">
        <v>0</v>
      </c>
      <c r="H5">
        <v>-1</v>
      </c>
      <c r="I5">
        <v>9294.11</v>
      </c>
      <c r="J5">
        <v>-1</v>
      </c>
      <c r="K5">
        <v>0</v>
      </c>
      <c r="L5">
        <v>-1</v>
      </c>
      <c r="M5">
        <v>6690.73</v>
      </c>
    </row>
    <row r="6" spans="1:13">
      <c r="A6" t="s">
        <v>17</v>
      </c>
      <c r="B6">
        <v>646.61</v>
      </c>
      <c r="C6">
        <v>14785.47</v>
      </c>
      <c r="D6">
        <v>535.3</v>
      </c>
      <c r="E6">
        <v>14396.51</v>
      </c>
      <c r="F6">
        <v>-1</v>
      </c>
      <c r="G6">
        <v>0</v>
      </c>
      <c r="H6">
        <v>-1</v>
      </c>
      <c r="I6">
        <v>8667.6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627.8</v>
      </c>
      <c r="C7">
        <v>14055.64</v>
      </c>
      <c r="D7">
        <v>515.39</v>
      </c>
      <c r="E7">
        <v>13860.76</v>
      </c>
      <c r="F7">
        <v>-1</v>
      </c>
      <c r="G7">
        <v>0</v>
      </c>
      <c r="H7">
        <v>-1</v>
      </c>
      <c r="I7">
        <v>5964.74</v>
      </c>
      <c r="J7">
        <v>-1</v>
      </c>
      <c r="K7">
        <v>0</v>
      </c>
      <c r="L7">
        <v>-1</v>
      </c>
      <c r="M7">
        <v>6800.08</v>
      </c>
    </row>
    <row r="8" spans="1:13">
      <c r="A8" t="s">
        <v>19</v>
      </c>
      <c r="B8">
        <v>651.17</v>
      </c>
      <c r="C8">
        <v>15029.52</v>
      </c>
      <c r="D8">
        <v>539.56</v>
      </c>
      <c r="E8">
        <v>14734.65</v>
      </c>
      <c r="F8">
        <v>-1</v>
      </c>
      <c r="G8">
        <v>0</v>
      </c>
      <c r="H8">
        <v>-1</v>
      </c>
      <c r="I8">
        <v>1052.91</v>
      </c>
      <c r="J8">
        <v>-1</v>
      </c>
      <c r="K8">
        <v>0</v>
      </c>
      <c r="L8">
        <v>-1</v>
      </c>
      <c r="M8">
        <v>922.85</v>
      </c>
    </row>
    <row r="9" spans="1:13">
      <c r="A9" t="s">
        <v>20</v>
      </c>
      <c r="B9">
        <v>625.22</v>
      </c>
      <c r="C9">
        <v>14295.12</v>
      </c>
      <c r="D9">
        <v>511.61</v>
      </c>
      <c r="E9">
        <v>13701.83</v>
      </c>
      <c r="F9">
        <v>-1</v>
      </c>
      <c r="G9">
        <v>0</v>
      </c>
      <c r="H9">
        <v>-1</v>
      </c>
      <c r="I9">
        <v>6894.5</v>
      </c>
      <c r="J9">
        <v>-1</v>
      </c>
      <c r="K9">
        <v>0</v>
      </c>
      <c r="L9">
        <v>-1</v>
      </c>
      <c r="M9">
        <v>9519.35</v>
      </c>
    </row>
    <row r="10" spans="1:13">
      <c r="A10" t="s">
        <v>21</v>
      </c>
      <c r="B10">
        <v>659.75</v>
      </c>
      <c r="C10">
        <v>14733.28</v>
      </c>
      <c r="D10">
        <v>548.65</v>
      </c>
      <c r="E10">
        <v>14913.38</v>
      </c>
      <c r="F10">
        <v>-1</v>
      </c>
      <c r="G10">
        <v>0</v>
      </c>
      <c r="H10">
        <v>-1</v>
      </c>
      <c r="I10">
        <v>6083.26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644.35</v>
      </c>
      <c r="C11">
        <v>14229.42</v>
      </c>
      <c r="D11">
        <v>533.49</v>
      </c>
      <c r="E11">
        <v>14105.51</v>
      </c>
      <c r="F11">
        <v>-1</v>
      </c>
      <c r="G11">
        <v>0</v>
      </c>
      <c r="H11">
        <v>-1</v>
      </c>
      <c r="I11">
        <v>5331.85</v>
      </c>
      <c r="J11">
        <v>-1</v>
      </c>
      <c r="K11">
        <v>0</v>
      </c>
      <c r="L11">
        <v>-1</v>
      </c>
      <c r="M11">
        <v>9627.73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639.696</v>
      </c>
      <c r="B14" s="4">
        <f>IFERROR(AVERAGEIF($D$2:$D$11,"&lt;&gt; -1"),0)</f>
        <v>528.529</v>
      </c>
      <c r="C14" s="4">
        <f>IFERROR(AVERAGEIF($F$2:$F$11,"&lt;&gt; -1"),0)</f>
        <v>0</v>
      </c>
      <c r="D14" s="4">
        <f>IFERROR(AVERAGEIF($H$2:$H$11,"&lt;&gt; -1"),0)</f>
        <v>546.17</v>
      </c>
      <c r="E14" s="4">
        <f>IFERROR(AVERAGEIF($J$2:$J$11,"&lt;&gt; -1"),0)</f>
        <v>0</v>
      </c>
      <c r="F14" s="4">
        <f>IFERROR(AVERAGEIF($L$2:$L$11,"&lt;&gt; -1"),0)</f>
        <v>533.57</v>
      </c>
      <c r="G14" s="4">
        <f>IFERROR(AVERAGEIFS($C$2:$C$11,$B$2:$B$11,"&lt;&gt; -1"),0)</f>
        <v>14513.161</v>
      </c>
      <c r="H14" s="4">
        <f>IFERROR(AVERAGEIFS($E$2:$E$11,$D$2:$D$11,"&lt;&gt; -1"),0)</f>
        <v>14229.974</v>
      </c>
      <c r="I14" s="4">
        <f>IFERROR(AVERAGEIFS($G$2:$G$11,$F$2:$F$11,"&lt;&gt; -1"),0)</f>
        <v>0</v>
      </c>
      <c r="J14" s="4">
        <f>IFERROR(AVERAGEIFS($I$2:$I$11,$H$2:$H$11,"&lt;&gt; -1"),0)</f>
        <v>15900.55</v>
      </c>
      <c r="K14" s="4">
        <f>IFERROR(AVERAGEIFS($K$2:$K$11,$J$2:$J$11,"&lt;&gt; -1"),0)</f>
        <v>0</v>
      </c>
      <c r="L14" s="4">
        <f>IFERROR(AVERAGEIFS($M$2:$M$11,$L$2:$L$11,"&lt;&gt; -1"),0)</f>
        <v>14231.28</v>
      </c>
      <c r="M14" s="4">
        <f>IFERROR(_xlfn.MAXIFS($B$2:$B$11,$B$2:$B$11,"&lt;&gt; -1"),0)</f>
        <v>659.75</v>
      </c>
      <c r="N14" s="4">
        <f>IFERROR(_xlfn.MAXIFS($D$2:$D$11,$D$2:$D$11,"&lt;&gt;-1"),0)</f>
        <v>548.65</v>
      </c>
      <c r="O14" s="4">
        <f>IFERROR(_xlfn.MAXIFS($F$2:$F$11,$F$2:$F$11,"&lt;&gt; -1"),0)</f>
        <v>0</v>
      </c>
      <c r="P14" s="4">
        <f>IFERROR(_xlfn.MAXIFS($H$2:$H$11,$H$2:$H$11,"&lt;&gt; -1"),0)</f>
        <v>546.17</v>
      </c>
      <c r="Q14" s="4">
        <f>IFERROR(_xlfn.MAXIFS($J$2:$J$11,$J$2:$J$11,"&lt;&gt; -1"),0)</f>
        <v>0</v>
      </c>
      <c r="R14" s="4">
        <f>IFERROR(_xlfn.MAXIFS($L$2:$L$11,$L$2:$L$11,"&lt;&gt; -1"),0)</f>
        <v>533.57</v>
      </c>
      <c r="S14" s="4">
        <f>IFERROR(_xlfn.MINIFS($B$2:$B$11,$B$2:$B$11,"&lt;&gt; -1"),0)</f>
        <v>625.22</v>
      </c>
      <c r="T14" s="4">
        <f>IFERROR(_xlfn.MINIFS($D$2:$D$11,$D$2:$D$11,"&lt;&gt;-1"),0)</f>
        <v>511.61</v>
      </c>
      <c r="U14" s="4">
        <f>IFERROR(_xlfn.MINIFS($F$2:$F$11,$F$2:$F$11,"&lt;&gt; -1"),0)</f>
        <v>0</v>
      </c>
      <c r="V14" s="4">
        <f>IFERROR(_xlfn.MINIFS($H$2:$H$11,$H$2:$H$11,"&lt;&gt; -1"),0)</f>
        <v>546.17</v>
      </c>
      <c r="W14" s="4">
        <f>IFERROR(_xlfn.MINIFS($J$2:$J$11,$J$2:$J$11,"&lt;&gt; -1"),0)</f>
        <v>0</v>
      </c>
      <c r="X14" s="4">
        <f>IFERROR(_xlfn.MINIFS($L$2:$L$11,$L$2:$L$11,"&lt;&gt; -1"),0)</f>
        <v>533.57</v>
      </c>
      <c r="Y14" s="4">
        <f>IFERROR(_xlfn.MAXIFS($C$2:$C$11,$B$2:$B$11,"&lt;&gt; -1"),0)</f>
        <v>15029.52</v>
      </c>
      <c r="Z14" s="4">
        <f>IFERROR(_xlfn.MAXIFS($E$2:$E$11,$D$2:$D$11,"&lt;&gt; -1"),0)</f>
        <v>14913.38</v>
      </c>
      <c r="AA14" s="4">
        <f>IFERROR(_xlfn.MAXIFS($G$2:$G$11,$F$2:$F$11,"&lt;&gt; -1"),0)</f>
        <v>0</v>
      </c>
      <c r="AB14" s="4">
        <f>IFERROR(_xlfn.MAXIFS($I$2:$I$11,$H$2:$H$11,"&lt;&gt; -1"),0)</f>
        <v>15900.55</v>
      </c>
      <c r="AC14" s="4">
        <f>IFERROR(_xlfn.MAXIFS($K$2:$K$11,$J$2:$J$11,"&lt;&gt; -1"),0)</f>
        <v>0</v>
      </c>
      <c r="AD14" s="4">
        <f>IFERROR(_xlfn.MAXIFS($M$2:$M$11,$L$2:$L$11,"&lt;&gt; -1"),0)</f>
        <v>14231.28</v>
      </c>
      <c r="AE14" s="4">
        <f>IFERROR(_xlfn.MINIFS($C$2:$C$11,$B$2:$B$11,"&lt;&gt; -1"),0)</f>
        <v>14055.64</v>
      </c>
      <c r="AF14" s="4">
        <f>IFERROR(_xlfn.MINIFS($E$2:$E$11,$D$2:$D$11,"&lt;&gt; -1"),0)</f>
        <v>13701.83</v>
      </c>
      <c r="AG14" s="4">
        <f>IFERROR(_xlfn.MINIFS($G$2:$G$11,$F$2:$F$11,"&lt;&gt; -1"),0)</f>
        <v>0</v>
      </c>
      <c r="AH14" s="4">
        <f>IFERROR(_xlfn.MINIFS($I$2:$I$11,$H$2:$H$11,"&lt;&gt; -1"),0)</f>
        <v>15900.55</v>
      </c>
      <c r="AI14" s="4">
        <f>IFERROR(_xlfn.MINIFS($K$2:$K$11,$J$2:$J$11,"&lt;&gt; -1"),0)</f>
        <v>0</v>
      </c>
      <c r="AJ14" s="4">
        <f>IFERROR(_xlfn.MINIFS($M$2:$M$11,$L$2:$L$11,"&lt;&gt; -1"),0)</f>
        <v>14231.28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0.1</v>
      </c>
      <c r="AO14" s="4">
        <f>(COUNTIFS($J$2:$J$11,"&gt;0.0",$J$2:$J$11,"&lt;700.0"))/10</f>
        <v>0</v>
      </c>
      <c r="AP14" s="4">
        <f>(COUNTIFS($L$2:$L$11,"&gt;0.0",$L$2:$L$11,"&lt;700.0"))/10</f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659.44</v>
      </c>
      <c r="C2">
        <v>14357.91</v>
      </c>
      <c r="D2">
        <v>561.92</v>
      </c>
      <c r="E2">
        <v>14100.79</v>
      </c>
      <c r="F2">
        <v>-1</v>
      </c>
      <c r="G2">
        <v>0</v>
      </c>
      <c r="H2">
        <v>-1</v>
      </c>
      <c r="I2">
        <v>4700.89</v>
      </c>
      <c r="J2">
        <v>-1</v>
      </c>
      <c r="K2">
        <v>0</v>
      </c>
      <c r="L2">
        <v>-1</v>
      </c>
      <c r="M2">
        <v>3780.97</v>
      </c>
    </row>
    <row r="3" spans="1:13">
      <c r="A3" t="s">
        <v>14</v>
      </c>
      <c r="B3">
        <v>654.94</v>
      </c>
      <c r="C3">
        <v>14274.23</v>
      </c>
      <c r="D3">
        <v>557.25</v>
      </c>
      <c r="E3">
        <v>13999.09</v>
      </c>
      <c r="F3">
        <v>-1</v>
      </c>
      <c r="G3">
        <v>0</v>
      </c>
      <c r="H3">
        <v>-1</v>
      </c>
      <c r="I3">
        <v>9386.8</v>
      </c>
      <c r="J3">
        <v>-1</v>
      </c>
      <c r="K3">
        <v>0</v>
      </c>
      <c r="L3">
        <v>-1</v>
      </c>
      <c r="M3">
        <v>8309.84</v>
      </c>
    </row>
    <row r="4" spans="1:13">
      <c r="A4" t="s">
        <v>15</v>
      </c>
      <c r="B4">
        <v>665.12</v>
      </c>
      <c r="C4">
        <v>14479.53</v>
      </c>
      <c r="D4">
        <v>565.99</v>
      </c>
      <c r="E4">
        <v>14332.75</v>
      </c>
      <c r="F4">
        <v>-1</v>
      </c>
      <c r="G4">
        <v>0</v>
      </c>
      <c r="H4">
        <v>-1</v>
      </c>
      <c r="I4">
        <v>5040.02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664.02</v>
      </c>
      <c r="C5">
        <v>14337.52</v>
      </c>
      <c r="D5">
        <v>563.06</v>
      </c>
      <c r="E5">
        <v>14307.5</v>
      </c>
      <c r="F5">
        <v>-1</v>
      </c>
      <c r="G5">
        <v>0</v>
      </c>
      <c r="H5">
        <v>-1</v>
      </c>
      <c r="I5">
        <v>7181.37</v>
      </c>
      <c r="J5">
        <v>-1</v>
      </c>
      <c r="K5">
        <v>0</v>
      </c>
      <c r="L5">
        <v>-1</v>
      </c>
      <c r="M5">
        <v>3596.78</v>
      </c>
    </row>
    <row r="6" spans="1:13">
      <c r="A6" t="s">
        <v>17</v>
      </c>
      <c r="B6">
        <v>671.59</v>
      </c>
      <c r="C6">
        <v>14361.98</v>
      </c>
      <c r="D6">
        <v>571.45</v>
      </c>
      <c r="E6">
        <v>14314.36</v>
      </c>
      <c r="F6">
        <v>-1</v>
      </c>
      <c r="G6">
        <v>0</v>
      </c>
      <c r="H6">
        <v>-1</v>
      </c>
      <c r="I6">
        <v>8615.48</v>
      </c>
      <c r="J6">
        <v>-1</v>
      </c>
      <c r="K6">
        <v>0</v>
      </c>
      <c r="L6">
        <v>-1</v>
      </c>
      <c r="M6">
        <v>11530.62</v>
      </c>
    </row>
    <row r="7" spans="1:13">
      <c r="A7" t="s">
        <v>18</v>
      </c>
      <c r="B7">
        <v>661.61</v>
      </c>
      <c r="C7">
        <v>14156.53</v>
      </c>
      <c r="D7">
        <v>563.4</v>
      </c>
      <c r="E7">
        <v>14564.8</v>
      </c>
      <c r="F7">
        <v>-1</v>
      </c>
      <c r="G7">
        <v>0</v>
      </c>
      <c r="H7">
        <v>-1</v>
      </c>
      <c r="I7">
        <v>5502.05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684.31</v>
      </c>
      <c r="C8">
        <v>14672.38</v>
      </c>
      <c r="D8">
        <v>582.34</v>
      </c>
      <c r="E8">
        <v>13979.06</v>
      </c>
      <c r="F8">
        <v>-1</v>
      </c>
      <c r="G8">
        <v>0</v>
      </c>
      <c r="H8">
        <v>-1</v>
      </c>
      <c r="I8">
        <v>15264.4</v>
      </c>
      <c r="J8">
        <v>-1</v>
      </c>
      <c r="K8">
        <v>0</v>
      </c>
      <c r="L8">
        <v>-1</v>
      </c>
      <c r="M8">
        <v>12934.55</v>
      </c>
    </row>
    <row r="9" spans="1:13">
      <c r="A9" t="s">
        <v>20</v>
      </c>
      <c r="B9">
        <v>650.2</v>
      </c>
      <c r="C9">
        <v>14097.19</v>
      </c>
      <c r="D9">
        <v>551.85</v>
      </c>
      <c r="E9">
        <v>14265.99</v>
      </c>
      <c r="F9">
        <v>-1</v>
      </c>
      <c r="G9">
        <v>0</v>
      </c>
      <c r="H9">
        <v>-1</v>
      </c>
      <c r="I9">
        <v>11912.31</v>
      </c>
      <c r="J9">
        <v>-1</v>
      </c>
      <c r="K9">
        <v>0</v>
      </c>
      <c r="L9">
        <v>-1</v>
      </c>
      <c r="M9">
        <v>11722.97</v>
      </c>
    </row>
    <row r="10" spans="1:13">
      <c r="A10" t="s">
        <v>21</v>
      </c>
      <c r="B10">
        <v>683.23</v>
      </c>
      <c r="C10">
        <v>14612.64</v>
      </c>
      <c r="D10">
        <v>586.11</v>
      </c>
      <c r="E10">
        <v>15222.24</v>
      </c>
      <c r="F10">
        <v>-1</v>
      </c>
      <c r="G10">
        <v>0</v>
      </c>
      <c r="H10">
        <v>-1</v>
      </c>
      <c r="I10">
        <v>1832.45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655.31</v>
      </c>
      <c r="C11">
        <v>14848.35</v>
      </c>
      <c r="D11">
        <v>558.53</v>
      </c>
      <c r="E11">
        <v>14295.01</v>
      </c>
      <c r="F11">
        <v>-1</v>
      </c>
      <c r="G11">
        <v>0</v>
      </c>
      <c r="H11">
        <v>-1</v>
      </c>
      <c r="I11">
        <v>6884.54</v>
      </c>
      <c r="J11">
        <v>-1</v>
      </c>
      <c r="K11">
        <v>0</v>
      </c>
      <c r="L11">
        <v>-1</v>
      </c>
      <c r="M11">
        <v>2583.91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664.977</v>
      </c>
      <c r="B14" s="4">
        <f>IFERROR(AVERAGEIF($D$2:$D$11,"&lt;&gt; -1"),0)</f>
        <v>566.19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14419.826</v>
      </c>
      <c r="H14" s="4">
        <f>IFERROR(AVERAGEIFS($E$2:$E$11,$D$2:$D$11,"&lt;&gt; -1"),0)</f>
        <v>14338.159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684.31</v>
      </c>
      <c r="N14" s="4">
        <f>IFERROR(_xlfn.MAXIFS($D$2:$D$11,$D$2:$D$11,"&lt;&gt;-1"),0)</f>
        <v>586.11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650.2</v>
      </c>
      <c r="T14" s="4">
        <f>IFERROR(_xlfn.MINIFS($D$2:$D$11,$D$2:$D$11,"&lt;&gt;-1"),0)</f>
        <v>551.85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14848.35</v>
      </c>
      <c r="Z14" s="4">
        <f>IFERROR(_xlfn.MAXIFS($E$2:$E$11,$D$2:$D$11,"&lt;&gt; -1"),0)</f>
        <v>15222.24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14097.19</v>
      </c>
      <c r="AF14" s="4">
        <f>IFERROR(_xlfn.MINIFS($E$2:$E$11,$D$2:$D$11,"&lt;&gt; -1"),0)</f>
        <v>13979.06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"/>
  <sheetViews>
    <sheetView workbookViewId="0">
      <selection activeCell="A15" sqref="$A15:$XFD1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638.99</v>
      </c>
      <c r="C2">
        <v>14245.33</v>
      </c>
      <c r="D2">
        <v>587.31</v>
      </c>
      <c r="E2">
        <v>14531.37</v>
      </c>
      <c r="F2">
        <v>-1</v>
      </c>
      <c r="G2">
        <v>6176.99</v>
      </c>
      <c r="H2">
        <v>-1</v>
      </c>
      <c r="I2">
        <v>0</v>
      </c>
      <c r="J2">
        <v>-1</v>
      </c>
      <c r="K2">
        <v>1871.93</v>
      </c>
      <c r="L2">
        <v>-1</v>
      </c>
      <c r="M2">
        <v>0</v>
      </c>
    </row>
    <row r="3" spans="1:13">
      <c r="A3" t="s">
        <v>14</v>
      </c>
      <c r="B3">
        <v>633.02</v>
      </c>
      <c r="C3">
        <v>14119.35</v>
      </c>
      <c r="D3">
        <v>580.76</v>
      </c>
      <c r="E3">
        <v>13797.45</v>
      </c>
      <c r="F3">
        <v>-1</v>
      </c>
      <c r="G3">
        <v>3934.76</v>
      </c>
      <c r="H3">
        <v>-1</v>
      </c>
      <c r="I3">
        <v>6333.25</v>
      </c>
      <c r="J3">
        <v>-1</v>
      </c>
      <c r="K3">
        <v>0</v>
      </c>
      <c r="L3">
        <v>-1</v>
      </c>
      <c r="M3">
        <v>6047.19</v>
      </c>
    </row>
    <row r="4" spans="1:13">
      <c r="A4" t="s">
        <v>15</v>
      </c>
      <c r="B4">
        <v>601.78</v>
      </c>
      <c r="C4">
        <v>14158.1</v>
      </c>
      <c r="D4">
        <v>585.3</v>
      </c>
      <c r="E4">
        <v>14617.93</v>
      </c>
      <c r="F4">
        <v>609.72</v>
      </c>
      <c r="G4">
        <v>15878.72</v>
      </c>
      <c r="H4">
        <v>-1</v>
      </c>
      <c r="I4">
        <v>4400.27</v>
      </c>
      <c r="J4">
        <v>603.25</v>
      </c>
      <c r="K4">
        <v>14118.25</v>
      </c>
      <c r="L4">
        <v>-1</v>
      </c>
      <c r="M4">
        <v>0</v>
      </c>
    </row>
    <row r="5" spans="1:13">
      <c r="A5" t="s">
        <v>16</v>
      </c>
      <c r="B5">
        <v>635.15</v>
      </c>
      <c r="C5">
        <v>13969.65</v>
      </c>
      <c r="D5">
        <v>585.2</v>
      </c>
      <c r="E5">
        <v>13868.31</v>
      </c>
      <c r="F5">
        <v>-1</v>
      </c>
      <c r="G5">
        <v>6441.56</v>
      </c>
      <c r="H5">
        <v>-1</v>
      </c>
      <c r="I5">
        <v>3784.19</v>
      </c>
      <c r="J5">
        <v>-1</v>
      </c>
      <c r="K5">
        <v>2317.41</v>
      </c>
      <c r="L5">
        <v>-1</v>
      </c>
      <c r="M5">
        <v>0</v>
      </c>
    </row>
    <row r="6" spans="1:13">
      <c r="A6" t="s">
        <v>17</v>
      </c>
      <c r="B6">
        <v>644.51</v>
      </c>
      <c r="C6">
        <v>14658.67</v>
      </c>
      <c r="D6">
        <v>594.03</v>
      </c>
      <c r="E6">
        <v>14742.32</v>
      </c>
      <c r="F6">
        <v>-1</v>
      </c>
      <c r="G6">
        <v>11056.44</v>
      </c>
      <c r="H6">
        <v>-1</v>
      </c>
      <c r="I6">
        <v>1756.78</v>
      </c>
      <c r="J6">
        <v>-1</v>
      </c>
      <c r="K6">
        <v>14048.08</v>
      </c>
      <c r="L6">
        <v>-1</v>
      </c>
      <c r="M6">
        <v>1639.1</v>
      </c>
    </row>
    <row r="7" spans="1:13">
      <c r="A7" t="s">
        <v>18</v>
      </c>
      <c r="B7">
        <v>608.09</v>
      </c>
      <c r="C7">
        <v>14065.51</v>
      </c>
      <c r="D7">
        <v>589.35</v>
      </c>
      <c r="E7">
        <v>14699.67</v>
      </c>
      <c r="F7">
        <v>-1</v>
      </c>
      <c r="G7">
        <v>7932.52</v>
      </c>
      <c r="H7">
        <v>-1</v>
      </c>
      <c r="I7">
        <v>2056.74</v>
      </c>
      <c r="J7">
        <v>-1</v>
      </c>
      <c r="K7">
        <v>6624.86</v>
      </c>
      <c r="L7">
        <v>-1</v>
      </c>
      <c r="M7">
        <v>0</v>
      </c>
    </row>
    <row r="8" spans="1:13">
      <c r="A8" t="s">
        <v>19</v>
      </c>
      <c r="B8">
        <v>611.97</v>
      </c>
      <c r="C8">
        <v>14431.37</v>
      </c>
      <c r="D8">
        <v>594.61</v>
      </c>
      <c r="E8">
        <v>14454.88</v>
      </c>
      <c r="F8">
        <v>619.72</v>
      </c>
      <c r="G8">
        <v>16122.55</v>
      </c>
      <c r="H8">
        <v>-1</v>
      </c>
      <c r="I8">
        <v>6765.57</v>
      </c>
      <c r="J8">
        <v>613.3</v>
      </c>
      <c r="K8">
        <v>14407.32</v>
      </c>
      <c r="L8">
        <v>-1</v>
      </c>
      <c r="M8">
        <v>4122.2</v>
      </c>
    </row>
    <row r="9" spans="1:13">
      <c r="A9" t="s">
        <v>20</v>
      </c>
      <c r="B9">
        <v>589.46</v>
      </c>
      <c r="C9">
        <v>13950.96</v>
      </c>
      <c r="D9">
        <v>573.55</v>
      </c>
      <c r="E9">
        <v>14447.98</v>
      </c>
      <c r="F9">
        <v>597.21</v>
      </c>
      <c r="G9">
        <v>15584.54</v>
      </c>
      <c r="H9">
        <v>-1</v>
      </c>
      <c r="I9">
        <v>4495.73</v>
      </c>
      <c r="J9">
        <v>590.85</v>
      </c>
      <c r="K9">
        <v>13927.39</v>
      </c>
      <c r="L9">
        <v>-1</v>
      </c>
      <c r="M9">
        <v>0</v>
      </c>
    </row>
    <row r="10" spans="1:13">
      <c r="A10" t="s">
        <v>21</v>
      </c>
      <c r="B10">
        <v>628.8</v>
      </c>
      <c r="C10">
        <v>14488.62</v>
      </c>
      <c r="D10">
        <v>612.62</v>
      </c>
      <c r="E10">
        <v>15135.01</v>
      </c>
      <c r="F10">
        <v>636.64</v>
      </c>
      <c r="G10">
        <v>16362.65</v>
      </c>
      <c r="H10">
        <v>-1</v>
      </c>
      <c r="I10">
        <v>4988.94</v>
      </c>
      <c r="J10">
        <v>630.27</v>
      </c>
      <c r="K10">
        <v>14435.96</v>
      </c>
      <c r="L10">
        <v>-1</v>
      </c>
      <c r="M10">
        <v>9512.09</v>
      </c>
    </row>
    <row r="11" spans="1:13">
      <c r="A11" t="s">
        <v>22</v>
      </c>
      <c r="B11">
        <v>638.28</v>
      </c>
      <c r="C11">
        <v>14112.86</v>
      </c>
      <c r="D11">
        <v>588.74</v>
      </c>
      <c r="E11">
        <v>14122.26</v>
      </c>
      <c r="F11">
        <v>-1</v>
      </c>
      <c r="G11">
        <v>12586.2</v>
      </c>
      <c r="H11">
        <v>-1</v>
      </c>
      <c r="I11">
        <v>1374.67</v>
      </c>
      <c r="J11">
        <v>-1</v>
      </c>
      <c r="K11">
        <v>9474.82</v>
      </c>
      <c r="L11">
        <v>-1</v>
      </c>
      <c r="M11">
        <v>1249.23</v>
      </c>
    </row>
    <row r="14" spans="1:42">
      <c r="A14" s="2" t="s">
        <v>23</v>
      </c>
      <c r="B14" s="2" t="s">
        <v>24</v>
      </c>
      <c r="C14" s="2" t="s">
        <v>25</v>
      </c>
      <c r="D14" s="3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3" t="s">
        <v>38</v>
      </c>
      <c r="Q14" s="2" t="s">
        <v>39</v>
      </c>
      <c r="R14" s="2" t="s">
        <v>40</v>
      </c>
      <c r="S14" s="2" t="s">
        <v>41</v>
      </c>
      <c r="T14" s="2" t="s">
        <v>42</v>
      </c>
      <c r="U14" s="2" t="s">
        <v>43</v>
      </c>
      <c r="V14" s="3" t="s">
        <v>44</v>
      </c>
      <c r="W14" s="2" t="s">
        <v>45</v>
      </c>
      <c r="X14" s="2" t="s">
        <v>46</v>
      </c>
      <c r="Y14" s="2" t="s">
        <v>47</v>
      </c>
      <c r="Z14" s="2" t="s">
        <v>48</v>
      </c>
      <c r="AA14" s="2" t="s">
        <v>49</v>
      </c>
      <c r="AB14" s="3" t="s">
        <v>50</v>
      </c>
      <c r="AC14" s="2" t="s">
        <v>51</v>
      </c>
      <c r="AD14" s="2" t="s">
        <v>52</v>
      </c>
      <c r="AE14" s="2" t="s">
        <v>53</v>
      </c>
      <c r="AF14" s="2" t="s">
        <v>54</v>
      </c>
      <c r="AG14" s="2" t="s">
        <v>55</v>
      </c>
      <c r="AH14" s="3" t="s">
        <v>56</v>
      </c>
      <c r="AI14" s="2" t="s">
        <v>57</v>
      </c>
      <c r="AJ14" s="2" t="s">
        <v>58</v>
      </c>
      <c r="AK14" s="2" t="s">
        <v>59</v>
      </c>
      <c r="AL14" s="2" t="s">
        <v>60</v>
      </c>
      <c r="AM14" s="2" t="s">
        <v>61</v>
      </c>
      <c r="AN14" s="3" t="s">
        <v>62</v>
      </c>
      <c r="AO14" s="2" t="s">
        <v>63</v>
      </c>
      <c r="AP14" s="2" t="s">
        <v>64</v>
      </c>
    </row>
    <row r="15" spans="1:42">
      <c r="A15" s="4">
        <f>IFERROR(AVERAGEIF($B$2:$B$11,"&lt;&gt; -1"),0)</f>
        <v>623.005</v>
      </c>
      <c r="B15" s="4">
        <f>IFERROR(AVERAGEIF($D$2:$D$11,"&lt;&gt; -1"),0)</f>
        <v>589.147</v>
      </c>
      <c r="C15" s="4">
        <f>IFERROR(AVERAGEIF($F$2:$F$11,"&lt;&gt; -1"),0)</f>
        <v>615.8225</v>
      </c>
      <c r="D15" s="4">
        <f>IFERROR(AVERAGEIF($H$2:$H$11,"&lt;&gt; -1"),0)</f>
        <v>0</v>
      </c>
      <c r="E15" s="4">
        <f>IFERROR(AVERAGEIF($J$2:$J$11,"&lt;&gt; -1"),0)</f>
        <v>609.4175</v>
      </c>
      <c r="F15" s="4">
        <f>IFERROR(AVERAGEIF($L$2:$L$11,"&lt;&gt; -1"),0)</f>
        <v>0</v>
      </c>
      <c r="G15" s="4">
        <f>IFERROR(AVERAGEIFS($C$2:$C$11,$B$2:$B$11,"&lt;&gt; -1"),0)</f>
        <v>14220.042</v>
      </c>
      <c r="H15" s="4">
        <f>IFERROR(AVERAGEIFS($E$2:$E$11,$D$2:$D$11,"&lt;&gt; -1"),0)</f>
        <v>14441.718</v>
      </c>
      <c r="I15" s="4">
        <f>IFERROR(AVERAGEIFS($G$2:$G$11,$F$2:$F$11,"&lt;&gt; -1"),0)</f>
        <v>15987.115</v>
      </c>
      <c r="J15" s="4">
        <f>IFERROR(AVERAGEIFS($I$2:$I$11,$H$2:$H$11,"&lt;&gt; -1"),0)</f>
        <v>0</v>
      </c>
      <c r="K15" s="4">
        <f>IFERROR(AVERAGEIFS($K$2:$K$11,$J$2:$J$11,"&lt;&gt; -1"),0)</f>
        <v>14222.23</v>
      </c>
      <c r="L15" s="4">
        <f>IFERROR(AVERAGEIFS($M$2:$M$11,$L$2:$L$11,"&lt;&gt; -1"),0)</f>
        <v>0</v>
      </c>
      <c r="M15" s="4">
        <f>IFERROR(_xlfn.MAXIFS($B$2:$B$11,$B$2:$B$11,"&lt;&gt; -1"),0)</f>
        <v>644.51</v>
      </c>
      <c r="N15" s="4">
        <f>IFERROR(_xlfn.MAXIFS($D$2:$D$11,$D$2:$D$11,"&lt;&gt;-1"),0)</f>
        <v>612.62</v>
      </c>
      <c r="O15" s="4">
        <f>IFERROR(_xlfn.MAXIFS($F$2:$F$11,$F$2:$F$11,"&lt;&gt; -1"),0)</f>
        <v>636.64</v>
      </c>
      <c r="P15" s="4">
        <f>IFERROR(_xlfn.MAXIFS($H$2:$H$11,$H$2:$H$11,"&lt;&gt; -1"),0)</f>
        <v>0</v>
      </c>
      <c r="Q15" s="4">
        <f>IFERROR(_xlfn.MAXIFS($J$2:$J$11,$J$2:$J$11,"&lt;&gt; -1"),0)</f>
        <v>630.27</v>
      </c>
      <c r="R15" s="4">
        <f>IFERROR(_xlfn.MAXIFS($L$2:$L$11,$L$2:$L$11,"&lt;&gt; -1"),0)</f>
        <v>0</v>
      </c>
      <c r="S15" s="4">
        <f>IFERROR(_xlfn.MINIFS($B$2:$B$11,$B$2:$B$11,"&lt;&gt; -1"),0)</f>
        <v>589.46</v>
      </c>
      <c r="T15" s="4">
        <f>IFERROR(_xlfn.MINIFS($D$2:$D$11,$D$2:$D$11,"&lt;&gt;-1"),0)</f>
        <v>573.55</v>
      </c>
      <c r="U15" s="4">
        <f>IFERROR(_xlfn.MINIFS($F$2:$F$11,$F$2:$F$11,"&lt;&gt; -1"),0)</f>
        <v>597.21</v>
      </c>
      <c r="V15" s="4">
        <f>IFERROR(_xlfn.MINIFS($H$2:$H$11,$H$2:$H$11,"&lt;&gt; -1"),0)</f>
        <v>0</v>
      </c>
      <c r="W15" s="4">
        <f>IFERROR(_xlfn.MINIFS($J$2:$J$11,$J$2:$J$11,"&lt;&gt; -1"),0)</f>
        <v>590.85</v>
      </c>
      <c r="X15" s="4">
        <f>IFERROR(_xlfn.MINIFS($L$2:$L$11,$L$2:$L$11,"&lt;&gt; -1"),0)</f>
        <v>0</v>
      </c>
      <c r="Y15" s="4">
        <f>IFERROR(_xlfn.MAXIFS($C$2:$C$11,$B$2:$B$11,"&lt;&gt; -1"),0)</f>
        <v>14658.67</v>
      </c>
      <c r="Z15" s="4">
        <f>IFERROR(_xlfn.MAXIFS($E$2:$E$11,$D$2:$D$11,"&lt;&gt; -1"),0)</f>
        <v>15135.01</v>
      </c>
      <c r="AA15" s="4">
        <f>IFERROR(_xlfn.MAXIFS($G$2:$G$11,$F$2:$F$11,"&lt;&gt; -1"),0)</f>
        <v>16362.65</v>
      </c>
      <c r="AB15" s="4">
        <f>IFERROR(_xlfn.MAXIFS($I$2:$I$11,$H$2:$H$11,"&lt;&gt; -1"),0)</f>
        <v>0</v>
      </c>
      <c r="AC15" s="4">
        <f>IFERROR(_xlfn.MAXIFS($K$2:$K$11,$J$2:$J$11,"&lt;&gt; -1"),0)</f>
        <v>14435.96</v>
      </c>
      <c r="AD15" s="4">
        <f>IFERROR(_xlfn.MAXIFS($M$2:$M$11,$L$2:$L$11,"&lt;&gt; -1"),0)</f>
        <v>0</v>
      </c>
      <c r="AE15" s="4">
        <f>IFERROR(_xlfn.MINIFS($C$2:$C$11,$B$2:$B$11,"&lt;&gt; -1"),0)</f>
        <v>13950.96</v>
      </c>
      <c r="AF15" s="4">
        <f>IFERROR(_xlfn.MINIFS($E$2:$E$11,$D$2:$D$11,"&lt;&gt; -1"),0)</f>
        <v>13797.45</v>
      </c>
      <c r="AG15" s="4">
        <f>IFERROR(_xlfn.MINIFS($G$2:$G$11,$F$2:$F$11,"&lt;&gt; -1"),0)</f>
        <v>15584.54</v>
      </c>
      <c r="AH15" s="4">
        <f>IFERROR(_xlfn.MINIFS($I$2:$I$11,$H$2:$H$11,"&lt;&gt; -1"),0)</f>
        <v>0</v>
      </c>
      <c r="AI15" s="4">
        <f>IFERROR(_xlfn.MINIFS($K$2:$K$11,$J$2:$J$11,"&lt;&gt; -1"),0)</f>
        <v>13927.39</v>
      </c>
      <c r="AJ15" s="4">
        <f>IFERROR(_xlfn.MINIFS($M$2:$M$11,$L$2:$L$11,"&lt;&gt; -1"),0)</f>
        <v>0</v>
      </c>
      <c r="AK15" s="4">
        <f>(COUNTIFS($B$2:$B$11,"&gt;0.0",$B$2:$B$11,"&lt;700.0"))/10</f>
        <v>1</v>
      </c>
      <c r="AL15" s="4">
        <f>(COUNTIFS($D$2:$D$11,"&gt;0.0",$D$2:$D$11,"&lt;700.0"))/10</f>
        <v>1</v>
      </c>
      <c r="AM15" s="4">
        <f>(COUNTIFS($F$2:$F$11,"&gt;0.0",$F$2:$F$11,"&lt;700.0"))/10</f>
        <v>0.4</v>
      </c>
      <c r="AN15" s="4" t="e">
        <f>(COUNTIFS($H$2:$H12,"&gt;0.0",$H$2:$H$11,"&lt;700.0"))/10</f>
        <v>#VALUE!</v>
      </c>
      <c r="AO15" s="4">
        <f>(COUNTIFS($J$2:$J$11,"&gt;0.0",$J$2:$J$11,"&lt;700.0"))/10</f>
        <v>0.4</v>
      </c>
      <c r="AP15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F13" sqref="F13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648.699</v>
      </c>
      <c r="B2">
        <v>511.573</v>
      </c>
      <c r="C2">
        <v>661.772</v>
      </c>
      <c r="D2">
        <v>0</v>
      </c>
      <c r="E2">
        <v>655.139</v>
      </c>
      <c r="F2">
        <v>473.645</v>
      </c>
      <c r="G2">
        <v>14127.615</v>
      </c>
      <c r="H2">
        <v>14237.149</v>
      </c>
      <c r="I2">
        <v>15818.472</v>
      </c>
      <c r="J2">
        <v>0</v>
      </c>
      <c r="K2">
        <v>14097.535</v>
      </c>
      <c r="L2">
        <v>13901.61</v>
      </c>
      <c r="M2">
        <v>818.21</v>
      </c>
      <c r="N2">
        <v>639.19</v>
      </c>
      <c r="O2">
        <v>830.33</v>
      </c>
      <c r="P2">
        <v>0</v>
      </c>
      <c r="Q2">
        <v>820.44</v>
      </c>
      <c r="R2">
        <v>520.16</v>
      </c>
      <c r="S2">
        <v>518.17</v>
      </c>
      <c r="T2">
        <v>409.88</v>
      </c>
      <c r="U2">
        <v>526.03</v>
      </c>
      <c r="V2">
        <v>0</v>
      </c>
      <c r="W2">
        <v>519.64</v>
      </c>
      <c r="X2">
        <v>427.13</v>
      </c>
      <c r="Y2">
        <v>14561</v>
      </c>
      <c r="Z2">
        <v>14908.75</v>
      </c>
      <c r="AA2">
        <v>16254.17</v>
      </c>
      <c r="AB2">
        <v>0</v>
      </c>
      <c r="AC2">
        <v>14570.35</v>
      </c>
      <c r="AD2">
        <v>14053.2</v>
      </c>
      <c r="AE2">
        <v>13530.61</v>
      </c>
      <c r="AF2">
        <v>13811.9</v>
      </c>
      <c r="AG2">
        <v>15081.6</v>
      </c>
      <c r="AH2">
        <v>0</v>
      </c>
      <c r="AI2">
        <v>13516.22</v>
      </c>
      <c r="AJ2">
        <v>13750.02</v>
      </c>
      <c r="AK2">
        <v>0.7</v>
      </c>
      <c r="AL2">
        <v>1</v>
      </c>
      <c r="AM2">
        <v>0.7</v>
      </c>
      <c r="AN2">
        <v>0</v>
      </c>
      <c r="AO2">
        <v>0.7</v>
      </c>
      <c r="AP2">
        <v>0.2</v>
      </c>
    </row>
    <row r="3" spans="1:42">
      <c r="A3">
        <v>555.702</v>
      </c>
      <c r="B3">
        <v>446.214</v>
      </c>
      <c r="C3">
        <v>575.71</v>
      </c>
      <c r="D3">
        <v>0</v>
      </c>
      <c r="E3">
        <v>570.225</v>
      </c>
      <c r="F3">
        <v>0</v>
      </c>
      <c r="G3">
        <v>14190.352</v>
      </c>
      <c r="H3">
        <v>14359.819</v>
      </c>
      <c r="I3">
        <v>15864.3783333333</v>
      </c>
      <c r="J3">
        <v>0</v>
      </c>
      <c r="K3">
        <v>14219.97</v>
      </c>
      <c r="L3">
        <v>0</v>
      </c>
      <c r="M3">
        <v>572.72</v>
      </c>
      <c r="N3">
        <v>462.13</v>
      </c>
      <c r="O3">
        <v>592.59</v>
      </c>
      <c r="P3">
        <v>0</v>
      </c>
      <c r="Q3">
        <v>583.09</v>
      </c>
      <c r="R3">
        <v>0</v>
      </c>
      <c r="S3">
        <v>535.72</v>
      </c>
      <c r="T3">
        <v>430.52</v>
      </c>
      <c r="U3">
        <v>559.55</v>
      </c>
      <c r="V3">
        <v>0</v>
      </c>
      <c r="W3">
        <v>561.67</v>
      </c>
      <c r="X3">
        <v>0</v>
      </c>
      <c r="Y3">
        <v>14686.54</v>
      </c>
      <c r="Z3">
        <v>14830.18</v>
      </c>
      <c r="AA3">
        <v>16174.34</v>
      </c>
      <c r="AB3">
        <v>0</v>
      </c>
      <c r="AC3">
        <v>14541.15</v>
      </c>
      <c r="AD3">
        <v>0</v>
      </c>
      <c r="AE3">
        <v>13656.63</v>
      </c>
      <c r="AF3">
        <v>13815.38</v>
      </c>
      <c r="AG3">
        <v>15176.3</v>
      </c>
      <c r="AH3">
        <v>0</v>
      </c>
      <c r="AI3">
        <v>13768.93</v>
      </c>
      <c r="AJ3">
        <v>0</v>
      </c>
      <c r="AK3">
        <v>1</v>
      </c>
      <c r="AL3">
        <v>1</v>
      </c>
      <c r="AM3">
        <v>0.6</v>
      </c>
      <c r="AN3">
        <v>0</v>
      </c>
      <c r="AO3">
        <v>0.6</v>
      </c>
      <c r="AP3">
        <v>0</v>
      </c>
    </row>
    <row r="4" spans="1:42">
      <c r="A4">
        <v>608.525</v>
      </c>
      <c r="B4">
        <v>488.889</v>
      </c>
      <c r="C4">
        <v>0</v>
      </c>
      <c r="D4">
        <v>0</v>
      </c>
      <c r="E4">
        <v>0</v>
      </c>
      <c r="F4">
        <v>490.88</v>
      </c>
      <c r="G4">
        <v>14525.624</v>
      </c>
      <c r="H4">
        <v>14473.835</v>
      </c>
      <c r="I4">
        <v>0</v>
      </c>
      <c r="J4">
        <v>0</v>
      </c>
      <c r="K4">
        <v>0</v>
      </c>
      <c r="L4">
        <v>14075.33</v>
      </c>
      <c r="M4">
        <v>628.95</v>
      </c>
      <c r="N4">
        <v>505.97</v>
      </c>
      <c r="O4">
        <v>0</v>
      </c>
      <c r="P4">
        <v>0</v>
      </c>
      <c r="Q4">
        <v>0</v>
      </c>
      <c r="R4">
        <v>490.88</v>
      </c>
      <c r="S4">
        <v>595.52</v>
      </c>
      <c r="T4">
        <v>474.47</v>
      </c>
      <c r="U4">
        <v>0</v>
      </c>
      <c r="V4">
        <v>0</v>
      </c>
      <c r="W4">
        <v>0</v>
      </c>
      <c r="X4">
        <v>490.88</v>
      </c>
      <c r="Y4">
        <v>15198.31</v>
      </c>
      <c r="Z4">
        <v>14924.68</v>
      </c>
      <c r="AA4">
        <v>0</v>
      </c>
      <c r="AB4">
        <v>0</v>
      </c>
      <c r="AC4">
        <v>0</v>
      </c>
      <c r="AD4">
        <v>14075.33</v>
      </c>
      <c r="AE4">
        <v>13919.58</v>
      </c>
      <c r="AF4">
        <v>13888.81</v>
      </c>
      <c r="AG4">
        <v>0</v>
      </c>
      <c r="AH4">
        <v>0</v>
      </c>
      <c r="AI4">
        <v>0</v>
      </c>
      <c r="AJ4">
        <v>14075.33</v>
      </c>
      <c r="AK4">
        <v>1</v>
      </c>
      <c r="AL4">
        <v>1</v>
      </c>
      <c r="AM4">
        <v>0</v>
      </c>
      <c r="AN4">
        <v>0</v>
      </c>
      <c r="AO4">
        <v>0</v>
      </c>
      <c r="AP4">
        <v>0.1</v>
      </c>
    </row>
    <row r="5" spans="1:42">
      <c r="A5">
        <v>639.696</v>
      </c>
      <c r="B5">
        <v>528.529</v>
      </c>
      <c r="C5">
        <v>0</v>
      </c>
      <c r="D5">
        <v>546.17</v>
      </c>
      <c r="E5">
        <v>0</v>
      </c>
      <c r="F5">
        <v>533.57</v>
      </c>
      <c r="G5">
        <v>14513.161</v>
      </c>
      <c r="H5">
        <v>14229.974</v>
      </c>
      <c r="I5">
        <v>0</v>
      </c>
      <c r="J5">
        <v>15900.55</v>
      </c>
      <c r="K5">
        <v>0</v>
      </c>
      <c r="L5">
        <v>14231.28</v>
      </c>
      <c r="M5">
        <v>659.75</v>
      </c>
      <c r="N5">
        <v>548.65</v>
      </c>
      <c r="O5">
        <v>0</v>
      </c>
      <c r="P5">
        <v>546.17</v>
      </c>
      <c r="Q5">
        <v>0</v>
      </c>
      <c r="R5">
        <v>533.57</v>
      </c>
      <c r="S5">
        <v>625.22</v>
      </c>
      <c r="T5">
        <v>511.61</v>
      </c>
      <c r="U5">
        <v>0</v>
      </c>
      <c r="V5">
        <v>546.17</v>
      </c>
      <c r="W5">
        <v>0</v>
      </c>
      <c r="X5">
        <v>533.57</v>
      </c>
      <c r="Y5">
        <v>15029.52</v>
      </c>
      <c r="Z5">
        <v>14913.38</v>
      </c>
      <c r="AA5">
        <v>0</v>
      </c>
      <c r="AB5">
        <v>15900.55</v>
      </c>
      <c r="AC5">
        <v>0</v>
      </c>
      <c r="AD5">
        <v>14231.28</v>
      </c>
      <c r="AE5">
        <v>14055.64</v>
      </c>
      <c r="AF5">
        <v>13701.83</v>
      </c>
      <c r="AG5">
        <v>0</v>
      </c>
      <c r="AH5">
        <v>15900.55</v>
      </c>
      <c r="AI5">
        <v>0</v>
      </c>
      <c r="AJ5">
        <v>14231.28</v>
      </c>
      <c r="AK5">
        <v>1</v>
      </c>
      <c r="AL5">
        <v>1</v>
      </c>
      <c r="AM5">
        <v>0</v>
      </c>
      <c r="AN5">
        <v>0.1</v>
      </c>
      <c r="AO5">
        <v>0</v>
      </c>
      <c r="AP5">
        <v>0.1</v>
      </c>
    </row>
    <row r="6" spans="1:42">
      <c r="A6">
        <v>664.977</v>
      </c>
      <c r="B6">
        <v>566.19</v>
      </c>
      <c r="C6">
        <v>0</v>
      </c>
      <c r="D6">
        <v>0</v>
      </c>
      <c r="E6">
        <v>0</v>
      </c>
      <c r="F6">
        <v>0</v>
      </c>
      <c r="G6">
        <v>14419.826</v>
      </c>
      <c r="H6">
        <v>14338.159</v>
      </c>
      <c r="I6">
        <v>0</v>
      </c>
      <c r="J6">
        <v>0</v>
      </c>
      <c r="K6">
        <v>0</v>
      </c>
      <c r="L6">
        <v>0</v>
      </c>
      <c r="M6">
        <v>684.31</v>
      </c>
      <c r="N6">
        <v>586.11</v>
      </c>
      <c r="O6">
        <v>0</v>
      </c>
      <c r="P6">
        <v>0</v>
      </c>
      <c r="Q6">
        <v>0</v>
      </c>
      <c r="R6">
        <v>0</v>
      </c>
      <c r="S6">
        <v>650.2</v>
      </c>
      <c r="T6">
        <v>551.85</v>
      </c>
      <c r="U6">
        <v>0</v>
      </c>
      <c r="V6">
        <v>0</v>
      </c>
      <c r="W6">
        <v>0</v>
      </c>
      <c r="X6">
        <v>0</v>
      </c>
      <c r="Y6">
        <v>14848.35</v>
      </c>
      <c r="Z6">
        <v>15222.24</v>
      </c>
      <c r="AA6">
        <v>0</v>
      </c>
      <c r="AB6">
        <v>0</v>
      </c>
      <c r="AC6">
        <v>0</v>
      </c>
      <c r="AD6">
        <v>0</v>
      </c>
      <c r="AE6">
        <v>14097.19</v>
      </c>
      <c r="AF6">
        <v>13979.06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623.005</v>
      </c>
      <c r="B7">
        <v>589.147</v>
      </c>
      <c r="C7">
        <v>615.8225</v>
      </c>
      <c r="D7">
        <v>0</v>
      </c>
      <c r="E7">
        <v>609.4175</v>
      </c>
      <c r="F7">
        <v>0</v>
      </c>
      <c r="G7">
        <v>14220.042</v>
      </c>
      <c r="H7">
        <v>14441.718</v>
      </c>
      <c r="I7">
        <v>15987.115</v>
      </c>
      <c r="J7">
        <v>0</v>
      </c>
      <c r="K7">
        <v>14222.23</v>
      </c>
      <c r="L7">
        <v>0</v>
      </c>
      <c r="M7">
        <v>644.51</v>
      </c>
      <c r="N7">
        <v>612.62</v>
      </c>
      <c r="O7">
        <v>636.64</v>
      </c>
      <c r="P7">
        <v>0</v>
      </c>
      <c r="Q7">
        <v>630.27</v>
      </c>
      <c r="R7">
        <v>0</v>
      </c>
      <c r="S7">
        <v>589.46</v>
      </c>
      <c r="T7">
        <v>573.55</v>
      </c>
      <c r="U7">
        <v>597.21</v>
      </c>
      <c r="V7">
        <v>0</v>
      </c>
      <c r="W7">
        <v>590.85</v>
      </c>
      <c r="X7">
        <v>0</v>
      </c>
      <c r="Y7">
        <v>14658.67</v>
      </c>
      <c r="Z7">
        <v>15135.01</v>
      </c>
      <c r="AA7">
        <v>16362.65</v>
      </c>
      <c r="AB7">
        <v>0</v>
      </c>
      <c r="AC7">
        <v>14435.96</v>
      </c>
      <c r="AD7">
        <v>0</v>
      </c>
      <c r="AE7">
        <v>13950.96</v>
      </c>
      <c r="AF7">
        <v>13797.45</v>
      </c>
      <c r="AG7">
        <v>15584.54</v>
      </c>
      <c r="AH7">
        <v>0</v>
      </c>
      <c r="AI7">
        <v>13927.39</v>
      </c>
      <c r="AJ7">
        <v>0</v>
      </c>
      <c r="AK7">
        <v>1</v>
      </c>
      <c r="AL7">
        <v>1</v>
      </c>
      <c r="AM7">
        <v>0.4</v>
      </c>
      <c r="AN7" t="e">
        <v>#VALUE!</v>
      </c>
      <c r="AO7">
        <v>0.4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2024-09-26T01:39:00Z</dcterms:created>
  <dcterms:modified xsi:type="dcterms:W3CDTF">2024-09-26T02:35:28Z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9781577414E14095923BEDA48DE4384A_12</vt:lpwstr>
  </property>
  <property fmtid="{D5CDD505-2E9C-101B-9397-08002B2CF9AE}" pid="3" name="KSOProductBuildVer">
    <vt:lpwstr>2052-12.1.0.17827</vt:lpwstr>
  </property>
</Properties>
</file>