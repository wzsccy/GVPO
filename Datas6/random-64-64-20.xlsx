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<sst xmlns="http://schemas.openxmlformats.org/spreadsheetml/2006/main" count="432" uniqueCount="65">
  <si>
    <t>scen</t>
  </si>
  <si>
    <t>L2_T</t>
  </si>
  <si>
    <t>L2_C</t>
  </si>
  <si>
    <t>L4_T</t>
  </si>
  <si>
    <t>L4_C</t>
  </si>
  <si>
    <t>E2_T</t>
  </si>
  <si>
    <t>E2_C</t>
  </si>
  <si>
    <t>E4_T</t>
  </si>
  <si>
    <t>E4_C</t>
  </si>
  <si>
    <t>M2_T</t>
  </si>
  <si>
    <t>M2_C</t>
  </si>
  <si>
    <t>M4_T</t>
  </si>
  <si>
    <t>M4_C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</si>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</sst>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D14" sqref="A13:AP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470.53</v>
      </c>
      <c r="C2">
        <v>14319.77</v>
      </c>
      <c r="D2">
        <v>343.52</v>
      </c>
      <c r="E2">
        <v>14196.19</v>
      </c>
      <c r="F2">
        <v>-1</v>
      </c>
      <c r="G2">
        <v>13970.67</v>
      </c>
      <c r="H2">
        <v>-1</v>
      </c>
      <c r="I2">
        <v>8951.14</v>
      </c>
      <c r="J2">
        <v>-1</v>
      </c>
      <c r="K2">
        <v>865.13</v>
      </c>
      <c r="L2">
        <v>-1</v>
      </c>
      <c r="M2">
        <v>1204.61</v>
      </c>
    </row>
    <row r="3" spans="1:13">
      <c r="A3" t="s">
        <v>14</v>
      </c>
      <c r="B3">
        <v>462.62</v>
      </c>
      <c r="C3">
        <v>14368.76</v>
      </c>
      <c r="D3">
        <v>350.49</v>
      </c>
      <c r="E3">
        <v>14141.83</v>
      </c>
      <c r="F3">
        <v>490.77</v>
      </c>
      <c r="G3">
        <v>16167.56</v>
      </c>
      <c r="H3">
        <v>-1</v>
      </c>
      <c r="I3">
        <v>10786.62</v>
      </c>
      <c r="J3">
        <v>464.15</v>
      </c>
      <c r="K3">
        <v>14516.24</v>
      </c>
      <c r="L3">
        <v>-1</v>
      </c>
      <c r="M3">
        <v>3968.46</v>
      </c>
    </row>
    <row r="4" spans="1:13">
      <c r="A4" t="s">
        <v>15</v>
      </c>
      <c r="B4">
        <v>476.81</v>
      </c>
      <c r="C4">
        <v>14967.22</v>
      </c>
      <c r="D4">
        <v>363.03</v>
      </c>
      <c r="E4">
        <v>14834.68</v>
      </c>
      <c r="F4">
        <v>487.14</v>
      </c>
      <c r="G4">
        <v>16653.47</v>
      </c>
      <c r="H4">
        <v>-1</v>
      </c>
      <c r="I4">
        <v>8591.79</v>
      </c>
      <c r="J4">
        <v>479.41</v>
      </c>
      <c r="K4">
        <v>15088.33</v>
      </c>
      <c r="L4">
        <v>-1</v>
      </c>
      <c r="M4">
        <v>2363.01</v>
      </c>
    </row>
    <row r="5" spans="1:13">
      <c r="A5" t="s">
        <v>16</v>
      </c>
      <c r="B5">
        <v>469.56</v>
      </c>
      <c r="C5">
        <v>14566.96</v>
      </c>
      <c r="D5">
        <v>351.61</v>
      </c>
      <c r="E5">
        <v>14402.88</v>
      </c>
      <c r="F5">
        <v>479.98</v>
      </c>
      <c r="G5">
        <v>16183.73</v>
      </c>
      <c r="H5">
        <v>-1</v>
      </c>
      <c r="I5">
        <v>9695.66</v>
      </c>
      <c r="J5">
        <v>472.13</v>
      </c>
      <c r="K5">
        <v>14677.87</v>
      </c>
      <c r="L5">
        <v>-1</v>
      </c>
      <c r="M5">
        <v>9975.2</v>
      </c>
    </row>
    <row r="6" spans="1:13">
      <c r="A6" t="s">
        <v>17</v>
      </c>
      <c r="B6">
        <v>480.22</v>
      </c>
      <c r="C6">
        <v>14634.91</v>
      </c>
      <c r="D6">
        <v>363.28</v>
      </c>
      <c r="E6">
        <v>15156.19</v>
      </c>
      <c r="F6">
        <v>491.88</v>
      </c>
      <c r="G6">
        <v>16201.33</v>
      </c>
      <c r="H6">
        <v>-1</v>
      </c>
      <c r="I6">
        <v>9848.79</v>
      </c>
      <c r="J6">
        <v>482.95</v>
      </c>
      <c r="K6">
        <v>14788.34</v>
      </c>
      <c r="L6">
        <v>374.11</v>
      </c>
      <c r="M6">
        <v>15193.49</v>
      </c>
    </row>
    <row r="7" spans="1:13">
      <c r="A7" t="s">
        <v>18</v>
      </c>
      <c r="B7">
        <v>456.96</v>
      </c>
      <c r="C7">
        <v>13611.17</v>
      </c>
      <c r="D7">
        <v>342.84</v>
      </c>
      <c r="E7">
        <v>13653.87</v>
      </c>
      <c r="F7">
        <v>467.61</v>
      </c>
      <c r="G7">
        <v>15122.36</v>
      </c>
      <c r="H7">
        <v>-1</v>
      </c>
      <c r="I7">
        <v>12921.65</v>
      </c>
      <c r="J7">
        <v>-1</v>
      </c>
      <c r="K7">
        <v>4427.26</v>
      </c>
      <c r="L7">
        <v>-1</v>
      </c>
      <c r="M7">
        <v>10520.63</v>
      </c>
    </row>
    <row r="8" spans="1:13">
      <c r="A8" t="s">
        <v>19</v>
      </c>
      <c r="B8">
        <v>445.93</v>
      </c>
      <c r="C8">
        <v>14920.79</v>
      </c>
      <c r="D8">
        <v>355.31</v>
      </c>
      <c r="E8">
        <v>14231</v>
      </c>
      <c r="F8">
        <v>466.59</v>
      </c>
      <c r="G8">
        <v>16483.76</v>
      </c>
      <c r="H8">
        <v>-1</v>
      </c>
      <c r="I8">
        <v>8498.74</v>
      </c>
      <c r="J8">
        <v>452.17</v>
      </c>
      <c r="K8">
        <v>15064.23</v>
      </c>
      <c r="L8">
        <v>376.52</v>
      </c>
      <c r="M8">
        <v>14331.89</v>
      </c>
    </row>
    <row r="9" spans="1:13">
      <c r="A9" t="s">
        <v>20</v>
      </c>
      <c r="B9">
        <v>471.77</v>
      </c>
      <c r="C9">
        <v>14575.47</v>
      </c>
      <c r="D9">
        <v>360.77</v>
      </c>
      <c r="E9">
        <v>14523.21</v>
      </c>
      <c r="F9">
        <v>478.5</v>
      </c>
      <c r="G9">
        <v>16337.28</v>
      </c>
      <c r="H9">
        <v>-1</v>
      </c>
      <c r="I9">
        <v>14613.91</v>
      </c>
      <c r="J9">
        <v>473.01</v>
      </c>
      <c r="K9">
        <v>14693.71</v>
      </c>
      <c r="L9">
        <v>-1</v>
      </c>
      <c r="M9">
        <v>12304.16</v>
      </c>
    </row>
    <row r="10" spans="1:13">
      <c r="A10" t="s">
        <v>21</v>
      </c>
      <c r="B10">
        <v>477.79</v>
      </c>
      <c r="C10">
        <v>14728.69</v>
      </c>
      <c r="D10">
        <v>358.52</v>
      </c>
      <c r="E10">
        <v>14816.98</v>
      </c>
      <c r="F10">
        <v>492.62</v>
      </c>
      <c r="G10">
        <v>16276.72</v>
      </c>
      <c r="H10">
        <v>-1</v>
      </c>
      <c r="I10">
        <v>13072.57</v>
      </c>
      <c r="J10">
        <v>485.6</v>
      </c>
      <c r="K10">
        <v>14780.2</v>
      </c>
      <c r="L10">
        <v>-1</v>
      </c>
      <c r="M10">
        <v>14672.55</v>
      </c>
    </row>
    <row r="11" spans="1:13">
      <c r="A11" t="s">
        <v>22</v>
      </c>
      <c r="B11">
        <v>473.41</v>
      </c>
      <c r="C11">
        <v>14606.54</v>
      </c>
      <c r="D11">
        <v>360.84</v>
      </c>
      <c r="E11">
        <v>14647.65</v>
      </c>
      <c r="F11">
        <v>484.01</v>
      </c>
      <c r="G11">
        <v>16206.98</v>
      </c>
      <c r="H11">
        <v>-1</v>
      </c>
      <c r="I11">
        <v>6003.81</v>
      </c>
      <c r="J11">
        <v>474.7</v>
      </c>
      <c r="K11">
        <v>14630.28</v>
      </c>
      <c r="L11">
        <v>382.22</v>
      </c>
      <c r="M11">
        <v>14670.96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468.56</v>
      </c>
      <c r="B14" s="4">
        <f>IFERROR(AVERAGEIF($D$2:$D$11,"&lt;&gt; -1"),0)</f>
        <v>355.021</v>
      </c>
      <c r="C14" s="4">
        <f>IFERROR(AVERAGEIF($F$2:$F$11,"&lt;&gt; -1"),0)</f>
        <v>482.122222222222</v>
      </c>
      <c r="D14" s="4">
        <f>IFERROR(AVERAGEIF($H$2:$H$11,"&lt;&gt; -1"),0)</f>
        <v>0</v>
      </c>
      <c r="E14" s="4">
        <f>IFERROR(AVERAGEIF($J$2:$J$11,"&lt;&gt; -1"),0)</f>
        <v>473.015</v>
      </c>
      <c r="F14" s="4">
        <f>IFERROR(AVERAGEIF($L$2:$L$11,"&lt;&gt; -1"),0)</f>
        <v>377.616666666667</v>
      </c>
      <c r="G14" s="4">
        <f>IFERROR(AVERAGEIFS($C$2:$C$11,$B$2:$B$11,"&lt;&gt; -1"),0)</f>
        <v>14530.028</v>
      </c>
      <c r="H14" s="4">
        <f>IFERROR(AVERAGEIFS($E$2:$E$11,$D$2:$D$11,"&lt;&gt; -1"),0)</f>
        <v>14460.448</v>
      </c>
      <c r="I14" s="4">
        <f>IFERROR(AVERAGEIFS($G$2:$G$11,$F$2:$F$11,"&lt;&gt; -1"),0)</f>
        <v>16181.4655555556</v>
      </c>
      <c r="J14" s="4">
        <f>IFERROR(AVERAGEIFS($I$2:$I$11,$H$2:$H$11,"&lt;&gt; -1"),0)</f>
        <v>0</v>
      </c>
      <c r="K14" s="4">
        <f>IFERROR(AVERAGEIFS($K$2:$K$11,$J$2:$J$11,"&lt;&gt; -1"),0)</f>
        <v>14779.9</v>
      </c>
      <c r="L14" s="4">
        <f>IFERROR(AVERAGEIFS($M$2:$M$11,$L$2:$L$11,"&lt;&gt; -1"),0)</f>
        <v>14732.1133333333</v>
      </c>
      <c r="M14" s="4">
        <f>IFERROR(_xlfn.MAXIFS($B$2:$B$11,$B$2:$B$11,"&lt;&gt; -1"),0)</f>
        <v>480.22</v>
      </c>
      <c r="N14" s="4">
        <f>IFERROR(_xlfn.MAXIFS($D$2:$D$11,$D$2:$D$11,"&lt;&gt;-1"),0)</f>
        <v>363.28</v>
      </c>
      <c r="O14" s="4">
        <f>IFERROR(_xlfn.MAXIFS($F$2:$F$11,$F$2:$F$11,"&lt;&gt; -1"),0)</f>
        <v>492.62</v>
      </c>
      <c r="P14" s="4">
        <f>IFERROR(_xlfn.MAXIFS($H$2:$H$11,$H$2:$H$11,"&lt;&gt; -1"),0)</f>
        <v>0</v>
      </c>
      <c r="Q14" s="4">
        <f>IFERROR(_xlfn.MAXIFS($J$2:$J$11,$J$2:$J$11,"&lt;&gt; -1"),0)</f>
        <v>485.6</v>
      </c>
      <c r="R14" s="4">
        <f>IFERROR(_xlfn.MAXIFS($L$2:$L$11,$L$2:$L$11,"&lt;&gt; -1"),0)</f>
        <v>382.22</v>
      </c>
      <c r="S14" s="4">
        <f>IFERROR(_xlfn.MINIFS($B$2:$B$11,$B$2:$B$11,"&lt;&gt; -1"),0)</f>
        <v>445.93</v>
      </c>
      <c r="T14" s="4">
        <f>IFERROR(_xlfn.MINIFS($D$2:$D$11,$D$2:$D$11,"&lt;&gt;-1"),0)</f>
        <v>342.84</v>
      </c>
      <c r="U14" s="4">
        <f>IFERROR(_xlfn.MINIFS($F$2:$F$11,$F$2:$F$11,"&lt;&gt; -1"),0)</f>
        <v>466.59</v>
      </c>
      <c r="V14" s="4">
        <f>IFERROR(_xlfn.MINIFS($H$2:$H$11,$H$2:$H$11,"&lt;&gt; -1"),0)</f>
        <v>0</v>
      </c>
      <c r="W14" s="4">
        <f>IFERROR(_xlfn.MINIFS($J$2:$J$11,$J$2:$J$11,"&lt;&gt; -1"),0)</f>
        <v>452.17</v>
      </c>
      <c r="X14" s="4">
        <f>IFERROR(_xlfn.MINIFS($L$2:$L$11,$L$2:$L$11,"&lt;&gt; -1"),0)</f>
        <v>374.11</v>
      </c>
      <c r="Y14" s="4">
        <f>IFERROR(_xlfn.MAXIFS($C$2:$C$11,$B$2:$B$11,"&lt;&gt; -1"),0)</f>
        <v>14967.22</v>
      </c>
      <c r="Z14" s="4">
        <f>IFERROR(_xlfn.MAXIFS($E$2:$E$11,$D$2:$D$11,"&lt;&gt; -1"),0)</f>
        <v>15156.19</v>
      </c>
      <c r="AA14" s="4">
        <f>IFERROR(_xlfn.MAXIFS($G$2:$G$11,$F$2:$F$11,"&lt;&gt; -1"),0)</f>
        <v>16653.47</v>
      </c>
      <c r="AB14" s="4">
        <f>IFERROR(_xlfn.MAXIFS($I$2:$I$11,$H$2:$H$11,"&lt;&gt; -1"),0)</f>
        <v>0</v>
      </c>
      <c r="AC14" s="4">
        <f>IFERROR(_xlfn.MAXIFS($K$2:$K$11,$J$2:$J$11,"&lt;&gt; -1"),0)</f>
        <v>15088.33</v>
      </c>
      <c r="AD14" s="4">
        <f>IFERROR(_xlfn.MAXIFS($M$2:$M$11,$L$2:$L$11,"&lt;&gt; -1"),0)</f>
        <v>15193.49</v>
      </c>
      <c r="AE14" s="4">
        <f>IFERROR(_xlfn.MINIFS($C$2:$C$11,$B$2:$B$11,"&lt;&gt; -1"),0)</f>
        <v>13611.17</v>
      </c>
      <c r="AF14" s="4">
        <f>IFERROR(_xlfn.MINIFS($E$2:$E$11,$D$2:$D$11,"&lt;&gt; -1"),0)</f>
        <v>13653.87</v>
      </c>
      <c r="AG14" s="4">
        <f>IFERROR(_xlfn.MINIFS($G$2:$G$11,$F$2:$F$11,"&lt;&gt; -1"),0)</f>
        <v>15122.36</v>
      </c>
      <c r="AH14" s="4">
        <f>IFERROR(_xlfn.MINIFS($I$2:$I$11,$H$2:$H$11,"&lt;&gt; -1"),0)</f>
        <v>0</v>
      </c>
      <c r="AI14" s="4">
        <f>IFERROR(_xlfn.MINIFS($K$2:$K$11,$J$2:$J$11,"&lt;&gt; -1"),0)</f>
        <v>14516.24</v>
      </c>
      <c r="AJ14" s="4">
        <f>IFERROR(_xlfn.MINIFS($M$2:$M$11,$L$2:$L$11,"&lt;&gt; -1"),0)</f>
        <v>14331.89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0.9</v>
      </c>
      <c r="AN14" s="4">
        <f>(COUNTIFS($H$2:$H11,"&gt;0.0",$H$2:$H$11,"&lt;700.0"))/10</f>
        <v>0</v>
      </c>
      <c r="AO14" s="4">
        <f>(COUNTIFS($J$2:$J$11,"&gt;0.0",$J$2:$J$11,"&lt;700.0"))/10</f>
        <v>0.8</v>
      </c>
      <c r="AP14" s="4">
        <f>(COUNTIFS($L$2:$L$11,"&gt;0.0",$L$2:$L$11,"&lt;700.0"))/10</f>
        <v>0.3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485.13</v>
      </c>
      <c r="C2">
        <v>14192.36</v>
      </c>
      <c r="D2">
        <v>373.93</v>
      </c>
      <c r="E2">
        <v>14119.41</v>
      </c>
      <c r="F2">
        <v>-1</v>
      </c>
      <c r="G2">
        <v>14537.04</v>
      </c>
      <c r="H2">
        <v>-1</v>
      </c>
      <c r="I2">
        <v>6968.83</v>
      </c>
      <c r="J2">
        <v>-1</v>
      </c>
      <c r="K2">
        <v>7990.03</v>
      </c>
      <c r="L2">
        <v>-1</v>
      </c>
      <c r="M2">
        <v>0</v>
      </c>
    </row>
    <row r="3" spans="1:13">
      <c r="A3" t="s">
        <v>14</v>
      </c>
      <c r="B3">
        <v>497.22</v>
      </c>
      <c r="C3">
        <v>14620.63</v>
      </c>
      <c r="D3">
        <v>383.27</v>
      </c>
      <c r="E3">
        <v>14577.62</v>
      </c>
      <c r="F3">
        <v>521.58</v>
      </c>
      <c r="G3">
        <v>16378.51</v>
      </c>
      <c r="H3">
        <v>-1</v>
      </c>
      <c r="I3">
        <v>7501.44</v>
      </c>
      <c r="J3">
        <v>522.35</v>
      </c>
      <c r="K3">
        <v>14769.33</v>
      </c>
      <c r="L3">
        <v>-1</v>
      </c>
      <c r="M3">
        <v>936.19</v>
      </c>
    </row>
    <row r="4" spans="1:13">
      <c r="A4" t="s">
        <v>15</v>
      </c>
      <c r="B4">
        <v>508.04</v>
      </c>
      <c r="C4">
        <v>14820.95</v>
      </c>
      <c r="D4">
        <v>394</v>
      </c>
      <c r="E4">
        <v>14899.75</v>
      </c>
      <c r="F4">
        <v>522.15</v>
      </c>
      <c r="G4">
        <v>16486.51</v>
      </c>
      <c r="H4">
        <v>-1</v>
      </c>
      <c r="I4">
        <v>10950.95</v>
      </c>
      <c r="J4">
        <v>511.93</v>
      </c>
      <c r="K4">
        <v>14916.34</v>
      </c>
      <c r="L4">
        <v>-1</v>
      </c>
      <c r="M4">
        <v>10263.71</v>
      </c>
    </row>
    <row r="5" spans="1:13">
      <c r="A5" t="s">
        <v>16</v>
      </c>
      <c r="B5">
        <v>509.5</v>
      </c>
      <c r="C5">
        <v>14844.92</v>
      </c>
      <c r="D5">
        <v>389.38</v>
      </c>
      <c r="E5">
        <v>14623.84</v>
      </c>
      <c r="F5">
        <v>-1</v>
      </c>
      <c r="G5">
        <v>11909.44</v>
      </c>
      <c r="H5">
        <v>-1</v>
      </c>
      <c r="I5">
        <v>9359.93</v>
      </c>
      <c r="J5">
        <v>-1</v>
      </c>
      <c r="K5">
        <v>0</v>
      </c>
      <c r="L5">
        <v>412.22</v>
      </c>
      <c r="M5">
        <v>14686.8</v>
      </c>
    </row>
    <row r="6" spans="1:13">
      <c r="A6" t="s">
        <v>17</v>
      </c>
      <c r="B6">
        <v>502.12</v>
      </c>
      <c r="C6">
        <v>14381.97</v>
      </c>
      <c r="D6">
        <v>391.11</v>
      </c>
      <c r="E6">
        <v>15072.38</v>
      </c>
      <c r="F6">
        <v>514.12</v>
      </c>
      <c r="G6">
        <v>15948.65</v>
      </c>
      <c r="H6">
        <v>-1</v>
      </c>
      <c r="I6">
        <v>6830.17</v>
      </c>
      <c r="J6">
        <v>519.08</v>
      </c>
      <c r="K6">
        <v>14534.86</v>
      </c>
      <c r="L6">
        <v>-1</v>
      </c>
      <c r="M6">
        <v>0</v>
      </c>
    </row>
    <row r="7" spans="1:13">
      <c r="A7" t="s">
        <v>18</v>
      </c>
      <c r="B7">
        <v>459.42</v>
      </c>
      <c r="C7">
        <v>13889.68</v>
      </c>
      <c r="D7">
        <v>383.23</v>
      </c>
      <c r="E7">
        <v>14386.77</v>
      </c>
      <c r="F7">
        <v>485.12</v>
      </c>
      <c r="G7">
        <v>15383.8</v>
      </c>
      <c r="H7">
        <v>-1</v>
      </c>
      <c r="I7">
        <v>6664.45</v>
      </c>
      <c r="J7">
        <v>465.79</v>
      </c>
      <c r="K7">
        <v>13972.23</v>
      </c>
      <c r="L7">
        <v>-1</v>
      </c>
      <c r="M7">
        <v>0</v>
      </c>
    </row>
    <row r="8" spans="1:13">
      <c r="A8" t="s">
        <v>19</v>
      </c>
      <c r="B8">
        <v>504.1</v>
      </c>
      <c r="C8">
        <v>15353.6</v>
      </c>
      <c r="D8">
        <v>393.64</v>
      </c>
      <c r="E8">
        <v>14977.42</v>
      </c>
      <c r="F8">
        <v>524.17</v>
      </c>
      <c r="G8">
        <v>16916.54</v>
      </c>
      <c r="H8">
        <v>-1</v>
      </c>
      <c r="I8">
        <v>7115.73</v>
      </c>
      <c r="J8">
        <v>520.21</v>
      </c>
      <c r="K8">
        <v>15543.26</v>
      </c>
      <c r="L8">
        <v>-1</v>
      </c>
      <c r="M8">
        <v>0</v>
      </c>
    </row>
    <row r="9" spans="1:13">
      <c r="A9" t="s">
        <v>20</v>
      </c>
      <c r="B9">
        <v>506.72</v>
      </c>
      <c r="C9">
        <v>14491.34</v>
      </c>
      <c r="D9">
        <v>394.61</v>
      </c>
      <c r="E9">
        <v>14495.11</v>
      </c>
      <c r="F9">
        <v>-1</v>
      </c>
      <c r="G9">
        <v>8787.87</v>
      </c>
      <c r="H9">
        <v>-1</v>
      </c>
      <c r="I9">
        <v>10917.53</v>
      </c>
      <c r="J9">
        <v>517.27</v>
      </c>
      <c r="K9">
        <v>14587.7</v>
      </c>
      <c r="L9">
        <v>-1</v>
      </c>
      <c r="M9">
        <v>0</v>
      </c>
    </row>
    <row r="10" spans="1:13">
      <c r="A10" t="s">
        <v>21</v>
      </c>
      <c r="B10">
        <v>500.72</v>
      </c>
      <c r="C10">
        <v>14516.73</v>
      </c>
      <c r="D10">
        <v>392.45</v>
      </c>
      <c r="E10">
        <v>15103.98</v>
      </c>
      <c r="F10">
        <v>521.09</v>
      </c>
      <c r="G10">
        <v>15995.29</v>
      </c>
      <c r="H10">
        <v>-1</v>
      </c>
      <c r="I10">
        <v>7931.21</v>
      </c>
      <c r="J10">
        <v>504.82</v>
      </c>
      <c r="K10">
        <v>14606.74</v>
      </c>
      <c r="L10">
        <v>-1</v>
      </c>
      <c r="M10">
        <v>1143.9</v>
      </c>
    </row>
    <row r="11" spans="1:13">
      <c r="A11" t="s">
        <v>22</v>
      </c>
      <c r="B11">
        <v>509.07</v>
      </c>
      <c r="C11">
        <v>14542.61</v>
      </c>
      <c r="D11">
        <v>396.43</v>
      </c>
      <c r="E11">
        <v>14864.3</v>
      </c>
      <c r="F11">
        <v>-1</v>
      </c>
      <c r="G11">
        <v>10774.77</v>
      </c>
      <c r="H11">
        <v>-1</v>
      </c>
      <c r="I11">
        <v>7076.08</v>
      </c>
      <c r="J11">
        <v>-1</v>
      </c>
      <c r="K11">
        <v>9213.04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498.204</v>
      </c>
      <c r="B14" s="4">
        <f>IFERROR(AVERAGEIF($D$2:$D$11,"&lt;&gt; -1"),0)</f>
        <v>389.205</v>
      </c>
      <c r="C14" s="4">
        <f>IFERROR(AVERAGEIF($F$2:$F$11,"&lt;&gt; -1"),0)</f>
        <v>514.705</v>
      </c>
      <c r="D14" s="4">
        <f>IFERROR(AVERAGEIF($H$2:$H$11,"&lt;&gt; -1"),0)</f>
        <v>0</v>
      </c>
      <c r="E14" s="4">
        <f>IFERROR(AVERAGEIF($J$2:$J$11,"&lt;&gt; -1"),0)</f>
        <v>508.778571428571</v>
      </c>
      <c r="F14" s="4">
        <f>IFERROR(AVERAGEIF($L$2:$L$11,"&lt;&gt; -1"),0)</f>
        <v>412.22</v>
      </c>
      <c r="G14" s="4">
        <f>IFERROR(AVERAGEIFS($C$2:$C$11,$B$2:$B$11,"&lt;&gt; -1"),0)</f>
        <v>14565.479</v>
      </c>
      <c r="H14" s="4">
        <f>IFERROR(AVERAGEIFS($E$2:$E$11,$D$2:$D$11,"&lt;&gt; -1"),0)</f>
        <v>14712.058</v>
      </c>
      <c r="I14" s="4">
        <f>IFERROR(AVERAGEIFS($G$2:$G$11,$F$2:$F$11,"&lt;&gt; -1"),0)</f>
        <v>16184.8833333333</v>
      </c>
      <c r="J14" s="4">
        <f>IFERROR(AVERAGEIFS($I$2:$I$11,$H$2:$H$11,"&lt;&gt; -1"),0)</f>
        <v>0</v>
      </c>
      <c r="K14" s="4">
        <f>IFERROR(AVERAGEIFS($K$2:$K$11,$J$2:$J$11,"&lt;&gt; -1"),0)</f>
        <v>14704.3514285714</v>
      </c>
      <c r="L14" s="4">
        <f>IFERROR(AVERAGEIFS($M$2:$M$11,$L$2:$L$11,"&lt;&gt; -1"),0)</f>
        <v>14686.8</v>
      </c>
      <c r="M14" s="4">
        <f>IFERROR(_xlfn.MAXIFS($B$2:$B$11,$B$2:$B$11,"&lt;&gt; -1"),0)</f>
        <v>509.5</v>
      </c>
      <c r="N14" s="4">
        <f>IFERROR(_xlfn.MAXIFS($D$2:$D$11,$D$2:$D$11,"&lt;&gt;-1"),0)</f>
        <v>396.43</v>
      </c>
      <c r="O14" s="4">
        <f>IFERROR(_xlfn.MAXIFS($F$2:$F$11,$F$2:$F$11,"&lt;&gt; -1"),0)</f>
        <v>524.17</v>
      </c>
      <c r="P14" s="4">
        <f>IFERROR(_xlfn.MAXIFS($H$2:$H$11,$H$2:$H$11,"&lt;&gt; -1"),0)</f>
        <v>0</v>
      </c>
      <c r="Q14" s="4">
        <f>IFERROR(_xlfn.MAXIFS($J$2:$J$11,$J$2:$J$11,"&lt;&gt; -1"),0)</f>
        <v>522.35</v>
      </c>
      <c r="R14" s="4">
        <f>IFERROR(_xlfn.MAXIFS($L$2:$L$11,$L$2:$L$11,"&lt;&gt; -1"),0)</f>
        <v>412.22</v>
      </c>
      <c r="S14" s="4">
        <f>IFERROR(_xlfn.MINIFS($B$2:$B$11,$B$2:$B$11,"&lt;&gt; -1"),0)</f>
        <v>459.42</v>
      </c>
      <c r="T14" s="4">
        <f>IFERROR(_xlfn.MINIFS($D$2:$D$11,$D$2:$D$11,"&lt;&gt;-1"),0)</f>
        <v>373.93</v>
      </c>
      <c r="U14" s="4">
        <f>IFERROR(_xlfn.MINIFS($F$2:$F$11,$F$2:$F$11,"&lt;&gt; -1"),0)</f>
        <v>485.12</v>
      </c>
      <c r="V14" s="4">
        <f>IFERROR(_xlfn.MINIFS($H$2:$H$11,$H$2:$H$11,"&lt;&gt; -1"),0)</f>
        <v>0</v>
      </c>
      <c r="W14" s="4">
        <f>IFERROR(_xlfn.MINIFS($J$2:$J$11,$J$2:$J$11,"&lt;&gt; -1"),0)</f>
        <v>465.79</v>
      </c>
      <c r="X14" s="4">
        <f>IFERROR(_xlfn.MINIFS($L$2:$L$11,$L$2:$L$11,"&lt;&gt; -1"),0)</f>
        <v>412.22</v>
      </c>
      <c r="Y14" s="4">
        <f>IFERROR(_xlfn.MAXIFS($C$2:$C$11,$B$2:$B$11,"&lt;&gt; -1"),0)</f>
        <v>15353.6</v>
      </c>
      <c r="Z14" s="4">
        <f>IFERROR(_xlfn.MAXIFS($E$2:$E$11,$D$2:$D$11,"&lt;&gt; -1"),0)</f>
        <v>15103.98</v>
      </c>
      <c r="AA14" s="4">
        <f>IFERROR(_xlfn.MAXIFS($G$2:$G$11,$F$2:$F$11,"&lt;&gt; -1"),0)</f>
        <v>16916.54</v>
      </c>
      <c r="AB14" s="4">
        <f>IFERROR(_xlfn.MAXIFS($I$2:$I$11,$H$2:$H$11,"&lt;&gt; -1"),0)</f>
        <v>0</v>
      </c>
      <c r="AC14" s="4">
        <f>IFERROR(_xlfn.MAXIFS($K$2:$K$11,$J$2:$J$11,"&lt;&gt; -1"),0)</f>
        <v>15543.26</v>
      </c>
      <c r="AD14" s="4">
        <f>IFERROR(_xlfn.MAXIFS($M$2:$M$11,$L$2:$L$11,"&lt;&gt; -1"),0)</f>
        <v>14686.8</v>
      </c>
      <c r="AE14" s="4">
        <f>IFERROR(_xlfn.MINIFS($C$2:$C$11,$B$2:$B$11,"&lt;&gt; -1"),0)</f>
        <v>13889.68</v>
      </c>
      <c r="AF14" s="4">
        <f>IFERROR(_xlfn.MINIFS($E$2:$E$11,$D$2:$D$11,"&lt;&gt; -1"),0)</f>
        <v>14119.41</v>
      </c>
      <c r="AG14" s="4">
        <f>IFERROR(_xlfn.MINIFS($G$2:$G$11,$F$2:$F$11,"&lt;&gt; -1"),0)</f>
        <v>15383.8</v>
      </c>
      <c r="AH14" s="4">
        <f>IFERROR(_xlfn.MINIFS($I$2:$I$11,$H$2:$H$11,"&lt;&gt; -1"),0)</f>
        <v>0</v>
      </c>
      <c r="AI14" s="4">
        <f>IFERROR(_xlfn.MINIFS($K$2:$K$11,$J$2:$J$11,"&lt;&gt; -1"),0)</f>
        <v>13972.23</v>
      </c>
      <c r="AJ14" s="4">
        <f>IFERROR(_xlfn.MINIFS($M$2:$M$11,$L$2:$L$11,"&lt;&gt; -1"),0)</f>
        <v>14686.8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0.6</v>
      </c>
      <c r="AN14" s="4">
        <f>(COUNTIFS($H$2:$H11,"&gt;0.0",$H$2:$H$11,"&lt;700.0"))/10</f>
        <v>0</v>
      </c>
      <c r="AO14" s="4">
        <f>(COUNTIFS($J$2:$J$11,"&gt;0.0",$J$2:$J$11,"&lt;700.0"))/10</f>
        <v>0.7</v>
      </c>
      <c r="AP14" s="4">
        <f>(COUNTIFS($L$2:$L$11,"&gt;0.0",$L$2:$L$11,"&lt;700.0"))/10</f>
        <v>0.1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524.49</v>
      </c>
      <c r="C2">
        <v>14587.83</v>
      </c>
      <c r="D2">
        <v>407.66</v>
      </c>
      <c r="E2">
        <v>14215.55</v>
      </c>
      <c r="F2">
        <v>-1</v>
      </c>
      <c r="G2">
        <v>0</v>
      </c>
      <c r="H2">
        <v>-1</v>
      </c>
      <c r="I2">
        <v>5346.08</v>
      </c>
      <c r="J2">
        <v>-1</v>
      </c>
      <c r="K2">
        <v>0</v>
      </c>
      <c r="L2">
        <v>-1</v>
      </c>
      <c r="M2">
        <v>4228.09</v>
      </c>
    </row>
    <row r="3" spans="1:13">
      <c r="A3" t="s">
        <v>14</v>
      </c>
      <c r="B3">
        <v>536.22</v>
      </c>
      <c r="C3">
        <v>14649.15</v>
      </c>
      <c r="D3">
        <v>418.7</v>
      </c>
      <c r="E3">
        <v>14838.81</v>
      </c>
      <c r="F3">
        <v>-1</v>
      </c>
      <c r="G3">
        <v>0</v>
      </c>
      <c r="H3">
        <v>-1</v>
      </c>
      <c r="I3">
        <v>1684.24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544.99</v>
      </c>
      <c r="C4">
        <v>14918.11</v>
      </c>
      <c r="D4">
        <v>423.86</v>
      </c>
      <c r="E4">
        <v>14859.02</v>
      </c>
      <c r="F4">
        <v>-1</v>
      </c>
      <c r="G4">
        <v>0</v>
      </c>
      <c r="H4">
        <v>-1</v>
      </c>
      <c r="I4">
        <v>8322.15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548.39</v>
      </c>
      <c r="C5">
        <v>14923.21</v>
      </c>
      <c r="D5">
        <v>427.2</v>
      </c>
      <c r="E5">
        <v>14929.62</v>
      </c>
      <c r="F5">
        <v>-1</v>
      </c>
      <c r="G5">
        <v>0</v>
      </c>
      <c r="H5">
        <v>-1</v>
      </c>
      <c r="I5">
        <v>9677.62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545.1</v>
      </c>
      <c r="C6">
        <v>14413.37</v>
      </c>
      <c r="D6">
        <v>426.82</v>
      </c>
      <c r="E6">
        <v>14922.1</v>
      </c>
      <c r="F6">
        <v>-1</v>
      </c>
      <c r="G6">
        <v>0</v>
      </c>
      <c r="H6">
        <v>-1</v>
      </c>
      <c r="I6">
        <v>6060.86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539.46</v>
      </c>
      <c r="C7">
        <v>14385.04</v>
      </c>
      <c r="D7">
        <v>416.66</v>
      </c>
      <c r="E7">
        <v>14171.76</v>
      </c>
      <c r="F7">
        <v>-1</v>
      </c>
      <c r="G7">
        <v>2361.85</v>
      </c>
      <c r="H7">
        <v>-1</v>
      </c>
      <c r="I7">
        <v>13363.28</v>
      </c>
      <c r="J7">
        <v>-1</v>
      </c>
      <c r="K7">
        <v>0</v>
      </c>
      <c r="L7">
        <v>-1</v>
      </c>
      <c r="M7">
        <v>11182.39</v>
      </c>
    </row>
    <row r="8" spans="1:13">
      <c r="A8" t="s">
        <v>19</v>
      </c>
      <c r="B8">
        <v>552.9</v>
      </c>
      <c r="C8">
        <v>15019.23</v>
      </c>
      <c r="D8">
        <v>428.28</v>
      </c>
      <c r="E8">
        <v>14788.07</v>
      </c>
      <c r="F8">
        <v>-1</v>
      </c>
      <c r="G8">
        <v>0</v>
      </c>
      <c r="H8">
        <v>-1</v>
      </c>
      <c r="I8">
        <v>6692.95</v>
      </c>
      <c r="J8">
        <v>-1</v>
      </c>
      <c r="K8">
        <v>0</v>
      </c>
      <c r="L8">
        <v>-1</v>
      </c>
      <c r="M8">
        <v>4038.65</v>
      </c>
    </row>
    <row r="9" spans="1:13">
      <c r="A9" t="s">
        <v>20</v>
      </c>
      <c r="B9">
        <v>549.05</v>
      </c>
      <c r="C9">
        <v>14716.23</v>
      </c>
      <c r="D9">
        <v>427.8</v>
      </c>
      <c r="E9">
        <v>15018.08</v>
      </c>
      <c r="F9">
        <v>-1</v>
      </c>
      <c r="G9">
        <v>0</v>
      </c>
      <c r="H9">
        <v>-1</v>
      </c>
      <c r="I9">
        <v>6635.1</v>
      </c>
      <c r="J9">
        <v>-1</v>
      </c>
      <c r="K9">
        <v>0</v>
      </c>
      <c r="L9">
        <v>-1</v>
      </c>
      <c r="M9">
        <v>7029.56</v>
      </c>
    </row>
    <row r="10" spans="1:13">
      <c r="A10" t="s">
        <v>21</v>
      </c>
      <c r="B10">
        <v>549.25</v>
      </c>
      <c r="C10">
        <v>15006.99</v>
      </c>
      <c r="D10">
        <v>430.09</v>
      </c>
      <c r="E10">
        <v>15061.77</v>
      </c>
      <c r="F10">
        <v>-1</v>
      </c>
      <c r="G10">
        <v>0</v>
      </c>
      <c r="H10">
        <v>-1</v>
      </c>
      <c r="I10">
        <v>4608</v>
      </c>
      <c r="J10">
        <v>-1</v>
      </c>
      <c r="K10">
        <v>0</v>
      </c>
      <c r="L10">
        <v>-1</v>
      </c>
      <c r="M10">
        <v>12989.72</v>
      </c>
    </row>
    <row r="11" spans="1:13">
      <c r="A11" t="s">
        <v>22</v>
      </c>
      <c r="B11">
        <v>552.09</v>
      </c>
      <c r="C11">
        <v>14770.14</v>
      </c>
      <c r="D11">
        <v>429.55</v>
      </c>
      <c r="E11">
        <v>14633.7</v>
      </c>
      <c r="F11">
        <v>-1</v>
      </c>
      <c r="G11">
        <v>0</v>
      </c>
      <c r="H11">
        <v>-1</v>
      </c>
      <c r="I11">
        <v>12383.65</v>
      </c>
      <c r="J11">
        <v>-1</v>
      </c>
      <c r="K11">
        <v>0</v>
      </c>
      <c r="L11">
        <v>-1</v>
      </c>
      <c r="M11">
        <v>13641.84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544.194</v>
      </c>
      <c r="B14" s="4">
        <f>IFERROR(AVERAGEIF($D$2:$D$11,"&lt;&gt; -1"),0)</f>
        <v>423.662</v>
      </c>
      <c r="C14" s="4">
        <f>IFERROR(AVERAGEIF($F$2:$F$11,"&lt;&gt; -1"),0)</f>
        <v>0</v>
      </c>
      <c r="D14" s="4">
        <f>IFERROR(AVERAGEIF($H$2:$H$11,"&lt;&gt; -1"),0)</f>
        <v>0</v>
      </c>
      <c r="E14" s="4">
        <f>IFERROR(AVERAGEIF($J$2:$J$11,"&lt;&gt; -1"),0)</f>
        <v>0</v>
      </c>
      <c r="F14" s="4">
        <f>IFERROR(AVERAGEIF($L$2:$L$11,"&lt;&gt; -1"),0)</f>
        <v>0</v>
      </c>
      <c r="G14" s="4">
        <f>IFERROR(AVERAGEIFS($C$2:$C$11,$B$2:$B$11,"&lt;&gt; -1"),0)</f>
        <v>14738.93</v>
      </c>
      <c r="H14" s="4">
        <f>IFERROR(AVERAGEIFS($E$2:$E$11,$D$2:$D$11,"&lt;&gt; -1"),0)</f>
        <v>14743.848</v>
      </c>
      <c r="I14" s="4">
        <f>IFERROR(AVERAGEIFS($G$2:$G$11,$F$2:$F$11,"&lt;&gt; -1"),0)</f>
        <v>0</v>
      </c>
      <c r="J14" s="4">
        <f>IFERROR(AVERAGEIFS($I$2:$I$11,$H$2:$H$11,"&lt;&gt; -1"),0)</f>
        <v>0</v>
      </c>
      <c r="K14" s="4">
        <f>IFERROR(AVERAGEIFS($K$2:$K$11,$J$2:$J$11,"&lt;&gt; -1"),0)</f>
        <v>0</v>
      </c>
      <c r="L14" s="4">
        <f>IFERROR(AVERAGEIFS($M$2:$M$11,$L$2:$L$11,"&lt;&gt; -1"),0)</f>
        <v>0</v>
      </c>
      <c r="M14" s="4">
        <f>IFERROR(_xlfn.MAXIFS($B$2:$B$11,$B$2:$B$11,"&lt;&gt; -1"),0)</f>
        <v>552.9</v>
      </c>
      <c r="N14" s="4">
        <f>IFERROR(_xlfn.MAXIFS($D$2:$D$11,$D$2:$D$11,"&lt;&gt;-1"),0)</f>
        <v>430.09</v>
      </c>
      <c r="O14" s="4">
        <f>IFERROR(_xlfn.MAXIFS($F$2:$F$11,$F$2:$F$11,"&lt;&gt; -1"),0)</f>
        <v>0</v>
      </c>
      <c r="P14" s="4">
        <f>IFERROR(_xlfn.MAXIFS($H$2:$H$11,$H$2:$H$11,"&lt;&gt; -1"),0)</f>
        <v>0</v>
      </c>
      <c r="Q14" s="4">
        <f>IFERROR(_xlfn.MAXIFS($J$2:$J$11,$J$2:$J$11,"&lt;&gt; -1"),0)</f>
        <v>0</v>
      </c>
      <c r="R14" s="4">
        <f>IFERROR(_xlfn.MAXIFS($L$2:$L$11,$L$2:$L$11,"&lt;&gt; -1"),0)</f>
        <v>0</v>
      </c>
      <c r="S14" s="4">
        <f>IFERROR(_xlfn.MINIFS($B$2:$B$11,$B$2:$B$11,"&lt;&gt; -1"),0)</f>
        <v>524.49</v>
      </c>
      <c r="T14" s="4">
        <f>IFERROR(_xlfn.MINIFS($D$2:$D$11,$D$2:$D$11,"&lt;&gt;-1"),0)</f>
        <v>407.66</v>
      </c>
      <c r="U14" s="4">
        <f>IFERROR(_xlfn.MINIFS($F$2:$F$11,$F$2:$F$11,"&lt;&gt; -1"),0)</f>
        <v>0</v>
      </c>
      <c r="V14" s="4">
        <f>IFERROR(_xlfn.MINIFS($H$2:$H$11,$H$2:$H$11,"&lt;&gt; -1"),0)</f>
        <v>0</v>
      </c>
      <c r="W14" s="4">
        <f>IFERROR(_xlfn.MINIFS($J$2:$J$11,$J$2:$J$11,"&lt;&gt; -1"),0)</f>
        <v>0</v>
      </c>
      <c r="X14" s="4">
        <f>IFERROR(_xlfn.MINIFS($L$2:$L$11,$L$2:$L$11,"&lt;&gt; -1"),0)</f>
        <v>0</v>
      </c>
      <c r="Y14" s="4">
        <f>IFERROR(_xlfn.MAXIFS($C$2:$C$11,$B$2:$B$11,"&lt;&gt; -1"),0)</f>
        <v>15019.23</v>
      </c>
      <c r="Z14" s="4">
        <f>IFERROR(_xlfn.MAXIFS($E$2:$E$11,$D$2:$D$11,"&lt;&gt; -1"),0)</f>
        <v>15061.77</v>
      </c>
      <c r="AA14" s="4">
        <f>IFERROR(_xlfn.MAXIFS($G$2:$G$11,$F$2:$F$11,"&lt;&gt; -1"),0)</f>
        <v>0</v>
      </c>
      <c r="AB14" s="4">
        <f>IFERROR(_xlfn.MAXIFS($I$2:$I$11,$H$2:$H$11,"&lt;&gt; -1"),0)</f>
        <v>0</v>
      </c>
      <c r="AC14" s="4">
        <f>IFERROR(_xlfn.MAXIFS($K$2:$K$11,$J$2:$J$11,"&lt;&gt; -1"),0)</f>
        <v>0</v>
      </c>
      <c r="AD14" s="4">
        <f>IFERROR(_xlfn.MAXIFS($M$2:$M$11,$L$2:$L$11,"&lt;&gt; -1"),0)</f>
        <v>0</v>
      </c>
      <c r="AE14" s="4">
        <f>IFERROR(_xlfn.MINIFS($C$2:$C$11,$B$2:$B$11,"&lt;&gt; -1"),0)</f>
        <v>14385.04</v>
      </c>
      <c r="AF14" s="4">
        <f>IFERROR(_xlfn.MINIFS($E$2:$E$11,$D$2:$D$11,"&lt;&gt; -1"),0)</f>
        <v>14171.76</v>
      </c>
      <c r="AG14" s="4">
        <f>IFERROR(_xlfn.MINIFS($G$2:$G$11,$F$2:$F$11,"&lt;&gt; -1"),0)</f>
        <v>0</v>
      </c>
      <c r="AH14" s="4">
        <f>IFERROR(_xlfn.MINIFS($I$2:$I$11,$H$2:$H$11,"&lt;&gt; -1"),0)</f>
        <v>0</v>
      </c>
      <c r="AI14" s="4">
        <f>IFERROR(_xlfn.MINIFS($K$2:$K$11,$J$2:$J$11,"&lt;&gt; -1"),0)</f>
        <v>0</v>
      </c>
      <c r="AJ14" s="4">
        <f>IFERROR(_xlfn.MINIFS($M$2:$M$11,$L$2:$L$11,"&lt;&gt; -1"),0)</f>
        <v>0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</v>
      </c>
      <c r="AN14" s="4">
        <f>(COUNTIFS($H$2:$H11,"&gt;0.0",$H$2:$H$11,"&lt;700.0"))/10</f>
        <v>0</v>
      </c>
      <c r="AO14" s="4">
        <f>(COUNTIFS($J$2:$J$11,"&gt;0.0",$J$2:$J$11,"&lt;700.0"))/10</f>
        <v>0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"/>
  <sheetViews>
    <sheetView workbookViewId="0">
      <selection activeCell="A15" sqref="$A15:$XFD1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552.83</v>
      </c>
      <c r="C2">
        <v>14278.21</v>
      </c>
      <c r="D2">
        <v>441.17</v>
      </c>
      <c r="E2">
        <v>14046.33</v>
      </c>
      <c r="F2">
        <v>-1</v>
      </c>
      <c r="G2">
        <v>0</v>
      </c>
      <c r="H2">
        <v>-1</v>
      </c>
      <c r="I2">
        <v>5207.97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564.68</v>
      </c>
      <c r="C3">
        <v>14726.96</v>
      </c>
      <c r="D3">
        <v>451.28</v>
      </c>
      <c r="E3">
        <v>14155.31</v>
      </c>
      <c r="F3">
        <v>-1</v>
      </c>
      <c r="G3">
        <v>0</v>
      </c>
      <c r="H3">
        <v>-1</v>
      </c>
      <c r="I3">
        <v>9208.21</v>
      </c>
      <c r="J3">
        <v>-1</v>
      </c>
      <c r="K3">
        <v>0</v>
      </c>
      <c r="L3">
        <v>-1</v>
      </c>
      <c r="M3">
        <v>6881.02</v>
      </c>
    </row>
    <row r="4" spans="1:13">
      <c r="A4" t="s">
        <v>15</v>
      </c>
      <c r="B4">
        <v>573.22</v>
      </c>
      <c r="C4">
        <v>15103.06</v>
      </c>
      <c r="D4">
        <v>459.99</v>
      </c>
      <c r="E4">
        <v>14835.45</v>
      </c>
      <c r="F4">
        <v>-1</v>
      </c>
      <c r="G4">
        <v>0</v>
      </c>
      <c r="H4">
        <v>-1</v>
      </c>
      <c r="I4">
        <v>14861.09</v>
      </c>
      <c r="J4">
        <v>-1</v>
      </c>
      <c r="K4">
        <v>0</v>
      </c>
      <c r="L4">
        <v>-1</v>
      </c>
      <c r="M4">
        <v>2016.61</v>
      </c>
    </row>
    <row r="5" spans="1:13">
      <c r="A5" t="s">
        <v>16</v>
      </c>
      <c r="B5">
        <v>573.15</v>
      </c>
      <c r="C5">
        <v>15342.23</v>
      </c>
      <c r="D5">
        <v>462.58</v>
      </c>
      <c r="E5">
        <v>15076.78</v>
      </c>
      <c r="F5">
        <v>-1</v>
      </c>
      <c r="G5">
        <v>0</v>
      </c>
      <c r="H5">
        <v>-1</v>
      </c>
      <c r="I5">
        <v>4893.98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572.15</v>
      </c>
      <c r="C6">
        <v>14916.95</v>
      </c>
      <c r="D6">
        <v>457.9</v>
      </c>
      <c r="E6">
        <v>15012.92</v>
      </c>
      <c r="F6">
        <v>-1</v>
      </c>
      <c r="G6">
        <v>0</v>
      </c>
      <c r="H6">
        <v>-1</v>
      </c>
      <c r="I6">
        <v>14178.77</v>
      </c>
      <c r="J6">
        <v>-1</v>
      </c>
      <c r="K6">
        <v>0</v>
      </c>
      <c r="L6">
        <v>-1</v>
      </c>
      <c r="M6">
        <v>13586.68</v>
      </c>
    </row>
    <row r="7" spans="1:13">
      <c r="A7" t="s">
        <v>18</v>
      </c>
      <c r="B7">
        <v>561.64</v>
      </c>
      <c r="C7">
        <v>14434.05</v>
      </c>
      <c r="D7">
        <v>447.19</v>
      </c>
      <c r="E7">
        <v>14309.19</v>
      </c>
      <c r="F7">
        <v>-1</v>
      </c>
      <c r="G7">
        <v>0</v>
      </c>
      <c r="H7">
        <v>-1</v>
      </c>
      <c r="I7">
        <v>7734.58</v>
      </c>
      <c r="J7">
        <v>-1</v>
      </c>
      <c r="K7">
        <v>0</v>
      </c>
      <c r="L7">
        <v>-1</v>
      </c>
      <c r="M7">
        <v>2797.34</v>
      </c>
    </row>
    <row r="8" spans="1:13">
      <c r="A8" t="s">
        <v>19</v>
      </c>
      <c r="B8">
        <v>570.55</v>
      </c>
      <c r="C8">
        <v>14984.35</v>
      </c>
      <c r="D8">
        <v>459.72</v>
      </c>
      <c r="E8">
        <v>14740.07</v>
      </c>
      <c r="F8">
        <v>-1</v>
      </c>
      <c r="G8">
        <v>0</v>
      </c>
      <c r="H8">
        <v>-1</v>
      </c>
      <c r="I8">
        <v>7708.74</v>
      </c>
      <c r="J8">
        <v>-1</v>
      </c>
      <c r="K8">
        <v>0</v>
      </c>
      <c r="L8">
        <v>-1</v>
      </c>
      <c r="M8">
        <v>0</v>
      </c>
    </row>
    <row r="9" spans="1:13">
      <c r="A9" t="s">
        <v>20</v>
      </c>
      <c r="B9">
        <v>565.7</v>
      </c>
      <c r="C9">
        <v>14960.34</v>
      </c>
      <c r="D9">
        <v>457.7</v>
      </c>
      <c r="E9">
        <v>14954.34</v>
      </c>
      <c r="F9">
        <v>-1</v>
      </c>
      <c r="G9">
        <v>0</v>
      </c>
      <c r="H9">
        <v>-1</v>
      </c>
      <c r="I9">
        <v>3562.1</v>
      </c>
      <c r="J9">
        <v>-1</v>
      </c>
      <c r="K9">
        <v>0</v>
      </c>
      <c r="L9">
        <v>-1</v>
      </c>
      <c r="M9">
        <v>1542.44</v>
      </c>
    </row>
    <row r="10" spans="1:13">
      <c r="A10" t="s">
        <v>21</v>
      </c>
      <c r="B10">
        <v>576.31</v>
      </c>
      <c r="C10">
        <v>14878.26</v>
      </c>
      <c r="D10">
        <v>463.9</v>
      </c>
      <c r="E10">
        <v>15194.18</v>
      </c>
      <c r="F10">
        <v>-1</v>
      </c>
      <c r="G10">
        <v>0</v>
      </c>
      <c r="H10">
        <v>-1</v>
      </c>
      <c r="I10">
        <v>5182.7</v>
      </c>
      <c r="J10">
        <v>-1</v>
      </c>
      <c r="K10">
        <v>0</v>
      </c>
      <c r="L10">
        <v>-1</v>
      </c>
      <c r="M10">
        <v>0</v>
      </c>
    </row>
    <row r="11" spans="1:13">
      <c r="A11" t="s">
        <v>22</v>
      </c>
      <c r="B11">
        <v>576.44</v>
      </c>
      <c r="C11">
        <v>14607.84</v>
      </c>
      <c r="D11">
        <v>464.91</v>
      </c>
      <c r="E11">
        <v>14703.86</v>
      </c>
      <c r="F11">
        <v>-1</v>
      </c>
      <c r="G11">
        <v>0</v>
      </c>
      <c r="H11">
        <v>-1</v>
      </c>
      <c r="I11">
        <v>1764.58</v>
      </c>
      <c r="J11">
        <v>-1</v>
      </c>
      <c r="K11">
        <v>0</v>
      </c>
      <c r="L11">
        <v>-1</v>
      </c>
      <c r="M11">
        <v>0</v>
      </c>
    </row>
    <row r="14" spans="1:42">
      <c r="A14" s="2" t="s">
        <v>23</v>
      </c>
      <c r="B14" s="2" t="s">
        <v>24</v>
      </c>
      <c r="C14" s="2" t="s">
        <v>25</v>
      </c>
      <c r="D14" s="3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3" t="s">
        <v>32</v>
      </c>
      <c r="K14" s="2" t="s">
        <v>33</v>
      </c>
      <c r="L14" s="2" t="s">
        <v>34</v>
      </c>
      <c r="M14" s="2" t="s">
        <v>35</v>
      </c>
      <c r="N14" s="2" t="s">
        <v>36</v>
      </c>
      <c r="O14" s="2" t="s">
        <v>37</v>
      </c>
      <c r="P14" s="3" t="s">
        <v>38</v>
      </c>
      <c r="Q14" s="2" t="s">
        <v>39</v>
      </c>
      <c r="R14" s="2" t="s">
        <v>40</v>
      </c>
      <c r="S14" s="2" t="s">
        <v>41</v>
      </c>
      <c r="T14" s="2" t="s">
        <v>42</v>
      </c>
      <c r="U14" s="2" t="s">
        <v>43</v>
      </c>
      <c r="V14" s="3" t="s">
        <v>44</v>
      </c>
      <c r="W14" s="2" t="s">
        <v>45</v>
      </c>
      <c r="X14" s="2" t="s">
        <v>46</v>
      </c>
      <c r="Y14" s="2" t="s">
        <v>47</v>
      </c>
      <c r="Z14" s="2" t="s">
        <v>48</v>
      </c>
      <c r="AA14" s="2" t="s">
        <v>49</v>
      </c>
      <c r="AB14" s="3" t="s">
        <v>50</v>
      </c>
      <c r="AC14" s="2" t="s">
        <v>51</v>
      </c>
      <c r="AD14" s="2" t="s">
        <v>52</v>
      </c>
      <c r="AE14" s="2" t="s">
        <v>53</v>
      </c>
      <c r="AF14" s="2" t="s">
        <v>54</v>
      </c>
      <c r="AG14" s="2" t="s">
        <v>55</v>
      </c>
      <c r="AH14" s="3" t="s">
        <v>56</v>
      </c>
      <c r="AI14" s="2" t="s">
        <v>57</v>
      </c>
      <c r="AJ14" s="2" t="s">
        <v>58</v>
      </c>
      <c r="AK14" s="2" t="s">
        <v>59</v>
      </c>
      <c r="AL14" s="2" t="s">
        <v>60</v>
      </c>
      <c r="AM14" s="2" t="s">
        <v>61</v>
      </c>
      <c r="AN14" s="3" t="s">
        <v>62</v>
      </c>
      <c r="AO14" s="2" t="s">
        <v>63</v>
      </c>
      <c r="AP14" s="2" t="s">
        <v>64</v>
      </c>
    </row>
    <row r="15" spans="1:42">
      <c r="A15" s="4">
        <f>IFERROR(AVERAGEIF($B$2:$B$11,"&lt;&gt; -1"),0)</f>
        <v>568.667</v>
      </c>
      <c r="B15" s="4">
        <f>IFERROR(AVERAGEIF($D$2:$D$11,"&lt;&gt; -1"),0)</f>
        <v>456.634</v>
      </c>
      <c r="C15" s="4">
        <f>IFERROR(AVERAGEIF($F$2:$F$11,"&lt;&gt; -1"),0)</f>
        <v>0</v>
      </c>
      <c r="D15" s="4">
        <f>IFERROR(AVERAGEIF($H$2:$H$11,"&lt;&gt; -1"),0)</f>
        <v>0</v>
      </c>
      <c r="E15" s="4">
        <f>IFERROR(AVERAGEIF($J$2:$J$11,"&lt;&gt; -1"),0)</f>
        <v>0</v>
      </c>
      <c r="F15" s="4">
        <f>IFERROR(AVERAGEIF($L$2:$L$11,"&lt;&gt; -1"),0)</f>
        <v>0</v>
      </c>
      <c r="G15" s="4">
        <f>IFERROR(AVERAGEIFS($C$2:$C$11,$B$2:$B$11,"&lt;&gt; -1"),0)</f>
        <v>14823.225</v>
      </c>
      <c r="H15" s="4">
        <f>IFERROR(AVERAGEIFS($E$2:$E$11,$D$2:$D$11,"&lt;&gt; -1"),0)</f>
        <v>14702.843</v>
      </c>
      <c r="I15" s="4">
        <f>IFERROR(AVERAGEIFS($G$2:$G$11,$F$2:$F$11,"&lt;&gt; -1"),0)</f>
        <v>0</v>
      </c>
      <c r="J15" s="4">
        <f>IFERROR(AVERAGEIFS($I$2:$I$11,$H$2:$H$11,"&lt;&gt; -1"),0)</f>
        <v>0</v>
      </c>
      <c r="K15" s="4">
        <f>IFERROR(AVERAGEIFS($K$2:$K$11,$J$2:$J$11,"&lt;&gt; -1"),0)</f>
        <v>0</v>
      </c>
      <c r="L15" s="4">
        <f>IFERROR(AVERAGEIFS($M$2:$M$11,$L$2:$L$11,"&lt;&gt; -1"),0)</f>
        <v>0</v>
      </c>
      <c r="M15" s="4">
        <f>IFERROR(_xlfn.MAXIFS($B$2:$B$11,$B$2:$B$11,"&lt;&gt; -1"),0)</f>
        <v>576.44</v>
      </c>
      <c r="N15" s="4">
        <f>IFERROR(_xlfn.MAXIFS($D$2:$D$11,$D$2:$D$11,"&lt;&gt;-1"),0)</f>
        <v>464.91</v>
      </c>
      <c r="O15" s="4">
        <f>IFERROR(_xlfn.MAXIFS($F$2:$F$11,$F$2:$F$11,"&lt;&gt; -1"),0)</f>
        <v>0</v>
      </c>
      <c r="P15" s="4">
        <f>IFERROR(_xlfn.MAXIFS($H$2:$H$11,$H$2:$H$11,"&lt;&gt; -1"),0)</f>
        <v>0</v>
      </c>
      <c r="Q15" s="4">
        <f>IFERROR(_xlfn.MAXIFS($J$2:$J$11,$J$2:$J$11,"&lt;&gt; -1"),0)</f>
        <v>0</v>
      </c>
      <c r="R15" s="4">
        <f>IFERROR(_xlfn.MAXIFS($L$2:$L$11,$L$2:$L$11,"&lt;&gt; -1"),0)</f>
        <v>0</v>
      </c>
      <c r="S15" s="4">
        <f>IFERROR(_xlfn.MINIFS($B$2:$B$11,$B$2:$B$11,"&lt;&gt; -1"),0)</f>
        <v>552.83</v>
      </c>
      <c r="T15" s="4">
        <f>IFERROR(_xlfn.MINIFS($D$2:$D$11,$D$2:$D$11,"&lt;&gt;-1"),0)</f>
        <v>441.17</v>
      </c>
      <c r="U15" s="4">
        <f>IFERROR(_xlfn.MINIFS($F$2:$F$11,$F$2:$F$11,"&lt;&gt; -1"),0)</f>
        <v>0</v>
      </c>
      <c r="V15" s="4">
        <f>IFERROR(_xlfn.MINIFS($H$2:$H$11,$H$2:$H$11,"&lt;&gt; -1"),0)</f>
        <v>0</v>
      </c>
      <c r="W15" s="4">
        <f>IFERROR(_xlfn.MINIFS($J$2:$J$11,$J$2:$J$11,"&lt;&gt; -1"),0)</f>
        <v>0</v>
      </c>
      <c r="X15" s="4">
        <f>IFERROR(_xlfn.MINIFS($L$2:$L$11,$L$2:$L$11,"&lt;&gt; -1"),0)</f>
        <v>0</v>
      </c>
      <c r="Y15" s="4">
        <f>IFERROR(_xlfn.MAXIFS($C$2:$C$11,$B$2:$B$11,"&lt;&gt; -1"),0)</f>
        <v>15342.23</v>
      </c>
      <c r="Z15" s="4">
        <f>IFERROR(_xlfn.MAXIFS($E$2:$E$11,$D$2:$D$11,"&lt;&gt; -1"),0)</f>
        <v>15194.18</v>
      </c>
      <c r="AA15" s="4">
        <f>IFERROR(_xlfn.MAXIFS($G$2:$G$11,$F$2:$F$11,"&lt;&gt; -1"),0)</f>
        <v>0</v>
      </c>
      <c r="AB15" s="4">
        <f>IFERROR(_xlfn.MAXIFS($I$2:$I$11,$H$2:$H$11,"&lt;&gt; -1"),0)</f>
        <v>0</v>
      </c>
      <c r="AC15" s="4">
        <f>IFERROR(_xlfn.MAXIFS($K$2:$K$11,$J$2:$J$11,"&lt;&gt; -1"),0)</f>
        <v>0</v>
      </c>
      <c r="AD15" s="4">
        <f>IFERROR(_xlfn.MAXIFS($M$2:$M$11,$L$2:$L$11,"&lt;&gt; -1"),0)</f>
        <v>0</v>
      </c>
      <c r="AE15" s="4">
        <f>IFERROR(_xlfn.MINIFS($C$2:$C$11,$B$2:$B$11,"&lt;&gt; -1"),0)</f>
        <v>14278.21</v>
      </c>
      <c r="AF15" s="4">
        <f>IFERROR(_xlfn.MINIFS($E$2:$E$11,$D$2:$D$11,"&lt;&gt; -1"),0)</f>
        <v>14046.33</v>
      </c>
      <c r="AG15" s="4">
        <f>IFERROR(_xlfn.MINIFS($G$2:$G$11,$F$2:$F$11,"&lt;&gt; -1"),0)</f>
        <v>0</v>
      </c>
      <c r="AH15" s="4">
        <f>IFERROR(_xlfn.MINIFS($I$2:$I$11,$H$2:$H$11,"&lt;&gt; -1"),0)</f>
        <v>0</v>
      </c>
      <c r="AI15" s="4">
        <f>IFERROR(_xlfn.MINIFS($K$2:$K$11,$J$2:$J$11,"&lt;&gt; -1"),0)</f>
        <v>0</v>
      </c>
      <c r="AJ15" s="4">
        <f>IFERROR(_xlfn.MINIFS($M$2:$M$11,$L$2:$L$11,"&lt;&gt; -1"),0)</f>
        <v>0</v>
      </c>
      <c r="AK15" s="4">
        <f>(COUNTIFS($B$2:$B$11,"&gt;0.0",$B$2:$B$11,"&lt;700.0"))/10</f>
        <v>1</v>
      </c>
      <c r="AL15" s="4">
        <f>(COUNTIFS($D$2:$D$11,"&gt;0.0",$D$2:$D$11,"&lt;700.0"))/10</f>
        <v>1</v>
      </c>
      <c r="AM15" s="4">
        <f>(COUNTIFS($F$2:$F$11,"&gt;0.0",$F$2:$F$11,"&lt;700.0"))/10</f>
        <v>0</v>
      </c>
      <c r="AN15" s="4" t="e">
        <f>(COUNTIFS($H$2:$H12,"&gt;0.0",$H$2:$H$11,"&lt;700.0"))/10</f>
        <v>#VALUE!</v>
      </c>
      <c r="AO15" s="4">
        <f>(COUNTIFS($J$2:$J$11,"&gt;0.0",$J$2:$J$11,"&lt;700.0"))/10</f>
        <v>0</v>
      </c>
      <c r="AP15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5"/>
  <sheetViews>
    <sheetView workbookViewId="0">
      <selection activeCell="A15" sqref="$A15:$XFD15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571.6</v>
      </c>
      <c r="C2">
        <v>14550.29</v>
      </c>
      <c r="D2">
        <v>471.04</v>
      </c>
      <c r="E2">
        <v>13817.21</v>
      </c>
      <c r="F2">
        <v>-1</v>
      </c>
      <c r="G2">
        <v>0</v>
      </c>
      <c r="H2">
        <v>-1</v>
      </c>
      <c r="I2">
        <v>9382.98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580.6</v>
      </c>
      <c r="C3">
        <v>14708.06</v>
      </c>
      <c r="D3">
        <v>478.01</v>
      </c>
      <c r="E3">
        <v>13892.82</v>
      </c>
      <c r="F3">
        <v>-1</v>
      </c>
      <c r="G3">
        <v>0</v>
      </c>
      <c r="H3">
        <v>-1</v>
      </c>
      <c r="I3">
        <v>10569.36</v>
      </c>
      <c r="J3">
        <v>-1</v>
      </c>
      <c r="K3">
        <v>0</v>
      </c>
      <c r="L3">
        <v>-1</v>
      </c>
      <c r="M3">
        <v>12573.76</v>
      </c>
    </row>
    <row r="4" spans="1:13">
      <c r="A4" t="s">
        <v>15</v>
      </c>
      <c r="B4">
        <v>594.37</v>
      </c>
      <c r="C4">
        <v>15233.44</v>
      </c>
      <c r="D4">
        <v>493.09</v>
      </c>
      <c r="E4">
        <v>14791.4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596</v>
      </c>
      <c r="C5">
        <v>15586.69</v>
      </c>
      <c r="D5">
        <v>496.67</v>
      </c>
      <c r="E5">
        <v>15146.54</v>
      </c>
      <c r="F5">
        <v>-1</v>
      </c>
      <c r="G5">
        <v>0</v>
      </c>
      <c r="H5">
        <v>-1</v>
      </c>
      <c r="I5">
        <v>7400.8</v>
      </c>
      <c r="J5">
        <v>-1</v>
      </c>
      <c r="K5">
        <v>0</v>
      </c>
      <c r="L5">
        <v>-1</v>
      </c>
      <c r="M5">
        <v>3595.67</v>
      </c>
    </row>
    <row r="6" spans="1:13">
      <c r="A6" t="s">
        <v>17</v>
      </c>
      <c r="B6">
        <v>578.74</v>
      </c>
      <c r="C6">
        <v>14675.95</v>
      </c>
      <c r="D6">
        <v>478.62</v>
      </c>
      <c r="E6">
        <v>14493.43</v>
      </c>
      <c r="F6">
        <v>-1</v>
      </c>
      <c r="G6">
        <v>0</v>
      </c>
      <c r="H6">
        <v>-1</v>
      </c>
      <c r="I6">
        <v>7130.23</v>
      </c>
      <c r="J6">
        <v>-1</v>
      </c>
      <c r="K6">
        <v>0</v>
      </c>
      <c r="L6">
        <v>-1</v>
      </c>
      <c r="M6">
        <v>0</v>
      </c>
    </row>
    <row r="7" spans="1:13">
      <c r="A7" t="s">
        <v>18</v>
      </c>
      <c r="B7">
        <v>571.93</v>
      </c>
      <c r="C7">
        <v>14460.55</v>
      </c>
      <c r="D7">
        <v>471.08</v>
      </c>
      <c r="E7">
        <v>14360.72</v>
      </c>
      <c r="F7">
        <v>-1</v>
      </c>
      <c r="G7">
        <v>0</v>
      </c>
      <c r="H7">
        <v>-1</v>
      </c>
      <c r="I7">
        <v>11999.7</v>
      </c>
      <c r="J7">
        <v>-1</v>
      </c>
      <c r="K7">
        <v>0</v>
      </c>
      <c r="L7">
        <v>-1</v>
      </c>
      <c r="M7">
        <v>6654.94</v>
      </c>
    </row>
    <row r="8" spans="1:13">
      <c r="A8" t="s">
        <v>19</v>
      </c>
      <c r="B8">
        <v>575.26</v>
      </c>
      <c r="C8">
        <v>14698.17</v>
      </c>
      <c r="D8">
        <v>478.19</v>
      </c>
      <c r="E8">
        <v>14413.42</v>
      </c>
      <c r="F8">
        <v>-1</v>
      </c>
      <c r="G8">
        <v>0</v>
      </c>
      <c r="H8">
        <v>-1</v>
      </c>
      <c r="I8">
        <v>7627.8</v>
      </c>
      <c r="J8">
        <v>-1</v>
      </c>
      <c r="K8">
        <v>0</v>
      </c>
      <c r="L8">
        <v>-1</v>
      </c>
      <c r="M8">
        <v>12867.26</v>
      </c>
    </row>
    <row r="9" spans="1:13">
      <c r="A9" t="s">
        <v>20</v>
      </c>
      <c r="B9">
        <v>579.46</v>
      </c>
      <c r="C9">
        <v>14978.68</v>
      </c>
      <c r="D9">
        <v>480.95</v>
      </c>
      <c r="E9">
        <v>14619.68</v>
      </c>
      <c r="F9">
        <v>-1</v>
      </c>
      <c r="G9">
        <v>0</v>
      </c>
      <c r="H9">
        <v>-1</v>
      </c>
      <c r="I9">
        <v>10542.35</v>
      </c>
      <c r="J9">
        <v>-1</v>
      </c>
      <c r="K9">
        <v>0</v>
      </c>
      <c r="L9">
        <v>-1</v>
      </c>
      <c r="M9">
        <v>4283.01</v>
      </c>
    </row>
    <row r="10" spans="1:13">
      <c r="A10" t="s">
        <v>21</v>
      </c>
      <c r="B10">
        <v>586.85</v>
      </c>
      <c r="C10">
        <v>14981.63</v>
      </c>
      <c r="D10">
        <v>486.54</v>
      </c>
      <c r="E10">
        <v>14833.39</v>
      </c>
      <c r="F10">
        <v>-1</v>
      </c>
      <c r="G10">
        <v>0</v>
      </c>
      <c r="H10">
        <v>-1</v>
      </c>
      <c r="I10">
        <v>0</v>
      </c>
      <c r="J10">
        <v>-1</v>
      </c>
      <c r="K10">
        <v>0</v>
      </c>
      <c r="L10">
        <v>-1</v>
      </c>
      <c r="M10">
        <v>1153.49</v>
      </c>
    </row>
    <row r="11" spans="1:13">
      <c r="A11" t="s">
        <v>22</v>
      </c>
      <c r="B11">
        <v>585.7</v>
      </c>
      <c r="C11">
        <v>14908.7</v>
      </c>
      <c r="D11">
        <v>485.88</v>
      </c>
      <c r="E11">
        <v>14623.09</v>
      </c>
      <c r="F11">
        <v>-1</v>
      </c>
      <c r="G11">
        <v>0</v>
      </c>
      <c r="H11">
        <v>-1</v>
      </c>
      <c r="I11">
        <v>7938.87</v>
      </c>
      <c r="J11">
        <v>-1</v>
      </c>
      <c r="K11">
        <v>0</v>
      </c>
      <c r="L11">
        <v>-1</v>
      </c>
      <c r="M11">
        <v>0</v>
      </c>
    </row>
    <row r="14" spans="1:42">
      <c r="A14" s="2" t="s">
        <v>23</v>
      </c>
      <c r="B14" s="2" t="s">
        <v>24</v>
      </c>
      <c r="C14" s="2" t="s">
        <v>25</v>
      </c>
      <c r="D14" s="3" t="s">
        <v>26</v>
      </c>
      <c r="E14" s="2" t="s">
        <v>27</v>
      </c>
      <c r="F14" s="2" t="s">
        <v>28</v>
      </c>
      <c r="G14" s="2" t="s">
        <v>29</v>
      </c>
      <c r="H14" s="2" t="s">
        <v>30</v>
      </c>
      <c r="I14" s="2" t="s">
        <v>31</v>
      </c>
      <c r="J14" s="3" t="s">
        <v>32</v>
      </c>
      <c r="K14" s="2" t="s">
        <v>33</v>
      </c>
      <c r="L14" s="2" t="s">
        <v>34</v>
      </c>
      <c r="M14" s="2" t="s">
        <v>35</v>
      </c>
      <c r="N14" s="2" t="s">
        <v>36</v>
      </c>
      <c r="O14" s="2" t="s">
        <v>37</v>
      </c>
      <c r="P14" s="3" t="s">
        <v>38</v>
      </c>
      <c r="Q14" s="2" t="s">
        <v>39</v>
      </c>
      <c r="R14" s="2" t="s">
        <v>40</v>
      </c>
      <c r="S14" s="2" t="s">
        <v>41</v>
      </c>
      <c r="T14" s="2" t="s">
        <v>42</v>
      </c>
      <c r="U14" s="2" t="s">
        <v>43</v>
      </c>
      <c r="V14" s="3" t="s">
        <v>44</v>
      </c>
      <c r="W14" s="2" t="s">
        <v>45</v>
      </c>
      <c r="X14" s="2" t="s">
        <v>46</v>
      </c>
      <c r="Y14" s="2" t="s">
        <v>47</v>
      </c>
      <c r="Z14" s="2" t="s">
        <v>48</v>
      </c>
      <c r="AA14" s="2" t="s">
        <v>49</v>
      </c>
      <c r="AB14" s="3" t="s">
        <v>50</v>
      </c>
      <c r="AC14" s="2" t="s">
        <v>51</v>
      </c>
      <c r="AD14" s="2" t="s">
        <v>52</v>
      </c>
      <c r="AE14" s="2" t="s">
        <v>53</v>
      </c>
      <c r="AF14" s="2" t="s">
        <v>54</v>
      </c>
      <c r="AG14" s="2" t="s">
        <v>55</v>
      </c>
      <c r="AH14" s="3" t="s">
        <v>56</v>
      </c>
      <c r="AI14" s="2" t="s">
        <v>57</v>
      </c>
      <c r="AJ14" s="2" t="s">
        <v>58</v>
      </c>
      <c r="AK14" s="2" t="s">
        <v>59</v>
      </c>
      <c r="AL14" s="2" t="s">
        <v>60</v>
      </c>
      <c r="AM14" s="2" t="s">
        <v>61</v>
      </c>
      <c r="AN14" s="3" t="s">
        <v>62</v>
      </c>
      <c r="AO14" s="2" t="s">
        <v>63</v>
      </c>
      <c r="AP14" s="2" t="s">
        <v>64</v>
      </c>
    </row>
    <row r="15" spans="1:42">
      <c r="A15" s="4">
        <f>IFERROR(AVERAGEIF($B$2:$B$11,"&lt;&gt; -1"),0)</f>
        <v>582.051</v>
      </c>
      <c r="B15" s="4">
        <f>IFERROR(AVERAGEIF($D$2:$D$11,"&lt;&gt; -1"),0)</f>
        <v>482.007</v>
      </c>
      <c r="C15" s="4">
        <f>IFERROR(AVERAGEIF($F$2:$F$11,"&lt;&gt; -1"),0)</f>
        <v>0</v>
      </c>
      <c r="D15" s="4">
        <f>IFERROR(AVERAGEIF($H$2:$H$11,"&lt;&gt; -1"),0)</f>
        <v>0</v>
      </c>
      <c r="E15" s="4">
        <f>IFERROR(AVERAGEIF($J$2:$J$11,"&lt;&gt; -1"),0)</f>
        <v>0</v>
      </c>
      <c r="F15" s="4">
        <f>IFERROR(AVERAGEIF($L$2:$L$11,"&lt;&gt; -1"),0)</f>
        <v>0</v>
      </c>
      <c r="G15" s="4">
        <f>IFERROR(AVERAGEIFS($C$2:$C$11,$B$2:$B$11,"&lt;&gt; -1"),0)</f>
        <v>14878.216</v>
      </c>
      <c r="H15" s="4">
        <f>IFERROR(AVERAGEIFS($E$2:$E$11,$D$2:$D$11,"&lt;&gt; -1"),0)</f>
        <v>14499.17</v>
      </c>
      <c r="I15" s="4">
        <f>IFERROR(AVERAGEIFS($G$2:$G$11,$F$2:$F$11,"&lt;&gt; -1"),0)</f>
        <v>0</v>
      </c>
      <c r="J15" s="4">
        <f>IFERROR(AVERAGEIFS($I$2:$I$11,$H$2:$H$11,"&lt;&gt; -1"),0)</f>
        <v>0</v>
      </c>
      <c r="K15" s="4">
        <f>IFERROR(AVERAGEIFS($K$2:$K$11,$J$2:$J$11,"&lt;&gt; -1"),0)</f>
        <v>0</v>
      </c>
      <c r="L15" s="4">
        <f>IFERROR(AVERAGEIFS($M$2:$M$11,$L$2:$L$11,"&lt;&gt; -1"),0)</f>
        <v>0</v>
      </c>
      <c r="M15" s="4">
        <f>IFERROR(_xlfn.MAXIFS($B$2:$B$11,$B$2:$B$11,"&lt;&gt; -1"),0)</f>
        <v>596</v>
      </c>
      <c r="N15" s="4">
        <f>IFERROR(_xlfn.MAXIFS($D$2:$D$11,$D$2:$D$11,"&lt;&gt;-1"),0)</f>
        <v>496.67</v>
      </c>
      <c r="O15" s="4">
        <f>IFERROR(_xlfn.MAXIFS($F$2:$F$11,$F$2:$F$11,"&lt;&gt; -1"),0)</f>
        <v>0</v>
      </c>
      <c r="P15" s="4">
        <f>IFERROR(_xlfn.MAXIFS($H$2:$H$11,$H$2:$H$11,"&lt;&gt; -1"),0)</f>
        <v>0</v>
      </c>
      <c r="Q15" s="4">
        <f>IFERROR(_xlfn.MAXIFS($J$2:$J$11,$J$2:$J$11,"&lt;&gt; -1"),0)</f>
        <v>0</v>
      </c>
      <c r="R15" s="4">
        <f>IFERROR(_xlfn.MAXIFS($L$2:$L$11,$L$2:$L$11,"&lt;&gt; -1"),0)</f>
        <v>0</v>
      </c>
      <c r="S15" s="4">
        <f>IFERROR(_xlfn.MINIFS($B$2:$B$11,$B$2:$B$11,"&lt;&gt; -1"),0)</f>
        <v>571.6</v>
      </c>
      <c r="T15" s="4">
        <f>IFERROR(_xlfn.MINIFS($D$2:$D$11,$D$2:$D$11,"&lt;&gt;-1"),0)</f>
        <v>471.04</v>
      </c>
      <c r="U15" s="4">
        <f>IFERROR(_xlfn.MINIFS($F$2:$F$11,$F$2:$F$11,"&lt;&gt; -1"),0)</f>
        <v>0</v>
      </c>
      <c r="V15" s="4">
        <f>IFERROR(_xlfn.MINIFS($H$2:$H$11,$H$2:$H$11,"&lt;&gt; -1"),0)</f>
        <v>0</v>
      </c>
      <c r="W15" s="4">
        <f>IFERROR(_xlfn.MINIFS($J$2:$J$11,$J$2:$J$11,"&lt;&gt; -1"),0)</f>
        <v>0</v>
      </c>
      <c r="X15" s="4">
        <f>IFERROR(_xlfn.MINIFS($L$2:$L$11,$L$2:$L$11,"&lt;&gt; -1"),0)</f>
        <v>0</v>
      </c>
      <c r="Y15" s="4">
        <f>IFERROR(_xlfn.MAXIFS($C$2:$C$11,$B$2:$B$11,"&lt;&gt; -1"),0)</f>
        <v>15586.69</v>
      </c>
      <c r="Z15" s="4">
        <f>IFERROR(_xlfn.MAXIFS($E$2:$E$11,$D$2:$D$11,"&lt;&gt; -1"),0)</f>
        <v>15146.54</v>
      </c>
      <c r="AA15" s="4">
        <f>IFERROR(_xlfn.MAXIFS($G$2:$G$11,$F$2:$F$11,"&lt;&gt; -1"),0)</f>
        <v>0</v>
      </c>
      <c r="AB15" s="4">
        <f>IFERROR(_xlfn.MAXIFS($I$2:$I$11,$H$2:$H$11,"&lt;&gt; -1"),0)</f>
        <v>0</v>
      </c>
      <c r="AC15" s="4">
        <f>IFERROR(_xlfn.MAXIFS($K$2:$K$11,$J$2:$J$11,"&lt;&gt; -1"),0)</f>
        <v>0</v>
      </c>
      <c r="AD15" s="4">
        <f>IFERROR(_xlfn.MAXIFS($M$2:$M$11,$L$2:$L$11,"&lt;&gt; -1"),0)</f>
        <v>0</v>
      </c>
      <c r="AE15" s="4">
        <f>IFERROR(_xlfn.MINIFS($C$2:$C$11,$B$2:$B$11,"&lt;&gt; -1"),0)</f>
        <v>14460.55</v>
      </c>
      <c r="AF15" s="4">
        <f>IFERROR(_xlfn.MINIFS($E$2:$E$11,$D$2:$D$11,"&lt;&gt; -1"),0)</f>
        <v>13817.21</v>
      </c>
      <c r="AG15" s="4">
        <f>IFERROR(_xlfn.MINIFS($G$2:$G$11,$F$2:$F$11,"&lt;&gt; -1"),0)</f>
        <v>0</v>
      </c>
      <c r="AH15" s="4">
        <f>IFERROR(_xlfn.MINIFS($I$2:$I$11,$H$2:$H$11,"&lt;&gt; -1"),0)</f>
        <v>0</v>
      </c>
      <c r="AI15" s="4">
        <f>IFERROR(_xlfn.MINIFS($K$2:$K$11,$J$2:$J$11,"&lt;&gt; -1"),0)</f>
        <v>0</v>
      </c>
      <c r="AJ15" s="4">
        <f>IFERROR(_xlfn.MINIFS($M$2:$M$11,$L$2:$L$11,"&lt;&gt; -1"),0)</f>
        <v>0</v>
      </c>
      <c r="AK15" s="4">
        <f>(COUNTIFS($B$2:$B$11,"&gt;0.0",$B$2:$B$11,"&lt;700.0"))/10</f>
        <v>1</v>
      </c>
      <c r="AL15" s="4">
        <f>(COUNTIFS($D$2:$D$11,"&gt;0.0",$D$2:$D$11,"&lt;700.0"))/10</f>
        <v>1</v>
      </c>
      <c r="AM15" s="4">
        <f>(COUNTIFS($F$2:$F$11,"&gt;0.0",$F$2:$F$11,"&lt;700.0"))/10</f>
        <v>0</v>
      </c>
      <c r="AN15" s="4" t="e">
        <f>(COUNTIFS($H$2:$H12,"&gt;0.0",$H$2:$H$11,"&lt;700.0"))/10</f>
        <v>#VALUE!</v>
      </c>
      <c r="AO15" s="4">
        <f>(COUNTIFS($J$2:$J$11,"&gt;0.0",$J$2:$J$11,"&lt;700.0"))/10</f>
        <v>0</v>
      </c>
      <c r="AP15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4"/>
  <sheetViews>
    <sheetView workbookViewId="0">
      <selection activeCell="A14" sqref="$A14:$XFD14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541.32</v>
      </c>
      <c r="C2">
        <v>14457.08</v>
      </c>
      <c r="D2">
        <v>490.97</v>
      </c>
      <c r="E2">
        <v>14008.6</v>
      </c>
      <c r="F2">
        <v>-1</v>
      </c>
      <c r="G2">
        <v>7080.65</v>
      </c>
      <c r="H2">
        <v>-1</v>
      </c>
      <c r="I2">
        <v>6110.45</v>
      </c>
      <c r="J2">
        <v>-1</v>
      </c>
      <c r="K2">
        <v>0</v>
      </c>
      <c r="L2">
        <v>-1</v>
      </c>
      <c r="M2">
        <v>2466.09</v>
      </c>
    </row>
    <row r="3" spans="1:13">
      <c r="A3" t="s">
        <v>14</v>
      </c>
      <c r="B3">
        <v>512.61</v>
      </c>
      <c r="C3">
        <v>14245.04</v>
      </c>
      <c r="D3">
        <v>496.11</v>
      </c>
      <c r="E3">
        <v>14816.34</v>
      </c>
      <c r="F3">
        <v>519.25</v>
      </c>
      <c r="G3">
        <v>15948.81</v>
      </c>
      <c r="H3">
        <v>-1</v>
      </c>
      <c r="I3">
        <v>7111.93</v>
      </c>
      <c r="J3">
        <v>514.06</v>
      </c>
      <c r="K3">
        <v>14369.68</v>
      </c>
      <c r="L3">
        <v>-1</v>
      </c>
      <c r="M3">
        <v>0</v>
      </c>
    </row>
    <row r="4" spans="1:13">
      <c r="A4" t="s">
        <v>15</v>
      </c>
      <c r="B4">
        <v>566.62</v>
      </c>
      <c r="C4">
        <v>14924.5</v>
      </c>
      <c r="D4">
        <v>517.08</v>
      </c>
      <c r="E4">
        <v>14819.33</v>
      </c>
      <c r="F4">
        <v>-1</v>
      </c>
      <c r="G4">
        <v>9350.73</v>
      </c>
      <c r="H4">
        <v>-1</v>
      </c>
      <c r="I4">
        <v>7581.73</v>
      </c>
      <c r="J4">
        <v>-1</v>
      </c>
      <c r="K4">
        <v>718.68</v>
      </c>
      <c r="L4">
        <v>-1</v>
      </c>
      <c r="M4">
        <v>1429.02</v>
      </c>
    </row>
    <row r="5" spans="1:13">
      <c r="A5" t="s">
        <v>16</v>
      </c>
      <c r="B5">
        <v>532.46</v>
      </c>
      <c r="C5">
        <v>14867.25</v>
      </c>
      <c r="D5">
        <v>517.49</v>
      </c>
      <c r="E5">
        <v>15124.26</v>
      </c>
      <c r="F5">
        <v>539.05</v>
      </c>
      <c r="G5">
        <v>16534.66</v>
      </c>
      <c r="H5">
        <v>-1</v>
      </c>
      <c r="I5">
        <v>0</v>
      </c>
      <c r="J5">
        <v>533.74</v>
      </c>
      <c r="K5">
        <v>15021.87</v>
      </c>
      <c r="L5">
        <v>-1</v>
      </c>
      <c r="M5">
        <v>0</v>
      </c>
    </row>
    <row r="6" spans="1:13">
      <c r="A6" t="s">
        <v>17</v>
      </c>
      <c r="B6">
        <v>525.14</v>
      </c>
      <c r="C6">
        <v>14301.65</v>
      </c>
      <c r="D6">
        <v>507.27</v>
      </c>
      <c r="E6">
        <v>14659.02</v>
      </c>
      <c r="F6">
        <v>-1</v>
      </c>
      <c r="G6">
        <v>9521.1</v>
      </c>
      <c r="H6">
        <v>-1</v>
      </c>
      <c r="I6">
        <v>1987.46</v>
      </c>
      <c r="J6">
        <v>-1</v>
      </c>
      <c r="K6">
        <v>2558.24</v>
      </c>
      <c r="L6">
        <v>-1</v>
      </c>
      <c r="M6">
        <v>0</v>
      </c>
    </row>
    <row r="7" spans="1:13">
      <c r="A7" t="s">
        <v>18</v>
      </c>
      <c r="B7">
        <v>514.06</v>
      </c>
      <c r="C7">
        <v>13833.11</v>
      </c>
      <c r="D7">
        <v>497</v>
      </c>
      <c r="E7">
        <v>14508.69</v>
      </c>
      <c r="F7">
        <v>520.37</v>
      </c>
      <c r="G7">
        <v>15337.81</v>
      </c>
      <c r="H7">
        <v>-1</v>
      </c>
      <c r="I7">
        <v>5469.09</v>
      </c>
      <c r="J7">
        <v>533.15</v>
      </c>
      <c r="K7">
        <v>13918.14</v>
      </c>
      <c r="L7">
        <v>-1</v>
      </c>
      <c r="M7">
        <v>0</v>
      </c>
    </row>
    <row r="8" spans="1:13">
      <c r="A8" t="s">
        <v>19</v>
      </c>
      <c r="B8">
        <v>543.1</v>
      </c>
      <c r="C8">
        <v>14944.14</v>
      </c>
      <c r="D8">
        <v>492.8</v>
      </c>
      <c r="E8">
        <v>14629.25</v>
      </c>
      <c r="F8">
        <v>-1</v>
      </c>
      <c r="G8">
        <v>6194.53</v>
      </c>
      <c r="H8">
        <v>-1</v>
      </c>
      <c r="I8">
        <v>7764.16</v>
      </c>
      <c r="J8">
        <v>565.7</v>
      </c>
      <c r="K8">
        <v>15109.25</v>
      </c>
      <c r="L8">
        <v>-1</v>
      </c>
      <c r="M8">
        <v>0</v>
      </c>
    </row>
    <row r="9" spans="1:13">
      <c r="A9" t="s">
        <v>20</v>
      </c>
      <c r="B9">
        <v>514.61</v>
      </c>
      <c r="C9">
        <v>14320.91</v>
      </c>
      <c r="D9">
        <v>498.84</v>
      </c>
      <c r="E9">
        <v>15228.22</v>
      </c>
      <c r="F9">
        <v>521.02</v>
      </c>
      <c r="G9">
        <v>16091.18</v>
      </c>
      <c r="H9">
        <v>-1</v>
      </c>
      <c r="I9">
        <v>2190.06</v>
      </c>
      <c r="J9">
        <v>515.91</v>
      </c>
      <c r="K9">
        <v>14425.2</v>
      </c>
      <c r="L9">
        <v>-1</v>
      </c>
      <c r="M9">
        <v>0</v>
      </c>
    </row>
    <row r="10" spans="1:13">
      <c r="A10" t="s">
        <v>21</v>
      </c>
      <c r="B10">
        <v>529.16</v>
      </c>
      <c r="C10">
        <v>14854.68</v>
      </c>
      <c r="D10">
        <v>508.14</v>
      </c>
      <c r="E10">
        <v>15215.92</v>
      </c>
      <c r="F10">
        <v>-1</v>
      </c>
      <c r="G10">
        <v>8623.65</v>
      </c>
      <c r="H10">
        <v>-1</v>
      </c>
      <c r="I10">
        <v>4391.08</v>
      </c>
      <c r="J10">
        <v>-1</v>
      </c>
      <c r="K10">
        <v>12278.32</v>
      </c>
      <c r="L10">
        <v>-1</v>
      </c>
      <c r="M10">
        <v>0</v>
      </c>
    </row>
    <row r="11" spans="1:13">
      <c r="A11" t="s">
        <v>22</v>
      </c>
      <c r="B11">
        <v>572.15</v>
      </c>
      <c r="C11">
        <v>14634.95</v>
      </c>
      <c r="D11">
        <v>520.97</v>
      </c>
      <c r="E11">
        <v>15033.98</v>
      </c>
      <c r="F11">
        <v>-1</v>
      </c>
      <c r="G11">
        <v>3709.11</v>
      </c>
      <c r="H11">
        <v>-1</v>
      </c>
      <c r="I11">
        <v>1845.81</v>
      </c>
      <c r="J11">
        <v>-1</v>
      </c>
      <c r="K11">
        <v>3693.37</v>
      </c>
      <c r="L11">
        <v>-1</v>
      </c>
      <c r="M11">
        <v>0</v>
      </c>
    </row>
    <row r="13" spans="1:42">
      <c r="A13" s="2" t="s">
        <v>23</v>
      </c>
      <c r="B13" s="2" t="s">
        <v>24</v>
      </c>
      <c r="C13" s="2" t="s">
        <v>25</v>
      </c>
      <c r="D13" s="3" t="s">
        <v>26</v>
      </c>
      <c r="E13" s="2" t="s">
        <v>27</v>
      </c>
      <c r="F13" s="2" t="s">
        <v>28</v>
      </c>
      <c r="G13" s="2" t="s">
        <v>29</v>
      </c>
      <c r="H13" s="2" t="s">
        <v>30</v>
      </c>
      <c r="I13" s="2" t="s">
        <v>31</v>
      </c>
      <c r="J13" s="3" t="s">
        <v>32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37</v>
      </c>
      <c r="P13" s="3" t="s">
        <v>38</v>
      </c>
      <c r="Q13" s="2" t="s">
        <v>39</v>
      </c>
      <c r="R13" s="2" t="s">
        <v>40</v>
      </c>
      <c r="S13" s="2" t="s">
        <v>41</v>
      </c>
      <c r="T13" s="2" t="s">
        <v>42</v>
      </c>
      <c r="U13" s="2" t="s">
        <v>43</v>
      </c>
      <c r="V13" s="3" t="s">
        <v>44</v>
      </c>
      <c r="W13" s="2" t="s">
        <v>45</v>
      </c>
      <c r="X13" s="2" t="s">
        <v>46</v>
      </c>
      <c r="Y13" s="2" t="s">
        <v>47</v>
      </c>
      <c r="Z13" s="2" t="s">
        <v>48</v>
      </c>
      <c r="AA13" s="2" t="s">
        <v>49</v>
      </c>
      <c r="AB13" s="3" t="s">
        <v>50</v>
      </c>
      <c r="AC13" s="2" t="s">
        <v>51</v>
      </c>
      <c r="AD13" s="2" t="s">
        <v>52</v>
      </c>
      <c r="AE13" s="2" t="s">
        <v>53</v>
      </c>
      <c r="AF13" s="2" t="s">
        <v>54</v>
      </c>
      <c r="AG13" s="2" t="s">
        <v>55</v>
      </c>
      <c r="AH13" s="3" t="s">
        <v>56</v>
      </c>
      <c r="AI13" s="2" t="s">
        <v>57</v>
      </c>
      <c r="AJ13" s="2" t="s">
        <v>58</v>
      </c>
      <c r="AK13" s="2" t="s">
        <v>59</v>
      </c>
      <c r="AL13" s="2" t="s">
        <v>60</v>
      </c>
      <c r="AM13" s="2" t="s">
        <v>61</v>
      </c>
      <c r="AN13" s="3" t="s">
        <v>62</v>
      </c>
      <c r="AO13" s="2" t="s">
        <v>63</v>
      </c>
      <c r="AP13" s="2" t="s">
        <v>64</v>
      </c>
    </row>
    <row r="14" spans="1:42">
      <c r="A14" s="4">
        <f>IFERROR(AVERAGEIF($B$2:$B$11,"&lt;&gt; -1"),0)</f>
        <v>535.123</v>
      </c>
      <c r="B14" s="4">
        <f>IFERROR(AVERAGEIF($D$2:$D$11,"&lt;&gt; -1"),0)</f>
        <v>504.667</v>
      </c>
      <c r="C14" s="4">
        <f>IFERROR(AVERAGEIF($F$2:$F$11,"&lt;&gt; -1"),0)</f>
        <v>524.9225</v>
      </c>
      <c r="D14" s="4">
        <f>IFERROR(AVERAGEIF($H$2:$H$11,"&lt;&gt; -1"),0)</f>
        <v>0</v>
      </c>
      <c r="E14" s="4">
        <f>IFERROR(AVERAGEIF($J$2:$J$11,"&lt;&gt; -1"),0)</f>
        <v>532.512</v>
      </c>
      <c r="F14" s="4">
        <f>IFERROR(AVERAGEIF($L$2:$L$11,"&lt;&gt; -1"),0)</f>
        <v>0</v>
      </c>
      <c r="G14" s="4">
        <f>IFERROR(AVERAGEIFS($C$2:$C$11,$B$2:$B$11,"&lt;&gt; -1"),0)</f>
        <v>14538.331</v>
      </c>
      <c r="H14" s="4">
        <f>IFERROR(AVERAGEIFS($E$2:$E$11,$D$2:$D$11,"&lt;&gt; -1"),0)</f>
        <v>14804.361</v>
      </c>
      <c r="I14" s="4">
        <f>IFERROR(AVERAGEIFS($G$2:$G$11,$F$2:$F$11,"&lt;&gt; -1"),0)</f>
        <v>15978.115</v>
      </c>
      <c r="J14" s="4">
        <f>IFERROR(AVERAGEIFS($I$2:$I$11,$H$2:$H$11,"&lt;&gt; -1"),0)</f>
        <v>0</v>
      </c>
      <c r="K14" s="4">
        <f>IFERROR(AVERAGEIFS($K$2:$K$11,$J$2:$J$11,"&lt;&gt; -1"),0)</f>
        <v>14568.828</v>
      </c>
      <c r="L14" s="4">
        <f>IFERROR(AVERAGEIFS($M$2:$M$11,$L$2:$L$11,"&lt;&gt; -1"),0)</f>
        <v>0</v>
      </c>
      <c r="M14" s="4">
        <f>IFERROR(_xlfn.MAXIFS($B$2:$B$11,$B$2:$B$11,"&lt;&gt; -1"),0)</f>
        <v>572.15</v>
      </c>
      <c r="N14" s="4">
        <f>IFERROR(_xlfn.MAXIFS($D$2:$D$11,$D$2:$D$11,"&lt;&gt;-1"),0)</f>
        <v>520.97</v>
      </c>
      <c r="O14" s="4">
        <f>IFERROR(_xlfn.MAXIFS($F$2:$F$11,$F$2:$F$11,"&lt;&gt; -1"),0)</f>
        <v>539.05</v>
      </c>
      <c r="P14" s="4">
        <f>IFERROR(_xlfn.MAXIFS($H$2:$H$11,$H$2:$H$11,"&lt;&gt; -1"),0)</f>
        <v>0</v>
      </c>
      <c r="Q14" s="4">
        <f>IFERROR(_xlfn.MAXIFS($J$2:$J$11,$J$2:$J$11,"&lt;&gt; -1"),0)</f>
        <v>565.7</v>
      </c>
      <c r="R14" s="4">
        <f>IFERROR(_xlfn.MAXIFS($L$2:$L$11,$L$2:$L$11,"&lt;&gt; -1"),0)</f>
        <v>0</v>
      </c>
      <c r="S14" s="4">
        <f>IFERROR(_xlfn.MINIFS($B$2:$B$11,$B$2:$B$11,"&lt;&gt; -1"),0)</f>
        <v>512.61</v>
      </c>
      <c r="T14" s="4">
        <f>IFERROR(_xlfn.MINIFS($D$2:$D$11,$D$2:$D$11,"&lt;&gt;-1"),0)</f>
        <v>490.97</v>
      </c>
      <c r="U14" s="4">
        <f>IFERROR(_xlfn.MINIFS($F$2:$F$11,$F$2:$F$11,"&lt;&gt; -1"),0)</f>
        <v>519.25</v>
      </c>
      <c r="V14" s="4">
        <f>IFERROR(_xlfn.MINIFS($H$2:$H$11,$H$2:$H$11,"&lt;&gt; -1"),0)</f>
        <v>0</v>
      </c>
      <c r="W14" s="4">
        <f>IFERROR(_xlfn.MINIFS($J$2:$J$11,$J$2:$J$11,"&lt;&gt; -1"),0)</f>
        <v>514.06</v>
      </c>
      <c r="X14" s="4">
        <f>IFERROR(_xlfn.MINIFS($L$2:$L$11,$L$2:$L$11,"&lt;&gt; -1"),0)</f>
        <v>0</v>
      </c>
      <c r="Y14" s="4">
        <f>IFERROR(_xlfn.MAXIFS($C$2:$C$11,$B$2:$B$11,"&lt;&gt; -1"),0)</f>
        <v>14944.14</v>
      </c>
      <c r="Z14" s="4">
        <f>IFERROR(_xlfn.MAXIFS($E$2:$E$11,$D$2:$D$11,"&lt;&gt; -1"),0)</f>
        <v>15228.22</v>
      </c>
      <c r="AA14" s="4">
        <f>IFERROR(_xlfn.MAXIFS($G$2:$G$11,$F$2:$F$11,"&lt;&gt; -1"),0)</f>
        <v>16534.66</v>
      </c>
      <c r="AB14" s="4">
        <f>IFERROR(_xlfn.MAXIFS($I$2:$I$11,$H$2:$H$11,"&lt;&gt; -1"),0)</f>
        <v>0</v>
      </c>
      <c r="AC14" s="4">
        <f>IFERROR(_xlfn.MAXIFS($K$2:$K$11,$J$2:$J$11,"&lt;&gt; -1"),0)</f>
        <v>15109.25</v>
      </c>
      <c r="AD14" s="4">
        <f>IFERROR(_xlfn.MAXIFS($M$2:$M$11,$L$2:$L$11,"&lt;&gt; -1"),0)</f>
        <v>0</v>
      </c>
      <c r="AE14" s="4">
        <f>IFERROR(_xlfn.MINIFS($C$2:$C$11,$B$2:$B$11,"&lt;&gt; -1"),0)</f>
        <v>13833.11</v>
      </c>
      <c r="AF14" s="4">
        <f>IFERROR(_xlfn.MINIFS($E$2:$E$11,$D$2:$D$11,"&lt;&gt; -1"),0)</f>
        <v>14008.6</v>
      </c>
      <c r="AG14" s="4">
        <f>IFERROR(_xlfn.MINIFS($G$2:$G$11,$F$2:$F$11,"&lt;&gt; -1"),0)</f>
        <v>15337.81</v>
      </c>
      <c r="AH14" s="4">
        <f>IFERROR(_xlfn.MINIFS($I$2:$I$11,$H$2:$H$11,"&lt;&gt; -1"),0)</f>
        <v>0</v>
      </c>
      <c r="AI14" s="4">
        <f>IFERROR(_xlfn.MINIFS($K$2:$K$11,$J$2:$J$11,"&lt;&gt; -1"),0)</f>
        <v>13918.14</v>
      </c>
      <c r="AJ14" s="4">
        <f>IFERROR(_xlfn.MINIFS($M$2:$M$11,$L$2:$L$11,"&lt;&gt; -1"),0)</f>
        <v>0</v>
      </c>
      <c r="AK14" s="4">
        <f>(COUNTIFS($B$2:$B$11,"&gt;0.0",$B$2:$B$11,"&lt;700.0"))/10</f>
        <v>1</v>
      </c>
      <c r="AL14" s="4">
        <f>(COUNTIFS($D$2:$D$11,"&gt;0.0",$D$2:$D$11,"&lt;700.0"))/10</f>
        <v>1</v>
      </c>
      <c r="AM14" s="4">
        <f>(COUNTIFS($F$2:$F$11,"&gt;0.0",$F$2:$F$11,"&lt;700.0"))/10</f>
        <v>0.4</v>
      </c>
      <c r="AN14" s="4">
        <f>(COUNTIFS($H$2:$H11,"&gt;0.0",$H$2:$H$11,"&lt;700.0"))/10</f>
        <v>0</v>
      </c>
      <c r="AO14" s="4">
        <f>(COUNTIFS($J$2:$J$11,"&gt;0.0",$J$2:$J$11,"&lt;700.0"))/10</f>
        <v>0.5</v>
      </c>
      <c r="AP14" s="4">
        <f>(COUNTIFS($L$2:$L$11,"&gt;0.0",$L$2:$L$11,"&lt;700.0"))/10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E10" sqref="E10"/>
    </sheetView>
  </sheetViews>
  <sheetFormatPr defaultColWidth="8.72727272727273" defaultRowHeight="14" outlineLevelRow="6"/>
  <sheetData>
    <row r="1" spans="1:42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  <c r="T1" t="s">
        <v>42</v>
      </c>
      <c r="U1" t="s">
        <v>43</v>
      </c>
      <c r="V1" t="s">
        <v>44</v>
      </c>
      <c r="W1" t="s">
        <v>45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  <c r="AP1" t="s">
        <v>64</v>
      </c>
    </row>
    <row r="2" spans="1:42">
      <c r="A2">
        <v>468.56</v>
      </c>
      <c r="B2">
        <v>355.021</v>
      </c>
      <c r="C2">
        <v>482.122222222222</v>
      </c>
      <c r="D2">
        <v>0</v>
      </c>
      <c r="E2">
        <v>473.015</v>
      </c>
      <c r="F2">
        <v>377.616666666667</v>
      </c>
      <c r="G2">
        <v>14530.028</v>
      </c>
      <c r="H2">
        <v>14460.448</v>
      </c>
      <c r="I2">
        <v>16181.4655555556</v>
      </c>
      <c r="J2">
        <v>0</v>
      </c>
      <c r="K2">
        <v>14779.9</v>
      </c>
      <c r="L2">
        <v>14732.1133333333</v>
      </c>
      <c r="M2">
        <v>480.22</v>
      </c>
      <c r="N2">
        <v>363.28</v>
      </c>
      <c r="O2">
        <v>492.62</v>
      </c>
      <c r="P2">
        <v>0</v>
      </c>
      <c r="Q2">
        <v>485.6</v>
      </c>
      <c r="R2">
        <v>382.22</v>
      </c>
      <c r="S2">
        <v>445.93</v>
      </c>
      <c r="T2">
        <v>342.84</v>
      </c>
      <c r="U2">
        <v>466.59</v>
      </c>
      <c r="V2">
        <v>0</v>
      </c>
      <c r="W2">
        <v>452.17</v>
      </c>
      <c r="X2">
        <v>374.11</v>
      </c>
      <c r="Y2">
        <v>14967.22</v>
      </c>
      <c r="Z2">
        <v>15156.19</v>
      </c>
      <c r="AA2">
        <v>16653.47</v>
      </c>
      <c r="AB2">
        <v>0</v>
      </c>
      <c r="AC2">
        <v>15088.33</v>
      </c>
      <c r="AD2">
        <v>15193.49</v>
      </c>
      <c r="AE2">
        <v>13611.17</v>
      </c>
      <c r="AF2">
        <v>13653.87</v>
      </c>
      <c r="AG2">
        <v>15122.36</v>
      </c>
      <c r="AH2">
        <v>0</v>
      </c>
      <c r="AI2">
        <v>14516.24</v>
      </c>
      <c r="AJ2">
        <v>14331.89</v>
      </c>
      <c r="AK2">
        <v>1</v>
      </c>
      <c r="AL2">
        <v>1</v>
      </c>
      <c r="AM2">
        <v>0.9</v>
      </c>
      <c r="AN2">
        <v>0</v>
      </c>
      <c r="AO2">
        <v>0.8</v>
      </c>
      <c r="AP2">
        <v>0.3</v>
      </c>
    </row>
    <row r="3" spans="1:42">
      <c r="A3">
        <v>498.204</v>
      </c>
      <c r="B3">
        <v>389.205</v>
      </c>
      <c r="C3">
        <v>514.705</v>
      </c>
      <c r="D3">
        <v>0</v>
      </c>
      <c r="E3">
        <v>508.778571428571</v>
      </c>
      <c r="F3">
        <v>412.22</v>
      </c>
      <c r="G3">
        <v>14565.479</v>
      </c>
      <c r="H3">
        <v>14712.058</v>
      </c>
      <c r="I3">
        <v>16184.8833333333</v>
      </c>
      <c r="J3">
        <v>0</v>
      </c>
      <c r="K3">
        <v>14704.3514285714</v>
      </c>
      <c r="L3">
        <v>14686.8</v>
      </c>
      <c r="M3">
        <v>509.5</v>
      </c>
      <c r="N3">
        <v>396.43</v>
      </c>
      <c r="O3">
        <v>524.17</v>
      </c>
      <c r="P3">
        <v>0</v>
      </c>
      <c r="Q3">
        <v>522.35</v>
      </c>
      <c r="R3">
        <v>412.22</v>
      </c>
      <c r="S3">
        <v>459.42</v>
      </c>
      <c r="T3">
        <v>373.93</v>
      </c>
      <c r="U3">
        <v>485.12</v>
      </c>
      <c r="V3">
        <v>0</v>
      </c>
      <c r="W3">
        <v>465.79</v>
      </c>
      <c r="X3">
        <v>412.22</v>
      </c>
      <c r="Y3">
        <v>15353.6</v>
      </c>
      <c r="Z3">
        <v>15103.98</v>
      </c>
      <c r="AA3">
        <v>16916.54</v>
      </c>
      <c r="AB3">
        <v>0</v>
      </c>
      <c r="AC3">
        <v>15543.26</v>
      </c>
      <c r="AD3">
        <v>14686.8</v>
      </c>
      <c r="AE3">
        <v>13889.68</v>
      </c>
      <c r="AF3">
        <v>14119.41</v>
      </c>
      <c r="AG3">
        <v>15383.8</v>
      </c>
      <c r="AH3">
        <v>0</v>
      </c>
      <c r="AI3">
        <v>13972.23</v>
      </c>
      <c r="AJ3">
        <v>14686.8</v>
      </c>
      <c r="AK3">
        <v>1</v>
      </c>
      <c r="AL3">
        <v>1</v>
      </c>
      <c r="AM3">
        <v>0.6</v>
      </c>
      <c r="AN3">
        <v>0</v>
      </c>
      <c r="AO3">
        <v>0.7</v>
      </c>
      <c r="AP3">
        <v>0.1</v>
      </c>
    </row>
    <row r="4" spans="1:42">
      <c r="A4">
        <v>544.194</v>
      </c>
      <c r="B4">
        <v>423.662</v>
      </c>
      <c r="C4">
        <v>0</v>
      </c>
      <c r="D4">
        <v>0</v>
      </c>
      <c r="E4">
        <v>0</v>
      </c>
      <c r="F4">
        <v>0</v>
      </c>
      <c r="G4">
        <v>14738.93</v>
      </c>
      <c r="H4">
        <v>14743.848</v>
      </c>
      <c r="I4">
        <v>0</v>
      </c>
      <c r="J4">
        <v>0</v>
      </c>
      <c r="K4">
        <v>0</v>
      </c>
      <c r="L4">
        <v>0</v>
      </c>
      <c r="M4">
        <v>552.9</v>
      </c>
      <c r="N4">
        <v>430.09</v>
      </c>
      <c r="O4">
        <v>0</v>
      </c>
      <c r="P4">
        <v>0</v>
      </c>
      <c r="Q4">
        <v>0</v>
      </c>
      <c r="R4">
        <v>0</v>
      </c>
      <c r="S4">
        <v>524.49</v>
      </c>
      <c r="T4">
        <v>407.66</v>
      </c>
      <c r="U4">
        <v>0</v>
      </c>
      <c r="V4">
        <v>0</v>
      </c>
      <c r="W4">
        <v>0</v>
      </c>
      <c r="X4">
        <v>0</v>
      </c>
      <c r="Y4">
        <v>15019.23</v>
      </c>
      <c r="Z4">
        <v>15061.77</v>
      </c>
      <c r="AA4">
        <v>0</v>
      </c>
      <c r="AB4">
        <v>0</v>
      </c>
      <c r="AC4">
        <v>0</v>
      </c>
      <c r="AD4">
        <v>0</v>
      </c>
      <c r="AE4">
        <v>14385.04</v>
      </c>
      <c r="AF4">
        <v>14171.76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</row>
    <row r="5" spans="1:42">
      <c r="A5">
        <v>568.667</v>
      </c>
      <c r="B5">
        <v>456.634</v>
      </c>
      <c r="C5">
        <v>0</v>
      </c>
      <c r="D5">
        <v>0</v>
      </c>
      <c r="E5">
        <v>0</v>
      </c>
      <c r="F5">
        <v>0</v>
      </c>
      <c r="G5">
        <v>14823.225</v>
      </c>
      <c r="H5">
        <v>14702.843</v>
      </c>
      <c r="I5">
        <v>0</v>
      </c>
      <c r="J5">
        <v>0</v>
      </c>
      <c r="K5">
        <v>0</v>
      </c>
      <c r="L5">
        <v>0</v>
      </c>
      <c r="M5">
        <v>576.44</v>
      </c>
      <c r="N5">
        <v>464.91</v>
      </c>
      <c r="O5">
        <v>0</v>
      </c>
      <c r="P5">
        <v>0</v>
      </c>
      <c r="Q5">
        <v>0</v>
      </c>
      <c r="R5">
        <v>0</v>
      </c>
      <c r="S5">
        <v>552.83</v>
      </c>
      <c r="T5">
        <v>441.17</v>
      </c>
      <c r="U5">
        <v>0</v>
      </c>
      <c r="V5">
        <v>0</v>
      </c>
      <c r="W5">
        <v>0</v>
      </c>
      <c r="X5">
        <v>0</v>
      </c>
      <c r="Y5">
        <v>15342.23</v>
      </c>
      <c r="Z5">
        <v>15194.18</v>
      </c>
      <c r="AA5">
        <v>0</v>
      </c>
      <c r="AB5">
        <v>0</v>
      </c>
      <c r="AC5">
        <v>0</v>
      </c>
      <c r="AD5">
        <v>0</v>
      </c>
      <c r="AE5">
        <v>14278.21</v>
      </c>
      <c r="AF5">
        <v>14046.33</v>
      </c>
      <c r="AG5">
        <v>0</v>
      </c>
      <c r="AH5">
        <v>0</v>
      </c>
      <c r="AI5">
        <v>0</v>
      </c>
      <c r="AJ5">
        <v>0</v>
      </c>
      <c r="AK5">
        <v>1</v>
      </c>
      <c r="AL5">
        <v>1</v>
      </c>
      <c r="AM5">
        <v>0</v>
      </c>
      <c r="AN5" t="e">
        <v>#VALUE!</v>
      </c>
      <c r="AO5">
        <v>0</v>
      </c>
      <c r="AP5">
        <v>0</v>
      </c>
    </row>
    <row r="6" spans="1:42">
      <c r="A6">
        <v>582.051</v>
      </c>
      <c r="B6">
        <v>482.007</v>
      </c>
      <c r="C6">
        <v>0</v>
      </c>
      <c r="D6">
        <v>0</v>
      </c>
      <c r="E6">
        <v>0</v>
      </c>
      <c r="F6">
        <v>0</v>
      </c>
      <c r="G6">
        <v>14878.216</v>
      </c>
      <c r="H6">
        <v>14499.17</v>
      </c>
      <c r="I6">
        <v>0</v>
      </c>
      <c r="J6">
        <v>0</v>
      </c>
      <c r="K6">
        <v>0</v>
      </c>
      <c r="L6">
        <v>0</v>
      </c>
      <c r="M6">
        <v>596</v>
      </c>
      <c r="N6">
        <v>496.67</v>
      </c>
      <c r="O6">
        <v>0</v>
      </c>
      <c r="P6">
        <v>0</v>
      </c>
      <c r="Q6">
        <v>0</v>
      </c>
      <c r="R6">
        <v>0</v>
      </c>
      <c r="S6">
        <v>571.6</v>
      </c>
      <c r="T6">
        <v>471.04</v>
      </c>
      <c r="U6">
        <v>0</v>
      </c>
      <c r="V6">
        <v>0</v>
      </c>
      <c r="W6">
        <v>0</v>
      </c>
      <c r="X6">
        <v>0</v>
      </c>
      <c r="Y6">
        <v>15586.69</v>
      </c>
      <c r="Z6">
        <v>15146.54</v>
      </c>
      <c r="AA6">
        <v>0</v>
      </c>
      <c r="AB6">
        <v>0</v>
      </c>
      <c r="AC6">
        <v>0</v>
      </c>
      <c r="AD6">
        <v>0</v>
      </c>
      <c r="AE6">
        <v>14460.55</v>
      </c>
      <c r="AF6">
        <v>13817.21</v>
      </c>
      <c r="AG6">
        <v>0</v>
      </c>
      <c r="AH6">
        <v>0</v>
      </c>
      <c r="AI6">
        <v>0</v>
      </c>
      <c r="AJ6">
        <v>0</v>
      </c>
      <c r="AK6">
        <v>1</v>
      </c>
      <c r="AL6">
        <v>1</v>
      </c>
      <c r="AM6">
        <v>0</v>
      </c>
      <c r="AN6" t="e">
        <v>#VALUE!</v>
      </c>
      <c r="AO6">
        <v>0</v>
      </c>
      <c r="AP6">
        <v>0</v>
      </c>
    </row>
    <row r="7" spans="1:42">
      <c r="A7">
        <v>535.123</v>
      </c>
      <c r="B7">
        <v>504.667</v>
      </c>
      <c r="C7">
        <v>524.9225</v>
      </c>
      <c r="D7">
        <v>0</v>
      </c>
      <c r="E7">
        <v>532.512</v>
      </c>
      <c r="F7">
        <v>0</v>
      </c>
      <c r="G7">
        <v>14538.331</v>
      </c>
      <c r="H7">
        <v>14804.361</v>
      </c>
      <c r="I7">
        <v>15978.115</v>
      </c>
      <c r="J7">
        <v>0</v>
      </c>
      <c r="K7">
        <v>14568.828</v>
      </c>
      <c r="L7">
        <v>0</v>
      </c>
      <c r="M7">
        <v>572.15</v>
      </c>
      <c r="N7">
        <v>520.97</v>
      </c>
      <c r="O7">
        <v>539.05</v>
      </c>
      <c r="P7">
        <v>0</v>
      </c>
      <c r="Q7">
        <v>565.7</v>
      </c>
      <c r="R7">
        <v>0</v>
      </c>
      <c r="S7">
        <v>512.61</v>
      </c>
      <c r="T7">
        <v>490.97</v>
      </c>
      <c r="U7">
        <v>519.25</v>
      </c>
      <c r="V7">
        <v>0</v>
      </c>
      <c r="W7">
        <v>514.06</v>
      </c>
      <c r="X7">
        <v>0</v>
      </c>
      <c r="Y7">
        <v>14944.14</v>
      </c>
      <c r="Z7">
        <v>15228.22</v>
      </c>
      <c r="AA7">
        <v>16534.66</v>
      </c>
      <c r="AB7">
        <v>0</v>
      </c>
      <c r="AC7">
        <v>15109.25</v>
      </c>
      <c r="AD7">
        <v>0</v>
      </c>
      <c r="AE7">
        <v>13833.11</v>
      </c>
      <c r="AF7">
        <v>14008.6</v>
      </c>
      <c r="AG7">
        <v>15337.81</v>
      </c>
      <c r="AH7">
        <v>0</v>
      </c>
      <c r="AI7">
        <v>13918.14</v>
      </c>
      <c r="AJ7">
        <v>0</v>
      </c>
      <c r="AK7">
        <v>1</v>
      </c>
      <c r="AL7">
        <v>1</v>
      </c>
      <c r="AM7">
        <v>0.4</v>
      </c>
      <c r="AN7">
        <v>0</v>
      </c>
      <c r="AO7">
        <v>0.5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WPS_1666204842</cp:lastModifiedBy>
  <dcterms:created xsi:type="dcterms:W3CDTF">2024-09-26T02:26:00Z</dcterms:created>
  <dcterms:modified xsi:type="dcterms:W3CDTF">2024-09-26T02:37:08Z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83ED4B38CE5D4B7B9933DF3D2A638368_12</vt:lpwstr>
  </property>
  <property fmtid="{D5CDD505-2E9C-101B-9397-08002B2CF9AE}" pid="3" name="KSOProductBuildVer">
    <vt:lpwstr>2052-12.1.0.17827</vt:lpwstr>
  </property>
</Properties>
</file>