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<sst xmlns="http://schemas.openxmlformats.org/spreadsheetml/2006/main" count="432" uniqueCount="65">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</sst>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90.84</v>
      </c>
      <c r="C2">
        <v>8658.49</v>
      </c>
      <c r="D2">
        <v>129.41</v>
      </c>
      <c r="E2">
        <v>8711.54</v>
      </c>
      <c r="F2">
        <v>-1</v>
      </c>
      <c r="G2">
        <v>3465.55</v>
      </c>
      <c r="H2">
        <v>158.37</v>
      </c>
      <c r="I2">
        <v>9952.44</v>
      </c>
      <c r="J2">
        <v>-1</v>
      </c>
      <c r="K2">
        <v>3071.79</v>
      </c>
      <c r="L2">
        <v>-1</v>
      </c>
      <c r="M2">
        <v>0</v>
      </c>
    </row>
    <row r="3" spans="1:13">
      <c r="A3" t="s">
        <v>14</v>
      </c>
      <c r="B3">
        <v>92.24</v>
      </c>
      <c r="C3">
        <v>8744.57</v>
      </c>
      <c r="D3">
        <v>130.61</v>
      </c>
      <c r="E3">
        <v>8649.75</v>
      </c>
      <c r="F3">
        <v>99.54</v>
      </c>
      <c r="G3">
        <v>9798.92</v>
      </c>
      <c r="H3">
        <v>173.96</v>
      </c>
      <c r="I3">
        <v>9811.52</v>
      </c>
      <c r="J3">
        <v>-1</v>
      </c>
      <c r="K3">
        <v>1693.96</v>
      </c>
      <c r="L3">
        <v>-1</v>
      </c>
      <c r="M3">
        <v>0</v>
      </c>
    </row>
    <row r="4" spans="1:13">
      <c r="A4" t="s">
        <v>15</v>
      </c>
      <c r="B4">
        <v>121.52</v>
      </c>
      <c r="C4">
        <v>8649.53</v>
      </c>
      <c r="D4">
        <v>176.36</v>
      </c>
      <c r="E4">
        <v>8378.07</v>
      </c>
      <c r="F4">
        <v>130.82</v>
      </c>
      <c r="G4">
        <v>9728.51</v>
      </c>
      <c r="H4">
        <v>224.87</v>
      </c>
      <c r="I4">
        <v>9508.8</v>
      </c>
      <c r="J4">
        <v>126.52</v>
      </c>
      <c r="K4">
        <v>8607.85</v>
      </c>
      <c r="L4">
        <v>-1</v>
      </c>
      <c r="M4">
        <v>0</v>
      </c>
    </row>
    <row r="5" spans="1:13">
      <c r="A5" t="s">
        <v>16</v>
      </c>
      <c r="B5">
        <v>127.74</v>
      </c>
      <c r="C5">
        <v>8603.09</v>
      </c>
      <c r="D5">
        <v>178.75</v>
      </c>
      <c r="E5">
        <v>8708.84</v>
      </c>
      <c r="F5">
        <v>137.95</v>
      </c>
      <c r="G5">
        <v>9636.92</v>
      </c>
      <c r="H5">
        <v>234.69</v>
      </c>
      <c r="I5">
        <v>9934.84</v>
      </c>
      <c r="J5">
        <v>-1</v>
      </c>
      <c r="K5">
        <v>656.04</v>
      </c>
      <c r="L5">
        <v>-1</v>
      </c>
      <c r="M5">
        <v>0</v>
      </c>
    </row>
    <row r="6" spans="1:13">
      <c r="A6" t="s">
        <v>17</v>
      </c>
      <c r="B6">
        <v>129.38</v>
      </c>
      <c r="C6">
        <v>8561.26</v>
      </c>
      <c r="D6">
        <v>189.32</v>
      </c>
      <c r="E6">
        <v>8537.91</v>
      </c>
      <c r="F6">
        <v>143.77</v>
      </c>
      <c r="G6">
        <v>9638.18</v>
      </c>
      <c r="H6">
        <v>239.19</v>
      </c>
      <c r="I6">
        <v>9762.39</v>
      </c>
      <c r="J6">
        <v>135.84</v>
      </c>
      <c r="K6">
        <v>8536.47</v>
      </c>
      <c r="L6">
        <v>-1</v>
      </c>
      <c r="M6">
        <v>0</v>
      </c>
    </row>
    <row r="7" spans="1:13">
      <c r="A7" t="s">
        <v>18</v>
      </c>
      <c r="B7">
        <v>131.81</v>
      </c>
      <c r="C7">
        <v>8927.39</v>
      </c>
      <c r="D7">
        <v>187.56</v>
      </c>
      <c r="E7">
        <v>8825.62</v>
      </c>
      <c r="F7">
        <v>138.75</v>
      </c>
      <c r="G7">
        <v>10123.53</v>
      </c>
      <c r="H7">
        <v>219.69</v>
      </c>
      <c r="I7">
        <v>10109.46</v>
      </c>
      <c r="J7">
        <v>178.5</v>
      </c>
      <c r="K7">
        <v>8940.43</v>
      </c>
      <c r="L7">
        <v>-1</v>
      </c>
      <c r="M7">
        <v>0</v>
      </c>
    </row>
    <row r="8" spans="1:13">
      <c r="A8" t="s">
        <v>19</v>
      </c>
      <c r="B8">
        <v>132.02</v>
      </c>
      <c r="C8">
        <v>8630.01</v>
      </c>
      <c r="D8">
        <v>189.96</v>
      </c>
      <c r="E8">
        <v>9059.79</v>
      </c>
      <c r="F8">
        <v>142.49</v>
      </c>
      <c r="G8">
        <v>9771.78</v>
      </c>
      <c r="H8">
        <v>331.59</v>
      </c>
      <c r="I8">
        <v>10317.32</v>
      </c>
      <c r="J8">
        <v>144.85</v>
      </c>
      <c r="K8">
        <v>8618.57</v>
      </c>
      <c r="L8">
        <v>-1</v>
      </c>
      <c r="M8">
        <v>0</v>
      </c>
    </row>
    <row r="9" spans="1:13">
      <c r="A9" t="s">
        <v>20</v>
      </c>
      <c r="B9">
        <v>124.35</v>
      </c>
      <c r="C9">
        <v>8597.02</v>
      </c>
      <c r="D9">
        <v>176.06</v>
      </c>
      <c r="E9">
        <v>8957.45</v>
      </c>
      <c r="F9">
        <v>133.16</v>
      </c>
      <c r="G9">
        <v>9766.2</v>
      </c>
      <c r="H9">
        <v>204.23</v>
      </c>
      <c r="I9">
        <v>10237.9</v>
      </c>
      <c r="J9">
        <v>126.32</v>
      </c>
      <c r="K9">
        <v>8577.26</v>
      </c>
      <c r="L9">
        <v>-1</v>
      </c>
      <c r="M9">
        <v>0</v>
      </c>
    </row>
    <row r="10" spans="1:13">
      <c r="A10" t="s">
        <v>21</v>
      </c>
      <c r="B10">
        <v>133.13</v>
      </c>
      <c r="C10">
        <v>8668.11</v>
      </c>
      <c r="D10">
        <v>188.09</v>
      </c>
      <c r="E10">
        <v>8656.01</v>
      </c>
      <c r="F10">
        <v>145.38</v>
      </c>
      <c r="G10">
        <v>9761.31</v>
      </c>
      <c r="H10">
        <v>222.7</v>
      </c>
      <c r="I10">
        <v>9838.83</v>
      </c>
      <c r="J10">
        <v>-1</v>
      </c>
      <c r="K10">
        <v>2155.58</v>
      </c>
      <c r="L10">
        <v>-1</v>
      </c>
      <c r="M10">
        <v>0</v>
      </c>
    </row>
    <row r="11" spans="1:13">
      <c r="A11" t="s">
        <v>22</v>
      </c>
      <c r="B11">
        <v>123.83</v>
      </c>
      <c r="C11">
        <v>8859.58</v>
      </c>
      <c r="D11">
        <v>180.83</v>
      </c>
      <c r="E11">
        <v>8679.16</v>
      </c>
      <c r="F11">
        <v>-1</v>
      </c>
      <c r="G11">
        <v>3464.83</v>
      </c>
      <c r="H11">
        <v>271.68</v>
      </c>
      <c r="I11">
        <v>9961.81</v>
      </c>
      <c r="J11">
        <v>-1</v>
      </c>
      <c r="K11">
        <v>1342.24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120.686</v>
      </c>
      <c r="B14" s="4">
        <f>IFERROR(AVERAGEIF($D$2:$D$11,"&lt;&gt; -1"),0)</f>
        <v>172.695</v>
      </c>
      <c r="C14" s="4">
        <f>IFERROR(AVERAGEIF($F$2:$F$11,"&lt;&gt; -1"),0)</f>
        <v>133.9825</v>
      </c>
      <c r="D14" s="4">
        <f>IFERROR(AVERAGEIF($H$2:$H$11,"&lt;&gt; -1"),0)</f>
        <v>228.097</v>
      </c>
      <c r="E14" s="4">
        <f>IFERROR(AVERAGEIF($J$2:$J$11,"&lt;&gt; -1"),0)</f>
        <v>142.406</v>
      </c>
      <c r="F14" s="4">
        <f>IFERROR(AVERAGEIF($L$2:$L$11,"&lt;&gt; -1"),0)</f>
        <v>0</v>
      </c>
      <c r="G14" s="4">
        <f>IFERROR(AVERAGEIFS($C$2:$C$11,$B$2:$B$11,"&lt;&gt; -1"),0)</f>
        <v>8689.905</v>
      </c>
      <c r="H14" s="4">
        <f>IFERROR(AVERAGEIFS($E$2:$E$11,$D$2:$D$11,"&lt;&gt; -1"),0)</f>
        <v>8716.414</v>
      </c>
      <c r="I14" s="4">
        <f>IFERROR(AVERAGEIFS($G$2:$G$11,$F$2:$F$11,"&lt;&gt; -1"),0)</f>
        <v>9778.16875</v>
      </c>
      <c r="J14" s="4">
        <f>IFERROR(AVERAGEIFS($I$2:$I$11,$H$2:$H$11,"&lt;&gt; -1"),0)</f>
        <v>9943.531</v>
      </c>
      <c r="K14" s="4">
        <f>IFERROR(AVERAGEIFS($K$2:$K$11,$J$2:$J$11,"&lt;&gt; -1"),0)</f>
        <v>8656.116</v>
      </c>
      <c r="L14" s="4">
        <f>IFERROR(AVERAGEIFS($M$2:$M$11,$L$2:$L$11,"&lt;&gt; -1"),0)</f>
        <v>0</v>
      </c>
      <c r="M14" s="4">
        <f>IFERROR(_xlfn.MAXIFS($B$2:$B$11,$B$2:$B$11,"&lt;&gt; -1"),0)</f>
        <v>133.13</v>
      </c>
      <c r="N14" s="4">
        <f>IFERROR(_xlfn.MAXIFS($D$2:$D$11,$D$2:$D$11,"&lt;&gt;-1"),0)</f>
        <v>189.96</v>
      </c>
      <c r="O14" s="4">
        <f>IFERROR(_xlfn.MAXIFS($F$2:$F$11,$F$2:$F$11,"&lt;&gt; -1"),0)</f>
        <v>145.38</v>
      </c>
      <c r="P14" s="4">
        <f>IFERROR(_xlfn.MAXIFS($H$2:$H$11,$H$2:$H$11,"&lt;&gt; -1"),0)</f>
        <v>331.59</v>
      </c>
      <c r="Q14" s="4">
        <f>IFERROR(_xlfn.MAXIFS($J$2:$J$11,$J$2:$J$11,"&lt;&gt; -1"),0)</f>
        <v>178.5</v>
      </c>
      <c r="R14" s="4">
        <f>IFERROR(_xlfn.MAXIFS($L$2:$L$11,$L$2:$L$11,"&lt;&gt; -1"),0)</f>
        <v>0</v>
      </c>
      <c r="S14" s="4">
        <f>IFERROR(_xlfn.MINIFS($B$2:$B$11,$B$2:$B$11,"&lt;&gt; -1"),0)</f>
        <v>90.84</v>
      </c>
      <c r="T14" s="4">
        <f>IFERROR(_xlfn.MINIFS($D$2:$D$11,$D$2:$D$11,"&lt;&gt;-1"),0)</f>
        <v>129.41</v>
      </c>
      <c r="U14" s="4">
        <f>IFERROR(_xlfn.MINIFS($F$2:$F$11,$F$2:$F$11,"&lt;&gt; -1"),0)</f>
        <v>99.54</v>
      </c>
      <c r="V14" s="4">
        <f>IFERROR(_xlfn.MINIFS($H$2:$H$11,$H$2:$H$11,"&lt;&gt; -1"),0)</f>
        <v>158.37</v>
      </c>
      <c r="W14" s="4">
        <f>IFERROR(_xlfn.MINIFS($J$2:$J$11,$J$2:$J$11,"&lt;&gt; -1"),0)</f>
        <v>126.32</v>
      </c>
      <c r="X14" s="4">
        <f>IFERROR(_xlfn.MINIFS($L$2:$L$11,$L$2:$L$11,"&lt;&gt; -1"),0)</f>
        <v>0</v>
      </c>
      <c r="Y14" s="4">
        <f>IFERROR(_xlfn.MAXIFS($C$2:$C$11,$B$2:$B$11,"&lt;&gt; -1"),0)</f>
        <v>8927.39</v>
      </c>
      <c r="Z14" s="4">
        <f>IFERROR(_xlfn.MAXIFS($E$2:$E$11,$D$2:$D$11,"&lt;&gt; -1"),0)</f>
        <v>9059.79</v>
      </c>
      <c r="AA14" s="4">
        <f>IFERROR(_xlfn.MAXIFS($G$2:$G$11,$F$2:$F$11,"&lt;&gt; -1"),0)</f>
        <v>10123.53</v>
      </c>
      <c r="AB14" s="4">
        <f>IFERROR(_xlfn.MAXIFS($I$2:$I$11,$H$2:$H$11,"&lt;&gt; -1"),0)</f>
        <v>10317.32</v>
      </c>
      <c r="AC14" s="4">
        <f>IFERROR(_xlfn.MAXIFS($K$2:$K$11,$J$2:$J$11,"&lt;&gt; -1"),0)</f>
        <v>8940.43</v>
      </c>
      <c r="AD14" s="4">
        <f>IFERROR(_xlfn.MAXIFS($M$2:$M$11,$L$2:$L$11,"&lt;&gt; -1"),0)</f>
        <v>0</v>
      </c>
      <c r="AE14" s="4">
        <f>IFERROR(_xlfn.MINIFS($C$2:$C$11,$B$2:$B$11,"&lt;&gt; -1"),0)</f>
        <v>8561.26</v>
      </c>
      <c r="AF14" s="4">
        <f>IFERROR(_xlfn.MINIFS($E$2:$E$11,$D$2:$D$11,"&lt;&gt; -1"),0)</f>
        <v>8378.07</v>
      </c>
      <c r="AG14" s="4">
        <f>IFERROR(_xlfn.MINIFS($G$2:$G$11,$F$2:$F$11,"&lt;&gt; -1"),0)</f>
        <v>9636.92</v>
      </c>
      <c r="AH14" s="4">
        <f>IFERROR(_xlfn.MINIFS($I$2:$I$11,$H$2:$H$11,"&lt;&gt; -1"),0)</f>
        <v>9508.8</v>
      </c>
      <c r="AI14" s="4">
        <f>IFERROR(_xlfn.MINIFS($K$2:$K$11,$J$2:$J$11,"&lt;&gt; -1"),0)</f>
        <v>8536.47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0.8</v>
      </c>
      <c r="AN14" s="4">
        <f>(COUNTIFS($H$2:$H11,"&gt;0.0",$H$2:$H$11,"&lt;200.0"))/10</f>
        <v>0.2</v>
      </c>
      <c r="AO14" s="4">
        <f>(COUNTIFS($J$2:$J$11,"&gt;0.0",$J$2:$J$11,"&lt;200.0"))/10</f>
        <v>0.5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H41" sqref="H4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131.45</v>
      </c>
      <c r="C2">
        <v>8833.53</v>
      </c>
      <c r="D2">
        <v>185.19</v>
      </c>
      <c r="E2">
        <v>8874.54</v>
      </c>
      <c r="F2">
        <v>158.34</v>
      </c>
      <c r="G2">
        <v>9646.93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98.45</v>
      </c>
      <c r="C3">
        <v>9098.58</v>
      </c>
      <c r="D3">
        <v>136.3</v>
      </c>
      <c r="E3">
        <v>8798.28</v>
      </c>
      <c r="F3">
        <v>109.52</v>
      </c>
      <c r="G3">
        <v>9946.01</v>
      </c>
      <c r="H3">
        <v>-1</v>
      </c>
      <c r="I3">
        <v>0</v>
      </c>
      <c r="J3">
        <v>112.7</v>
      </c>
      <c r="K3">
        <v>8844.73</v>
      </c>
      <c r="L3">
        <v>-1</v>
      </c>
      <c r="M3">
        <v>0</v>
      </c>
    </row>
    <row r="4" spans="1:13">
      <c r="A4" t="s">
        <v>15</v>
      </c>
      <c r="B4">
        <v>97.74</v>
      </c>
      <c r="C4">
        <v>8778.82</v>
      </c>
      <c r="D4">
        <v>135.08</v>
      </c>
      <c r="E4">
        <v>8568.42</v>
      </c>
      <c r="F4">
        <v>-1</v>
      </c>
      <c r="G4">
        <v>683.77</v>
      </c>
      <c r="H4">
        <v>-1</v>
      </c>
      <c r="I4">
        <v>2801.39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98.91</v>
      </c>
      <c r="C5">
        <v>8772.84</v>
      </c>
      <c r="D5">
        <v>137.34</v>
      </c>
      <c r="E5">
        <v>9071.23</v>
      </c>
      <c r="F5">
        <v>123.97</v>
      </c>
      <c r="G5">
        <v>9634.01</v>
      </c>
      <c r="H5">
        <v>-1</v>
      </c>
      <c r="I5">
        <v>0</v>
      </c>
      <c r="J5">
        <v>-1</v>
      </c>
      <c r="K5">
        <v>419.61</v>
      </c>
      <c r="L5">
        <v>-1</v>
      </c>
      <c r="M5">
        <v>0</v>
      </c>
    </row>
    <row r="6" spans="1:13">
      <c r="A6" t="s">
        <v>17</v>
      </c>
      <c r="B6">
        <v>98.95</v>
      </c>
      <c r="C6">
        <v>8677.61</v>
      </c>
      <c r="D6">
        <v>138.02</v>
      </c>
      <c r="E6">
        <v>8728.25</v>
      </c>
      <c r="F6">
        <v>131.5</v>
      </c>
      <c r="G6">
        <v>9627.72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102.72</v>
      </c>
      <c r="C7">
        <v>9364.67</v>
      </c>
      <c r="D7">
        <v>140.12</v>
      </c>
      <c r="E7">
        <v>9080.13</v>
      </c>
      <c r="F7">
        <v>-1</v>
      </c>
      <c r="G7">
        <v>801.91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99.51</v>
      </c>
      <c r="C8">
        <v>8773.62</v>
      </c>
      <c r="D8">
        <v>139.5</v>
      </c>
      <c r="E8">
        <v>9151.62</v>
      </c>
      <c r="F8">
        <v>102.27</v>
      </c>
      <c r="G8">
        <v>10007.17</v>
      </c>
      <c r="H8">
        <v>-1</v>
      </c>
      <c r="I8">
        <v>0</v>
      </c>
      <c r="J8">
        <v>100.2</v>
      </c>
      <c r="K8">
        <v>8830.03</v>
      </c>
      <c r="L8">
        <v>-1</v>
      </c>
      <c r="M8">
        <v>0</v>
      </c>
    </row>
    <row r="9" spans="1:13">
      <c r="A9" t="s">
        <v>20</v>
      </c>
      <c r="B9">
        <v>99.51</v>
      </c>
      <c r="C9">
        <v>9169.55</v>
      </c>
      <c r="D9">
        <v>136.81</v>
      </c>
      <c r="E9">
        <v>9022.16</v>
      </c>
      <c r="F9">
        <v>166.15</v>
      </c>
      <c r="G9">
        <v>10052.33</v>
      </c>
      <c r="H9">
        <v>-1</v>
      </c>
      <c r="I9">
        <v>1030.75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99.01</v>
      </c>
      <c r="C10">
        <v>8818.02</v>
      </c>
      <c r="D10">
        <v>136.23</v>
      </c>
      <c r="E10">
        <v>9079.54</v>
      </c>
      <c r="F10">
        <v>130.73</v>
      </c>
      <c r="G10">
        <v>9621.05</v>
      </c>
      <c r="H10">
        <v>-1</v>
      </c>
      <c r="I10">
        <v>3288.09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99.09</v>
      </c>
      <c r="C11">
        <v>9362.03</v>
      </c>
      <c r="D11">
        <v>136.89</v>
      </c>
      <c r="E11">
        <v>8890.7</v>
      </c>
      <c r="F11">
        <v>-1</v>
      </c>
      <c r="G11">
        <v>8334.53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102.534</v>
      </c>
      <c r="B14" s="4">
        <f>IFERROR(AVERAGEIF($D$2:$D$11,"&lt;&gt; -1"),0)</f>
        <v>142.148</v>
      </c>
      <c r="C14" s="4">
        <f>IFERROR(AVERAGEIF($F$2:$F$11,"&lt;&gt; -1"),0)</f>
        <v>131.782857142857</v>
      </c>
      <c r="D14" s="4">
        <f>IFERROR(AVERAGEIF($H$2:$H$11,"&lt;&gt; -1"),0)</f>
        <v>0</v>
      </c>
      <c r="E14" s="4">
        <f>IFERROR(AVERAGEIF($J$2:$J$11,"&lt;&gt; -1"),0)</f>
        <v>106.45</v>
      </c>
      <c r="F14" s="4">
        <f>IFERROR(AVERAGEIF($L$2:$L$11,"&lt;&gt; -1"),0)</f>
        <v>0</v>
      </c>
      <c r="G14" s="4">
        <f>IFERROR(AVERAGEIFS($C$2:$C$11,$B$2:$B$11,"&lt;&gt; -1"),0)</f>
        <v>8964.927</v>
      </c>
      <c r="H14" s="4">
        <f>IFERROR(AVERAGEIFS($E$2:$E$11,$D$2:$D$11,"&lt;&gt; -1"),0)</f>
        <v>8926.487</v>
      </c>
      <c r="I14" s="4">
        <f>IFERROR(AVERAGEIFS($G$2:$G$11,$F$2:$F$11,"&lt;&gt; -1"),0)</f>
        <v>9790.74571428571</v>
      </c>
      <c r="J14" s="4">
        <f>IFERROR(AVERAGEIFS($I$2:$I$11,$H$2:$H$11,"&lt;&gt; -1"),0)</f>
        <v>0</v>
      </c>
      <c r="K14" s="4">
        <f>IFERROR(AVERAGEIFS($K$2:$K$11,$J$2:$J$11,"&lt;&gt; -1"),0)</f>
        <v>8837.38</v>
      </c>
      <c r="L14" s="4">
        <f>IFERROR(AVERAGEIFS($M$2:$M$11,$L$2:$L$11,"&lt;&gt; -1"),0)</f>
        <v>0</v>
      </c>
      <c r="M14" s="4">
        <f>IFERROR(_xlfn.MAXIFS($B$2:$B$11,$B$2:$B$11,"&lt;&gt; -1"),0)</f>
        <v>131.45</v>
      </c>
      <c r="N14" s="4">
        <f>IFERROR(_xlfn.MAXIFS($D$2:$D$11,$D$2:$D$11,"&lt;&gt;-1"),0)</f>
        <v>185.19</v>
      </c>
      <c r="O14" s="4">
        <f>IFERROR(_xlfn.MAXIFS($F$2:$F$11,$F$2:$F$11,"&lt;&gt; -1"),0)</f>
        <v>166.15</v>
      </c>
      <c r="P14" s="4">
        <f>IFERROR(_xlfn.MAXIFS($H$2:$H$11,$H$2:$H$11,"&lt;&gt; -1"),0)</f>
        <v>0</v>
      </c>
      <c r="Q14" s="4">
        <f>IFERROR(_xlfn.MAXIFS($J$2:$J$11,$J$2:$J$11,"&lt;&gt; -1"),0)</f>
        <v>112.7</v>
      </c>
      <c r="R14" s="4">
        <f>IFERROR(_xlfn.MAXIFS($L$2:$L$11,$L$2:$L$11,"&lt;&gt; -1"),0)</f>
        <v>0</v>
      </c>
      <c r="S14" s="4">
        <f>IFERROR(_xlfn.MINIFS($B$2:$B$11,$B$2:$B$11,"&lt;&gt; -1"),0)</f>
        <v>97.74</v>
      </c>
      <c r="T14" s="4">
        <f>IFERROR(_xlfn.MINIFS($D$2:$D$11,$D$2:$D$11,"&lt;&gt;-1"),0)</f>
        <v>135.08</v>
      </c>
      <c r="U14" s="4">
        <f>IFERROR(_xlfn.MINIFS($F$2:$F$11,$F$2:$F$11,"&lt;&gt; -1"),0)</f>
        <v>102.27</v>
      </c>
      <c r="V14" s="4">
        <f>IFERROR(_xlfn.MINIFS($H$2:$H$11,$H$2:$H$11,"&lt;&gt; -1"),0)</f>
        <v>0</v>
      </c>
      <c r="W14" s="4">
        <f>IFERROR(_xlfn.MINIFS($J$2:$J$11,$J$2:$J$11,"&lt;&gt; -1"),0)</f>
        <v>100.2</v>
      </c>
      <c r="X14" s="4">
        <f>IFERROR(_xlfn.MINIFS($L$2:$L$11,$L$2:$L$11,"&lt;&gt; -1"),0)</f>
        <v>0</v>
      </c>
      <c r="Y14" s="4">
        <f>IFERROR(_xlfn.MAXIFS($C$2:$C$11,$B$2:$B$11,"&lt;&gt; -1"),0)</f>
        <v>9364.67</v>
      </c>
      <c r="Z14" s="4">
        <f>IFERROR(_xlfn.MAXIFS($E$2:$E$11,$D$2:$D$11,"&lt;&gt; -1"),0)</f>
        <v>9151.62</v>
      </c>
      <c r="AA14" s="4">
        <f>IFERROR(_xlfn.MAXIFS($G$2:$G$11,$F$2:$F$11,"&lt;&gt; -1"),0)</f>
        <v>10052.33</v>
      </c>
      <c r="AB14" s="4">
        <f>IFERROR(_xlfn.MAXIFS($I$2:$I$11,$H$2:$H$11,"&lt;&gt; -1"),0)</f>
        <v>0</v>
      </c>
      <c r="AC14" s="4">
        <f>IFERROR(_xlfn.MAXIFS($K$2:$K$11,$J$2:$J$11,"&lt;&gt; -1"),0)</f>
        <v>8844.73</v>
      </c>
      <c r="AD14" s="4">
        <f>IFERROR(_xlfn.MAXIFS($M$2:$M$11,$L$2:$L$11,"&lt;&gt; -1"),0)</f>
        <v>0</v>
      </c>
      <c r="AE14" s="4">
        <f>IFERROR(_xlfn.MINIFS($C$2:$C$11,$B$2:$B$11,"&lt;&gt; -1"),0)</f>
        <v>8677.61</v>
      </c>
      <c r="AF14" s="4">
        <f>IFERROR(_xlfn.MINIFS($E$2:$E$11,$D$2:$D$11,"&lt;&gt; -1"),0)</f>
        <v>8568.42</v>
      </c>
      <c r="AG14" s="4">
        <f>IFERROR(_xlfn.MINIFS($G$2:$G$11,$F$2:$F$11,"&lt;&gt; -1"),0)</f>
        <v>9621.05</v>
      </c>
      <c r="AH14" s="4">
        <f>IFERROR(_xlfn.MINIFS($I$2:$I$11,$H$2:$H$11,"&lt;&gt; -1"),0)</f>
        <v>0</v>
      </c>
      <c r="AI14" s="4">
        <f>IFERROR(_xlfn.MINIFS($K$2:$K$11,$J$2:$J$11,"&lt;&gt; -1"),0)</f>
        <v>8830.03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0.7</v>
      </c>
      <c r="AN14" s="4">
        <f>(COUNTIFS($H$2:$H11,"&gt;0.0",$H$2:$H$11,"&lt;200.0"))/10</f>
        <v>0</v>
      </c>
      <c r="AO14" s="4">
        <f>(COUNTIFS($J$2:$J$11,"&gt;0.0",$J$2:$J$11,"&lt;200.0"))/10</f>
        <v>0.2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106.51</v>
      </c>
      <c r="C2">
        <v>8700.01</v>
      </c>
      <c r="D2">
        <v>143.43</v>
      </c>
      <c r="E2">
        <v>9211.85</v>
      </c>
      <c r="F2">
        <v>-1</v>
      </c>
      <c r="G2">
        <v>4104.11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105.85</v>
      </c>
      <c r="C3">
        <v>8926.87</v>
      </c>
      <c r="D3">
        <v>142.24</v>
      </c>
      <c r="E3">
        <v>9072.31</v>
      </c>
      <c r="F3">
        <v>147.4</v>
      </c>
      <c r="G3">
        <v>9753.55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106.55</v>
      </c>
      <c r="C4">
        <v>8733.76</v>
      </c>
      <c r="D4">
        <v>143.19</v>
      </c>
      <c r="E4">
        <v>8840.25</v>
      </c>
      <c r="F4">
        <v>-1</v>
      </c>
      <c r="G4">
        <v>6756.15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106.72</v>
      </c>
      <c r="C5">
        <v>8600.98</v>
      </c>
      <c r="D5">
        <v>144.27</v>
      </c>
      <c r="E5">
        <v>9294.76</v>
      </c>
      <c r="F5">
        <v>121.34</v>
      </c>
      <c r="G5">
        <v>9703.8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104.24</v>
      </c>
      <c r="C6">
        <v>8687.25</v>
      </c>
      <c r="D6">
        <v>142.08</v>
      </c>
      <c r="E6">
        <v>8772.07</v>
      </c>
      <c r="F6">
        <v>113.63</v>
      </c>
      <c r="G6">
        <v>9831.92</v>
      </c>
      <c r="H6">
        <v>-1</v>
      </c>
      <c r="I6">
        <v>0</v>
      </c>
      <c r="J6">
        <v>151.14</v>
      </c>
      <c r="K6">
        <v>8648.52</v>
      </c>
      <c r="L6">
        <v>-1</v>
      </c>
      <c r="M6">
        <v>0</v>
      </c>
    </row>
    <row r="7" spans="1:13">
      <c r="A7" t="s">
        <v>18</v>
      </c>
      <c r="B7">
        <v>110.05</v>
      </c>
      <c r="C7">
        <v>9116.49</v>
      </c>
      <c r="D7">
        <v>146.37</v>
      </c>
      <c r="E7">
        <v>9293.56</v>
      </c>
      <c r="F7">
        <v>255.87</v>
      </c>
      <c r="G7">
        <v>10269.03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114.07</v>
      </c>
      <c r="C8">
        <v>8933.64</v>
      </c>
      <c r="D8">
        <v>151.25</v>
      </c>
      <c r="E8">
        <v>9537.17</v>
      </c>
      <c r="F8">
        <v>-1</v>
      </c>
      <c r="G8">
        <v>644.56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107.94</v>
      </c>
      <c r="C9">
        <v>8704.04</v>
      </c>
      <c r="D9">
        <v>145.49</v>
      </c>
      <c r="E9">
        <v>9067.89</v>
      </c>
      <c r="F9">
        <v>114.71</v>
      </c>
      <c r="G9">
        <v>9793.63</v>
      </c>
      <c r="H9">
        <v>-1</v>
      </c>
      <c r="I9">
        <v>0</v>
      </c>
      <c r="J9">
        <v>114.67</v>
      </c>
      <c r="K9">
        <v>8662.79</v>
      </c>
      <c r="L9">
        <v>-1</v>
      </c>
      <c r="M9">
        <v>0</v>
      </c>
    </row>
    <row r="10" spans="1:13">
      <c r="A10" t="s">
        <v>21</v>
      </c>
      <c r="B10">
        <v>108.31</v>
      </c>
      <c r="C10">
        <v>8867.64</v>
      </c>
      <c r="D10">
        <v>145.28</v>
      </c>
      <c r="E10">
        <v>9340.76</v>
      </c>
      <c r="F10">
        <v>-1</v>
      </c>
      <c r="G10">
        <v>5922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109.67</v>
      </c>
      <c r="C11">
        <v>9403.7</v>
      </c>
      <c r="D11">
        <v>146.17</v>
      </c>
      <c r="E11">
        <v>9279.28</v>
      </c>
      <c r="F11">
        <v>-1</v>
      </c>
      <c r="G11">
        <v>771.86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107.991</v>
      </c>
      <c r="B14" s="4">
        <f>IFERROR(AVERAGEIF($D$2:$D$11,"&lt;&gt; -1"),0)</f>
        <v>144.977</v>
      </c>
      <c r="C14" s="4">
        <f>IFERROR(AVERAGEIF($F$2:$F$11,"&lt;&gt; -1"),0)</f>
        <v>150.59</v>
      </c>
      <c r="D14" s="4">
        <f>IFERROR(AVERAGEIF($H$2:$H$11,"&lt;&gt; -1"),0)</f>
        <v>0</v>
      </c>
      <c r="E14" s="4">
        <f>IFERROR(AVERAGEIF($J$2:$J$11,"&lt;&gt; -1"),0)</f>
        <v>132.905</v>
      </c>
      <c r="F14" s="4">
        <f>IFERROR(AVERAGEIF($L$2:$L$11,"&lt;&gt; -1"),0)</f>
        <v>0</v>
      </c>
      <c r="G14" s="4">
        <f>IFERROR(AVERAGEIFS($C$2:$C$11,$B$2:$B$11,"&lt;&gt; -1"),0)</f>
        <v>8867.438</v>
      </c>
      <c r="H14" s="4">
        <f>IFERROR(AVERAGEIFS($E$2:$E$11,$D$2:$D$11,"&lt;&gt; -1"),0)</f>
        <v>9170.99</v>
      </c>
      <c r="I14" s="4">
        <f>IFERROR(AVERAGEIFS($G$2:$G$11,$F$2:$F$11,"&lt;&gt; -1"),0)</f>
        <v>9870.386</v>
      </c>
      <c r="J14" s="4">
        <f>IFERROR(AVERAGEIFS($I$2:$I$11,$H$2:$H$11,"&lt;&gt; -1"),0)</f>
        <v>0</v>
      </c>
      <c r="K14" s="4">
        <f>IFERROR(AVERAGEIFS($K$2:$K$11,$J$2:$J$11,"&lt;&gt; -1"),0)</f>
        <v>8655.655</v>
      </c>
      <c r="L14" s="4">
        <f>IFERROR(AVERAGEIFS($M$2:$M$11,$L$2:$L$11,"&lt;&gt; -1"),0)</f>
        <v>0</v>
      </c>
      <c r="M14" s="4">
        <f>IFERROR(_xlfn.MAXIFS($B$2:$B$11,$B$2:$B$11,"&lt;&gt; -1"),0)</f>
        <v>114.07</v>
      </c>
      <c r="N14" s="4">
        <f>IFERROR(_xlfn.MAXIFS($D$2:$D$11,$D$2:$D$11,"&lt;&gt;-1"),0)</f>
        <v>151.25</v>
      </c>
      <c r="O14" s="4">
        <f>IFERROR(_xlfn.MAXIFS($F$2:$F$11,$F$2:$F$11,"&lt;&gt; -1"),0)</f>
        <v>255.87</v>
      </c>
      <c r="P14" s="4">
        <f>IFERROR(_xlfn.MAXIFS($H$2:$H$11,$H$2:$H$11,"&lt;&gt; -1"),0)</f>
        <v>0</v>
      </c>
      <c r="Q14" s="4">
        <f>IFERROR(_xlfn.MAXIFS($J$2:$J$11,$J$2:$J$11,"&lt;&gt; -1"),0)</f>
        <v>151.14</v>
      </c>
      <c r="R14" s="4">
        <f>IFERROR(_xlfn.MAXIFS($L$2:$L$11,$L$2:$L$11,"&lt;&gt; -1"),0)</f>
        <v>0</v>
      </c>
      <c r="S14" s="4">
        <f>IFERROR(_xlfn.MINIFS($B$2:$B$11,$B$2:$B$11,"&lt;&gt; -1"),0)</f>
        <v>104.24</v>
      </c>
      <c r="T14" s="4">
        <f>IFERROR(_xlfn.MINIFS($D$2:$D$11,$D$2:$D$11,"&lt;&gt;-1"),0)</f>
        <v>142.08</v>
      </c>
      <c r="U14" s="4">
        <f>IFERROR(_xlfn.MINIFS($F$2:$F$11,$F$2:$F$11,"&lt;&gt; -1"),0)</f>
        <v>113.63</v>
      </c>
      <c r="V14" s="4">
        <f>IFERROR(_xlfn.MINIFS($H$2:$H$11,$H$2:$H$11,"&lt;&gt; -1"),0)</f>
        <v>0</v>
      </c>
      <c r="W14" s="4">
        <f>IFERROR(_xlfn.MINIFS($J$2:$J$11,$J$2:$J$11,"&lt;&gt; -1"),0)</f>
        <v>114.67</v>
      </c>
      <c r="X14" s="4">
        <f>IFERROR(_xlfn.MINIFS($L$2:$L$11,$L$2:$L$11,"&lt;&gt; -1"),0)</f>
        <v>0</v>
      </c>
      <c r="Y14" s="4">
        <f>IFERROR(_xlfn.MAXIFS($C$2:$C$11,$B$2:$B$11,"&lt;&gt; -1"),0)</f>
        <v>9403.7</v>
      </c>
      <c r="Z14" s="4">
        <f>IFERROR(_xlfn.MAXIFS($E$2:$E$11,$D$2:$D$11,"&lt;&gt; -1"),0)</f>
        <v>9537.17</v>
      </c>
      <c r="AA14" s="4">
        <f>IFERROR(_xlfn.MAXIFS($G$2:$G$11,$F$2:$F$11,"&lt;&gt; -1"),0)</f>
        <v>10269.03</v>
      </c>
      <c r="AB14" s="4">
        <f>IFERROR(_xlfn.MAXIFS($I$2:$I$11,$H$2:$H$11,"&lt;&gt; -1"),0)</f>
        <v>0</v>
      </c>
      <c r="AC14" s="4">
        <f>IFERROR(_xlfn.MAXIFS($K$2:$K$11,$J$2:$J$11,"&lt;&gt; -1"),0)</f>
        <v>8662.79</v>
      </c>
      <c r="AD14" s="4">
        <f>IFERROR(_xlfn.MAXIFS($M$2:$M$11,$L$2:$L$11,"&lt;&gt; -1"),0)</f>
        <v>0</v>
      </c>
      <c r="AE14" s="4">
        <f>IFERROR(_xlfn.MINIFS($C$2:$C$11,$B$2:$B$11,"&lt;&gt; -1"),0)</f>
        <v>8600.98</v>
      </c>
      <c r="AF14" s="4">
        <f>IFERROR(_xlfn.MINIFS($E$2:$E$11,$D$2:$D$11,"&lt;&gt; -1"),0)</f>
        <v>8772.07</v>
      </c>
      <c r="AG14" s="4">
        <f>IFERROR(_xlfn.MINIFS($G$2:$G$11,$F$2:$F$11,"&lt;&gt; -1"),0)</f>
        <v>9703.8</v>
      </c>
      <c r="AH14" s="4">
        <f>IFERROR(_xlfn.MINIFS($I$2:$I$11,$H$2:$H$11,"&lt;&gt; -1"),0)</f>
        <v>0</v>
      </c>
      <c r="AI14" s="4">
        <f>IFERROR(_xlfn.MINIFS($K$2:$K$11,$J$2:$J$11,"&lt;&gt; -1"),0)</f>
        <v>8648.52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0.4</v>
      </c>
      <c r="AN14" s="4">
        <f>(COUNTIFS($H$2:$H11,"&gt;0.0",$H$2:$H$11,"&lt;200.0"))/10</f>
        <v>0</v>
      </c>
      <c r="AO14" s="4">
        <f>(COUNTIFS($J$2:$J$11,"&gt;0.0",$J$2:$J$11,"&lt;200.0"))/10</f>
        <v>0.2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117.29</v>
      </c>
      <c r="C2">
        <v>9358.38</v>
      </c>
      <c r="D2">
        <v>153.08</v>
      </c>
      <c r="E2">
        <v>9717.43</v>
      </c>
      <c r="F2">
        <v>161.31</v>
      </c>
      <c r="G2">
        <v>9997.72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116.02</v>
      </c>
      <c r="C3">
        <v>9268.82</v>
      </c>
      <c r="D3">
        <v>151.33</v>
      </c>
      <c r="E3">
        <v>9314.15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115.47</v>
      </c>
      <c r="C4">
        <v>8919.56</v>
      </c>
      <c r="D4">
        <v>151.28</v>
      </c>
      <c r="E4">
        <v>9423.4</v>
      </c>
      <c r="F4">
        <v>-1</v>
      </c>
      <c r="G4">
        <v>4838.64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117.26</v>
      </c>
      <c r="C5">
        <v>8976.41</v>
      </c>
      <c r="D5">
        <v>154.08</v>
      </c>
      <c r="E5">
        <v>9854.66</v>
      </c>
      <c r="F5">
        <v>384.79</v>
      </c>
      <c r="G5">
        <v>9748.35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116.66</v>
      </c>
      <c r="C6">
        <v>8422.16</v>
      </c>
      <c r="D6">
        <v>153.06</v>
      </c>
      <c r="E6">
        <v>9162.98</v>
      </c>
      <c r="F6">
        <v>135.86</v>
      </c>
      <c r="G6">
        <v>9494.87</v>
      </c>
      <c r="H6">
        <v>-1</v>
      </c>
      <c r="I6">
        <v>0</v>
      </c>
      <c r="J6">
        <v>-1</v>
      </c>
      <c r="K6">
        <v>358.42</v>
      </c>
      <c r="L6">
        <v>-1</v>
      </c>
      <c r="M6">
        <v>0</v>
      </c>
    </row>
    <row r="7" spans="1:13">
      <c r="A7" t="s">
        <v>18</v>
      </c>
      <c r="B7">
        <v>126.71</v>
      </c>
      <c r="C7">
        <v>9268.06</v>
      </c>
      <c r="D7">
        <v>163.73</v>
      </c>
      <c r="E7">
        <v>9889.08</v>
      </c>
      <c r="F7">
        <v>-1</v>
      </c>
      <c r="G7">
        <v>0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122.27</v>
      </c>
      <c r="C8">
        <v>9021.08</v>
      </c>
      <c r="D8">
        <v>159.54</v>
      </c>
      <c r="E8">
        <v>9766.78</v>
      </c>
      <c r="F8">
        <v>-1</v>
      </c>
      <c r="G8">
        <v>686.06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116.94</v>
      </c>
      <c r="C9">
        <v>8598.79</v>
      </c>
      <c r="D9">
        <v>154.19</v>
      </c>
      <c r="E9">
        <v>9399.25</v>
      </c>
      <c r="F9">
        <v>146.22</v>
      </c>
      <c r="G9">
        <v>9672.82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117.89</v>
      </c>
      <c r="C10">
        <v>9249.14</v>
      </c>
      <c r="D10">
        <v>155.11</v>
      </c>
      <c r="E10">
        <v>9410.16</v>
      </c>
      <c r="F10">
        <v>149.5</v>
      </c>
      <c r="G10">
        <v>10114.63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122.16</v>
      </c>
      <c r="C11">
        <v>9065.92</v>
      </c>
      <c r="D11">
        <v>158.17</v>
      </c>
      <c r="E11">
        <v>9576.93</v>
      </c>
      <c r="F11">
        <v>-1</v>
      </c>
      <c r="G11">
        <v>2423.41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118.867</v>
      </c>
      <c r="B14" s="4">
        <f>IFERROR(AVERAGEIF($D$2:$D$11,"&lt;&gt; -1"),0)</f>
        <v>155.357</v>
      </c>
      <c r="C14" s="4">
        <f>IFERROR(AVERAGEIF($F$2:$F$11,"&lt;&gt; -1"),0)</f>
        <v>195.536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9014.832</v>
      </c>
      <c r="H14" s="4">
        <f>IFERROR(AVERAGEIFS($E$2:$E$11,$D$2:$D$11,"&lt;&gt; -1"),0)</f>
        <v>9551.482</v>
      </c>
      <c r="I14" s="4">
        <f>IFERROR(AVERAGEIFS($G$2:$G$11,$F$2:$F$11,"&lt;&gt; -1"),0)</f>
        <v>9805.678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126.71</v>
      </c>
      <c r="N14" s="4">
        <f>IFERROR(_xlfn.MAXIFS($D$2:$D$11,$D$2:$D$11,"&lt;&gt;-1"),0)</f>
        <v>163.73</v>
      </c>
      <c r="O14" s="4">
        <f>IFERROR(_xlfn.MAXIFS($F$2:$F$11,$F$2:$F$11,"&lt;&gt; -1"),0)</f>
        <v>384.79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115.47</v>
      </c>
      <c r="T14" s="4">
        <f>IFERROR(_xlfn.MINIFS($D$2:$D$11,$D$2:$D$11,"&lt;&gt;-1"),0)</f>
        <v>151.28</v>
      </c>
      <c r="U14" s="4">
        <f>IFERROR(_xlfn.MINIFS($F$2:$F$11,$F$2:$F$11,"&lt;&gt; -1"),0)</f>
        <v>135.86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9358.38</v>
      </c>
      <c r="Z14" s="4">
        <f>IFERROR(_xlfn.MAXIFS($E$2:$E$11,$D$2:$D$11,"&lt;&gt; -1"),0)</f>
        <v>9889.08</v>
      </c>
      <c r="AA14" s="4">
        <f>IFERROR(_xlfn.MAXIFS($G$2:$G$11,$F$2:$F$11,"&lt;&gt; -1"),0)</f>
        <v>10114.63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8422.16</v>
      </c>
      <c r="AF14" s="4">
        <f>IFERROR(_xlfn.MINIFS($E$2:$E$11,$D$2:$D$11,"&lt;&gt; -1"),0)</f>
        <v>9162.98</v>
      </c>
      <c r="AG14" s="4">
        <f>IFERROR(_xlfn.MINIFS($G$2:$G$11,$F$2:$F$11,"&lt;&gt; -1"),0)</f>
        <v>9494.87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0.4</v>
      </c>
      <c r="AN14" s="4">
        <f>(COUNTIFS($H$2:$H11,"&gt;0.0",$H$2:$H$11,"&lt;200.0"))/10</f>
        <v>0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126.96</v>
      </c>
      <c r="C2">
        <v>9089.47</v>
      </c>
      <c r="D2">
        <v>160.53</v>
      </c>
      <c r="E2">
        <v>9423.09</v>
      </c>
      <c r="F2">
        <v>333.9</v>
      </c>
      <c r="G2">
        <v>9848.52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126.76</v>
      </c>
      <c r="C3">
        <v>8716.44</v>
      </c>
      <c r="D3">
        <v>160.51</v>
      </c>
      <c r="E3">
        <v>9354.56</v>
      </c>
      <c r="F3">
        <v>136.01</v>
      </c>
      <c r="G3">
        <v>9622.07</v>
      </c>
      <c r="H3">
        <v>-1</v>
      </c>
      <c r="I3">
        <v>0</v>
      </c>
      <c r="J3">
        <v>-1</v>
      </c>
      <c r="K3">
        <v>387.76</v>
      </c>
      <c r="L3">
        <v>-1</v>
      </c>
      <c r="M3">
        <v>0</v>
      </c>
    </row>
    <row r="4" spans="1:13">
      <c r="A4" t="s">
        <v>15</v>
      </c>
      <c r="B4">
        <v>127.06</v>
      </c>
      <c r="C4">
        <v>9093.59</v>
      </c>
      <c r="D4">
        <v>160.6</v>
      </c>
      <c r="E4">
        <v>9201.28</v>
      </c>
      <c r="F4">
        <v>-1</v>
      </c>
      <c r="G4">
        <v>1682.52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128.41</v>
      </c>
      <c r="C5">
        <v>9225.02</v>
      </c>
      <c r="D5">
        <v>161.32</v>
      </c>
      <c r="E5">
        <v>9187.64</v>
      </c>
      <c r="F5">
        <v>-1</v>
      </c>
      <c r="G5">
        <v>876.57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125.74</v>
      </c>
      <c r="C6">
        <v>8859.15</v>
      </c>
      <c r="D6">
        <v>159.57</v>
      </c>
      <c r="E6">
        <v>9219.26</v>
      </c>
      <c r="F6">
        <v>-1</v>
      </c>
      <c r="G6">
        <v>897.59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133.22</v>
      </c>
      <c r="C7">
        <v>9090.62</v>
      </c>
      <c r="D7">
        <v>166.5</v>
      </c>
      <c r="E7">
        <v>9799.61</v>
      </c>
      <c r="F7">
        <v>-1</v>
      </c>
      <c r="G7">
        <v>7393.78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128.99</v>
      </c>
      <c r="C8">
        <v>9035.22</v>
      </c>
      <c r="D8">
        <v>163.42</v>
      </c>
      <c r="E8">
        <v>9456.1</v>
      </c>
      <c r="F8">
        <v>216.5</v>
      </c>
      <c r="G8">
        <v>9978.92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124.5</v>
      </c>
      <c r="C9">
        <v>8629.99</v>
      </c>
      <c r="D9">
        <v>158.21</v>
      </c>
      <c r="E9">
        <v>9247.44</v>
      </c>
      <c r="F9">
        <v>131.36</v>
      </c>
      <c r="G9">
        <v>9607.93</v>
      </c>
      <c r="H9">
        <v>-1</v>
      </c>
      <c r="I9">
        <v>0</v>
      </c>
      <c r="J9">
        <v>376.36</v>
      </c>
      <c r="K9">
        <v>8518.12</v>
      </c>
      <c r="L9">
        <v>-1</v>
      </c>
      <c r="M9">
        <v>0</v>
      </c>
    </row>
    <row r="10" spans="1:13">
      <c r="A10" t="s">
        <v>21</v>
      </c>
      <c r="B10">
        <v>126.51</v>
      </c>
      <c r="C10">
        <v>9118.71</v>
      </c>
      <c r="D10">
        <v>160.09</v>
      </c>
      <c r="E10">
        <v>9237.21</v>
      </c>
      <c r="F10">
        <v>329.25</v>
      </c>
      <c r="G10">
        <v>9915.79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126.1</v>
      </c>
      <c r="C11">
        <v>9209.5</v>
      </c>
      <c r="D11">
        <v>159.46</v>
      </c>
      <c r="E11">
        <v>9328.14</v>
      </c>
      <c r="F11">
        <v>157.06</v>
      </c>
      <c r="G11">
        <v>9982.32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127.425</v>
      </c>
      <c r="B14" s="4">
        <f>IFERROR(AVERAGEIF($D$2:$D$11,"&lt;&gt; -1"),0)</f>
        <v>161.021</v>
      </c>
      <c r="C14" s="4">
        <f>IFERROR(AVERAGEIF($F$2:$F$11,"&lt;&gt; -1"),0)</f>
        <v>217.346666666667</v>
      </c>
      <c r="D14" s="4">
        <f>IFERROR(AVERAGEIF($H$2:$H$11,"&lt;&gt; -1"),0)</f>
        <v>0</v>
      </c>
      <c r="E14" s="4">
        <f>IFERROR(AVERAGEIF($J$2:$J$11,"&lt;&gt; -1"),0)</f>
        <v>376.36</v>
      </c>
      <c r="F14" s="4">
        <f>IFERROR(AVERAGEIF($L$2:$L$11,"&lt;&gt; -1"),0)</f>
        <v>0</v>
      </c>
      <c r="G14" s="4">
        <f>IFERROR(AVERAGEIFS($C$2:$C$11,$B$2:$B$11,"&lt;&gt; -1"),0)</f>
        <v>9006.771</v>
      </c>
      <c r="H14" s="4">
        <f>IFERROR(AVERAGEIFS($E$2:$E$11,$D$2:$D$11,"&lt;&gt; -1"),0)</f>
        <v>9345.433</v>
      </c>
      <c r="I14" s="4">
        <f>IFERROR(AVERAGEIFS($G$2:$G$11,$F$2:$F$11,"&lt;&gt; -1"),0)</f>
        <v>9825.925</v>
      </c>
      <c r="J14" s="4">
        <f>IFERROR(AVERAGEIFS($I$2:$I$11,$H$2:$H$11,"&lt;&gt; -1"),0)</f>
        <v>0</v>
      </c>
      <c r="K14" s="4">
        <f>IFERROR(AVERAGEIFS($K$2:$K$11,$J$2:$J$11,"&lt;&gt; -1"),0)</f>
        <v>8518.12</v>
      </c>
      <c r="L14" s="4">
        <f>IFERROR(AVERAGEIFS($M$2:$M$11,$L$2:$L$11,"&lt;&gt; -1"),0)</f>
        <v>0</v>
      </c>
      <c r="M14" s="4">
        <f>IFERROR(_xlfn.MAXIFS($B$2:$B$11,$B$2:$B$11,"&lt;&gt; -1"),0)</f>
        <v>133.22</v>
      </c>
      <c r="N14" s="4">
        <f>IFERROR(_xlfn.MAXIFS($D$2:$D$11,$D$2:$D$11,"&lt;&gt;-1"),0)</f>
        <v>166.5</v>
      </c>
      <c r="O14" s="4">
        <f>IFERROR(_xlfn.MAXIFS($F$2:$F$11,$F$2:$F$11,"&lt;&gt; -1"),0)</f>
        <v>333.9</v>
      </c>
      <c r="P14" s="4">
        <f>IFERROR(_xlfn.MAXIFS($H$2:$H$11,$H$2:$H$11,"&lt;&gt; -1"),0)</f>
        <v>0</v>
      </c>
      <c r="Q14" s="4">
        <f>IFERROR(_xlfn.MAXIFS($J$2:$J$11,$J$2:$J$11,"&lt;&gt; -1"),0)</f>
        <v>376.36</v>
      </c>
      <c r="R14" s="4">
        <f>IFERROR(_xlfn.MAXIFS($L$2:$L$11,$L$2:$L$11,"&lt;&gt; -1"),0)</f>
        <v>0</v>
      </c>
      <c r="S14" s="4">
        <f>IFERROR(_xlfn.MINIFS($B$2:$B$11,$B$2:$B$11,"&lt;&gt; -1"),0)</f>
        <v>124.5</v>
      </c>
      <c r="T14" s="4">
        <f>IFERROR(_xlfn.MINIFS($D$2:$D$11,$D$2:$D$11,"&lt;&gt;-1"),0)</f>
        <v>158.21</v>
      </c>
      <c r="U14" s="4">
        <f>IFERROR(_xlfn.MINIFS($F$2:$F$11,$F$2:$F$11,"&lt;&gt; -1"),0)</f>
        <v>131.36</v>
      </c>
      <c r="V14" s="4">
        <f>IFERROR(_xlfn.MINIFS($H$2:$H$11,$H$2:$H$11,"&lt;&gt; -1"),0)</f>
        <v>0</v>
      </c>
      <c r="W14" s="4">
        <f>IFERROR(_xlfn.MINIFS($J$2:$J$11,$J$2:$J$11,"&lt;&gt; -1"),0)</f>
        <v>376.36</v>
      </c>
      <c r="X14" s="4">
        <f>IFERROR(_xlfn.MINIFS($L$2:$L$11,$L$2:$L$11,"&lt;&gt; -1"),0)</f>
        <v>0</v>
      </c>
      <c r="Y14" s="4">
        <f>IFERROR(_xlfn.MAXIFS($C$2:$C$11,$B$2:$B$11,"&lt;&gt; -1"),0)</f>
        <v>9225.02</v>
      </c>
      <c r="Z14" s="4">
        <f>IFERROR(_xlfn.MAXIFS($E$2:$E$11,$D$2:$D$11,"&lt;&gt; -1"),0)</f>
        <v>9799.61</v>
      </c>
      <c r="AA14" s="4">
        <f>IFERROR(_xlfn.MAXIFS($G$2:$G$11,$F$2:$F$11,"&lt;&gt; -1"),0)</f>
        <v>9982.32</v>
      </c>
      <c r="AB14" s="4">
        <f>IFERROR(_xlfn.MAXIFS($I$2:$I$11,$H$2:$H$11,"&lt;&gt; -1"),0)</f>
        <v>0</v>
      </c>
      <c r="AC14" s="4">
        <f>IFERROR(_xlfn.MAXIFS($K$2:$K$11,$J$2:$J$11,"&lt;&gt; -1"),0)</f>
        <v>8518.12</v>
      </c>
      <c r="AD14" s="4">
        <f>IFERROR(_xlfn.MAXIFS($M$2:$M$11,$L$2:$L$11,"&lt;&gt; -1"),0)</f>
        <v>0</v>
      </c>
      <c r="AE14" s="4">
        <f>IFERROR(_xlfn.MINIFS($C$2:$C$11,$B$2:$B$11,"&lt;&gt; -1"),0)</f>
        <v>8629.99</v>
      </c>
      <c r="AF14" s="4">
        <f>IFERROR(_xlfn.MINIFS($E$2:$E$11,$D$2:$D$11,"&lt;&gt; -1"),0)</f>
        <v>9187.64</v>
      </c>
      <c r="AG14" s="4">
        <f>IFERROR(_xlfn.MINIFS($G$2:$G$11,$F$2:$F$11,"&lt;&gt; -1"),0)</f>
        <v>9607.93</v>
      </c>
      <c r="AH14" s="4">
        <f>IFERROR(_xlfn.MINIFS($I$2:$I$11,$H$2:$H$11,"&lt;&gt; -1"),0)</f>
        <v>0</v>
      </c>
      <c r="AI14" s="4">
        <f>IFERROR(_xlfn.MINIFS($K$2:$K$11,$J$2:$J$11,"&lt;&gt; -1"),0)</f>
        <v>8518.12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0.3</v>
      </c>
      <c r="AN14" s="4">
        <f>(COUNTIFS($H$2:$H11,"&gt;0.0",$H$2:$H$11,"&lt;200.0"))/10</f>
        <v>0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137.03</v>
      </c>
      <c r="C2">
        <v>9825.07</v>
      </c>
      <c r="D2">
        <v>139.48</v>
      </c>
      <c r="E2">
        <v>10269.8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135.35</v>
      </c>
      <c r="C3">
        <v>9526.2</v>
      </c>
      <c r="D3">
        <v>137.49</v>
      </c>
      <c r="E3">
        <v>10664.91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137.73</v>
      </c>
      <c r="C4">
        <v>9243.58</v>
      </c>
      <c r="D4">
        <v>140.35</v>
      </c>
      <c r="E4">
        <v>10667.45</v>
      </c>
      <c r="F4">
        <v>-1</v>
      </c>
      <c r="G4">
        <v>722.3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135.93</v>
      </c>
      <c r="C5">
        <v>9411.89</v>
      </c>
      <c r="D5">
        <v>138.36</v>
      </c>
      <c r="E5">
        <v>10472.1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131.3</v>
      </c>
      <c r="C6">
        <v>8756.8</v>
      </c>
      <c r="D6">
        <v>133.55</v>
      </c>
      <c r="E6">
        <v>9786.98</v>
      </c>
      <c r="F6">
        <v>172</v>
      </c>
      <c r="G6">
        <v>9585.31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140.05</v>
      </c>
      <c r="C7">
        <v>9522.31</v>
      </c>
      <c r="D7">
        <v>143.59</v>
      </c>
      <c r="E7">
        <v>10555.5</v>
      </c>
      <c r="F7">
        <v>165.02</v>
      </c>
      <c r="G7">
        <v>10324.69</v>
      </c>
      <c r="H7">
        <v>-1</v>
      </c>
      <c r="I7">
        <v>0</v>
      </c>
      <c r="J7">
        <v>-1</v>
      </c>
      <c r="K7">
        <v>0</v>
      </c>
      <c r="L7">
        <v>-1</v>
      </c>
      <c r="M7">
        <v>0</v>
      </c>
    </row>
    <row r="8" spans="1:13">
      <c r="A8" t="s">
        <v>19</v>
      </c>
      <c r="B8">
        <v>136.73</v>
      </c>
      <c r="C8">
        <v>9262.3</v>
      </c>
      <c r="D8">
        <v>139.6</v>
      </c>
      <c r="E8">
        <v>10340.88</v>
      </c>
      <c r="F8">
        <v>-1</v>
      </c>
      <c r="G8">
        <v>0</v>
      </c>
      <c r="H8">
        <v>-1</v>
      </c>
      <c r="I8">
        <v>0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133.7</v>
      </c>
      <c r="C9">
        <v>8998.4</v>
      </c>
      <c r="D9">
        <v>135.92</v>
      </c>
      <c r="E9">
        <v>10079.66</v>
      </c>
      <c r="F9">
        <v>180.91</v>
      </c>
      <c r="G9">
        <v>9688.25</v>
      </c>
      <c r="H9">
        <v>-1</v>
      </c>
      <c r="I9">
        <v>0</v>
      </c>
      <c r="J9">
        <v>-1</v>
      </c>
      <c r="K9">
        <v>0</v>
      </c>
      <c r="L9">
        <v>-1</v>
      </c>
      <c r="M9">
        <v>0</v>
      </c>
    </row>
    <row r="10" spans="1:13">
      <c r="A10" t="s">
        <v>21</v>
      </c>
      <c r="B10">
        <v>135.78</v>
      </c>
      <c r="C10">
        <v>9655.49</v>
      </c>
      <c r="D10">
        <v>138.72</v>
      </c>
      <c r="E10">
        <v>11008.65</v>
      </c>
      <c r="F10">
        <v>511.79</v>
      </c>
      <c r="G10">
        <v>10071.82</v>
      </c>
      <c r="H10">
        <v>-1</v>
      </c>
      <c r="I10">
        <v>0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136.09</v>
      </c>
      <c r="C11">
        <v>8926.71</v>
      </c>
      <c r="D11">
        <v>139.58</v>
      </c>
      <c r="E11">
        <v>10202.37</v>
      </c>
      <c r="F11">
        <v>159.09</v>
      </c>
      <c r="G11">
        <v>9678.59</v>
      </c>
      <c r="H11">
        <v>-1</v>
      </c>
      <c r="I11">
        <v>0</v>
      </c>
      <c r="J11">
        <v>-1</v>
      </c>
      <c r="K11">
        <v>0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135.969</v>
      </c>
      <c r="B14" s="4">
        <f>IFERROR(AVERAGEIF($D$2:$D$11,"&lt;&gt; -1"),0)</f>
        <v>138.664</v>
      </c>
      <c r="C14" s="4">
        <f>IFERROR(AVERAGEIF($F$2:$F$11,"&lt;&gt; -1"),0)</f>
        <v>237.762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9312.875</v>
      </c>
      <c r="H14" s="4">
        <f>IFERROR(AVERAGEIFS($E$2:$E$11,$D$2:$D$11,"&lt;&gt; -1"),0)</f>
        <v>10404.83</v>
      </c>
      <c r="I14" s="4">
        <f>IFERROR(AVERAGEIFS($G$2:$G$11,$F$2:$F$11,"&lt;&gt; -1"),0)</f>
        <v>9869.732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140.05</v>
      </c>
      <c r="N14" s="4">
        <f>IFERROR(_xlfn.MAXIFS($D$2:$D$11,$D$2:$D$11,"&lt;&gt;-1"),0)</f>
        <v>143.59</v>
      </c>
      <c r="O14" s="4">
        <f>IFERROR(_xlfn.MAXIFS($F$2:$F$11,$F$2:$F$11,"&lt;&gt; -1"),0)</f>
        <v>511.79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131.3</v>
      </c>
      <c r="T14" s="4">
        <f>IFERROR(_xlfn.MINIFS($D$2:$D$11,$D$2:$D$11,"&lt;&gt;-1"),0)</f>
        <v>133.55</v>
      </c>
      <c r="U14" s="4">
        <f>IFERROR(_xlfn.MINIFS($F$2:$F$11,$F$2:$F$11,"&lt;&gt; -1"),0)</f>
        <v>159.09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9825.07</v>
      </c>
      <c r="Z14" s="4">
        <f>IFERROR(_xlfn.MAXIFS($E$2:$E$11,$D$2:$D$11,"&lt;&gt; -1"),0)</f>
        <v>11008.65</v>
      </c>
      <c r="AA14" s="4">
        <f>IFERROR(_xlfn.MAXIFS($G$2:$G$11,$F$2:$F$11,"&lt;&gt; -1"),0)</f>
        <v>10324.69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8756.8</v>
      </c>
      <c r="AF14" s="4">
        <f>IFERROR(_xlfn.MINIFS($E$2:$E$11,$D$2:$D$11,"&lt;&gt; -1"),0)</f>
        <v>9786.98</v>
      </c>
      <c r="AG14" s="4">
        <f>IFERROR(_xlfn.MINIFS($G$2:$G$11,$F$2:$F$11,"&lt;&gt; -1"),0)</f>
        <v>9585.31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(COUNTIFS($B$2:$B$11,"&gt;0.0",$B$2:$B$11,"&lt;200.0"))/10</f>
        <v>1</v>
      </c>
      <c r="AL14" s="4">
        <f>(COUNTIFS($D$2:$D$11,"&gt;0.0",$D$2:$D$11,"&lt;200.0"))/10</f>
        <v>1</v>
      </c>
      <c r="AM14" s="4">
        <f>(COUNTIFS($F$2:$F$11,"&gt;0.0",$F$2:$F$11,"&lt;200.0"))/10</f>
        <v>0.4</v>
      </c>
      <c r="AN14" s="4">
        <f>(COUNTIFS($H$2:$H11,"&gt;0.0",$H$2:$H$11,"&lt;200.0"))/10</f>
        <v>0</v>
      </c>
      <c r="AO14" s="4">
        <f>(COUNTIFS($J$2:$J$11,"&gt;0.0",$J$2:$J$11,"&lt;200.0"))/10</f>
        <v>0</v>
      </c>
      <c r="AP14" s="4">
        <f>(COUNTIFS($L$2:$L$11,"&gt;0.0",$L$2:$L$11,"&lt;200.0"))/10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H16" sqref="H16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120.686</v>
      </c>
      <c r="B2">
        <v>172.695</v>
      </c>
      <c r="C2">
        <v>133.9825</v>
      </c>
      <c r="D2">
        <v>228.097</v>
      </c>
      <c r="E2">
        <v>142.406</v>
      </c>
      <c r="F2">
        <v>0</v>
      </c>
      <c r="G2">
        <v>8689.905</v>
      </c>
      <c r="H2">
        <v>8716.414</v>
      </c>
      <c r="I2">
        <v>9778.16875</v>
      </c>
      <c r="J2">
        <v>9943.531</v>
      </c>
      <c r="K2">
        <v>8656.116</v>
      </c>
      <c r="L2">
        <v>0</v>
      </c>
      <c r="M2">
        <v>133.13</v>
      </c>
      <c r="N2">
        <v>189.96</v>
      </c>
      <c r="O2">
        <v>145.38</v>
      </c>
      <c r="P2">
        <v>331.59</v>
      </c>
      <c r="Q2">
        <v>178.5</v>
      </c>
      <c r="R2">
        <v>0</v>
      </c>
      <c r="S2">
        <v>90.84</v>
      </c>
      <c r="T2">
        <v>129.41</v>
      </c>
      <c r="U2">
        <v>99.54</v>
      </c>
      <c r="V2">
        <v>158.37</v>
      </c>
      <c r="W2">
        <v>126.32</v>
      </c>
      <c r="X2">
        <v>0</v>
      </c>
      <c r="Y2">
        <v>8927.39</v>
      </c>
      <c r="Z2">
        <v>9059.79</v>
      </c>
      <c r="AA2">
        <v>10123.53</v>
      </c>
      <c r="AB2">
        <v>10317.32</v>
      </c>
      <c r="AC2">
        <v>8940.43</v>
      </c>
      <c r="AD2">
        <v>0</v>
      </c>
      <c r="AE2">
        <v>8561.26</v>
      </c>
      <c r="AF2">
        <v>8378.07</v>
      </c>
      <c r="AG2">
        <v>9636.92</v>
      </c>
      <c r="AH2">
        <v>9508.8</v>
      </c>
      <c r="AI2">
        <v>8536.47</v>
      </c>
      <c r="AJ2">
        <v>0</v>
      </c>
      <c r="AK2">
        <v>1</v>
      </c>
      <c r="AL2">
        <v>1</v>
      </c>
      <c r="AM2">
        <v>0.8</v>
      </c>
      <c r="AN2">
        <v>0.2</v>
      </c>
      <c r="AO2">
        <v>0.5</v>
      </c>
      <c r="AP2">
        <v>0</v>
      </c>
    </row>
    <row r="3" spans="1:42">
      <c r="A3">
        <v>102.534</v>
      </c>
      <c r="B3">
        <v>142.148</v>
      </c>
      <c r="C3">
        <v>131.782857142857</v>
      </c>
      <c r="D3">
        <v>0</v>
      </c>
      <c r="E3">
        <v>106.45</v>
      </c>
      <c r="F3">
        <v>0</v>
      </c>
      <c r="G3">
        <v>8964.927</v>
      </c>
      <c r="H3">
        <v>8926.487</v>
      </c>
      <c r="I3">
        <v>9790.74571428571</v>
      </c>
      <c r="J3">
        <v>0</v>
      </c>
      <c r="K3">
        <v>8837.38</v>
      </c>
      <c r="L3">
        <v>0</v>
      </c>
      <c r="M3">
        <v>131.45</v>
      </c>
      <c r="N3">
        <v>185.19</v>
      </c>
      <c r="O3">
        <v>166.15</v>
      </c>
      <c r="P3">
        <v>0</v>
      </c>
      <c r="Q3">
        <v>112.7</v>
      </c>
      <c r="R3">
        <v>0</v>
      </c>
      <c r="S3">
        <v>97.74</v>
      </c>
      <c r="T3">
        <v>135.08</v>
      </c>
      <c r="U3">
        <v>102.27</v>
      </c>
      <c r="V3">
        <v>0</v>
      </c>
      <c r="W3">
        <v>100.2</v>
      </c>
      <c r="X3">
        <v>0</v>
      </c>
      <c r="Y3">
        <v>9364.67</v>
      </c>
      <c r="Z3">
        <v>9151.62</v>
      </c>
      <c r="AA3">
        <v>10052.33</v>
      </c>
      <c r="AB3">
        <v>0</v>
      </c>
      <c r="AC3">
        <v>8844.73</v>
      </c>
      <c r="AD3">
        <v>0</v>
      </c>
      <c r="AE3">
        <v>8677.61</v>
      </c>
      <c r="AF3">
        <v>8568.42</v>
      </c>
      <c r="AG3">
        <v>9621.05</v>
      </c>
      <c r="AH3">
        <v>0</v>
      </c>
      <c r="AI3">
        <v>8830.03</v>
      </c>
      <c r="AJ3">
        <v>0</v>
      </c>
      <c r="AK3">
        <v>1</v>
      </c>
      <c r="AL3">
        <v>1</v>
      </c>
      <c r="AM3">
        <v>0.7</v>
      </c>
      <c r="AN3">
        <v>0</v>
      </c>
      <c r="AO3">
        <v>0.2</v>
      </c>
      <c r="AP3">
        <v>0</v>
      </c>
    </row>
    <row r="4" spans="1:42">
      <c r="A4">
        <v>107.991</v>
      </c>
      <c r="B4">
        <v>144.977</v>
      </c>
      <c r="C4">
        <v>150.59</v>
      </c>
      <c r="D4">
        <v>0</v>
      </c>
      <c r="E4">
        <v>132.905</v>
      </c>
      <c r="F4">
        <v>0</v>
      </c>
      <c r="G4">
        <v>8867.438</v>
      </c>
      <c r="H4">
        <v>9170.99</v>
      </c>
      <c r="I4">
        <v>9870.386</v>
      </c>
      <c r="J4">
        <v>0</v>
      </c>
      <c r="K4">
        <v>8655.655</v>
      </c>
      <c r="L4">
        <v>0</v>
      </c>
      <c r="M4">
        <v>114.07</v>
      </c>
      <c r="N4">
        <v>151.25</v>
      </c>
      <c r="O4">
        <v>255.87</v>
      </c>
      <c r="P4">
        <v>0</v>
      </c>
      <c r="Q4">
        <v>151.14</v>
      </c>
      <c r="R4">
        <v>0</v>
      </c>
      <c r="S4">
        <v>104.24</v>
      </c>
      <c r="T4">
        <v>142.08</v>
      </c>
      <c r="U4">
        <v>113.63</v>
      </c>
      <c r="V4">
        <v>0</v>
      </c>
      <c r="W4">
        <v>114.67</v>
      </c>
      <c r="X4">
        <v>0</v>
      </c>
      <c r="Y4">
        <v>9403.7</v>
      </c>
      <c r="Z4">
        <v>9537.17</v>
      </c>
      <c r="AA4">
        <v>10269.03</v>
      </c>
      <c r="AB4">
        <v>0</v>
      </c>
      <c r="AC4">
        <v>8662.79</v>
      </c>
      <c r="AD4">
        <v>0</v>
      </c>
      <c r="AE4">
        <v>8600.98</v>
      </c>
      <c r="AF4">
        <v>8772.07</v>
      </c>
      <c r="AG4">
        <v>9703.8</v>
      </c>
      <c r="AH4">
        <v>0</v>
      </c>
      <c r="AI4">
        <v>8648.52</v>
      </c>
      <c r="AJ4">
        <v>0</v>
      </c>
      <c r="AK4">
        <v>1</v>
      </c>
      <c r="AL4">
        <v>1</v>
      </c>
      <c r="AM4">
        <v>0.4</v>
      </c>
      <c r="AN4">
        <v>0</v>
      </c>
      <c r="AO4">
        <v>0.2</v>
      </c>
      <c r="AP4">
        <v>0</v>
      </c>
    </row>
    <row r="5" spans="1:42">
      <c r="A5">
        <v>118.867</v>
      </c>
      <c r="B5">
        <v>155.357</v>
      </c>
      <c r="C5">
        <v>195.536</v>
      </c>
      <c r="D5">
        <v>0</v>
      </c>
      <c r="E5">
        <v>0</v>
      </c>
      <c r="F5">
        <v>0</v>
      </c>
      <c r="G5">
        <v>9014.832</v>
      </c>
      <c r="H5">
        <v>9551.482</v>
      </c>
      <c r="I5">
        <v>9805.678</v>
      </c>
      <c r="J5">
        <v>0</v>
      </c>
      <c r="K5">
        <v>0</v>
      </c>
      <c r="L5">
        <v>0</v>
      </c>
      <c r="M5">
        <v>126.71</v>
      </c>
      <c r="N5">
        <v>163.73</v>
      </c>
      <c r="O5">
        <v>384.79</v>
      </c>
      <c r="P5">
        <v>0</v>
      </c>
      <c r="Q5">
        <v>0</v>
      </c>
      <c r="R5">
        <v>0</v>
      </c>
      <c r="S5">
        <v>115.47</v>
      </c>
      <c r="T5">
        <v>151.28</v>
      </c>
      <c r="U5">
        <v>135.86</v>
      </c>
      <c r="V5">
        <v>0</v>
      </c>
      <c r="W5">
        <v>0</v>
      </c>
      <c r="X5">
        <v>0</v>
      </c>
      <c r="Y5">
        <v>9358.38</v>
      </c>
      <c r="Z5">
        <v>9889.08</v>
      </c>
      <c r="AA5">
        <v>10114.63</v>
      </c>
      <c r="AB5">
        <v>0</v>
      </c>
      <c r="AC5">
        <v>0</v>
      </c>
      <c r="AD5">
        <v>0</v>
      </c>
      <c r="AE5">
        <v>8422.16</v>
      </c>
      <c r="AF5">
        <v>9162.98</v>
      </c>
      <c r="AG5">
        <v>9494.87</v>
      </c>
      <c r="AH5">
        <v>0</v>
      </c>
      <c r="AI5">
        <v>0</v>
      </c>
      <c r="AJ5">
        <v>0</v>
      </c>
      <c r="AK5">
        <v>1</v>
      </c>
      <c r="AL5">
        <v>1</v>
      </c>
      <c r="AM5">
        <v>0.4</v>
      </c>
      <c r="AN5">
        <v>0</v>
      </c>
      <c r="AO5">
        <v>0</v>
      </c>
      <c r="AP5">
        <v>0</v>
      </c>
    </row>
    <row r="6" spans="1:42">
      <c r="A6">
        <v>127.425</v>
      </c>
      <c r="B6">
        <v>161.021</v>
      </c>
      <c r="C6">
        <v>217.346666666667</v>
      </c>
      <c r="D6">
        <v>0</v>
      </c>
      <c r="E6">
        <v>376.36</v>
      </c>
      <c r="F6">
        <v>0</v>
      </c>
      <c r="G6">
        <v>9006.771</v>
      </c>
      <c r="H6">
        <v>9345.433</v>
      </c>
      <c r="I6">
        <v>9825.925</v>
      </c>
      <c r="J6">
        <v>0</v>
      </c>
      <c r="K6">
        <v>8518.12</v>
      </c>
      <c r="L6">
        <v>0</v>
      </c>
      <c r="M6">
        <v>133.22</v>
      </c>
      <c r="N6">
        <v>166.5</v>
      </c>
      <c r="O6">
        <v>333.9</v>
      </c>
      <c r="P6">
        <v>0</v>
      </c>
      <c r="Q6">
        <v>376.36</v>
      </c>
      <c r="R6">
        <v>0</v>
      </c>
      <c r="S6">
        <v>124.5</v>
      </c>
      <c r="T6">
        <v>158.21</v>
      </c>
      <c r="U6">
        <v>131.36</v>
      </c>
      <c r="V6">
        <v>0</v>
      </c>
      <c r="W6">
        <v>376.36</v>
      </c>
      <c r="X6">
        <v>0</v>
      </c>
      <c r="Y6">
        <v>9225.02</v>
      </c>
      <c r="Z6">
        <v>9799.61</v>
      </c>
      <c r="AA6">
        <v>9982.32</v>
      </c>
      <c r="AB6">
        <v>0</v>
      </c>
      <c r="AC6">
        <v>8518.12</v>
      </c>
      <c r="AD6">
        <v>0</v>
      </c>
      <c r="AE6">
        <v>8629.99</v>
      </c>
      <c r="AF6">
        <v>9187.64</v>
      </c>
      <c r="AG6">
        <v>9607.93</v>
      </c>
      <c r="AH6">
        <v>0</v>
      </c>
      <c r="AI6">
        <v>8518.12</v>
      </c>
      <c r="AJ6">
        <v>0</v>
      </c>
      <c r="AK6">
        <v>1</v>
      </c>
      <c r="AL6">
        <v>1</v>
      </c>
      <c r="AM6">
        <v>0.3</v>
      </c>
      <c r="AN6">
        <v>0</v>
      </c>
      <c r="AO6">
        <v>0</v>
      </c>
      <c r="AP6">
        <v>0</v>
      </c>
    </row>
    <row r="7" spans="1:42">
      <c r="A7">
        <v>135.969</v>
      </c>
      <c r="B7">
        <v>138.664</v>
      </c>
      <c r="C7">
        <v>237.762</v>
      </c>
      <c r="D7">
        <v>0</v>
      </c>
      <c r="E7">
        <v>0</v>
      </c>
      <c r="F7">
        <v>0</v>
      </c>
      <c r="G7">
        <v>9312.875</v>
      </c>
      <c r="H7">
        <v>10404.83</v>
      </c>
      <c r="I7">
        <v>9869.732</v>
      </c>
      <c r="J7">
        <v>0</v>
      </c>
      <c r="K7">
        <v>0</v>
      </c>
      <c r="L7">
        <v>0</v>
      </c>
      <c r="M7">
        <v>140.05</v>
      </c>
      <c r="N7">
        <v>143.59</v>
      </c>
      <c r="O7">
        <v>511.79</v>
      </c>
      <c r="P7">
        <v>0</v>
      </c>
      <c r="Q7">
        <v>0</v>
      </c>
      <c r="R7">
        <v>0</v>
      </c>
      <c r="S7">
        <v>131.3</v>
      </c>
      <c r="T7">
        <v>133.55</v>
      </c>
      <c r="U7">
        <v>159.09</v>
      </c>
      <c r="V7">
        <v>0</v>
      </c>
      <c r="W7">
        <v>0</v>
      </c>
      <c r="X7">
        <v>0</v>
      </c>
      <c r="Y7">
        <v>9825.07</v>
      </c>
      <c r="Z7">
        <v>11008.65</v>
      </c>
      <c r="AA7">
        <v>10324.69</v>
      </c>
      <c r="AB7">
        <v>0</v>
      </c>
      <c r="AC7">
        <v>0</v>
      </c>
      <c r="AD7">
        <v>0</v>
      </c>
      <c r="AE7">
        <v>8756.8</v>
      </c>
      <c r="AF7">
        <v>9786.98</v>
      </c>
      <c r="AG7">
        <v>9585.31</v>
      </c>
      <c r="AH7">
        <v>0</v>
      </c>
      <c r="AI7">
        <v>0</v>
      </c>
      <c r="AJ7">
        <v>0</v>
      </c>
      <c r="AK7">
        <v>1</v>
      </c>
      <c r="AL7">
        <v>1</v>
      </c>
      <c r="AM7">
        <v>0.4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2024-09-06T14:37:00Z</dcterms:created>
  <dcterms:modified xsi:type="dcterms:W3CDTF">2024-09-08T10:20:12Z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86F3BB71A04A4596A44001E57F66D9F8_12</vt:lpwstr>
  </property>
  <property fmtid="{D5CDD505-2E9C-101B-9397-08002B2CF9AE}" pid="3" name="KSOProductBuildVer">
    <vt:lpwstr>2052-12.1.0.17827</vt:lpwstr>
  </property>
</Properties>
</file>