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<sst xmlns="http://schemas.openxmlformats.org/spreadsheetml/2006/main" count="432" uniqueCount="65">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</sst>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176" fontId="0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C14" sqref="A13:AP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197.47</v>
      </c>
      <c r="C2">
        <v>8495.93</v>
      </c>
      <c r="D2">
        <v>91.11</v>
      </c>
      <c r="E2">
        <v>8622.55</v>
      </c>
      <c r="F2">
        <v>198.65</v>
      </c>
      <c r="G2">
        <v>9717.07</v>
      </c>
      <c r="H2">
        <v>-1</v>
      </c>
      <c r="I2">
        <v>2316.32</v>
      </c>
      <c r="J2">
        <v>197.68</v>
      </c>
      <c r="K2">
        <v>8530.73</v>
      </c>
      <c r="L2">
        <v>-1</v>
      </c>
      <c r="M2">
        <v>0</v>
      </c>
    </row>
    <row r="3" spans="1:13">
      <c r="A3" t="s">
        <v>14</v>
      </c>
      <c r="B3">
        <v>209.3</v>
      </c>
      <c r="C3">
        <v>8656.01</v>
      </c>
      <c r="D3">
        <v>92.1</v>
      </c>
      <c r="E3">
        <v>8522.25</v>
      </c>
      <c r="F3">
        <v>216.61</v>
      </c>
      <c r="G3">
        <v>9800.41</v>
      </c>
      <c r="H3">
        <v>99.24</v>
      </c>
      <c r="I3">
        <v>9589.55</v>
      </c>
      <c r="J3">
        <v>210.54</v>
      </c>
      <c r="K3">
        <v>8645.66</v>
      </c>
      <c r="L3">
        <v>95.99</v>
      </c>
      <c r="M3">
        <v>8463.3</v>
      </c>
    </row>
    <row r="4" spans="1:13">
      <c r="A4" t="s">
        <v>15</v>
      </c>
      <c r="B4">
        <v>196.99</v>
      </c>
      <c r="C4">
        <v>8137.26</v>
      </c>
      <c r="D4">
        <v>89.41</v>
      </c>
      <c r="E4">
        <v>8485.39</v>
      </c>
      <c r="F4">
        <v>198.19</v>
      </c>
      <c r="G4">
        <v>9349.25</v>
      </c>
      <c r="H4">
        <v>97.41</v>
      </c>
      <c r="I4">
        <v>9603.59</v>
      </c>
      <c r="J4">
        <v>197.13</v>
      </c>
      <c r="K4">
        <v>8182.53</v>
      </c>
      <c r="L4">
        <v>-1</v>
      </c>
      <c r="M4">
        <v>0</v>
      </c>
    </row>
    <row r="5" spans="1:13">
      <c r="A5" t="s">
        <v>16</v>
      </c>
      <c r="B5">
        <v>201.81</v>
      </c>
      <c r="C5">
        <v>8591.25</v>
      </c>
      <c r="D5">
        <v>91.16</v>
      </c>
      <c r="E5">
        <v>8817.07</v>
      </c>
      <c r="F5">
        <v>204.12</v>
      </c>
      <c r="G5">
        <v>9819.21</v>
      </c>
      <c r="H5">
        <v>98.84</v>
      </c>
      <c r="I5">
        <v>9755.39</v>
      </c>
      <c r="J5">
        <v>202.19</v>
      </c>
      <c r="K5">
        <v>8659.39</v>
      </c>
      <c r="L5">
        <v>-1</v>
      </c>
      <c r="M5">
        <v>2460.48</v>
      </c>
    </row>
    <row r="6" spans="1:13">
      <c r="A6" t="s">
        <v>17</v>
      </c>
      <c r="B6">
        <v>201.67</v>
      </c>
      <c r="C6">
        <v>8371</v>
      </c>
      <c r="D6">
        <v>90.43</v>
      </c>
      <c r="E6">
        <v>8440.7</v>
      </c>
      <c r="F6">
        <v>204.36</v>
      </c>
      <c r="G6">
        <v>9526.09</v>
      </c>
      <c r="H6">
        <v>98.72</v>
      </c>
      <c r="I6">
        <v>9459.51</v>
      </c>
      <c r="J6">
        <v>-1</v>
      </c>
      <c r="K6">
        <v>6894.02</v>
      </c>
      <c r="L6">
        <v>-1</v>
      </c>
      <c r="M6">
        <v>0</v>
      </c>
    </row>
    <row r="7" spans="1:13">
      <c r="A7" t="s">
        <v>18</v>
      </c>
      <c r="B7">
        <v>202.32</v>
      </c>
      <c r="C7">
        <v>8807.7</v>
      </c>
      <c r="D7">
        <v>94.36</v>
      </c>
      <c r="E7">
        <v>8862.17</v>
      </c>
      <c r="F7">
        <v>204.32</v>
      </c>
      <c r="G7">
        <v>10025.89</v>
      </c>
      <c r="H7">
        <v>98.45</v>
      </c>
      <c r="I7">
        <v>9974.75</v>
      </c>
      <c r="J7">
        <v>203.62</v>
      </c>
      <c r="K7">
        <v>8815.68</v>
      </c>
      <c r="L7">
        <v>97.33</v>
      </c>
      <c r="M7">
        <v>8815.88</v>
      </c>
    </row>
    <row r="8" spans="1:13">
      <c r="A8" t="s">
        <v>19</v>
      </c>
      <c r="B8">
        <v>202.62</v>
      </c>
      <c r="C8">
        <v>8850.77</v>
      </c>
      <c r="D8">
        <v>93.66</v>
      </c>
      <c r="E8">
        <v>8844.11</v>
      </c>
      <c r="F8">
        <v>204.29</v>
      </c>
      <c r="G8">
        <v>10125.36</v>
      </c>
      <c r="H8">
        <v>106.34</v>
      </c>
      <c r="I8">
        <v>10008.1</v>
      </c>
      <c r="J8">
        <v>202.78</v>
      </c>
      <c r="K8">
        <v>8896.74</v>
      </c>
      <c r="L8">
        <v>-1</v>
      </c>
      <c r="M8">
        <v>0</v>
      </c>
    </row>
    <row r="9" spans="1:13">
      <c r="A9" t="s">
        <v>20</v>
      </c>
      <c r="B9">
        <v>200.27</v>
      </c>
      <c r="C9">
        <v>8829.24</v>
      </c>
      <c r="D9">
        <v>93.12</v>
      </c>
      <c r="E9">
        <v>8745.17</v>
      </c>
      <c r="F9">
        <v>201.63</v>
      </c>
      <c r="G9">
        <v>10135.44</v>
      </c>
      <c r="H9">
        <v>101.55</v>
      </c>
      <c r="I9">
        <v>9899.51</v>
      </c>
      <c r="J9">
        <v>200.39</v>
      </c>
      <c r="K9">
        <v>8871.64</v>
      </c>
      <c r="L9">
        <v>-1</v>
      </c>
      <c r="M9">
        <v>6103.79</v>
      </c>
    </row>
    <row r="10" spans="1:13">
      <c r="A10" t="s">
        <v>21</v>
      </c>
      <c r="B10">
        <v>204.69</v>
      </c>
      <c r="C10">
        <v>8520.61</v>
      </c>
      <c r="D10">
        <v>90.48</v>
      </c>
      <c r="E10">
        <v>8495.2</v>
      </c>
      <c r="F10">
        <v>208.59</v>
      </c>
      <c r="G10">
        <v>9745.11</v>
      </c>
      <c r="H10">
        <v>98.21</v>
      </c>
      <c r="I10">
        <v>9517.5</v>
      </c>
      <c r="J10">
        <v>220.43</v>
      </c>
      <c r="K10">
        <v>8573.4</v>
      </c>
      <c r="L10">
        <v>105.76</v>
      </c>
      <c r="M10">
        <v>8377.28</v>
      </c>
    </row>
    <row r="11" spans="1:13">
      <c r="A11" t="s">
        <v>22</v>
      </c>
      <c r="B11">
        <v>203.11</v>
      </c>
      <c r="C11">
        <v>8637.02</v>
      </c>
      <c r="D11">
        <v>92.36</v>
      </c>
      <c r="E11">
        <v>8755.07</v>
      </c>
      <c r="F11">
        <v>-1</v>
      </c>
      <c r="G11">
        <v>3279.97</v>
      </c>
      <c r="H11">
        <v>-1</v>
      </c>
      <c r="I11">
        <v>3378.75</v>
      </c>
      <c r="J11">
        <v>204.73</v>
      </c>
      <c r="K11">
        <v>8647.59</v>
      </c>
      <c r="L11">
        <v>-1</v>
      </c>
      <c r="M11">
        <v>1764.57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202.025</v>
      </c>
      <c r="B14" s="4">
        <f>IFERROR(AVERAGEIF($D$2:$D$11,"&lt;&gt; -1"),0)</f>
        <v>91.819</v>
      </c>
      <c r="C14" s="4">
        <f>IFERROR(AVERAGEIF($F$2:$F$11,"&lt;&gt; -1"),0)</f>
        <v>204.528888888889</v>
      </c>
      <c r="D14" s="4">
        <f>IFERROR(AVERAGEIF($H$2:$H$11,"&lt;&gt; -1"),0)</f>
        <v>99.845</v>
      </c>
      <c r="E14" s="4">
        <f>IFERROR(AVERAGEIF($J$2:$J$11,"&lt;&gt; -1"),0)</f>
        <v>204.387777777778</v>
      </c>
      <c r="F14" s="4">
        <f>IFERROR(AVERAGEIF($L$2:$L$11,"&lt;&gt; -1"),0)</f>
        <v>99.6933333333333</v>
      </c>
      <c r="G14" s="4">
        <f>IFERROR(AVERAGEIFS($C$2:$C$11,$B$2:$B$11,"&lt;&gt; -1"),0)</f>
        <v>8589.679</v>
      </c>
      <c r="H14" s="4">
        <f>IFERROR(AVERAGEIFS($E$2:$E$11,$D$2:$D$11,"&lt;&gt; -1"),0)</f>
        <v>8658.968</v>
      </c>
      <c r="I14" s="4">
        <f>IFERROR(AVERAGEIFS($G$2:$G$11,$F$2:$F$11,"&lt;&gt; -1"),0)</f>
        <v>9804.87</v>
      </c>
      <c r="J14" s="4">
        <f>IFERROR(AVERAGEIFS($I$2:$I$11,$H$2:$H$11,"&lt;&gt; -1"),0)</f>
        <v>9725.9875</v>
      </c>
      <c r="K14" s="4">
        <f>IFERROR(AVERAGEIFS($K$2:$K$11,$J$2:$J$11,"&lt;&gt; -1"),0)</f>
        <v>8647.04</v>
      </c>
      <c r="L14" s="4">
        <f>IFERROR(AVERAGEIFS($M$2:$M$11,$L$2:$L$11,"&lt;&gt; -1"),0)</f>
        <v>8552.15333333333</v>
      </c>
      <c r="M14" s="4">
        <f>IFERROR(_xlfn.MAXIFS($B$2:$B$11,$B$2:$B$11,"&lt;&gt; -1"),0)</f>
        <v>209.3</v>
      </c>
      <c r="N14" s="4">
        <f>IFERROR(_xlfn.MAXIFS($D$2:$D$11,$D$2:$D$11,"&lt;&gt;-1"),0)</f>
        <v>94.36</v>
      </c>
      <c r="O14" s="4">
        <f>IFERROR(_xlfn.MAXIFS($F$2:$F$11,$F$2:$F$11,"&lt;&gt; -1"),0)</f>
        <v>216.61</v>
      </c>
      <c r="P14" s="4">
        <f>IFERROR(_xlfn.MAXIFS($H$2:$H$11,$H$2:$H$11,"&lt;&gt; -1"),0)</f>
        <v>106.34</v>
      </c>
      <c r="Q14" s="4">
        <f>IFERROR(_xlfn.MAXIFS($J$2:$J$11,$J$2:$J$11,"&lt;&gt; -1"),0)</f>
        <v>220.43</v>
      </c>
      <c r="R14" s="4">
        <f>IFERROR(_xlfn.MAXIFS($L$2:$L$11,$L$2:$L$11,"&lt;&gt; -1"),0)</f>
        <v>105.76</v>
      </c>
      <c r="S14" s="4">
        <f>IFERROR(_xlfn.MINIFS($B$2:$B$11,$B$2:$B$11,"&lt;&gt; -1"),0)</f>
        <v>196.99</v>
      </c>
      <c r="T14" s="4">
        <f>IFERROR(_xlfn.MINIFS($D$2:$D$11,$D$2:$D$11,"&lt;&gt;-1"),0)</f>
        <v>89.41</v>
      </c>
      <c r="U14" s="4">
        <f>IFERROR(_xlfn.MINIFS($F$2:$F$11,$F$2:$F$11,"&lt;&gt; -1"),0)</f>
        <v>198.19</v>
      </c>
      <c r="V14" s="4">
        <f>IFERROR(_xlfn.MINIFS($H$2:$H$11,$H$2:$H$11,"&lt;&gt; -1"),0)</f>
        <v>97.41</v>
      </c>
      <c r="W14" s="4">
        <f>IFERROR(_xlfn.MINIFS($J$2:$J$11,$J$2:$J$11,"&lt;&gt; -1"),0)</f>
        <v>197.13</v>
      </c>
      <c r="X14" s="4">
        <f>IFERROR(_xlfn.MINIFS($L$2:$L$11,$L$2:$L$11,"&lt;&gt; -1"),0)</f>
        <v>95.99</v>
      </c>
      <c r="Y14" s="4">
        <f>IFERROR(_xlfn.MAXIFS($C$2:$C$11,$B$2:$B$11,"&lt;&gt; -1"),0)</f>
        <v>8850.77</v>
      </c>
      <c r="Z14" s="4">
        <f>IFERROR(_xlfn.MAXIFS($E$2:$E$11,$D$2:$D$11,"&lt;&gt; -1"),0)</f>
        <v>8862.17</v>
      </c>
      <c r="AA14" s="4">
        <f>IFERROR(_xlfn.MAXIFS($G$2:$G$11,$F$2:$F$11,"&lt;&gt; -1"),0)</f>
        <v>10135.44</v>
      </c>
      <c r="AB14" s="4">
        <f>IFERROR(_xlfn.MAXIFS($I$2:$I$11,$H$2:$H$11,"&lt;&gt; -1"),0)</f>
        <v>10008.1</v>
      </c>
      <c r="AC14" s="4">
        <f>IFERROR(_xlfn.MAXIFS($K$2:$K$11,$J$2:$J$11,"&lt;&gt; -1"),0)</f>
        <v>8896.74</v>
      </c>
      <c r="AD14" s="4">
        <f>IFERROR(_xlfn.MAXIFS($M$2:$M$11,$L$2:$L$11,"&lt;&gt; -1"),0)</f>
        <v>8815.88</v>
      </c>
      <c r="AE14" s="4">
        <f>IFERROR(_xlfn.MINIFS($C$2:$C$11,$B$2:$B$11,"&lt;&gt; -1"),0)</f>
        <v>8137.26</v>
      </c>
      <c r="AF14" s="4">
        <f>IFERROR(_xlfn.MINIFS($E$2:$E$11,$D$2:$D$11,"&lt;&gt; -1"),0)</f>
        <v>8440.7</v>
      </c>
      <c r="AG14" s="4">
        <f>IFERROR(_xlfn.MINIFS($G$2:$G$11,$F$2:$F$11,"&lt;&gt; -1"),0)</f>
        <v>9349.25</v>
      </c>
      <c r="AH14" s="4">
        <f>IFERROR(_xlfn.MINIFS($I$2:$I$11,$H$2:$H$11,"&lt;&gt; -1"),0)</f>
        <v>9459.51</v>
      </c>
      <c r="AI14" s="4">
        <f>IFERROR(_xlfn.MINIFS($K$2:$K$11,$J$2:$J$11,"&lt;&gt; -1"),0)</f>
        <v>8182.53</v>
      </c>
      <c r="AJ14" s="4">
        <f>IFERROR(_xlfn.MINIFS($M$2:$M$11,$L$2:$L$11,"&lt;&gt; -1"),0)</f>
        <v>8377.28</v>
      </c>
      <c r="AK14" s="4">
        <f>(COUNTIFS($B$2:$B$11,"&gt;0.0",$B$2:$B$11,"&lt;300.0"))/10</f>
        <v>1</v>
      </c>
      <c r="AL14" s="4">
        <f>(COUNTIFS($D$2:$D$11,"&gt;0.0",$D$2:$D$11,"&lt;300.0"))/10</f>
        <v>1</v>
      </c>
      <c r="AM14" s="4">
        <f>(COUNTIFS($F$2:$F$11,"&gt;0.0",$F$2:$F$11,"&lt;300.0"))/10</f>
        <v>0.9</v>
      </c>
      <c r="AN14" s="4">
        <f>(COUNTIFS($H$2:$H11,"&gt;0.0",$H$2:$H$11,"&lt;300.0"))/10</f>
        <v>0.8</v>
      </c>
      <c r="AO14" s="4">
        <f>(COUNTIFS($J$2:$J$11,"&gt;0.0",$J$2:$J$11,"&lt;300.0"))/10</f>
        <v>0.9</v>
      </c>
      <c r="AP14" s="4">
        <f>(COUNTIFS($L$2:$L$11,"&gt;0.0",$L$2:$L$11,"&lt;300.0"))/10</f>
        <v>0.3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206.6</v>
      </c>
      <c r="C2">
        <v>8574.26</v>
      </c>
      <c r="D2">
        <v>100.03</v>
      </c>
      <c r="E2">
        <v>8925.05</v>
      </c>
      <c r="F2">
        <v>208.75</v>
      </c>
      <c r="G2">
        <v>9695.75</v>
      </c>
      <c r="H2">
        <v>110.89</v>
      </c>
      <c r="I2">
        <v>9980.79</v>
      </c>
      <c r="J2">
        <v>-1</v>
      </c>
      <c r="K2">
        <v>6618.12</v>
      </c>
      <c r="L2">
        <v>-1</v>
      </c>
      <c r="M2">
        <v>389.42</v>
      </c>
    </row>
    <row r="3" spans="1:13">
      <c r="A3" t="s">
        <v>14</v>
      </c>
      <c r="B3">
        <v>211.6</v>
      </c>
      <c r="C3">
        <v>8509.89</v>
      </c>
      <c r="D3">
        <v>101.33</v>
      </c>
      <c r="E3">
        <v>8814.64</v>
      </c>
      <c r="F3">
        <v>215.12</v>
      </c>
      <c r="G3">
        <v>9615.05</v>
      </c>
      <c r="H3">
        <v>113.9</v>
      </c>
      <c r="I3">
        <v>9616.42</v>
      </c>
      <c r="J3">
        <v>224.14</v>
      </c>
      <c r="K3">
        <v>8565.09</v>
      </c>
      <c r="L3">
        <v>-1</v>
      </c>
      <c r="M3">
        <v>3594.12</v>
      </c>
    </row>
    <row r="4" spans="1:13">
      <c r="A4" t="s">
        <v>15</v>
      </c>
      <c r="B4">
        <v>210.17</v>
      </c>
      <c r="C4">
        <v>8475.44</v>
      </c>
      <c r="D4">
        <v>99.29</v>
      </c>
      <c r="E4">
        <v>9065.87</v>
      </c>
      <c r="F4">
        <v>-1</v>
      </c>
      <c r="G4">
        <v>1612.86</v>
      </c>
      <c r="H4">
        <v>-1</v>
      </c>
      <c r="I4">
        <v>0</v>
      </c>
      <c r="J4">
        <v>-1</v>
      </c>
      <c r="K4">
        <v>184.61</v>
      </c>
      <c r="L4">
        <v>-1</v>
      </c>
      <c r="M4">
        <v>0</v>
      </c>
    </row>
    <row r="5" spans="1:13">
      <c r="A5" t="s">
        <v>16</v>
      </c>
      <c r="B5">
        <v>210.86</v>
      </c>
      <c r="C5">
        <v>8621.77</v>
      </c>
      <c r="D5">
        <v>100.22</v>
      </c>
      <c r="E5">
        <v>9059.21</v>
      </c>
      <c r="F5">
        <v>214.69</v>
      </c>
      <c r="G5">
        <v>9749.64</v>
      </c>
      <c r="H5">
        <v>-1</v>
      </c>
      <c r="I5">
        <v>3614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205.01</v>
      </c>
      <c r="C6">
        <v>8424.38</v>
      </c>
      <c r="D6">
        <v>99.31</v>
      </c>
      <c r="E6">
        <v>8703.27</v>
      </c>
      <c r="F6">
        <v>206.28</v>
      </c>
      <c r="G6">
        <v>9664.76</v>
      </c>
      <c r="H6">
        <v>-1</v>
      </c>
      <c r="I6">
        <v>745.24</v>
      </c>
      <c r="J6">
        <v>206.16</v>
      </c>
      <c r="K6">
        <v>8461.01</v>
      </c>
      <c r="L6">
        <v>-1</v>
      </c>
      <c r="M6">
        <v>0</v>
      </c>
    </row>
    <row r="7" spans="1:13">
      <c r="A7" t="s">
        <v>18</v>
      </c>
      <c r="B7">
        <v>214.15</v>
      </c>
      <c r="C7">
        <v>8782.79</v>
      </c>
      <c r="D7">
        <v>103.79</v>
      </c>
      <c r="E7">
        <v>8893.29</v>
      </c>
      <c r="F7">
        <v>217.9</v>
      </c>
      <c r="G7">
        <v>9968.89</v>
      </c>
      <c r="H7">
        <v>-1</v>
      </c>
      <c r="I7">
        <v>9727.69</v>
      </c>
      <c r="J7">
        <v>216.14</v>
      </c>
      <c r="K7">
        <v>8807.11</v>
      </c>
      <c r="L7">
        <v>-1</v>
      </c>
      <c r="M7">
        <v>0</v>
      </c>
    </row>
    <row r="8" spans="1:13">
      <c r="A8" t="s">
        <v>19</v>
      </c>
      <c r="B8">
        <v>216.77</v>
      </c>
      <c r="C8">
        <v>8893.85</v>
      </c>
      <c r="D8">
        <v>103.53</v>
      </c>
      <c r="E8">
        <v>8869.13</v>
      </c>
      <c r="F8">
        <v>225.75</v>
      </c>
      <c r="G8">
        <v>10159.93</v>
      </c>
      <c r="H8">
        <v>-1</v>
      </c>
      <c r="I8">
        <v>245.5</v>
      </c>
      <c r="J8">
        <v>-1</v>
      </c>
      <c r="K8">
        <v>316.66</v>
      </c>
      <c r="L8">
        <v>-1</v>
      </c>
      <c r="M8">
        <v>0</v>
      </c>
    </row>
    <row r="9" spans="1:13">
      <c r="A9" t="s">
        <v>20</v>
      </c>
      <c r="B9">
        <v>210.74</v>
      </c>
      <c r="C9">
        <v>8816.01</v>
      </c>
      <c r="D9">
        <v>103.86</v>
      </c>
      <c r="E9">
        <v>9208.75</v>
      </c>
      <c r="F9">
        <v>214.22</v>
      </c>
      <c r="G9">
        <v>10061.53</v>
      </c>
      <c r="H9">
        <v>-1</v>
      </c>
      <c r="I9">
        <v>681.19</v>
      </c>
      <c r="J9">
        <v>217.39</v>
      </c>
      <c r="K9">
        <v>8928.19</v>
      </c>
      <c r="L9">
        <v>-1</v>
      </c>
      <c r="M9">
        <v>0</v>
      </c>
    </row>
    <row r="10" spans="1:13">
      <c r="A10" t="s">
        <v>21</v>
      </c>
      <c r="B10">
        <v>213.34</v>
      </c>
      <c r="C10">
        <v>8702.82</v>
      </c>
      <c r="D10">
        <v>103.38</v>
      </c>
      <c r="E10">
        <v>9064.92</v>
      </c>
      <c r="F10">
        <v>218.95</v>
      </c>
      <c r="G10">
        <v>9890.64</v>
      </c>
      <c r="H10">
        <v>-1</v>
      </c>
      <c r="I10">
        <v>659.19</v>
      </c>
      <c r="J10">
        <v>220.5</v>
      </c>
      <c r="K10">
        <v>8666.96</v>
      </c>
      <c r="L10">
        <v>-1</v>
      </c>
      <c r="M10">
        <v>0</v>
      </c>
    </row>
    <row r="11" spans="1:13">
      <c r="A11" t="s">
        <v>22</v>
      </c>
      <c r="B11">
        <v>210.92</v>
      </c>
      <c r="C11">
        <v>8671.99</v>
      </c>
      <c r="D11">
        <v>101.98</v>
      </c>
      <c r="E11">
        <v>9263.1</v>
      </c>
      <c r="F11">
        <v>216.96</v>
      </c>
      <c r="G11">
        <v>9840.59</v>
      </c>
      <c r="H11">
        <v>-1</v>
      </c>
      <c r="I11">
        <v>766.69</v>
      </c>
      <c r="J11">
        <v>218.38</v>
      </c>
      <c r="K11">
        <v>8701.1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211.016</v>
      </c>
      <c r="B14" s="4">
        <f>IFERROR(AVERAGEIF($D$2:$D$11,"&lt;&gt; -1"),0)</f>
        <v>101.672</v>
      </c>
      <c r="C14" s="4">
        <f>IFERROR(AVERAGEIF($F$2:$F$11,"&lt;&gt; -1"),0)</f>
        <v>215.402222222222</v>
      </c>
      <c r="D14" s="4">
        <f>IFERROR(AVERAGEIF($H$2:$H$11,"&lt;&gt; -1"),0)</f>
        <v>112.395</v>
      </c>
      <c r="E14" s="4">
        <f>IFERROR(AVERAGEIF($J$2:$J$11,"&lt;&gt; -1"),0)</f>
        <v>217.118333333333</v>
      </c>
      <c r="F14" s="4">
        <f>IFERROR(AVERAGEIF($L$2:$L$11,"&lt;&gt; -1"),0)</f>
        <v>0</v>
      </c>
      <c r="G14" s="4">
        <f>IFERROR(AVERAGEIFS($C$2:$C$11,$B$2:$B$11,"&lt;&gt; -1"),0)</f>
        <v>8647.32</v>
      </c>
      <c r="H14" s="4">
        <f>IFERROR(AVERAGEIFS($E$2:$E$11,$D$2:$D$11,"&lt;&gt; -1"),0)</f>
        <v>8986.723</v>
      </c>
      <c r="I14" s="4">
        <f>IFERROR(AVERAGEIFS($G$2:$G$11,$F$2:$F$11,"&lt;&gt; -1"),0)</f>
        <v>9849.64222222222</v>
      </c>
      <c r="J14" s="4">
        <f>IFERROR(AVERAGEIFS($I$2:$I$11,$H$2:$H$11,"&lt;&gt; -1"),0)</f>
        <v>9798.605</v>
      </c>
      <c r="K14" s="4">
        <f>IFERROR(AVERAGEIFS($K$2:$K$11,$J$2:$J$11,"&lt;&gt; -1"),0)</f>
        <v>8688.24333333333</v>
      </c>
      <c r="L14" s="4">
        <f>IFERROR(AVERAGEIFS($M$2:$M$11,$L$2:$L$11,"&lt;&gt; -1"),0)</f>
        <v>0</v>
      </c>
      <c r="M14" s="4">
        <f>IFERROR(_xlfn.MAXIFS($B$2:$B$11,$B$2:$B$11,"&lt;&gt; -1"),0)</f>
        <v>216.77</v>
      </c>
      <c r="N14" s="4">
        <f>IFERROR(_xlfn.MAXIFS($D$2:$D$11,$D$2:$D$11,"&lt;&gt;-1"),0)</f>
        <v>103.86</v>
      </c>
      <c r="O14" s="4">
        <f>IFERROR(_xlfn.MAXIFS($F$2:$F$11,$F$2:$F$11,"&lt;&gt; -1"),0)</f>
        <v>225.75</v>
      </c>
      <c r="P14" s="4">
        <f>IFERROR(_xlfn.MAXIFS($H$2:$H$11,$H$2:$H$11,"&lt;&gt; -1"),0)</f>
        <v>113.9</v>
      </c>
      <c r="Q14" s="4">
        <f>IFERROR(_xlfn.MAXIFS($J$2:$J$11,$J$2:$J$11,"&lt;&gt; -1"),0)</f>
        <v>224.14</v>
      </c>
      <c r="R14" s="4">
        <f>IFERROR(_xlfn.MAXIFS($L$2:$L$11,$L$2:$L$11,"&lt;&gt; -1"),0)</f>
        <v>0</v>
      </c>
      <c r="S14" s="4">
        <f>IFERROR(_xlfn.MINIFS($B$2:$B$11,$B$2:$B$11,"&lt;&gt; -1"),0)</f>
        <v>205.01</v>
      </c>
      <c r="T14" s="4">
        <f>IFERROR(_xlfn.MINIFS($D$2:$D$11,$D$2:$D$11,"&lt;&gt;-1"),0)</f>
        <v>99.29</v>
      </c>
      <c r="U14" s="4">
        <f>IFERROR(_xlfn.MINIFS($F$2:$F$11,$F$2:$F$11,"&lt;&gt; -1"),0)</f>
        <v>206.28</v>
      </c>
      <c r="V14" s="4">
        <f>IFERROR(_xlfn.MINIFS($H$2:$H$11,$H$2:$H$11,"&lt;&gt; -1"),0)</f>
        <v>110.89</v>
      </c>
      <c r="W14" s="4">
        <f>IFERROR(_xlfn.MINIFS($J$2:$J$11,$J$2:$J$11,"&lt;&gt; -1"),0)</f>
        <v>206.16</v>
      </c>
      <c r="X14" s="4">
        <f>IFERROR(_xlfn.MINIFS($L$2:$L$11,$L$2:$L$11,"&lt;&gt; -1"),0)</f>
        <v>0</v>
      </c>
      <c r="Y14" s="4">
        <f>IFERROR(_xlfn.MAXIFS($C$2:$C$11,$B$2:$B$11,"&lt;&gt; -1"),0)</f>
        <v>8893.85</v>
      </c>
      <c r="Z14" s="4">
        <f>IFERROR(_xlfn.MAXIFS($E$2:$E$11,$D$2:$D$11,"&lt;&gt; -1"),0)</f>
        <v>9263.1</v>
      </c>
      <c r="AA14" s="4">
        <f>IFERROR(_xlfn.MAXIFS($G$2:$G$11,$F$2:$F$11,"&lt;&gt; -1"),0)</f>
        <v>10159.93</v>
      </c>
      <c r="AB14" s="4">
        <f>IFERROR(_xlfn.MAXIFS($I$2:$I$11,$H$2:$H$11,"&lt;&gt; -1"),0)</f>
        <v>9980.79</v>
      </c>
      <c r="AC14" s="4">
        <f>IFERROR(_xlfn.MAXIFS($K$2:$K$11,$J$2:$J$11,"&lt;&gt; -1"),0)</f>
        <v>8928.19</v>
      </c>
      <c r="AD14" s="4">
        <f>IFERROR(_xlfn.MAXIFS($M$2:$M$11,$L$2:$L$11,"&lt;&gt; -1"),0)</f>
        <v>0</v>
      </c>
      <c r="AE14" s="4">
        <f>IFERROR(_xlfn.MINIFS($C$2:$C$11,$B$2:$B$11,"&lt;&gt; -1"),0)</f>
        <v>8424.38</v>
      </c>
      <c r="AF14" s="4">
        <f>IFERROR(_xlfn.MINIFS($E$2:$E$11,$D$2:$D$11,"&lt;&gt; -1"),0)</f>
        <v>8703.27</v>
      </c>
      <c r="AG14" s="4">
        <f>IFERROR(_xlfn.MINIFS($G$2:$G$11,$F$2:$F$11,"&lt;&gt; -1"),0)</f>
        <v>9615.05</v>
      </c>
      <c r="AH14" s="4">
        <f>IFERROR(_xlfn.MINIFS($I$2:$I$11,$H$2:$H$11,"&lt;&gt; -1"),0)</f>
        <v>9616.42</v>
      </c>
      <c r="AI14" s="4">
        <f>IFERROR(_xlfn.MINIFS($K$2:$K$11,$J$2:$J$11,"&lt;&gt; -1"),0)</f>
        <v>8461.01</v>
      </c>
      <c r="AJ14" s="4">
        <f>IFERROR(_xlfn.MINIFS($M$2:$M$11,$L$2:$L$11,"&lt;&gt; -1"),0)</f>
        <v>0</v>
      </c>
      <c r="AK14" s="4">
        <f>(COUNTIFS($B$2:$B$11,"&gt;0.0",$B$2:$B$11,"&lt;300.0"))/10</f>
        <v>1</v>
      </c>
      <c r="AL14" s="4">
        <f>(COUNTIFS($D$2:$D$11,"&gt;0.0",$D$2:$D$11,"&lt;300.0"))/10</f>
        <v>1</v>
      </c>
      <c r="AM14" s="4">
        <f>(COUNTIFS($F$2:$F$11,"&gt;0.0",$F$2:$F$11,"&lt;300.0"))/10</f>
        <v>0.9</v>
      </c>
      <c r="AN14" s="4">
        <f>(COUNTIFS($H$2:$H11,"&gt;0.0",$H$2:$H$11,"&lt;300.0"))/10</f>
        <v>0.2</v>
      </c>
      <c r="AO14" s="4">
        <f>(COUNTIFS($J$2:$J$11,"&gt;0.0",$J$2:$J$11,"&lt;300.0"))/10</f>
        <v>0.6</v>
      </c>
      <c r="AP14" s="4">
        <f>(COUNTIFS($L$2:$L$11,"&gt;0.0",$L$2:$L$11,"&lt;300.0"))/10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213.51</v>
      </c>
      <c r="C2">
        <v>9228.1</v>
      </c>
      <c r="D2">
        <v>108.92</v>
      </c>
      <c r="E2">
        <v>8890.18</v>
      </c>
      <c r="F2">
        <v>-1</v>
      </c>
      <c r="G2">
        <v>0</v>
      </c>
      <c r="H2">
        <v>-1</v>
      </c>
      <c r="I2">
        <v>3070.41</v>
      </c>
      <c r="J2">
        <v>-1</v>
      </c>
      <c r="K2">
        <v>0</v>
      </c>
      <c r="L2">
        <v>-1</v>
      </c>
      <c r="M2">
        <v>342.76</v>
      </c>
    </row>
    <row r="3" spans="1:13">
      <c r="A3" t="s">
        <v>14</v>
      </c>
      <c r="B3">
        <v>223.53</v>
      </c>
      <c r="C3">
        <v>9045.29</v>
      </c>
      <c r="D3">
        <v>107.91</v>
      </c>
      <c r="E3">
        <v>8330.47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216.4</v>
      </c>
      <c r="C4">
        <v>9127.94</v>
      </c>
      <c r="D4">
        <v>106.99</v>
      </c>
      <c r="E4">
        <v>8596.48</v>
      </c>
      <c r="F4">
        <v>-1</v>
      </c>
      <c r="G4">
        <v>0</v>
      </c>
      <c r="H4">
        <v>-1</v>
      </c>
      <c r="I4">
        <v>1377.79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226.8</v>
      </c>
      <c r="C5">
        <v>9412.38</v>
      </c>
      <c r="D5">
        <v>109.26</v>
      </c>
      <c r="E5">
        <v>8722.64</v>
      </c>
      <c r="F5">
        <v>-1</v>
      </c>
      <c r="G5">
        <v>0</v>
      </c>
      <c r="H5">
        <v>117.59</v>
      </c>
      <c r="I5">
        <v>9831.75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219.98</v>
      </c>
      <c r="C6">
        <v>8840.53</v>
      </c>
      <c r="D6">
        <v>106.44</v>
      </c>
      <c r="E6">
        <v>8669.61</v>
      </c>
      <c r="F6">
        <v>-1</v>
      </c>
      <c r="G6">
        <v>0</v>
      </c>
      <c r="H6">
        <v>-1</v>
      </c>
      <c r="I6">
        <v>5318.7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221.47</v>
      </c>
      <c r="C7">
        <v>9563.08</v>
      </c>
      <c r="D7">
        <v>113.01</v>
      </c>
      <c r="E7">
        <v>9073.51</v>
      </c>
      <c r="F7">
        <v>-1</v>
      </c>
      <c r="G7">
        <v>0</v>
      </c>
      <c r="H7">
        <v>127.66</v>
      </c>
      <c r="I7">
        <v>10098.2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226.18</v>
      </c>
      <c r="C8">
        <v>9552.05</v>
      </c>
      <c r="D8">
        <v>112.93</v>
      </c>
      <c r="E8">
        <v>9330.94</v>
      </c>
      <c r="F8">
        <v>-1</v>
      </c>
      <c r="G8">
        <v>0</v>
      </c>
      <c r="H8">
        <v>-1</v>
      </c>
      <c r="I8">
        <v>599.55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224.64</v>
      </c>
      <c r="C9">
        <v>9192.74</v>
      </c>
      <c r="D9">
        <v>109.67</v>
      </c>
      <c r="E9">
        <v>8688.86</v>
      </c>
      <c r="F9">
        <v>-1</v>
      </c>
      <c r="G9">
        <v>0</v>
      </c>
      <c r="H9">
        <v>116.31</v>
      </c>
      <c r="I9">
        <v>9770.2</v>
      </c>
      <c r="J9">
        <v>-1</v>
      </c>
      <c r="K9">
        <v>0</v>
      </c>
      <c r="L9">
        <v>-1</v>
      </c>
      <c r="M9">
        <v>1635.56</v>
      </c>
    </row>
    <row r="10" spans="1:13">
      <c r="A10" t="s">
        <v>21</v>
      </c>
      <c r="B10">
        <v>227.04</v>
      </c>
      <c r="C10">
        <v>9494.82</v>
      </c>
      <c r="D10">
        <v>109.24</v>
      </c>
      <c r="E10">
        <v>8783.26</v>
      </c>
      <c r="F10">
        <v>-1</v>
      </c>
      <c r="G10">
        <v>0</v>
      </c>
      <c r="H10">
        <v>-1</v>
      </c>
      <c r="I10">
        <v>3945.63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221.03</v>
      </c>
      <c r="C11">
        <v>9779.55</v>
      </c>
      <c r="D11">
        <v>110.37</v>
      </c>
      <c r="E11">
        <v>9425.33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222.058</v>
      </c>
      <c r="B14" s="4">
        <f>IFERROR(AVERAGEIF($D$2:$D$11,"&lt;&gt; -1"),0)</f>
        <v>109.474</v>
      </c>
      <c r="C14" s="4">
        <f>IFERROR(AVERAGEIF($F$2:$F$11,"&lt;&gt; -1"),0)</f>
        <v>0</v>
      </c>
      <c r="D14" s="4">
        <f>IFERROR(AVERAGEIF($H$2:$H$11,"&lt;&gt; -1"),0)</f>
        <v>120.52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9323.648</v>
      </c>
      <c r="H14" s="4">
        <f>IFERROR(AVERAGEIFS($E$2:$E$11,$D$2:$D$11,"&lt;&gt; -1"),0)</f>
        <v>8851.128</v>
      </c>
      <c r="I14" s="4">
        <f>IFERROR(AVERAGEIFS($G$2:$G$11,$F$2:$F$11,"&lt;&gt; -1"),0)</f>
        <v>0</v>
      </c>
      <c r="J14" s="4">
        <f>IFERROR(AVERAGEIFS($I$2:$I$11,$H$2:$H$11,"&lt;&gt; -1"),0)</f>
        <v>9900.05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227.04</v>
      </c>
      <c r="N14" s="4">
        <f>IFERROR(_xlfn.MAXIFS($D$2:$D$11,$D$2:$D$11,"&lt;&gt;-1"),0)</f>
        <v>113.01</v>
      </c>
      <c r="O14" s="4">
        <f>IFERROR(_xlfn.MAXIFS($F$2:$F$11,$F$2:$F$11,"&lt;&gt; -1"),0)</f>
        <v>0</v>
      </c>
      <c r="P14" s="4">
        <f>IFERROR(_xlfn.MAXIFS($H$2:$H$11,$H$2:$H$11,"&lt;&gt; -1"),0)</f>
        <v>127.66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213.51</v>
      </c>
      <c r="T14" s="4">
        <f>IFERROR(_xlfn.MINIFS($D$2:$D$11,$D$2:$D$11,"&lt;&gt;-1"),0)</f>
        <v>106.44</v>
      </c>
      <c r="U14" s="4">
        <f>IFERROR(_xlfn.MINIFS($F$2:$F$11,$F$2:$F$11,"&lt;&gt; -1"),0)</f>
        <v>0</v>
      </c>
      <c r="V14" s="4">
        <f>IFERROR(_xlfn.MINIFS($H$2:$H$11,$H$2:$H$11,"&lt;&gt; -1"),0)</f>
        <v>116.31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9779.55</v>
      </c>
      <c r="Z14" s="4">
        <f>IFERROR(_xlfn.MAXIFS($E$2:$E$11,$D$2:$D$11,"&lt;&gt; -1"),0)</f>
        <v>9425.33</v>
      </c>
      <c r="AA14" s="4">
        <f>IFERROR(_xlfn.MAXIFS($G$2:$G$11,$F$2:$F$11,"&lt;&gt; -1"),0)</f>
        <v>0</v>
      </c>
      <c r="AB14" s="4">
        <f>IFERROR(_xlfn.MAXIFS($I$2:$I$11,$H$2:$H$11,"&lt;&gt; -1"),0)</f>
        <v>10098.2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8840.53</v>
      </c>
      <c r="AF14" s="4">
        <f>IFERROR(_xlfn.MINIFS($E$2:$E$11,$D$2:$D$11,"&lt;&gt; -1"),0)</f>
        <v>8330.47</v>
      </c>
      <c r="AG14" s="4">
        <f>IFERROR(_xlfn.MINIFS($G$2:$G$11,$F$2:$F$11,"&lt;&gt; -1"),0)</f>
        <v>0</v>
      </c>
      <c r="AH14" s="4">
        <f>IFERROR(_xlfn.MINIFS($I$2:$I$11,$H$2:$H$11,"&lt;&gt; -1"),0)</f>
        <v>9770.2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(COUNTIFS($B$2:$B$11,"&gt;0.0",$B$2:$B$11,"&lt;300.0"))/10</f>
        <v>1</v>
      </c>
      <c r="AL14" s="4">
        <f>(COUNTIFS($D$2:$D$11,"&gt;0.0",$D$2:$D$11,"&lt;300.0"))/10</f>
        <v>1</v>
      </c>
      <c r="AM14" s="4">
        <f>(COUNTIFS($F$2:$F$11,"&gt;0.0",$F$2:$F$11,"&lt;300.0"))/10</f>
        <v>0</v>
      </c>
      <c r="AN14" s="4">
        <f>(COUNTIFS($H$2:$H11,"&gt;0.0",$H$2:$H$11,"&lt;300.0"))/10</f>
        <v>0.3</v>
      </c>
      <c r="AO14" s="4">
        <f>(COUNTIFS($J$2:$J$11,"&gt;0.0",$J$2:$J$11,"&lt;300.0"))/10</f>
        <v>0</v>
      </c>
      <c r="AP14" s="4">
        <f>(COUNTIFS($L$2:$L$11,"&gt;0.0",$L$2:$L$11,"&lt;300.0"))/10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223.47</v>
      </c>
      <c r="C2">
        <v>9707.76</v>
      </c>
      <c r="D2">
        <v>116.92</v>
      </c>
      <c r="E2">
        <v>8836.12</v>
      </c>
      <c r="F2">
        <v>-1</v>
      </c>
      <c r="G2">
        <v>0</v>
      </c>
      <c r="H2">
        <v>-1</v>
      </c>
      <c r="I2">
        <v>940.86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218.09</v>
      </c>
      <c r="C3">
        <v>9498.49</v>
      </c>
      <c r="D3">
        <v>115</v>
      </c>
      <c r="E3">
        <v>9117.69</v>
      </c>
      <c r="F3">
        <v>-1</v>
      </c>
      <c r="G3">
        <v>0</v>
      </c>
      <c r="H3">
        <v>-1</v>
      </c>
      <c r="I3">
        <v>860.74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-1</v>
      </c>
      <c r="C4">
        <v>5006.64</v>
      </c>
      <c r="D4">
        <v>113.54</v>
      </c>
      <c r="E4">
        <v>8723.99</v>
      </c>
      <c r="F4">
        <v>-1</v>
      </c>
      <c r="G4">
        <v>0</v>
      </c>
      <c r="H4">
        <v>-1</v>
      </c>
      <c r="I4">
        <v>656.63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219.18</v>
      </c>
      <c r="C5">
        <v>9729.2</v>
      </c>
      <c r="D5">
        <v>114.04</v>
      </c>
      <c r="E5">
        <v>8932.83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-1</v>
      </c>
      <c r="C6">
        <v>0</v>
      </c>
      <c r="D6">
        <v>112.38</v>
      </c>
      <c r="E6">
        <v>8496.81</v>
      </c>
      <c r="F6">
        <v>-1</v>
      </c>
      <c r="G6">
        <v>0</v>
      </c>
      <c r="H6">
        <v>123.99</v>
      </c>
      <c r="I6">
        <v>9532.01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227.46</v>
      </c>
      <c r="C7">
        <v>9869.18</v>
      </c>
      <c r="D7">
        <v>120</v>
      </c>
      <c r="E7">
        <v>9489.13</v>
      </c>
      <c r="F7">
        <v>-1</v>
      </c>
      <c r="G7">
        <v>0</v>
      </c>
      <c r="H7">
        <v>-1</v>
      </c>
      <c r="I7">
        <v>6360.85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-1</v>
      </c>
      <c r="C8">
        <v>0</v>
      </c>
      <c r="D8">
        <v>117.18</v>
      </c>
      <c r="E8">
        <v>8962.58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-1</v>
      </c>
      <c r="C9">
        <v>0</v>
      </c>
      <c r="D9">
        <v>113.94</v>
      </c>
      <c r="E9">
        <v>8706.63</v>
      </c>
      <c r="F9">
        <v>-1</v>
      </c>
      <c r="G9">
        <v>0</v>
      </c>
      <c r="H9">
        <v>127.76</v>
      </c>
      <c r="I9">
        <v>9640.74</v>
      </c>
      <c r="J9">
        <v>-1</v>
      </c>
      <c r="K9">
        <v>0</v>
      </c>
      <c r="L9">
        <v>-1</v>
      </c>
      <c r="M9">
        <v>480.29</v>
      </c>
    </row>
    <row r="10" spans="1:13">
      <c r="A10" t="s">
        <v>21</v>
      </c>
      <c r="B10">
        <v>218.74</v>
      </c>
      <c r="C10">
        <v>9574.85</v>
      </c>
      <c r="D10">
        <v>114.35</v>
      </c>
      <c r="E10">
        <v>9245.78</v>
      </c>
      <c r="F10">
        <v>-1</v>
      </c>
      <c r="G10">
        <v>0</v>
      </c>
      <c r="H10">
        <v>-1</v>
      </c>
      <c r="I10">
        <v>985.5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-1</v>
      </c>
      <c r="C11">
        <v>3708.92</v>
      </c>
      <c r="D11">
        <v>116.3</v>
      </c>
      <c r="E11">
        <v>9463.79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221.388</v>
      </c>
      <c r="B14" s="4">
        <f>IFERROR(AVERAGEIF($D$2:$D$11,"&lt;&gt; -1"),0)</f>
        <v>115.365</v>
      </c>
      <c r="C14" s="4">
        <f>IFERROR(AVERAGEIF($F$2:$F$11,"&lt;&gt; -1"),0)</f>
        <v>0</v>
      </c>
      <c r="D14" s="4">
        <f>IFERROR(AVERAGEIF($H$2:$H$11,"&lt;&gt; -1"),0)</f>
        <v>125.875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9675.896</v>
      </c>
      <c r="H14" s="4">
        <f>IFERROR(AVERAGEIFS($E$2:$E$11,$D$2:$D$11,"&lt;&gt; -1"),0)</f>
        <v>8997.535</v>
      </c>
      <c r="I14" s="4">
        <f>IFERROR(AVERAGEIFS($G$2:$G$11,$F$2:$F$11,"&lt;&gt; -1"),0)</f>
        <v>0</v>
      </c>
      <c r="J14" s="4">
        <f>IFERROR(AVERAGEIFS($I$2:$I$11,$H$2:$H$11,"&lt;&gt; -1"),0)</f>
        <v>9586.375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227.46</v>
      </c>
      <c r="N14" s="4">
        <f>IFERROR(_xlfn.MAXIFS($D$2:$D$11,$D$2:$D$11,"&lt;&gt;-1"),0)</f>
        <v>120</v>
      </c>
      <c r="O14" s="4">
        <f>IFERROR(_xlfn.MAXIFS($F$2:$F$11,$F$2:$F$11,"&lt;&gt; -1"),0)</f>
        <v>0</v>
      </c>
      <c r="P14" s="4">
        <f>IFERROR(_xlfn.MAXIFS($H$2:$H$11,$H$2:$H$11,"&lt;&gt; -1"),0)</f>
        <v>127.76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218.09</v>
      </c>
      <c r="T14" s="4">
        <f>IFERROR(_xlfn.MINIFS($D$2:$D$11,$D$2:$D$11,"&lt;&gt;-1"),0)</f>
        <v>112.38</v>
      </c>
      <c r="U14" s="4">
        <f>IFERROR(_xlfn.MINIFS($F$2:$F$11,$F$2:$F$11,"&lt;&gt; -1"),0)</f>
        <v>0</v>
      </c>
      <c r="V14" s="4">
        <f>IFERROR(_xlfn.MINIFS($H$2:$H$11,$H$2:$H$11,"&lt;&gt; -1"),0)</f>
        <v>123.99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9869.18</v>
      </c>
      <c r="Z14" s="4">
        <f>IFERROR(_xlfn.MAXIFS($E$2:$E$11,$D$2:$D$11,"&lt;&gt; -1"),0)</f>
        <v>9489.13</v>
      </c>
      <c r="AA14" s="4">
        <f>IFERROR(_xlfn.MAXIFS($G$2:$G$11,$F$2:$F$11,"&lt;&gt; -1"),0)</f>
        <v>0</v>
      </c>
      <c r="AB14" s="4">
        <f>IFERROR(_xlfn.MAXIFS($I$2:$I$11,$H$2:$H$11,"&lt;&gt; -1"),0)</f>
        <v>9640.74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9498.49</v>
      </c>
      <c r="AF14" s="4">
        <f>IFERROR(_xlfn.MINIFS($E$2:$E$11,$D$2:$D$11,"&lt;&gt; -1"),0)</f>
        <v>8496.81</v>
      </c>
      <c r="AG14" s="4">
        <f>IFERROR(_xlfn.MINIFS($G$2:$G$11,$F$2:$F$11,"&lt;&gt; -1"),0)</f>
        <v>0</v>
      </c>
      <c r="AH14" s="4">
        <f>IFERROR(_xlfn.MINIFS($I$2:$I$11,$H$2:$H$11,"&lt;&gt; -1"),0)</f>
        <v>9532.01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(COUNTIFS($B$2:$B$11,"&gt;0.0",$B$2:$B$11,"&lt;300.0"))/10</f>
        <v>0.5</v>
      </c>
      <c r="AL14" s="4">
        <f>(COUNTIFS($D$2:$D$11,"&gt;0.0",$D$2:$D$11,"&lt;300.0"))/10</f>
        <v>1</v>
      </c>
      <c r="AM14" s="4">
        <f>(COUNTIFS($F$2:$F$11,"&gt;0.0",$F$2:$F$11,"&lt;300.0"))/10</f>
        <v>0</v>
      </c>
      <c r="AN14" s="4">
        <f>(COUNTIFS($H$2:$H11,"&gt;0.0",$H$2:$H$11,"&lt;300.0"))/10</f>
        <v>0.2</v>
      </c>
      <c r="AO14" s="4">
        <f>(COUNTIFS($J$2:$J$11,"&gt;0.0",$J$2:$J$11,"&lt;300.0"))/10</f>
        <v>0</v>
      </c>
      <c r="AP14" s="4">
        <f>(COUNTIFS($L$2:$L$11,"&gt;0.0",$L$2:$L$11,"&lt;300.0"))/10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-1</v>
      </c>
      <c r="C2">
        <v>0</v>
      </c>
      <c r="D2">
        <v>121.39</v>
      </c>
      <c r="E2">
        <v>8809.07</v>
      </c>
      <c r="F2">
        <v>-1</v>
      </c>
      <c r="G2">
        <v>0</v>
      </c>
      <c r="H2">
        <v>130.07</v>
      </c>
      <c r="I2">
        <v>9861.75</v>
      </c>
      <c r="J2">
        <v>-1</v>
      </c>
      <c r="K2">
        <v>0</v>
      </c>
      <c r="L2">
        <v>-1</v>
      </c>
      <c r="M2">
        <v>344.69</v>
      </c>
    </row>
    <row r="3" spans="1:13">
      <c r="A3" t="s">
        <v>14</v>
      </c>
      <c r="B3">
        <v>216.96</v>
      </c>
      <c r="C3">
        <v>9379.02</v>
      </c>
      <c r="D3">
        <v>121.49</v>
      </c>
      <c r="E3">
        <v>9053.59</v>
      </c>
      <c r="F3">
        <v>-1</v>
      </c>
      <c r="G3">
        <v>0</v>
      </c>
      <c r="H3">
        <v>128.84</v>
      </c>
      <c r="I3">
        <v>9862.35</v>
      </c>
      <c r="J3">
        <v>-1</v>
      </c>
      <c r="K3">
        <v>0</v>
      </c>
      <c r="L3">
        <v>-1</v>
      </c>
      <c r="M3">
        <v>7267.05</v>
      </c>
    </row>
    <row r="4" spans="1:13">
      <c r="A4" t="s">
        <v>15</v>
      </c>
      <c r="B4">
        <v>-1</v>
      </c>
      <c r="C4">
        <v>6365.48</v>
      </c>
      <c r="D4">
        <v>121.3</v>
      </c>
      <c r="E4">
        <v>9564.72</v>
      </c>
      <c r="F4">
        <v>-1</v>
      </c>
      <c r="G4">
        <v>0</v>
      </c>
      <c r="H4">
        <v>-1</v>
      </c>
      <c r="I4">
        <v>974.39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-1</v>
      </c>
      <c r="C5">
        <v>2191.8</v>
      </c>
      <c r="D5">
        <v>120.14</v>
      </c>
      <c r="E5">
        <v>8995.65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-1</v>
      </c>
      <c r="C6">
        <v>0</v>
      </c>
      <c r="D6">
        <v>120.04</v>
      </c>
      <c r="E6">
        <v>8931.37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219.17</v>
      </c>
      <c r="C7">
        <v>10130.33</v>
      </c>
      <c r="D7">
        <v>125.46</v>
      </c>
      <c r="E7">
        <v>9456.66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216.48</v>
      </c>
      <c r="C8">
        <v>9438.13</v>
      </c>
      <c r="D8">
        <v>124.39</v>
      </c>
      <c r="E8">
        <v>9144.44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213.17</v>
      </c>
      <c r="C9">
        <v>9244.83</v>
      </c>
      <c r="D9">
        <v>119.2</v>
      </c>
      <c r="E9">
        <v>8520.16</v>
      </c>
      <c r="F9">
        <v>-1</v>
      </c>
      <c r="G9">
        <v>0</v>
      </c>
      <c r="H9">
        <v>121.18</v>
      </c>
      <c r="I9">
        <v>9737</v>
      </c>
      <c r="J9">
        <v>-1</v>
      </c>
      <c r="K9">
        <v>0</v>
      </c>
      <c r="L9">
        <v>119.45</v>
      </c>
      <c r="M9">
        <v>8559.19</v>
      </c>
    </row>
    <row r="10" spans="1:13">
      <c r="A10" t="s">
        <v>21</v>
      </c>
      <c r="B10">
        <v>216.13</v>
      </c>
      <c r="C10">
        <v>9537.02</v>
      </c>
      <c r="D10">
        <v>121.55</v>
      </c>
      <c r="E10">
        <v>9192.44</v>
      </c>
      <c r="F10">
        <v>-1</v>
      </c>
      <c r="G10">
        <v>0</v>
      </c>
      <c r="H10">
        <v>-1</v>
      </c>
      <c r="I10">
        <v>8399.59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-1</v>
      </c>
      <c r="C11">
        <v>0</v>
      </c>
      <c r="D11">
        <v>121.64</v>
      </c>
      <c r="E11">
        <v>9031.22</v>
      </c>
      <c r="F11">
        <v>-1</v>
      </c>
      <c r="G11">
        <v>0</v>
      </c>
      <c r="H11">
        <v>141.14</v>
      </c>
      <c r="I11">
        <v>9960.32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216.382</v>
      </c>
      <c r="B14" s="4">
        <f>IFERROR(AVERAGEIF($D$2:$D$11,"&lt;&gt; -1"),0)</f>
        <v>121.66</v>
      </c>
      <c r="C14" s="4">
        <f>IFERROR(AVERAGEIF($F$2:$F$11,"&lt;&gt; -1"),0)</f>
        <v>0</v>
      </c>
      <c r="D14" s="4">
        <f>IFERROR(AVERAGEIF($H$2:$H$11,"&lt;&gt; -1"),0)</f>
        <v>130.3075</v>
      </c>
      <c r="E14" s="4">
        <f>IFERROR(AVERAGEIF($J$2:$J$11,"&lt;&gt; -1"),0)</f>
        <v>0</v>
      </c>
      <c r="F14" s="4">
        <f>IFERROR(AVERAGEIF($L$2:$L$11,"&lt;&gt; -1"),0)</f>
        <v>119.45</v>
      </c>
      <c r="G14" s="4">
        <f>IFERROR(AVERAGEIFS($C$2:$C$11,$B$2:$B$11,"&lt;&gt; -1"),0)</f>
        <v>9545.866</v>
      </c>
      <c r="H14" s="4">
        <f>IFERROR(AVERAGEIFS($E$2:$E$11,$D$2:$D$11,"&lt;&gt; -1"),0)</f>
        <v>9069.932</v>
      </c>
      <c r="I14" s="4">
        <f>IFERROR(AVERAGEIFS($G$2:$G$11,$F$2:$F$11,"&lt;&gt; -1"),0)</f>
        <v>0</v>
      </c>
      <c r="J14" s="4">
        <f>IFERROR(AVERAGEIFS($I$2:$I$11,$H$2:$H$11,"&lt;&gt; -1"),0)</f>
        <v>9855.355</v>
      </c>
      <c r="K14" s="4">
        <f>IFERROR(AVERAGEIFS($K$2:$K$11,$J$2:$J$11,"&lt;&gt; -1"),0)</f>
        <v>0</v>
      </c>
      <c r="L14" s="4">
        <f>IFERROR(AVERAGEIFS($M$2:$M$11,$L$2:$L$11,"&lt;&gt; -1"),0)</f>
        <v>8559.19</v>
      </c>
      <c r="M14" s="4">
        <f>IFERROR(_xlfn.MAXIFS($B$2:$B$11,$B$2:$B$11,"&lt;&gt; -1"),0)</f>
        <v>219.17</v>
      </c>
      <c r="N14" s="4">
        <f>IFERROR(_xlfn.MAXIFS($D$2:$D$11,$D$2:$D$11,"&lt;&gt;-1"),0)</f>
        <v>125.46</v>
      </c>
      <c r="O14" s="4">
        <f>IFERROR(_xlfn.MAXIFS($F$2:$F$11,$F$2:$F$11,"&lt;&gt; -1"),0)</f>
        <v>0</v>
      </c>
      <c r="P14" s="4">
        <f>IFERROR(_xlfn.MAXIFS($H$2:$H$11,$H$2:$H$11,"&lt;&gt; -1"),0)</f>
        <v>141.14</v>
      </c>
      <c r="Q14" s="4">
        <f>IFERROR(_xlfn.MAXIFS($J$2:$J$11,$J$2:$J$11,"&lt;&gt; -1"),0)</f>
        <v>0</v>
      </c>
      <c r="R14" s="4">
        <f>IFERROR(_xlfn.MAXIFS($L$2:$L$11,$L$2:$L$11,"&lt;&gt; -1"),0)</f>
        <v>119.45</v>
      </c>
      <c r="S14" s="4">
        <f>IFERROR(_xlfn.MINIFS($B$2:$B$11,$B$2:$B$11,"&lt;&gt; -1"),0)</f>
        <v>213.17</v>
      </c>
      <c r="T14" s="4">
        <f>IFERROR(_xlfn.MINIFS($D$2:$D$11,$D$2:$D$11,"&lt;&gt;-1"),0)</f>
        <v>119.2</v>
      </c>
      <c r="U14" s="4">
        <f>IFERROR(_xlfn.MINIFS($F$2:$F$11,$F$2:$F$11,"&lt;&gt; -1"),0)</f>
        <v>0</v>
      </c>
      <c r="V14" s="4">
        <f>IFERROR(_xlfn.MINIFS($H$2:$H$11,$H$2:$H$11,"&lt;&gt; -1"),0)</f>
        <v>121.18</v>
      </c>
      <c r="W14" s="4">
        <f>IFERROR(_xlfn.MINIFS($J$2:$J$11,$J$2:$J$11,"&lt;&gt; -1"),0)</f>
        <v>0</v>
      </c>
      <c r="X14" s="4">
        <f>IFERROR(_xlfn.MINIFS($L$2:$L$11,$L$2:$L$11,"&lt;&gt; -1"),0)</f>
        <v>119.45</v>
      </c>
      <c r="Y14" s="4">
        <f>IFERROR(_xlfn.MAXIFS($C$2:$C$11,$B$2:$B$11,"&lt;&gt; -1"),0)</f>
        <v>10130.33</v>
      </c>
      <c r="Z14" s="4">
        <f>IFERROR(_xlfn.MAXIFS($E$2:$E$11,$D$2:$D$11,"&lt;&gt; -1"),0)</f>
        <v>9564.72</v>
      </c>
      <c r="AA14" s="4">
        <f>IFERROR(_xlfn.MAXIFS($G$2:$G$11,$F$2:$F$11,"&lt;&gt; -1"),0)</f>
        <v>0</v>
      </c>
      <c r="AB14" s="4">
        <f>IFERROR(_xlfn.MAXIFS($I$2:$I$11,$H$2:$H$11,"&lt;&gt; -1"),0)</f>
        <v>9960.32</v>
      </c>
      <c r="AC14" s="4">
        <f>IFERROR(_xlfn.MAXIFS($K$2:$K$11,$J$2:$J$11,"&lt;&gt; -1"),0)</f>
        <v>0</v>
      </c>
      <c r="AD14" s="4">
        <f>IFERROR(_xlfn.MAXIFS($M$2:$M$11,$L$2:$L$11,"&lt;&gt; -1"),0)</f>
        <v>8559.19</v>
      </c>
      <c r="AE14" s="4">
        <f>IFERROR(_xlfn.MINIFS($C$2:$C$11,$B$2:$B$11,"&lt;&gt; -1"),0)</f>
        <v>9244.83</v>
      </c>
      <c r="AF14" s="4">
        <f>IFERROR(_xlfn.MINIFS($E$2:$E$11,$D$2:$D$11,"&lt;&gt; -1"),0)</f>
        <v>8520.16</v>
      </c>
      <c r="AG14" s="4">
        <f>IFERROR(_xlfn.MINIFS($G$2:$G$11,$F$2:$F$11,"&lt;&gt; -1"),0)</f>
        <v>0</v>
      </c>
      <c r="AH14" s="4">
        <f>IFERROR(_xlfn.MINIFS($I$2:$I$11,$H$2:$H$11,"&lt;&gt; -1"),0)</f>
        <v>9737</v>
      </c>
      <c r="AI14" s="4">
        <f>IFERROR(_xlfn.MINIFS($K$2:$K$11,$J$2:$J$11,"&lt;&gt; -1"),0)</f>
        <v>0</v>
      </c>
      <c r="AJ14" s="4">
        <f>IFERROR(_xlfn.MINIFS($M$2:$M$11,$L$2:$L$11,"&lt;&gt; -1"),0)</f>
        <v>8559.19</v>
      </c>
      <c r="AK14" s="4">
        <f>(COUNTIFS($B$2:$B$11,"&gt;0.0",$B$2:$B$11,"&lt;300.0"))/10</f>
        <v>0.5</v>
      </c>
      <c r="AL14" s="4">
        <f>(COUNTIFS($D$2:$D$11,"&gt;0.0",$D$2:$D$11,"&lt;300.0"))/10</f>
        <v>1</v>
      </c>
      <c r="AM14" s="4">
        <f>(COUNTIFS($F$2:$F$11,"&gt;0.0",$F$2:$F$11,"&lt;300.0"))/10</f>
        <v>0</v>
      </c>
      <c r="AN14" s="4">
        <f>(COUNTIFS($H$2:$H11,"&gt;0.0",$H$2:$H$11,"&lt;300.0"))/10</f>
        <v>0.4</v>
      </c>
      <c r="AO14" s="4">
        <f>(COUNTIFS($J$2:$J$11,"&gt;0.0",$J$2:$J$11,"&lt;300.0"))/10</f>
        <v>0</v>
      </c>
      <c r="AP14" s="4">
        <f>(COUNTIFS($L$2:$L$11,"&gt;0.0",$L$2:$L$11,"&lt;300.0"))/10</f>
        <v>0.1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150.91</v>
      </c>
      <c r="C2">
        <v>8613.5</v>
      </c>
      <c r="D2">
        <v>131.31</v>
      </c>
      <c r="E2">
        <v>9571.96</v>
      </c>
      <c r="F2">
        <v>158.79</v>
      </c>
      <c r="G2">
        <v>9782.71</v>
      </c>
      <c r="H2">
        <v>-1</v>
      </c>
      <c r="I2">
        <v>0</v>
      </c>
      <c r="J2">
        <v>154.15</v>
      </c>
      <c r="K2">
        <v>8569.81</v>
      </c>
      <c r="L2">
        <v>-1</v>
      </c>
      <c r="M2">
        <v>0</v>
      </c>
    </row>
    <row r="3" spans="1:13">
      <c r="A3" t="s">
        <v>14</v>
      </c>
      <c r="B3">
        <v>177.64</v>
      </c>
      <c r="C3">
        <v>8992.35</v>
      </c>
      <c r="D3">
        <v>128.76</v>
      </c>
      <c r="E3">
        <v>9689.97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148.38</v>
      </c>
      <c r="C4">
        <v>8561.02</v>
      </c>
      <c r="D4">
        <v>127.98</v>
      </c>
      <c r="E4">
        <v>9355.82</v>
      </c>
      <c r="F4">
        <v>160.12</v>
      </c>
      <c r="G4">
        <v>9708.14</v>
      </c>
      <c r="H4">
        <v>-1</v>
      </c>
      <c r="I4">
        <v>0</v>
      </c>
      <c r="J4">
        <v>-1</v>
      </c>
      <c r="K4">
        <v>159.67</v>
      </c>
      <c r="L4">
        <v>-1</v>
      </c>
      <c r="M4">
        <v>0</v>
      </c>
    </row>
    <row r="5" spans="1:13">
      <c r="A5" t="s">
        <v>16</v>
      </c>
      <c r="B5">
        <v>171.56</v>
      </c>
      <c r="C5">
        <v>9596.56</v>
      </c>
      <c r="D5">
        <v>126.92</v>
      </c>
      <c r="E5">
        <v>9231.45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140.21</v>
      </c>
      <c r="C6">
        <v>8338.65</v>
      </c>
      <c r="D6">
        <v>123.4</v>
      </c>
      <c r="E6">
        <v>8767.44</v>
      </c>
      <c r="F6">
        <v>141.2</v>
      </c>
      <c r="G6">
        <v>9578.26</v>
      </c>
      <c r="H6">
        <v>-1</v>
      </c>
      <c r="I6">
        <v>601.82</v>
      </c>
      <c r="J6">
        <v>140.23</v>
      </c>
      <c r="K6">
        <v>8355.04</v>
      </c>
      <c r="L6">
        <v>-1</v>
      </c>
      <c r="M6">
        <v>0</v>
      </c>
    </row>
    <row r="7" spans="1:13">
      <c r="A7" t="s">
        <v>18</v>
      </c>
      <c r="B7">
        <v>148.58</v>
      </c>
      <c r="C7">
        <v>8775.31</v>
      </c>
      <c r="D7">
        <v>130.86</v>
      </c>
      <c r="E7">
        <v>9214.23</v>
      </c>
      <c r="F7">
        <v>150.9</v>
      </c>
      <c r="G7">
        <v>10025.76</v>
      </c>
      <c r="H7">
        <v>151.81</v>
      </c>
      <c r="I7">
        <v>10059.62</v>
      </c>
      <c r="J7">
        <v>149.46</v>
      </c>
      <c r="K7">
        <v>8771.31</v>
      </c>
      <c r="L7">
        <v>-1</v>
      </c>
      <c r="M7">
        <v>0</v>
      </c>
    </row>
    <row r="8" spans="1:13">
      <c r="A8" t="s">
        <v>19</v>
      </c>
      <c r="B8">
        <v>145.31</v>
      </c>
      <c r="C8">
        <v>8715.45</v>
      </c>
      <c r="D8">
        <v>129.46</v>
      </c>
      <c r="E8">
        <v>9282.17</v>
      </c>
      <c r="F8">
        <v>146.37</v>
      </c>
      <c r="G8">
        <v>9988.64</v>
      </c>
      <c r="H8">
        <v>-1</v>
      </c>
      <c r="I8">
        <v>2416.98</v>
      </c>
      <c r="J8">
        <v>145.37</v>
      </c>
      <c r="K8">
        <v>8755.78</v>
      </c>
      <c r="L8">
        <v>-1</v>
      </c>
      <c r="M8">
        <v>0</v>
      </c>
    </row>
    <row r="9" spans="1:13">
      <c r="A9" t="s">
        <v>20</v>
      </c>
      <c r="B9">
        <v>175.68</v>
      </c>
      <c r="C9">
        <v>8782.4</v>
      </c>
      <c r="D9">
        <v>125.6</v>
      </c>
      <c r="E9">
        <v>9035.64</v>
      </c>
      <c r="F9">
        <v>-1</v>
      </c>
      <c r="G9">
        <v>1728.92</v>
      </c>
      <c r="H9">
        <v>-1</v>
      </c>
      <c r="I9">
        <v>0</v>
      </c>
      <c r="J9">
        <v>-1</v>
      </c>
      <c r="K9">
        <v>4034.88</v>
      </c>
      <c r="L9">
        <v>-1</v>
      </c>
      <c r="M9">
        <v>0</v>
      </c>
    </row>
    <row r="10" spans="1:13">
      <c r="A10" t="s">
        <v>21</v>
      </c>
      <c r="B10">
        <v>177.33</v>
      </c>
      <c r="C10">
        <v>9394.4</v>
      </c>
      <c r="D10">
        <v>127.19</v>
      </c>
      <c r="E10">
        <v>9503.86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173.15</v>
      </c>
      <c r="C11">
        <v>8909.89</v>
      </c>
      <c r="D11">
        <v>127.14</v>
      </c>
      <c r="E11">
        <v>9238.16</v>
      </c>
      <c r="F11">
        <v>-1</v>
      </c>
      <c r="G11">
        <v>3218.29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160.875</v>
      </c>
      <c r="B14" s="4">
        <f>IFERROR(AVERAGEIF($D$2:$D$11,"&lt;&gt; -1"),0)</f>
        <v>127.862</v>
      </c>
      <c r="C14" s="4">
        <f>IFERROR(AVERAGEIF($F$2:$F$11,"&lt;&gt; -1"),0)</f>
        <v>151.476</v>
      </c>
      <c r="D14" s="4">
        <f>IFERROR(AVERAGEIF($H$2:$H$11,"&lt;&gt; -1"),0)</f>
        <v>151.81</v>
      </c>
      <c r="E14" s="4">
        <f>IFERROR(AVERAGEIF($J$2:$J$11,"&lt;&gt; -1"),0)</f>
        <v>147.3025</v>
      </c>
      <c r="F14" s="4">
        <f>IFERROR(AVERAGEIF($L$2:$L$11,"&lt;&gt; -1"),0)</f>
        <v>0</v>
      </c>
      <c r="G14" s="4">
        <f>IFERROR(AVERAGEIFS($C$2:$C$11,$B$2:$B$11,"&lt;&gt; -1"),0)</f>
        <v>8867.953</v>
      </c>
      <c r="H14" s="4">
        <f>IFERROR(AVERAGEIFS($E$2:$E$11,$D$2:$D$11,"&lt;&gt; -1"),0)</f>
        <v>9289.07</v>
      </c>
      <c r="I14" s="4">
        <f>IFERROR(AVERAGEIFS($G$2:$G$11,$F$2:$F$11,"&lt;&gt; -1"),0)</f>
        <v>9816.702</v>
      </c>
      <c r="J14" s="4">
        <f>IFERROR(AVERAGEIFS($I$2:$I$11,$H$2:$H$11,"&lt;&gt; -1"),0)</f>
        <v>10059.62</v>
      </c>
      <c r="K14" s="4">
        <f>IFERROR(AVERAGEIFS($K$2:$K$11,$J$2:$J$11,"&lt;&gt; -1"),0)</f>
        <v>8612.985</v>
      </c>
      <c r="L14" s="4">
        <f>IFERROR(AVERAGEIFS($M$2:$M$11,$L$2:$L$11,"&lt;&gt; -1"),0)</f>
        <v>0</v>
      </c>
      <c r="M14" s="4">
        <f>IFERROR(_xlfn.MAXIFS($B$2:$B$11,$B$2:$B$11,"&lt;&gt; -1"),0)</f>
        <v>177.64</v>
      </c>
      <c r="N14" s="4">
        <f>IFERROR(_xlfn.MAXIFS($D$2:$D$11,$D$2:$D$11,"&lt;&gt;-1"),0)</f>
        <v>131.31</v>
      </c>
      <c r="O14" s="4">
        <f>IFERROR(_xlfn.MAXIFS($F$2:$F$11,$F$2:$F$11,"&lt;&gt; -1"),0)</f>
        <v>160.12</v>
      </c>
      <c r="P14" s="4">
        <f>IFERROR(_xlfn.MAXIFS($H$2:$H$11,$H$2:$H$11,"&lt;&gt; -1"),0)</f>
        <v>151.81</v>
      </c>
      <c r="Q14" s="4">
        <f>IFERROR(_xlfn.MAXIFS($J$2:$J$11,$J$2:$J$11,"&lt;&gt; -1"),0)</f>
        <v>154.15</v>
      </c>
      <c r="R14" s="4">
        <f>IFERROR(_xlfn.MAXIFS($L$2:$L$11,$L$2:$L$11,"&lt;&gt; -1"),0)</f>
        <v>0</v>
      </c>
      <c r="S14" s="4">
        <f>IFERROR(_xlfn.MINIFS($B$2:$B$11,$B$2:$B$11,"&lt;&gt; -1"),0)</f>
        <v>140.21</v>
      </c>
      <c r="T14" s="4">
        <f>IFERROR(_xlfn.MINIFS($D$2:$D$11,$D$2:$D$11,"&lt;&gt;-1"),0)</f>
        <v>123.4</v>
      </c>
      <c r="U14" s="4">
        <f>IFERROR(_xlfn.MINIFS($F$2:$F$11,$F$2:$F$11,"&lt;&gt; -1"),0)</f>
        <v>141.2</v>
      </c>
      <c r="V14" s="4">
        <f>IFERROR(_xlfn.MINIFS($H$2:$H$11,$H$2:$H$11,"&lt;&gt; -1"),0)</f>
        <v>151.81</v>
      </c>
      <c r="W14" s="4">
        <f>IFERROR(_xlfn.MINIFS($J$2:$J$11,$J$2:$J$11,"&lt;&gt; -1"),0)</f>
        <v>140.23</v>
      </c>
      <c r="X14" s="4">
        <f>IFERROR(_xlfn.MINIFS($L$2:$L$11,$L$2:$L$11,"&lt;&gt; -1"),0)</f>
        <v>0</v>
      </c>
      <c r="Y14" s="4">
        <f>IFERROR(_xlfn.MAXIFS($C$2:$C$11,$B$2:$B$11,"&lt;&gt; -1"),0)</f>
        <v>9596.56</v>
      </c>
      <c r="Z14" s="4">
        <f>IFERROR(_xlfn.MAXIFS($E$2:$E$11,$D$2:$D$11,"&lt;&gt; -1"),0)</f>
        <v>9689.97</v>
      </c>
      <c r="AA14" s="4">
        <f>IFERROR(_xlfn.MAXIFS($G$2:$G$11,$F$2:$F$11,"&lt;&gt; -1"),0)</f>
        <v>10025.76</v>
      </c>
      <c r="AB14" s="4">
        <f>IFERROR(_xlfn.MAXIFS($I$2:$I$11,$H$2:$H$11,"&lt;&gt; -1"),0)</f>
        <v>10059.62</v>
      </c>
      <c r="AC14" s="4">
        <f>IFERROR(_xlfn.MAXIFS($K$2:$K$11,$J$2:$J$11,"&lt;&gt; -1"),0)</f>
        <v>8771.31</v>
      </c>
      <c r="AD14" s="4">
        <f>IFERROR(_xlfn.MAXIFS($M$2:$M$11,$L$2:$L$11,"&lt;&gt; -1"),0)</f>
        <v>0</v>
      </c>
      <c r="AE14" s="4">
        <f>IFERROR(_xlfn.MINIFS($C$2:$C$11,$B$2:$B$11,"&lt;&gt; -1"),0)</f>
        <v>8338.65</v>
      </c>
      <c r="AF14" s="4">
        <f>IFERROR(_xlfn.MINIFS($E$2:$E$11,$D$2:$D$11,"&lt;&gt; -1"),0)</f>
        <v>8767.44</v>
      </c>
      <c r="AG14" s="4">
        <f>IFERROR(_xlfn.MINIFS($G$2:$G$11,$F$2:$F$11,"&lt;&gt; -1"),0)</f>
        <v>9578.26</v>
      </c>
      <c r="AH14" s="4">
        <f>IFERROR(_xlfn.MINIFS($I$2:$I$11,$H$2:$H$11,"&lt;&gt; -1"),0)</f>
        <v>10059.62</v>
      </c>
      <c r="AI14" s="4">
        <f>IFERROR(_xlfn.MINIFS($K$2:$K$11,$J$2:$J$11,"&lt;&gt; -1"),0)</f>
        <v>8355.04</v>
      </c>
      <c r="AJ14" s="4">
        <f>IFERROR(_xlfn.MINIFS($M$2:$M$11,$L$2:$L$11,"&lt;&gt; -1"),0)</f>
        <v>0</v>
      </c>
      <c r="AK14" s="4">
        <f>(COUNTIFS($B$2:$B$11,"&gt;0.0",$B$2:$B$11,"&lt;300.0"))/10</f>
        <v>1</v>
      </c>
      <c r="AL14" s="4">
        <f>(COUNTIFS($D$2:$D$11,"&gt;0.0",$D$2:$D$11,"&lt;300.0"))/10</f>
        <v>1</v>
      </c>
      <c r="AM14" s="4">
        <f>(COUNTIFS($F$2:$F$11,"&gt;0.0",$F$2:$F$11,"&lt;300.0"))/10</f>
        <v>0.5</v>
      </c>
      <c r="AN14" s="4">
        <f>(COUNTIFS($H$2:$H11,"&gt;0.0",$H$2:$H$11,"&lt;300.0"))/10</f>
        <v>0.1</v>
      </c>
      <c r="AO14" s="4">
        <f>(COUNTIFS($J$2:$J$11,"&gt;0.0",$J$2:$J$11,"&lt;300.0"))/10</f>
        <v>0.4</v>
      </c>
      <c r="AP14" s="4">
        <f>(COUNTIFS($L$2:$L$11,"&gt;0.0",$L$2:$L$11,"&lt;300.0"))/10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C10" sqref="C10"/>
    </sheetView>
  </sheetViews>
  <sheetFormatPr defaultColWidth="8.72727272727273" defaultRowHeight="14" outlineLevelRow="6"/>
  <sheetData>
    <row r="1" spans="1:4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</row>
    <row r="2" spans="1:42">
      <c r="A2">
        <v>202.025</v>
      </c>
      <c r="B2">
        <v>91.819</v>
      </c>
      <c r="C2">
        <v>204.528888888889</v>
      </c>
      <c r="D2">
        <v>99.845</v>
      </c>
      <c r="E2">
        <v>204.387777777778</v>
      </c>
      <c r="F2">
        <v>99.6933333333333</v>
      </c>
      <c r="G2">
        <v>8589.679</v>
      </c>
      <c r="H2">
        <v>8658.968</v>
      </c>
      <c r="I2">
        <v>9804.87</v>
      </c>
      <c r="J2">
        <v>9725.9875</v>
      </c>
      <c r="K2">
        <v>8647.04</v>
      </c>
      <c r="L2">
        <v>8552.15333333333</v>
      </c>
      <c r="M2">
        <v>209.3</v>
      </c>
      <c r="N2">
        <v>94.36</v>
      </c>
      <c r="O2">
        <v>216.61</v>
      </c>
      <c r="P2">
        <v>106.34</v>
      </c>
      <c r="Q2">
        <v>220.43</v>
      </c>
      <c r="R2">
        <v>105.76</v>
      </c>
      <c r="S2">
        <v>196.99</v>
      </c>
      <c r="T2">
        <v>89.41</v>
      </c>
      <c r="U2">
        <v>198.19</v>
      </c>
      <c r="V2">
        <v>97.41</v>
      </c>
      <c r="W2">
        <v>197.13</v>
      </c>
      <c r="X2">
        <v>95.99</v>
      </c>
      <c r="Y2">
        <v>8850.77</v>
      </c>
      <c r="Z2">
        <v>8862.17</v>
      </c>
      <c r="AA2">
        <v>10135.44</v>
      </c>
      <c r="AB2">
        <v>10008.1</v>
      </c>
      <c r="AC2">
        <v>8896.74</v>
      </c>
      <c r="AD2">
        <v>8815.88</v>
      </c>
      <c r="AE2">
        <v>8137.26</v>
      </c>
      <c r="AF2">
        <v>8440.7</v>
      </c>
      <c r="AG2">
        <v>9349.25</v>
      </c>
      <c r="AH2">
        <v>9459.51</v>
      </c>
      <c r="AI2">
        <v>8182.53</v>
      </c>
      <c r="AJ2">
        <v>8377.28</v>
      </c>
      <c r="AK2">
        <v>1</v>
      </c>
      <c r="AL2">
        <v>1</v>
      </c>
      <c r="AM2">
        <v>0.9</v>
      </c>
      <c r="AN2">
        <v>0.8</v>
      </c>
      <c r="AO2">
        <v>0.9</v>
      </c>
      <c r="AP2">
        <v>0.3</v>
      </c>
    </row>
    <row r="3" spans="1:42">
      <c r="A3">
        <v>211.016</v>
      </c>
      <c r="B3">
        <v>101.672</v>
      </c>
      <c r="C3">
        <v>215.402222222222</v>
      </c>
      <c r="D3">
        <v>112.395</v>
      </c>
      <c r="E3">
        <v>217.118333333333</v>
      </c>
      <c r="F3">
        <v>0</v>
      </c>
      <c r="G3">
        <v>8647.32</v>
      </c>
      <c r="H3">
        <v>8986.723</v>
      </c>
      <c r="I3">
        <v>9849.64222222222</v>
      </c>
      <c r="J3">
        <v>9798.605</v>
      </c>
      <c r="K3">
        <v>8688.24333333333</v>
      </c>
      <c r="L3">
        <v>0</v>
      </c>
      <c r="M3">
        <v>216.77</v>
      </c>
      <c r="N3">
        <v>103.86</v>
      </c>
      <c r="O3">
        <v>225.75</v>
      </c>
      <c r="P3">
        <v>113.9</v>
      </c>
      <c r="Q3">
        <v>224.14</v>
      </c>
      <c r="R3">
        <v>0</v>
      </c>
      <c r="S3">
        <v>205.01</v>
      </c>
      <c r="T3">
        <v>99.29</v>
      </c>
      <c r="U3">
        <v>206.28</v>
      </c>
      <c r="V3">
        <v>110.89</v>
      </c>
      <c r="W3">
        <v>206.16</v>
      </c>
      <c r="X3">
        <v>0</v>
      </c>
      <c r="Y3">
        <v>8893.85</v>
      </c>
      <c r="Z3">
        <v>9263.1</v>
      </c>
      <c r="AA3">
        <v>10159.93</v>
      </c>
      <c r="AB3">
        <v>9980.79</v>
      </c>
      <c r="AC3">
        <v>8928.19</v>
      </c>
      <c r="AD3">
        <v>0</v>
      </c>
      <c r="AE3">
        <v>8424.38</v>
      </c>
      <c r="AF3">
        <v>8703.27</v>
      </c>
      <c r="AG3">
        <v>9615.05</v>
      </c>
      <c r="AH3">
        <v>9616.42</v>
      </c>
      <c r="AI3">
        <v>8461.01</v>
      </c>
      <c r="AJ3">
        <v>0</v>
      </c>
      <c r="AK3">
        <v>1</v>
      </c>
      <c r="AL3">
        <v>1</v>
      </c>
      <c r="AM3">
        <v>0.9</v>
      </c>
      <c r="AN3">
        <v>0.2</v>
      </c>
      <c r="AO3">
        <v>0.6</v>
      </c>
      <c r="AP3">
        <v>0</v>
      </c>
    </row>
    <row r="4" spans="1:42">
      <c r="A4">
        <v>222.058</v>
      </c>
      <c r="B4">
        <v>109.474</v>
      </c>
      <c r="C4">
        <v>0</v>
      </c>
      <c r="D4">
        <v>120.52</v>
      </c>
      <c r="E4">
        <v>0</v>
      </c>
      <c r="F4">
        <v>0</v>
      </c>
      <c r="G4">
        <v>9323.648</v>
      </c>
      <c r="H4">
        <v>8851.128</v>
      </c>
      <c r="I4">
        <v>0</v>
      </c>
      <c r="J4">
        <v>9900.05</v>
      </c>
      <c r="K4">
        <v>0</v>
      </c>
      <c r="L4">
        <v>0</v>
      </c>
      <c r="M4">
        <v>227.04</v>
      </c>
      <c r="N4">
        <v>113.01</v>
      </c>
      <c r="O4">
        <v>0</v>
      </c>
      <c r="P4">
        <v>127.66</v>
      </c>
      <c r="Q4">
        <v>0</v>
      </c>
      <c r="R4">
        <v>0</v>
      </c>
      <c r="S4">
        <v>213.51</v>
      </c>
      <c r="T4">
        <v>106.44</v>
      </c>
      <c r="U4">
        <v>0</v>
      </c>
      <c r="V4">
        <v>116.31</v>
      </c>
      <c r="W4">
        <v>0</v>
      </c>
      <c r="X4">
        <v>0</v>
      </c>
      <c r="Y4">
        <v>9779.55</v>
      </c>
      <c r="Z4">
        <v>9425.33</v>
      </c>
      <c r="AA4">
        <v>0</v>
      </c>
      <c r="AB4">
        <v>10098.2</v>
      </c>
      <c r="AC4">
        <v>0</v>
      </c>
      <c r="AD4">
        <v>0</v>
      </c>
      <c r="AE4">
        <v>8840.53</v>
      </c>
      <c r="AF4">
        <v>8330.47</v>
      </c>
      <c r="AG4">
        <v>0</v>
      </c>
      <c r="AH4">
        <v>9770.2</v>
      </c>
      <c r="AI4">
        <v>0</v>
      </c>
      <c r="AJ4">
        <v>0</v>
      </c>
      <c r="AK4">
        <v>1</v>
      </c>
      <c r="AL4">
        <v>1</v>
      </c>
      <c r="AM4">
        <v>0</v>
      </c>
      <c r="AN4">
        <v>0.3</v>
      </c>
      <c r="AO4">
        <v>0</v>
      </c>
      <c r="AP4">
        <v>0</v>
      </c>
    </row>
    <row r="5" spans="1:42">
      <c r="A5">
        <v>221.388</v>
      </c>
      <c r="B5">
        <v>115.365</v>
      </c>
      <c r="C5">
        <v>0</v>
      </c>
      <c r="D5">
        <v>125.875</v>
      </c>
      <c r="E5">
        <v>0</v>
      </c>
      <c r="F5">
        <v>0</v>
      </c>
      <c r="G5">
        <v>9675.896</v>
      </c>
      <c r="H5">
        <v>8997.535</v>
      </c>
      <c r="I5">
        <v>0</v>
      </c>
      <c r="J5">
        <v>9586.375</v>
      </c>
      <c r="K5">
        <v>0</v>
      </c>
      <c r="L5">
        <v>0</v>
      </c>
      <c r="M5">
        <v>227.46</v>
      </c>
      <c r="N5">
        <v>120</v>
      </c>
      <c r="O5">
        <v>0</v>
      </c>
      <c r="P5">
        <v>127.76</v>
      </c>
      <c r="Q5">
        <v>0</v>
      </c>
      <c r="R5">
        <v>0</v>
      </c>
      <c r="S5">
        <v>218.09</v>
      </c>
      <c r="T5">
        <v>112.38</v>
      </c>
      <c r="U5">
        <v>0</v>
      </c>
      <c r="V5">
        <v>123.99</v>
      </c>
      <c r="W5">
        <v>0</v>
      </c>
      <c r="X5">
        <v>0</v>
      </c>
      <c r="Y5">
        <v>9869.18</v>
      </c>
      <c r="Z5">
        <v>9489.13</v>
      </c>
      <c r="AA5">
        <v>0</v>
      </c>
      <c r="AB5">
        <v>9640.74</v>
      </c>
      <c r="AC5">
        <v>0</v>
      </c>
      <c r="AD5">
        <v>0</v>
      </c>
      <c r="AE5">
        <v>9498.49</v>
      </c>
      <c r="AF5">
        <v>8496.81</v>
      </c>
      <c r="AG5">
        <v>0</v>
      </c>
      <c r="AH5">
        <v>9532.01</v>
      </c>
      <c r="AI5">
        <v>0</v>
      </c>
      <c r="AJ5">
        <v>0</v>
      </c>
      <c r="AK5">
        <v>0.5</v>
      </c>
      <c r="AL5">
        <v>1</v>
      </c>
      <c r="AM5">
        <v>0</v>
      </c>
      <c r="AN5">
        <v>0.2</v>
      </c>
      <c r="AO5">
        <v>0</v>
      </c>
      <c r="AP5">
        <v>0</v>
      </c>
    </row>
    <row r="6" spans="1:42">
      <c r="A6">
        <v>216.382</v>
      </c>
      <c r="B6">
        <v>121.66</v>
      </c>
      <c r="C6">
        <v>0</v>
      </c>
      <c r="D6">
        <v>130.3075</v>
      </c>
      <c r="E6">
        <v>0</v>
      </c>
      <c r="F6">
        <v>119.45</v>
      </c>
      <c r="G6">
        <v>9545.866</v>
      </c>
      <c r="H6">
        <v>9069.932</v>
      </c>
      <c r="I6">
        <v>0</v>
      </c>
      <c r="J6">
        <v>9855.355</v>
      </c>
      <c r="K6">
        <v>0</v>
      </c>
      <c r="L6">
        <v>8559.19</v>
      </c>
      <c r="M6">
        <v>219.17</v>
      </c>
      <c r="N6">
        <v>125.46</v>
      </c>
      <c r="O6">
        <v>0</v>
      </c>
      <c r="P6">
        <v>141.14</v>
      </c>
      <c r="Q6">
        <v>0</v>
      </c>
      <c r="R6">
        <v>119.45</v>
      </c>
      <c r="S6">
        <v>213.17</v>
      </c>
      <c r="T6">
        <v>119.2</v>
      </c>
      <c r="U6">
        <v>0</v>
      </c>
      <c r="V6">
        <v>121.18</v>
      </c>
      <c r="W6">
        <v>0</v>
      </c>
      <c r="X6">
        <v>119.45</v>
      </c>
      <c r="Y6">
        <v>10130.33</v>
      </c>
      <c r="Z6">
        <v>9564.72</v>
      </c>
      <c r="AA6">
        <v>0</v>
      </c>
      <c r="AB6">
        <v>9960.32</v>
      </c>
      <c r="AC6">
        <v>0</v>
      </c>
      <c r="AD6">
        <v>8559.19</v>
      </c>
      <c r="AE6">
        <v>9244.83</v>
      </c>
      <c r="AF6">
        <v>8520.16</v>
      </c>
      <c r="AG6">
        <v>0</v>
      </c>
      <c r="AH6">
        <v>9737</v>
      </c>
      <c r="AI6">
        <v>0</v>
      </c>
      <c r="AJ6">
        <v>8559.19</v>
      </c>
      <c r="AK6">
        <v>0.5</v>
      </c>
      <c r="AL6">
        <v>1</v>
      </c>
      <c r="AM6">
        <v>0</v>
      </c>
      <c r="AN6">
        <v>0.4</v>
      </c>
      <c r="AO6">
        <v>0</v>
      </c>
      <c r="AP6">
        <v>0.1</v>
      </c>
    </row>
    <row r="7" spans="1:42">
      <c r="A7">
        <v>160.875</v>
      </c>
      <c r="B7">
        <v>127.862</v>
      </c>
      <c r="C7">
        <v>151.476</v>
      </c>
      <c r="D7">
        <v>151.81</v>
      </c>
      <c r="E7">
        <v>147.3025</v>
      </c>
      <c r="F7">
        <v>0</v>
      </c>
      <c r="G7">
        <v>8867.953</v>
      </c>
      <c r="H7">
        <v>9289.07</v>
      </c>
      <c r="I7">
        <v>9816.702</v>
      </c>
      <c r="J7">
        <v>10059.62</v>
      </c>
      <c r="K7">
        <v>8612.985</v>
      </c>
      <c r="L7">
        <v>0</v>
      </c>
      <c r="M7">
        <v>177.64</v>
      </c>
      <c r="N7">
        <v>131.31</v>
      </c>
      <c r="O7">
        <v>160.12</v>
      </c>
      <c r="P7">
        <v>151.81</v>
      </c>
      <c r="Q7">
        <v>154.15</v>
      </c>
      <c r="R7">
        <v>0</v>
      </c>
      <c r="S7">
        <v>140.21</v>
      </c>
      <c r="T7">
        <v>123.4</v>
      </c>
      <c r="U7">
        <v>141.2</v>
      </c>
      <c r="V7">
        <v>151.81</v>
      </c>
      <c r="W7">
        <v>140.23</v>
      </c>
      <c r="X7">
        <v>0</v>
      </c>
      <c r="Y7">
        <v>9596.56</v>
      </c>
      <c r="Z7">
        <v>9689.97</v>
      </c>
      <c r="AA7">
        <v>10025.76</v>
      </c>
      <c r="AB7">
        <v>10059.62</v>
      </c>
      <c r="AC7">
        <v>8771.31</v>
      </c>
      <c r="AD7">
        <v>0</v>
      </c>
      <c r="AE7">
        <v>8338.65</v>
      </c>
      <c r="AF7">
        <v>8767.44</v>
      </c>
      <c r="AG7">
        <v>9578.26</v>
      </c>
      <c r="AH7">
        <v>10059.62</v>
      </c>
      <c r="AI7">
        <v>8355.04</v>
      </c>
      <c r="AJ7">
        <v>0</v>
      </c>
      <c r="AK7">
        <v>1</v>
      </c>
      <c r="AL7">
        <v>1</v>
      </c>
      <c r="AM7">
        <v>0.5</v>
      </c>
      <c r="AN7">
        <v>0.1</v>
      </c>
      <c r="AO7">
        <v>0.4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WPS_1666204842</cp:lastModifiedBy>
  <dcterms:created xsi:type="dcterms:W3CDTF">2024-09-26T11:01:00Z</dcterms:created>
  <dcterms:modified xsi:type="dcterms:W3CDTF">2024-09-26T12:42:28Z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CD1AEBD5DE334000ACDBE0682A841B22_12</vt:lpwstr>
  </property>
  <property fmtid="{D5CDD505-2E9C-101B-9397-08002B2CF9AE}" pid="3" name="KSOProductBuildVer">
    <vt:lpwstr>2052-12.1.0.17827</vt:lpwstr>
  </property>
</Properties>
</file>