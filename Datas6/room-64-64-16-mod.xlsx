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<sst xmlns="http://schemas.openxmlformats.org/spreadsheetml/2006/main" count="432" uniqueCount="65">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</sst>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topLeftCell="S1" workbookViewId="0">
      <selection activeCell="T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445.3</v>
      </c>
      <c r="C2">
        <v>23003.24</v>
      </c>
      <c r="D2">
        <v>482.83</v>
      </c>
      <c r="E2">
        <v>23261.57</v>
      </c>
      <c r="F2">
        <v>-1</v>
      </c>
      <c r="G2">
        <v>1528.02</v>
      </c>
      <c r="H2">
        <v>-1</v>
      </c>
      <c r="I2">
        <v>22807.76</v>
      </c>
      <c r="J2">
        <v>-1</v>
      </c>
      <c r="K2">
        <v>1539.89</v>
      </c>
      <c r="L2">
        <v>-1</v>
      </c>
      <c r="M2">
        <v>0</v>
      </c>
    </row>
    <row r="3" spans="1:13">
      <c r="A3" t="s">
        <v>14</v>
      </c>
      <c r="B3">
        <v>650.37</v>
      </c>
      <c r="C3">
        <v>23157.63</v>
      </c>
      <c r="D3">
        <v>701.78</v>
      </c>
      <c r="E3">
        <v>23429.08</v>
      </c>
      <c r="F3">
        <v>725.36</v>
      </c>
      <c r="G3">
        <v>26468.3</v>
      </c>
      <c r="H3">
        <v>-1</v>
      </c>
      <c r="I3">
        <v>9455.85</v>
      </c>
      <c r="J3">
        <v>-1</v>
      </c>
      <c r="K3">
        <v>557.36</v>
      </c>
      <c r="L3">
        <v>-1</v>
      </c>
      <c r="M3">
        <v>0</v>
      </c>
    </row>
    <row r="4" spans="1:13">
      <c r="A4" t="s">
        <v>15</v>
      </c>
      <c r="B4">
        <v>655</v>
      </c>
      <c r="C4">
        <v>23302.81</v>
      </c>
      <c r="D4">
        <v>708.05</v>
      </c>
      <c r="E4">
        <v>23830.49</v>
      </c>
      <c r="F4">
        <v>-1</v>
      </c>
      <c r="G4">
        <v>16362.34</v>
      </c>
      <c r="H4">
        <v>-1</v>
      </c>
      <c r="I4">
        <v>24229.12</v>
      </c>
      <c r="J4">
        <v>-1</v>
      </c>
      <c r="K4">
        <v>3561.69</v>
      </c>
      <c r="L4">
        <v>-1</v>
      </c>
      <c r="M4">
        <v>4061.49</v>
      </c>
    </row>
    <row r="5" spans="1:13">
      <c r="A5" t="s">
        <v>16</v>
      </c>
      <c r="B5">
        <v>648.54</v>
      </c>
      <c r="C5">
        <v>23273.77</v>
      </c>
      <c r="D5">
        <v>699.89</v>
      </c>
      <c r="E5">
        <v>23333.33</v>
      </c>
      <c r="F5">
        <v>-1</v>
      </c>
      <c r="G5">
        <v>15877.55</v>
      </c>
      <c r="H5">
        <v>-1</v>
      </c>
      <c r="I5">
        <v>2764.11</v>
      </c>
      <c r="J5">
        <v>-1</v>
      </c>
      <c r="K5">
        <v>19689.5</v>
      </c>
      <c r="L5">
        <v>-1</v>
      </c>
      <c r="M5">
        <v>0</v>
      </c>
    </row>
    <row r="6" spans="1:13">
      <c r="A6" t="s">
        <v>17</v>
      </c>
      <c r="B6">
        <v>636.82</v>
      </c>
      <c r="C6">
        <v>22451.8</v>
      </c>
      <c r="D6">
        <v>694.05</v>
      </c>
      <c r="E6">
        <v>23626.3</v>
      </c>
      <c r="F6">
        <v>741.12</v>
      </c>
      <c r="G6">
        <v>25476.6</v>
      </c>
      <c r="H6">
        <v>-1</v>
      </c>
      <c r="I6">
        <v>8372.26</v>
      </c>
      <c r="J6">
        <v>-1</v>
      </c>
      <c r="K6">
        <v>9977.51</v>
      </c>
      <c r="L6">
        <v>-1</v>
      </c>
      <c r="M6">
        <v>1150.82</v>
      </c>
    </row>
    <row r="7" spans="1:13">
      <c r="A7" t="s">
        <v>18</v>
      </c>
      <c r="B7">
        <v>461.7</v>
      </c>
      <c r="C7">
        <v>22928.22</v>
      </c>
      <c r="D7">
        <v>498.88</v>
      </c>
      <c r="E7">
        <v>23572.82</v>
      </c>
      <c r="F7">
        <v>503.8</v>
      </c>
      <c r="G7">
        <v>26299.92</v>
      </c>
      <c r="H7">
        <v>-1</v>
      </c>
      <c r="I7">
        <v>1157.88</v>
      </c>
      <c r="J7">
        <v>-1</v>
      </c>
      <c r="K7">
        <v>19748.22</v>
      </c>
      <c r="L7">
        <v>-1</v>
      </c>
      <c r="M7">
        <v>0</v>
      </c>
    </row>
    <row r="8" spans="1:13">
      <c r="A8" t="s">
        <v>19</v>
      </c>
      <c r="B8">
        <v>464.61</v>
      </c>
      <c r="C8">
        <v>23892.85</v>
      </c>
      <c r="D8">
        <v>501.4</v>
      </c>
      <c r="E8">
        <v>23960.59</v>
      </c>
      <c r="F8">
        <v>568.24</v>
      </c>
      <c r="G8">
        <v>27408.83</v>
      </c>
      <c r="H8">
        <v>-1</v>
      </c>
      <c r="I8">
        <v>10883.58</v>
      </c>
      <c r="J8">
        <v>-1</v>
      </c>
      <c r="K8">
        <v>22174.58</v>
      </c>
      <c r="L8">
        <v>-1</v>
      </c>
      <c r="M8">
        <v>1100.38</v>
      </c>
    </row>
    <row r="9" spans="1:13">
      <c r="A9" t="s">
        <v>20</v>
      </c>
      <c r="B9">
        <v>480.45</v>
      </c>
      <c r="C9">
        <v>23828.8</v>
      </c>
      <c r="D9">
        <v>519.21</v>
      </c>
      <c r="E9">
        <v>24496.03</v>
      </c>
      <c r="F9">
        <v>699.5</v>
      </c>
      <c r="G9">
        <v>27434.03</v>
      </c>
      <c r="H9">
        <v>-1</v>
      </c>
      <c r="I9">
        <v>6118.57</v>
      </c>
      <c r="J9">
        <v>489.67</v>
      </c>
      <c r="K9">
        <v>23861.15</v>
      </c>
      <c r="L9">
        <v>-1</v>
      </c>
      <c r="M9">
        <v>0</v>
      </c>
    </row>
    <row r="10" spans="1:13">
      <c r="A10" t="s">
        <v>21</v>
      </c>
      <c r="B10">
        <v>457.53</v>
      </c>
      <c r="C10">
        <v>22141.96</v>
      </c>
      <c r="D10">
        <v>495.24</v>
      </c>
      <c r="E10">
        <v>23219.51</v>
      </c>
      <c r="F10">
        <v>533.99</v>
      </c>
      <c r="G10">
        <v>25458.5</v>
      </c>
      <c r="H10">
        <v>-1</v>
      </c>
      <c r="I10">
        <v>14150.33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452.67</v>
      </c>
      <c r="C11">
        <v>23035.94</v>
      </c>
      <c r="D11">
        <v>490.14</v>
      </c>
      <c r="E11">
        <v>24232.34</v>
      </c>
      <c r="F11">
        <v>-1</v>
      </c>
      <c r="G11">
        <v>16538.09</v>
      </c>
      <c r="H11">
        <v>-1</v>
      </c>
      <c r="I11">
        <v>14111.96</v>
      </c>
      <c r="J11">
        <v>510.71</v>
      </c>
      <c r="K11">
        <v>23085.98</v>
      </c>
      <c r="L11">
        <v>-1</v>
      </c>
      <c r="M11">
        <v>2607.28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535.299</v>
      </c>
      <c r="B14" s="4">
        <f>IFERROR(AVERAGEIF($D$2:$D$11,"&lt;&gt; -1"),0)</f>
        <v>579.147</v>
      </c>
      <c r="C14" s="4">
        <f>IFERROR(AVERAGEIF($F$2:$F$11,"&lt;&gt; -1"),0)</f>
        <v>628.668333333333</v>
      </c>
      <c r="D14" s="4">
        <f>IFERROR(AVERAGEIF($H$2:$H$11,"&lt;&gt; -1"),0)</f>
        <v>0</v>
      </c>
      <c r="E14" s="4">
        <f>IFERROR(AVERAGEIF($J$2:$J$11,"&lt;&gt; -1"),0)</f>
        <v>500.19</v>
      </c>
      <c r="F14" s="4">
        <f>IFERROR(AVERAGEIF($L$2:$L$11,"&lt;&gt; -1"),0)</f>
        <v>0</v>
      </c>
      <c r="G14" s="4">
        <f>IFERROR(AVERAGEIFS($C$2:$C$11,$B$2:$B$11,"&lt;&gt; -1"),0)</f>
        <v>23101.702</v>
      </c>
      <c r="H14" s="4">
        <f>IFERROR(AVERAGEIFS($E$2:$E$11,$D$2:$D$11,"&lt;&gt; -1"),0)</f>
        <v>23696.206</v>
      </c>
      <c r="I14" s="4">
        <f>IFERROR(AVERAGEIFS($G$2:$G$11,$F$2:$F$11,"&lt;&gt; -1"),0)</f>
        <v>26424.3633333333</v>
      </c>
      <c r="J14" s="4">
        <f>IFERROR(AVERAGEIFS($I$2:$I$11,$H$2:$H$11,"&lt;&gt; -1"),0)</f>
        <v>0</v>
      </c>
      <c r="K14" s="4">
        <f>IFERROR(AVERAGEIFS($K$2:$K$11,$J$2:$J$11,"&lt;&gt; -1"),0)</f>
        <v>23473.565</v>
      </c>
      <c r="L14" s="4">
        <f>IFERROR(AVERAGEIFS($M$2:$M$11,$L$2:$L$11,"&lt;&gt; -1"),0)</f>
        <v>0</v>
      </c>
      <c r="M14" s="4">
        <f>IFERROR(_xlfn.MAXIFS($B$2:$B$11,$B$2:$B$11,"&lt;&gt; -1"),0)</f>
        <v>655</v>
      </c>
      <c r="N14" s="4">
        <f>IFERROR(_xlfn.MAXIFS($D$2:$D$11,$D$2:$D$11,"&lt;&gt;-1"),0)</f>
        <v>708.05</v>
      </c>
      <c r="O14" s="4">
        <f>IFERROR(_xlfn.MAXIFS($F$2:$F$11,$F$2:$F$11,"&lt;&gt; -1"),0)</f>
        <v>741.12</v>
      </c>
      <c r="P14" s="4">
        <f>IFERROR(_xlfn.MAXIFS($H$2:$H$11,$H$2:$H$11,"&lt;&gt; -1"),0)</f>
        <v>0</v>
      </c>
      <c r="Q14" s="4">
        <f>IFERROR(_xlfn.MAXIFS($J$2:$J$11,$J$2:$J$11,"&lt;&gt; -1"),0)</f>
        <v>510.71</v>
      </c>
      <c r="R14" s="4">
        <f>IFERROR(_xlfn.MAXIFS($L$2:$L$11,$L$2:$L$11,"&lt;&gt; -1"),0)</f>
        <v>0</v>
      </c>
      <c r="S14" s="4">
        <f>IFERROR(_xlfn.MINIFS($B$2:$B$11,$B$2:$B$11,"&lt;&gt; -1"),0)</f>
        <v>445.3</v>
      </c>
      <c r="T14" s="4">
        <f>IFERROR(_xlfn.MINIFS($D$2:$D$11,$D$2:$D$11,"&lt;&gt;-1"),0)</f>
        <v>482.83</v>
      </c>
      <c r="U14" s="4">
        <f>IFERROR(_xlfn.MINIFS($F$2:$F$11,$F$2:$F$11,"&lt;&gt; -1"),0)</f>
        <v>503.8</v>
      </c>
      <c r="V14" s="4">
        <f>IFERROR(_xlfn.MINIFS($H$2:$H$11,$H$2:$H$11,"&lt;&gt; -1"),0)</f>
        <v>0</v>
      </c>
      <c r="W14" s="4">
        <f>IFERROR(_xlfn.MINIFS($J$2:$J$11,$J$2:$J$11,"&lt;&gt; -1"),0)</f>
        <v>489.67</v>
      </c>
      <c r="X14" s="4">
        <f>IFERROR(_xlfn.MINIFS($L$2:$L$11,$L$2:$L$11,"&lt;&gt; -1"),0)</f>
        <v>0</v>
      </c>
      <c r="Y14" s="4">
        <f>IFERROR(_xlfn.MAXIFS($C$2:$C$11,$B$2:$B$11,"&lt;&gt; -1"),0)</f>
        <v>23892.85</v>
      </c>
      <c r="Z14" s="4">
        <f>IFERROR(_xlfn.MAXIFS($E$2:$E$11,$D$2:$D$11,"&lt;&gt; -1"),0)</f>
        <v>24496.03</v>
      </c>
      <c r="AA14" s="4">
        <f>IFERROR(_xlfn.MAXIFS($G$2:$G$11,$F$2:$F$11,"&lt;&gt; -1"),0)</f>
        <v>27434.03</v>
      </c>
      <c r="AB14" s="4">
        <f>IFERROR(_xlfn.MAXIFS($I$2:$I$11,$H$2:$H$11,"&lt;&gt; -1"),0)</f>
        <v>0</v>
      </c>
      <c r="AC14" s="4">
        <f>IFERROR(_xlfn.MAXIFS($K$2:$K$11,$J$2:$J$11,"&lt;&gt; -1"),0)</f>
        <v>23861.15</v>
      </c>
      <c r="AD14" s="4">
        <f>IFERROR(_xlfn.MAXIFS($M$2:$M$11,$L$2:$L$11,"&lt;&gt; -1"),0)</f>
        <v>0</v>
      </c>
      <c r="AE14" s="4">
        <f>IFERROR(_xlfn.MINIFS($C$2:$C$11,$B$2:$B$11,"&lt;&gt; -1"),0)</f>
        <v>22141.96</v>
      </c>
      <c r="AF14" s="4">
        <f>IFERROR(_xlfn.MINIFS($E$2:$E$11,$D$2:$D$11,"&lt;&gt; -1"),0)</f>
        <v>23219.51</v>
      </c>
      <c r="AG14" s="4">
        <f>IFERROR(_xlfn.MINIFS($G$2:$G$11,$F$2:$F$11,"&lt;&gt; -1"),0)</f>
        <v>25458.5</v>
      </c>
      <c r="AH14" s="4">
        <f>IFERROR(_xlfn.MINIFS($I$2:$I$11,$H$2:$H$11,"&lt;&gt; -1"),0)</f>
        <v>0</v>
      </c>
      <c r="AI14" s="4">
        <f>IFERROR(_xlfn.MINIFS($K$2:$K$11,$J$2:$J$11,"&lt;&gt; -1"),0)</f>
        <v>23085.98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0.8</v>
      </c>
      <c r="AM14" s="4">
        <f>(COUNTIFS($F$2:$F$11,"&gt;0.0",$F$2:$F$11,"&lt;700.0"))/10</f>
        <v>0.4</v>
      </c>
      <c r="AN14" s="4">
        <f>(COUNTIFS($H$2:$H11,"&gt;0.0",$H$2:$H$11,"&lt;700.0"))/10</f>
        <v>0</v>
      </c>
      <c r="AO14" s="4">
        <f>(COUNTIFS($J$2:$J$11,"&gt;0.0",$J$2:$J$11,"&lt;700.0"))/10</f>
        <v>0.2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494.08</v>
      </c>
      <c r="C2">
        <v>23203.21</v>
      </c>
      <c r="D2">
        <v>530.83</v>
      </c>
      <c r="E2">
        <v>22800.21</v>
      </c>
      <c r="F2">
        <v>-1</v>
      </c>
      <c r="G2">
        <v>15081.2</v>
      </c>
      <c r="H2">
        <v>-1</v>
      </c>
      <c r="I2">
        <v>2401.05</v>
      </c>
      <c r="J2">
        <v>-1</v>
      </c>
      <c r="K2">
        <v>1197.42</v>
      </c>
      <c r="L2">
        <v>-1</v>
      </c>
      <c r="M2">
        <v>0</v>
      </c>
    </row>
    <row r="3" spans="1:13">
      <c r="A3" t="s">
        <v>14</v>
      </c>
      <c r="B3">
        <v>505.71</v>
      </c>
      <c r="C3">
        <v>24031.39</v>
      </c>
      <c r="D3">
        <v>542.27</v>
      </c>
      <c r="E3">
        <v>23855.02</v>
      </c>
      <c r="F3">
        <v>-1</v>
      </c>
      <c r="G3">
        <v>2702.16</v>
      </c>
      <c r="H3">
        <v>-1</v>
      </c>
      <c r="I3">
        <v>8238.71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508.1</v>
      </c>
      <c r="C4">
        <v>24188.96</v>
      </c>
      <c r="D4">
        <v>544.25</v>
      </c>
      <c r="E4">
        <v>24133.19</v>
      </c>
      <c r="F4">
        <v>589.28</v>
      </c>
      <c r="G4">
        <v>27286</v>
      </c>
      <c r="H4">
        <v>-1</v>
      </c>
      <c r="I4">
        <v>2315.77</v>
      </c>
      <c r="J4">
        <v>-1</v>
      </c>
      <c r="K4">
        <v>3833</v>
      </c>
      <c r="L4">
        <v>-1</v>
      </c>
      <c r="M4">
        <v>0</v>
      </c>
    </row>
    <row r="5" spans="1:13">
      <c r="A5" t="s">
        <v>16</v>
      </c>
      <c r="B5">
        <v>507.63</v>
      </c>
      <c r="C5">
        <v>22840.44</v>
      </c>
      <c r="D5">
        <v>544.45</v>
      </c>
      <c r="E5">
        <v>23278.15</v>
      </c>
      <c r="F5">
        <v>582.61</v>
      </c>
      <c r="G5">
        <v>26053.07</v>
      </c>
      <c r="H5">
        <v>-1</v>
      </c>
      <c r="I5">
        <v>2467.49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497.83</v>
      </c>
      <c r="C6">
        <v>23607.83</v>
      </c>
      <c r="D6">
        <v>533.53</v>
      </c>
      <c r="E6">
        <v>23297.26</v>
      </c>
      <c r="F6">
        <v>603.62</v>
      </c>
      <c r="G6">
        <v>27028.19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509.53</v>
      </c>
      <c r="C7">
        <v>23094.22</v>
      </c>
      <c r="D7">
        <v>546.64</v>
      </c>
      <c r="E7">
        <v>23531.75</v>
      </c>
      <c r="F7">
        <v>-1</v>
      </c>
      <c r="G7">
        <v>3576.68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508.92</v>
      </c>
      <c r="C8">
        <v>23296.23</v>
      </c>
      <c r="D8">
        <v>545.99</v>
      </c>
      <c r="E8">
        <v>23079.94</v>
      </c>
      <c r="F8">
        <v>-1</v>
      </c>
      <c r="G8">
        <v>0</v>
      </c>
      <c r="H8">
        <v>-1</v>
      </c>
      <c r="I8">
        <v>2429.65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511.54</v>
      </c>
      <c r="C9">
        <v>23881.76</v>
      </c>
      <c r="D9">
        <v>548.13</v>
      </c>
      <c r="E9">
        <v>23739.5</v>
      </c>
      <c r="F9">
        <v>-1</v>
      </c>
      <c r="G9">
        <v>8677.21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499.62</v>
      </c>
      <c r="C10">
        <v>22655.51</v>
      </c>
      <c r="D10">
        <v>536.16</v>
      </c>
      <c r="E10">
        <v>23777.72</v>
      </c>
      <c r="F10">
        <v>609.71</v>
      </c>
      <c r="G10">
        <v>25795.55</v>
      </c>
      <c r="H10">
        <v>-1</v>
      </c>
      <c r="I10">
        <v>2152.22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503.42</v>
      </c>
      <c r="C11">
        <v>22938.98</v>
      </c>
      <c r="D11">
        <v>539.11</v>
      </c>
      <c r="E11">
        <v>23610</v>
      </c>
      <c r="F11">
        <v>-1</v>
      </c>
      <c r="G11">
        <v>0</v>
      </c>
      <c r="H11">
        <v>-1</v>
      </c>
      <c r="I11">
        <v>2494.07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504.638</v>
      </c>
      <c r="B14" s="4">
        <f>IFERROR(AVERAGEIF($D$2:$D$11,"&lt;&gt; -1"),0)</f>
        <v>541.136</v>
      </c>
      <c r="C14" s="4">
        <f>IFERROR(AVERAGEIF($F$2:$F$11,"&lt;&gt; -1"),0)</f>
        <v>596.305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23373.853</v>
      </c>
      <c r="H14" s="4">
        <f>IFERROR(AVERAGEIFS($E$2:$E$11,$D$2:$D$11,"&lt;&gt; -1"),0)</f>
        <v>23510.274</v>
      </c>
      <c r="I14" s="4">
        <f>IFERROR(AVERAGEIFS($G$2:$G$11,$F$2:$F$11,"&lt;&gt; -1"),0)</f>
        <v>26540.7025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511.54</v>
      </c>
      <c r="N14" s="4">
        <f>IFERROR(_xlfn.MAXIFS($D$2:$D$11,$D$2:$D$11,"&lt;&gt;-1"),0)</f>
        <v>548.13</v>
      </c>
      <c r="O14" s="4">
        <f>IFERROR(_xlfn.MAXIFS($F$2:$F$11,$F$2:$F$11,"&lt;&gt; -1"),0)</f>
        <v>609.71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494.08</v>
      </c>
      <c r="T14" s="4">
        <f>IFERROR(_xlfn.MINIFS($D$2:$D$11,$D$2:$D$11,"&lt;&gt;-1"),0)</f>
        <v>530.83</v>
      </c>
      <c r="U14" s="4">
        <f>IFERROR(_xlfn.MINIFS($F$2:$F$11,$F$2:$F$11,"&lt;&gt; -1"),0)</f>
        <v>582.61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24188.96</v>
      </c>
      <c r="Z14" s="4">
        <f>IFERROR(_xlfn.MAXIFS($E$2:$E$11,$D$2:$D$11,"&lt;&gt; -1"),0)</f>
        <v>24133.19</v>
      </c>
      <c r="AA14" s="4">
        <f>IFERROR(_xlfn.MAXIFS($G$2:$G$11,$F$2:$F$11,"&lt;&gt; -1"),0)</f>
        <v>27286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22655.51</v>
      </c>
      <c r="AF14" s="4">
        <f>IFERROR(_xlfn.MINIFS($E$2:$E$11,$D$2:$D$11,"&lt;&gt; -1"),0)</f>
        <v>22800.21</v>
      </c>
      <c r="AG14" s="4">
        <f>IFERROR(_xlfn.MINIFS($G$2:$G$11,$F$2:$F$11,"&lt;&gt; -1"),0)</f>
        <v>25795.55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0.4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525.32</v>
      </c>
      <c r="C2">
        <v>22474.32</v>
      </c>
      <c r="D2">
        <v>562.78</v>
      </c>
      <c r="E2">
        <v>23528.45</v>
      </c>
      <c r="F2">
        <v>-1</v>
      </c>
      <c r="G2">
        <v>1315.15</v>
      </c>
      <c r="H2">
        <v>-1</v>
      </c>
      <c r="I2">
        <v>0</v>
      </c>
      <c r="J2">
        <v>-1</v>
      </c>
      <c r="K2">
        <v>1194.42</v>
      </c>
      <c r="L2">
        <v>-1</v>
      </c>
      <c r="M2">
        <v>0</v>
      </c>
    </row>
    <row r="3" spans="1:13">
      <c r="A3" t="s">
        <v>14</v>
      </c>
      <c r="B3">
        <v>554.43</v>
      </c>
      <c r="C3">
        <v>23918.15</v>
      </c>
      <c r="D3">
        <v>592.54</v>
      </c>
      <c r="E3">
        <v>24542.24</v>
      </c>
      <c r="F3">
        <v>941.68</v>
      </c>
      <c r="G3">
        <v>27300.08</v>
      </c>
      <c r="H3">
        <v>-1</v>
      </c>
      <c r="I3">
        <v>0</v>
      </c>
      <c r="J3">
        <v>-1</v>
      </c>
      <c r="K3">
        <v>890.29</v>
      </c>
      <c r="L3">
        <v>-1</v>
      </c>
      <c r="M3">
        <v>0</v>
      </c>
    </row>
    <row r="4" spans="1:13">
      <c r="A4" t="s">
        <v>15</v>
      </c>
      <c r="B4">
        <v>562.53</v>
      </c>
      <c r="C4">
        <v>22816.83</v>
      </c>
      <c r="D4">
        <v>601.43</v>
      </c>
      <c r="E4">
        <v>24731.81</v>
      </c>
      <c r="F4">
        <v>-1</v>
      </c>
      <c r="G4">
        <v>25150.27</v>
      </c>
      <c r="H4">
        <v>-1</v>
      </c>
      <c r="I4">
        <v>0</v>
      </c>
      <c r="J4">
        <v>-1</v>
      </c>
      <c r="K4">
        <v>4742.48</v>
      </c>
      <c r="L4">
        <v>-1</v>
      </c>
      <c r="M4">
        <v>0</v>
      </c>
    </row>
    <row r="5" spans="1:13">
      <c r="A5" t="s">
        <v>16</v>
      </c>
      <c r="B5">
        <v>550.49</v>
      </c>
      <c r="C5">
        <v>22640.03</v>
      </c>
      <c r="D5">
        <v>588.72</v>
      </c>
      <c r="E5">
        <v>23737.08</v>
      </c>
      <c r="F5">
        <v>-1</v>
      </c>
      <c r="G5">
        <v>12711.54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552.15</v>
      </c>
      <c r="C6">
        <v>23028.46</v>
      </c>
      <c r="D6">
        <v>588.18</v>
      </c>
      <c r="E6">
        <v>23828.76</v>
      </c>
      <c r="F6">
        <v>-1</v>
      </c>
      <c r="G6">
        <v>3121.61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556.69</v>
      </c>
      <c r="C7">
        <v>23232.68</v>
      </c>
      <c r="D7">
        <v>593.63</v>
      </c>
      <c r="E7">
        <v>23971.92</v>
      </c>
      <c r="F7">
        <v>-1</v>
      </c>
      <c r="G7">
        <v>2647.69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557.69</v>
      </c>
      <c r="C8">
        <v>22386.91</v>
      </c>
      <c r="D8">
        <v>595.79</v>
      </c>
      <c r="E8">
        <v>24131.99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566.84</v>
      </c>
      <c r="C9">
        <v>23030.58</v>
      </c>
      <c r="D9">
        <v>603.95</v>
      </c>
      <c r="E9">
        <v>24340.42</v>
      </c>
      <c r="F9">
        <v>-1</v>
      </c>
      <c r="G9">
        <v>19888.37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552.81</v>
      </c>
      <c r="C10">
        <v>23442.41</v>
      </c>
      <c r="D10">
        <v>592.28</v>
      </c>
      <c r="E10">
        <v>24007.72</v>
      </c>
      <c r="F10">
        <v>804.74</v>
      </c>
      <c r="G10">
        <v>26826.86</v>
      </c>
      <c r="H10">
        <v>-1</v>
      </c>
      <c r="I10">
        <v>0</v>
      </c>
      <c r="J10">
        <v>-1</v>
      </c>
      <c r="K10">
        <v>738.7</v>
      </c>
      <c r="L10">
        <v>-1</v>
      </c>
      <c r="M10">
        <v>0</v>
      </c>
    </row>
    <row r="11" spans="1:13">
      <c r="A11" t="s">
        <v>22</v>
      </c>
      <c r="B11">
        <v>553.75</v>
      </c>
      <c r="C11">
        <v>22942.83</v>
      </c>
      <c r="D11">
        <v>591.32</v>
      </c>
      <c r="E11">
        <v>23440.52</v>
      </c>
      <c r="F11">
        <v>-1</v>
      </c>
      <c r="G11">
        <v>10615.43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553.27</v>
      </c>
      <c r="B14" s="4">
        <f>IFERROR(AVERAGEIF($D$2:$D$11,"&lt;&gt; -1"),0)</f>
        <v>591.062</v>
      </c>
      <c r="C14" s="4">
        <f>IFERROR(AVERAGEIF($F$2:$F$11,"&lt;&gt; -1"),0)</f>
        <v>873.21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22991.32</v>
      </c>
      <c r="H14" s="4">
        <f>IFERROR(AVERAGEIFS($E$2:$E$11,$D$2:$D$11,"&lt;&gt; -1"),0)</f>
        <v>24026.091</v>
      </c>
      <c r="I14" s="4">
        <f>IFERROR(AVERAGEIFS($G$2:$G$11,$F$2:$F$11,"&lt;&gt; -1"),0)</f>
        <v>27063.47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566.84</v>
      </c>
      <c r="N14" s="4">
        <f>IFERROR(_xlfn.MAXIFS($D$2:$D$11,$D$2:$D$11,"&lt;&gt;-1"),0)</f>
        <v>603.95</v>
      </c>
      <c r="O14" s="4">
        <f>IFERROR(_xlfn.MAXIFS($F$2:$F$11,$F$2:$F$11,"&lt;&gt; -1"),0)</f>
        <v>941.68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525.32</v>
      </c>
      <c r="T14" s="4">
        <f>IFERROR(_xlfn.MINIFS($D$2:$D$11,$D$2:$D$11,"&lt;&gt;-1"),0)</f>
        <v>562.78</v>
      </c>
      <c r="U14" s="4">
        <f>IFERROR(_xlfn.MINIFS($F$2:$F$11,$F$2:$F$11,"&lt;&gt; -1"),0)</f>
        <v>804.74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23918.15</v>
      </c>
      <c r="Z14" s="4">
        <f>IFERROR(_xlfn.MAXIFS($E$2:$E$11,$D$2:$D$11,"&lt;&gt; -1"),0)</f>
        <v>24731.81</v>
      </c>
      <c r="AA14" s="4">
        <f>IFERROR(_xlfn.MAXIFS($G$2:$G$11,$F$2:$F$11,"&lt;&gt; -1"),0)</f>
        <v>27300.08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22386.91</v>
      </c>
      <c r="AF14" s="4">
        <f>IFERROR(_xlfn.MINIFS($E$2:$E$11,$D$2:$D$11,"&lt;&gt; -1"),0)</f>
        <v>23440.52</v>
      </c>
      <c r="AG14" s="4">
        <f>IFERROR(_xlfn.MINIFS($G$2:$G$11,$F$2:$F$11,"&lt;&gt; -1"),0)</f>
        <v>26826.86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575.87</v>
      </c>
      <c r="C2">
        <v>22779.08</v>
      </c>
      <c r="D2">
        <v>609.44</v>
      </c>
      <c r="E2">
        <v>22433.38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600.72</v>
      </c>
      <c r="C3">
        <v>23557.09</v>
      </c>
      <c r="D3">
        <v>638.64</v>
      </c>
      <c r="E3">
        <v>23688.8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609.61</v>
      </c>
      <c r="C4">
        <v>23642.73</v>
      </c>
      <c r="D4">
        <v>645.39</v>
      </c>
      <c r="E4">
        <v>24026.98</v>
      </c>
      <c r="F4">
        <v>-1</v>
      </c>
      <c r="G4">
        <v>2803.42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583.33</v>
      </c>
      <c r="C5">
        <v>23581.2</v>
      </c>
      <c r="D5">
        <v>618.96</v>
      </c>
      <c r="E5">
        <v>22604.8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589.39</v>
      </c>
      <c r="C6">
        <v>23446</v>
      </c>
      <c r="D6">
        <v>625.31</v>
      </c>
      <c r="E6">
        <v>22798.8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600.59</v>
      </c>
      <c r="C7">
        <v>23483.49</v>
      </c>
      <c r="D7">
        <v>635.41</v>
      </c>
      <c r="E7">
        <v>23423.22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589.38</v>
      </c>
      <c r="C8">
        <v>22803.04</v>
      </c>
      <c r="D8">
        <v>628.05</v>
      </c>
      <c r="E8">
        <v>23833.05</v>
      </c>
      <c r="F8">
        <v>928.92</v>
      </c>
      <c r="G8">
        <v>26129.62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604.42</v>
      </c>
      <c r="C9">
        <v>22805.18</v>
      </c>
      <c r="D9">
        <v>639.77</v>
      </c>
      <c r="E9">
        <v>23844.54</v>
      </c>
      <c r="F9">
        <v>-1</v>
      </c>
      <c r="G9">
        <v>12876.29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597.46</v>
      </c>
      <c r="C10">
        <v>23498.83</v>
      </c>
      <c r="D10">
        <v>631.77</v>
      </c>
      <c r="E10">
        <v>23559.48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581.35</v>
      </c>
      <c r="C11">
        <v>22972.25</v>
      </c>
      <c r="D11">
        <v>619.6</v>
      </c>
      <c r="E11">
        <v>23301.19</v>
      </c>
      <c r="F11">
        <v>751.15</v>
      </c>
      <c r="G11">
        <v>26342.47</v>
      </c>
      <c r="H11">
        <v>-1</v>
      </c>
      <c r="I11">
        <v>0</v>
      </c>
      <c r="J11">
        <v>-1</v>
      </c>
      <c r="K11">
        <v>5349.92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593.212</v>
      </c>
      <c r="B14" s="4">
        <f>IFERROR(AVERAGEIF($D$2:$D$11,"&lt;&gt; -1"),0)</f>
        <v>629.234</v>
      </c>
      <c r="C14" s="4">
        <f>IFERROR(AVERAGEIF($F$2:$F$11,"&lt;&gt; -1"),0)</f>
        <v>840.035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23256.889</v>
      </c>
      <c r="H14" s="4">
        <f>IFERROR(AVERAGEIFS($E$2:$E$11,$D$2:$D$11,"&lt;&gt; -1"),0)</f>
        <v>23351.424</v>
      </c>
      <c r="I14" s="4">
        <f>IFERROR(AVERAGEIFS($G$2:$G$11,$F$2:$F$11,"&lt;&gt; -1"),0)</f>
        <v>26236.045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609.61</v>
      </c>
      <c r="N14" s="4">
        <f>IFERROR(_xlfn.MAXIFS($D$2:$D$11,$D$2:$D$11,"&lt;&gt;-1"),0)</f>
        <v>645.39</v>
      </c>
      <c r="O14" s="4">
        <f>IFERROR(_xlfn.MAXIFS($F$2:$F$11,$F$2:$F$11,"&lt;&gt; -1"),0)</f>
        <v>928.92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575.87</v>
      </c>
      <c r="T14" s="4">
        <f>IFERROR(_xlfn.MINIFS($D$2:$D$11,$D$2:$D$11,"&lt;&gt;-1"),0)</f>
        <v>609.44</v>
      </c>
      <c r="U14" s="4">
        <f>IFERROR(_xlfn.MINIFS($F$2:$F$11,$F$2:$F$11,"&lt;&gt; -1"),0)</f>
        <v>751.15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23642.73</v>
      </c>
      <c r="Z14" s="4">
        <f>IFERROR(_xlfn.MAXIFS($E$2:$E$11,$D$2:$D$11,"&lt;&gt; -1"),0)</f>
        <v>24026.98</v>
      </c>
      <c r="AA14" s="4">
        <f>IFERROR(_xlfn.MAXIFS($G$2:$G$11,$F$2:$F$11,"&lt;&gt; -1"),0)</f>
        <v>26342.47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22779.08</v>
      </c>
      <c r="AF14" s="4">
        <f>IFERROR(_xlfn.MINIFS($E$2:$E$11,$D$2:$D$11,"&lt;&gt; -1"),0)</f>
        <v>22433.38</v>
      </c>
      <c r="AG14" s="4">
        <f>IFERROR(_xlfn.MINIFS($G$2:$G$11,$F$2:$F$11,"&lt;&gt; -1"),0)</f>
        <v>26129.62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621.22</v>
      </c>
      <c r="C2">
        <v>22525.05</v>
      </c>
      <c r="D2">
        <v>649.48</v>
      </c>
      <c r="E2">
        <v>24082.87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649.04</v>
      </c>
      <c r="C3">
        <v>23223.83</v>
      </c>
      <c r="D3">
        <v>682.17</v>
      </c>
      <c r="E3">
        <v>24418.42</v>
      </c>
      <c r="F3">
        <v>-1</v>
      </c>
      <c r="G3">
        <v>11993.64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660.22</v>
      </c>
      <c r="C4">
        <v>23003.05</v>
      </c>
      <c r="D4">
        <v>690.92</v>
      </c>
      <c r="E4">
        <v>24482.59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637.98</v>
      </c>
      <c r="C5">
        <v>21628.83</v>
      </c>
      <c r="D5">
        <v>670.31</v>
      </c>
      <c r="E5">
        <v>23286.45</v>
      </c>
      <c r="F5">
        <v>-1</v>
      </c>
      <c r="G5">
        <v>23743.41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643.06</v>
      </c>
      <c r="C6">
        <v>22812.7</v>
      </c>
      <c r="D6">
        <v>671.48</v>
      </c>
      <c r="E6">
        <v>23597.47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778.02</v>
      </c>
      <c r="C7">
        <v>23511.82</v>
      </c>
      <c r="D7">
        <v>805.83</v>
      </c>
      <c r="E7">
        <v>23714.14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650.19</v>
      </c>
      <c r="C8">
        <v>22310.26</v>
      </c>
      <c r="D8">
        <v>679.58</v>
      </c>
      <c r="E8">
        <v>24402.28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661.56</v>
      </c>
      <c r="C9">
        <v>22678.73</v>
      </c>
      <c r="D9">
        <v>690.82</v>
      </c>
      <c r="E9">
        <v>24501.82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654.12</v>
      </c>
      <c r="C10">
        <v>23274.16</v>
      </c>
      <c r="D10">
        <v>684.13</v>
      </c>
      <c r="E10">
        <v>24153.06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637.51</v>
      </c>
      <c r="C11">
        <v>23440.29</v>
      </c>
      <c r="D11">
        <v>666.9</v>
      </c>
      <c r="E11">
        <v>23360.89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659.292</v>
      </c>
      <c r="B14" s="4">
        <f>IFERROR(AVERAGEIF($D$2:$D$11,"&lt;&gt; -1"),0)</f>
        <v>689.162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22840.872</v>
      </c>
      <c r="H14" s="4">
        <f>IFERROR(AVERAGEIFS($E$2:$E$11,$D$2:$D$11,"&lt;&gt; -1"),0)</f>
        <v>23999.999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778.02</v>
      </c>
      <c r="N14" s="4">
        <f>IFERROR(_xlfn.MAXIFS($D$2:$D$11,$D$2:$D$11,"&lt;&gt;-1"),0)</f>
        <v>805.83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621.22</v>
      </c>
      <c r="T14" s="4">
        <f>IFERROR(_xlfn.MINIFS($D$2:$D$11,$D$2:$D$11,"&lt;&gt;-1"),0)</f>
        <v>649.48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23511.82</v>
      </c>
      <c r="Z14" s="4">
        <f>IFERROR(_xlfn.MAXIFS($E$2:$E$11,$D$2:$D$11,"&lt;&gt; -1"),0)</f>
        <v>24501.82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21628.83</v>
      </c>
      <c r="AF14" s="4">
        <f>IFERROR(_xlfn.MINIFS($E$2:$E$11,$D$2:$D$11,"&lt;&gt; -1"),0)</f>
        <v>23286.45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0.9</v>
      </c>
      <c r="AL14" s="4">
        <f>(COUNTIFS($D$2:$D$11,"&gt;0.0",$D$2:$D$11,"&lt;700.0"))/10</f>
        <v>0.9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676.12</v>
      </c>
      <c r="C2">
        <v>22963.56</v>
      </c>
      <c r="D2">
        <v>686.9</v>
      </c>
      <c r="E2">
        <v>23671.14</v>
      </c>
      <c r="F2">
        <v>-1</v>
      </c>
      <c r="G2">
        <v>20561.24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715.05</v>
      </c>
      <c r="C3">
        <v>24165.71</v>
      </c>
      <c r="D3">
        <v>725.71</v>
      </c>
      <c r="E3">
        <v>23647.68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700.04</v>
      </c>
      <c r="C4">
        <v>23435.64</v>
      </c>
      <c r="D4">
        <v>711.74</v>
      </c>
      <c r="E4">
        <v>23948.08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685.26</v>
      </c>
      <c r="C5">
        <v>23176.13</v>
      </c>
      <c r="D5">
        <v>693.69</v>
      </c>
      <c r="E5">
        <v>23202.35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697.99</v>
      </c>
      <c r="C6">
        <v>23418.16</v>
      </c>
      <c r="D6">
        <v>708.25</v>
      </c>
      <c r="E6">
        <v>23354.71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695.22</v>
      </c>
      <c r="C7">
        <v>23074.9</v>
      </c>
      <c r="D7">
        <v>704.29</v>
      </c>
      <c r="E7">
        <v>23409.18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693.01</v>
      </c>
      <c r="C8">
        <v>22699.79</v>
      </c>
      <c r="D8">
        <v>704.2</v>
      </c>
      <c r="E8">
        <v>24147.34</v>
      </c>
      <c r="F8">
        <v>-1</v>
      </c>
      <c r="G8">
        <v>3084.6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713.88</v>
      </c>
      <c r="C9">
        <v>23766.32</v>
      </c>
      <c r="D9">
        <v>725.06</v>
      </c>
      <c r="E9">
        <v>23835.52</v>
      </c>
      <c r="F9">
        <v>-1</v>
      </c>
      <c r="G9">
        <v>22331.39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698.35</v>
      </c>
      <c r="C10">
        <v>23759.43</v>
      </c>
      <c r="D10">
        <v>710.55</v>
      </c>
      <c r="E10">
        <v>23996.43</v>
      </c>
      <c r="F10">
        <v>-1</v>
      </c>
      <c r="G10">
        <v>2804.78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682.33</v>
      </c>
      <c r="C11">
        <v>22563.01</v>
      </c>
      <c r="D11">
        <v>693.75</v>
      </c>
      <c r="E11">
        <v>22875.99</v>
      </c>
      <c r="F11">
        <v>-1</v>
      </c>
      <c r="G11">
        <v>2059.87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695.725</v>
      </c>
      <c r="B14" s="4">
        <f>IFERROR(AVERAGEIF($D$2:$D$11,"&lt;&gt; -1"),0)</f>
        <v>706.414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23302.265</v>
      </c>
      <c r="H14" s="4">
        <f>IFERROR(AVERAGEIFS($E$2:$E$11,$D$2:$D$11,"&lt;&gt; -1"),0)</f>
        <v>23608.842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715.05</v>
      </c>
      <c r="N14" s="4">
        <f>IFERROR(_xlfn.MAXIFS($D$2:$D$11,$D$2:$D$11,"&lt;&gt;-1"),0)</f>
        <v>725.71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676.12</v>
      </c>
      <c r="T14" s="4">
        <f>IFERROR(_xlfn.MINIFS($D$2:$D$11,$D$2:$D$11,"&lt;&gt;-1"),0)</f>
        <v>686.9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24165.71</v>
      </c>
      <c r="Z14" s="4">
        <f>IFERROR(_xlfn.MAXIFS($E$2:$E$11,$D$2:$D$11,"&lt;&gt; -1"),0)</f>
        <v>24147.34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22563.01</v>
      </c>
      <c r="AF14" s="4">
        <f>IFERROR(_xlfn.MINIFS($E$2:$E$11,$D$2:$D$11,"&lt;&gt; -1"),0)</f>
        <v>22875.99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0.7</v>
      </c>
      <c r="AL14" s="4">
        <f>(COUNTIFS($D$2:$D$11,"&gt;0.0",$D$2:$D$11,"&lt;700.0"))/10</f>
        <v>0.3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F13" sqref="F13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535.299</v>
      </c>
      <c r="B2">
        <v>579.147</v>
      </c>
      <c r="C2">
        <v>628.668333333333</v>
      </c>
      <c r="D2">
        <v>0</v>
      </c>
      <c r="E2">
        <v>500.19</v>
      </c>
      <c r="F2">
        <v>0</v>
      </c>
      <c r="G2">
        <v>23101.702</v>
      </c>
      <c r="H2">
        <v>23696.206</v>
      </c>
      <c r="I2">
        <v>26424.3633333333</v>
      </c>
      <c r="J2">
        <v>0</v>
      </c>
      <c r="K2">
        <v>23473.565</v>
      </c>
      <c r="L2">
        <v>0</v>
      </c>
      <c r="M2">
        <v>655</v>
      </c>
      <c r="N2">
        <v>708.05</v>
      </c>
      <c r="O2">
        <v>741.12</v>
      </c>
      <c r="P2">
        <v>0</v>
      </c>
      <c r="Q2">
        <v>510.71</v>
      </c>
      <c r="R2">
        <v>0</v>
      </c>
      <c r="S2">
        <v>445.3</v>
      </c>
      <c r="T2">
        <v>482.83</v>
      </c>
      <c r="U2">
        <v>503.8</v>
      </c>
      <c r="V2">
        <v>0</v>
      </c>
      <c r="W2">
        <v>489.67</v>
      </c>
      <c r="X2">
        <v>0</v>
      </c>
      <c r="Y2">
        <v>23892.85</v>
      </c>
      <c r="Z2">
        <v>24496.03</v>
      </c>
      <c r="AA2">
        <v>27434.03</v>
      </c>
      <c r="AB2">
        <v>0</v>
      </c>
      <c r="AC2">
        <v>23861.15</v>
      </c>
      <c r="AD2">
        <v>0</v>
      </c>
      <c r="AE2">
        <v>22141.96</v>
      </c>
      <c r="AF2">
        <v>23219.51</v>
      </c>
      <c r="AG2">
        <v>25458.5</v>
      </c>
      <c r="AH2">
        <v>0</v>
      </c>
      <c r="AI2">
        <v>23085.98</v>
      </c>
      <c r="AJ2">
        <v>0</v>
      </c>
      <c r="AK2">
        <v>1</v>
      </c>
      <c r="AL2">
        <v>0.8</v>
      </c>
      <c r="AM2">
        <v>0.4</v>
      </c>
      <c r="AN2">
        <v>0</v>
      </c>
      <c r="AO2">
        <v>0.2</v>
      </c>
      <c r="AP2">
        <v>0</v>
      </c>
    </row>
    <row r="3" spans="1:42">
      <c r="A3">
        <v>504.638</v>
      </c>
      <c r="B3">
        <v>541.136</v>
      </c>
      <c r="C3">
        <v>596.305</v>
      </c>
      <c r="D3">
        <v>0</v>
      </c>
      <c r="E3">
        <v>0</v>
      </c>
      <c r="F3">
        <v>0</v>
      </c>
      <c r="G3">
        <v>23373.853</v>
      </c>
      <c r="H3">
        <v>23510.274</v>
      </c>
      <c r="I3">
        <v>26540.7025</v>
      </c>
      <c r="J3">
        <v>0</v>
      </c>
      <c r="K3">
        <v>0</v>
      </c>
      <c r="L3">
        <v>0</v>
      </c>
      <c r="M3">
        <v>511.54</v>
      </c>
      <c r="N3">
        <v>548.13</v>
      </c>
      <c r="O3">
        <v>609.71</v>
      </c>
      <c r="P3">
        <v>0</v>
      </c>
      <c r="Q3">
        <v>0</v>
      </c>
      <c r="R3">
        <v>0</v>
      </c>
      <c r="S3">
        <v>494.08</v>
      </c>
      <c r="T3">
        <v>530.83</v>
      </c>
      <c r="U3">
        <v>582.61</v>
      </c>
      <c r="V3">
        <v>0</v>
      </c>
      <c r="W3">
        <v>0</v>
      </c>
      <c r="X3">
        <v>0</v>
      </c>
      <c r="Y3">
        <v>24188.96</v>
      </c>
      <c r="Z3">
        <v>24133.19</v>
      </c>
      <c r="AA3">
        <v>27286</v>
      </c>
      <c r="AB3">
        <v>0</v>
      </c>
      <c r="AC3">
        <v>0</v>
      </c>
      <c r="AD3">
        <v>0</v>
      </c>
      <c r="AE3">
        <v>22655.51</v>
      </c>
      <c r="AF3">
        <v>22800.21</v>
      </c>
      <c r="AG3">
        <v>25795.55</v>
      </c>
      <c r="AH3">
        <v>0</v>
      </c>
      <c r="AI3">
        <v>0</v>
      </c>
      <c r="AJ3">
        <v>0</v>
      </c>
      <c r="AK3">
        <v>1</v>
      </c>
      <c r="AL3">
        <v>1</v>
      </c>
      <c r="AM3">
        <v>0.4</v>
      </c>
      <c r="AN3">
        <v>0</v>
      </c>
      <c r="AO3">
        <v>0</v>
      </c>
      <c r="AP3">
        <v>0</v>
      </c>
    </row>
    <row r="4" spans="1:42">
      <c r="A4">
        <v>553.27</v>
      </c>
      <c r="B4">
        <v>591.062</v>
      </c>
      <c r="C4">
        <v>873.21</v>
      </c>
      <c r="D4">
        <v>0</v>
      </c>
      <c r="E4">
        <v>0</v>
      </c>
      <c r="F4">
        <v>0</v>
      </c>
      <c r="G4">
        <v>22991.32</v>
      </c>
      <c r="H4">
        <v>24026.091</v>
      </c>
      <c r="I4">
        <v>27063.47</v>
      </c>
      <c r="J4">
        <v>0</v>
      </c>
      <c r="K4">
        <v>0</v>
      </c>
      <c r="L4">
        <v>0</v>
      </c>
      <c r="M4">
        <v>566.84</v>
      </c>
      <c r="N4">
        <v>603.95</v>
      </c>
      <c r="O4">
        <v>941.68</v>
      </c>
      <c r="P4">
        <v>0</v>
      </c>
      <c r="Q4">
        <v>0</v>
      </c>
      <c r="R4">
        <v>0</v>
      </c>
      <c r="S4">
        <v>525.32</v>
      </c>
      <c r="T4">
        <v>562.78</v>
      </c>
      <c r="U4">
        <v>804.74</v>
      </c>
      <c r="V4">
        <v>0</v>
      </c>
      <c r="W4">
        <v>0</v>
      </c>
      <c r="X4">
        <v>0</v>
      </c>
      <c r="Y4">
        <v>23918.15</v>
      </c>
      <c r="Z4">
        <v>24731.81</v>
      </c>
      <c r="AA4">
        <v>27300.08</v>
      </c>
      <c r="AB4">
        <v>0</v>
      </c>
      <c r="AC4">
        <v>0</v>
      </c>
      <c r="AD4">
        <v>0</v>
      </c>
      <c r="AE4">
        <v>22386.91</v>
      </c>
      <c r="AF4">
        <v>23440.52</v>
      </c>
      <c r="AG4">
        <v>26826.86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593.212</v>
      </c>
      <c r="B5">
        <v>629.234</v>
      </c>
      <c r="C5">
        <v>840.035</v>
      </c>
      <c r="D5">
        <v>0</v>
      </c>
      <c r="E5">
        <v>0</v>
      </c>
      <c r="F5">
        <v>0</v>
      </c>
      <c r="G5">
        <v>23256.889</v>
      </c>
      <c r="H5">
        <v>23351.424</v>
      </c>
      <c r="I5">
        <v>26236.045</v>
      </c>
      <c r="J5">
        <v>0</v>
      </c>
      <c r="K5">
        <v>0</v>
      </c>
      <c r="L5">
        <v>0</v>
      </c>
      <c r="M5">
        <v>609.61</v>
      </c>
      <c r="N5">
        <v>645.39</v>
      </c>
      <c r="O5">
        <v>928.92</v>
      </c>
      <c r="P5">
        <v>0</v>
      </c>
      <c r="Q5">
        <v>0</v>
      </c>
      <c r="R5">
        <v>0</v>
      </c>
      <c r="S5">
        <v>575.87</v>
      </c>
      <c r="T5">
        <v>609.44</v>
      </c>
      <c r="U5">
        <v>751.15</v>
      </c>
      <c r="V5">
        <v>0</v>
      </c>
      <c r="W5">
        <v>0</v>
      </c>
      <c r="X5">
        <v>0</v>
      </c>
      <c r="Y5">
        <v>23642.73</v>
      </c>
      <c r="Z5">
        <v>24026.98</v>
      </c>
      <c r="AA5">
        <v>26342.47</v>
      </c>
      <c r="AB5">
        <v>0</v>
      </c>
      <c r="AC5">
        <v>0</v>
      </c>
      <c r="AD5">
        <v>0</v>
      </c>
      <c r="AE5">
        <v>22779.08</v>
      </c>
      <c r="AF5">
        <v>22433.38</v>
      </c>
      <c r="AG5">
        <v>26129.62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659.292</v>
      </c>
      <c r="B6">
        <v>689.162</v>
      </c>
      <c r="C6">
        <v>0</v>
      </c>
      <c r="D6">
        <v>0</v>
      </c>
      <c r="E6">
        <v>0</v>
      </c>
      <c r="F6">
        <v>0</v>
      </c>
      <c r="G6">
        <v>22840.872</v>
      </c>
      <c r="H6">
        <v>23999.999</v>
      </c>
      <c r="I6">
        <v>0</v>
      </c>
      <c r="J6">
        <v>0</v>
      </c>
      <c r="K6">
        <v>0</v>
      </c>
      <c r="L6">
        <v>0</v>
      </c>
      <c r="M6">
        <v>778.02</v>
      </c>
      <c r="N6">
        <v>805.83</v>
      </c>
      <c r="O6">
        <v>0</v>
      </c>
      <c r="P6">
        <v>0</v>
      </c>
      <c r="Q6">
        <v>0</v>
      </c>
      <c r="R6">
        <v>0</v>
      </c>
      <c r="S6">
        <v>621.22</v>
      </c>
      <c r="T6">
        <v>649.48</v>
      </c>
      <c r="U6">
        <v>0</v>
      </c>
      <c r="V6">
        <v>0</v>
      </c>
      <c r="W6">
        <v>0</v>
      </c>
      <c r="X6">
        <v>0</v>
      </c>
      <c r="Y6">
        <v>23511.82</v>
      </c>
      <c r="Z6">
        <v>24501.82</v>
      </c>
      <c r="AA6">
        <v>0</v>
      </c>
      <c r="AB6">
        <v>0</v>
      </c>
      <c r="AC6">
        <v>0</v>
      </c>
      <c r="AD6">
        <v>0</v>
      </c>
      <c r="AE6">
        <v>21628.83</v>
      </c>
      <c r="AF6">
        <v>23286.45</v>
      </c>
      <c r="AG6">
        <v>0</v>
      </c>
      <c r="AH6">
        <v>0</v>
      </c>
      <c r="AI6">
        <v>0</v>
      </c>
      <c r="AJ6">
        <v>0</v>
      </c>
      <c r="AK6">
        <v>0.9</v>
      </c>
      <c r="AL6">
        <v>0.9</v>
      </c>
      <c r="AM6">
        <v>0</v>
      </c>
      <c r="AN6">
        <v>0</v>
      </c>
      <c r="AO6">
        <v>0</v>
      </c>
      <c r="AP6">
        <v>0</v>
      </c>
    </row>
    <row r="7" spans="1:42">
      <c r="A7">
        <v>695.725</v>
      </c>
      <c r="B7">
        <v>706.414</v>
      </c>
      <c r="C7">
        <v>0</v>
      </c>
      <c r="D7">
        <v>0</v>
      </c>
      <c r="E7">
        <v>0</v>
      </c>
      <c r="F7">
        <v>0</v>
      </c>
      <c r="G7">
        <v>23302.265</v>
      </c>
      <c r="H7">
        <v>23608.842</v>
      </c>
      <c r="I7">
        <v>0</v>
      </c>
      <c r="J7">
        <v>0</v>
      </c>
      <c r="K7">
        <v>0</v>
      </c>
      <c r="L7">
        <v>0</v>
      </c>
      <c r="M7">
        <v>715.05</v>
      </c>
      <c r="N7">
        <v>725.71</v>
      </c>
      <c r="O7">
        <v>0</v>
      </c>
      <c r="P7">
        <v>0</v>
      </c>
      <c r="Q7">
        <v>0</v>
      </c>
      <c r="R7">
        <v>0</v>
      </c>
      <c r="S7">
        <v>676.12</v>
      </c>
      <c r="T7">
        <v>686.9</v>
      </c>
      <c r="U7">
        <v>0</v>
      </c>
      <c r="V7">
        <v>0</v>
      </c>
      <c r="W7">
        <v>0</v>
      </c>
      <c r="X7">
        <v>0</v>
      </c>
      <c r="Y7">
        <v>24165.71</v>
      </c>
      <c r="Z7">
        <v>24147.34</v>
      </c>
      <c r="AA7">
        <v>0</v>
      </c>
      <c r="AB7">
        <v>0</v>
      </c>
      <c r="AC7">
        <v>0</v>
      </c>
      <c r="AD7">
        <v>0</v>
      </c>
      <c r="AE7">
        <v>22563.01</v>
      </c>
      <c r="AF7">
        <v>22875.99</v>
      </c>
      <c r="AG7">
        <v>0</v>
      </c>
      <c r="AH7">
        <v>0</v>
      </c>
      <c r="AI7">
        <v>0</v>
      </c>
      <c r="AJ7">
        <v>0</v>
      </c>
      <c r="AK7">
        <v>0.7</v>
      </c>
      <c r="AL7">
        <v>0.3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2024-09-07T03:01:00Z</dcterms:created>
  <dcterms:modified xsi:type="dcterms:W3CDTF">2024-09-08T10:30:24Z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4DFA4CAE45C346CD839763026FC5D5F6_12</vt:lpwstr>
  </property>
  <property fmtid="{D5CDD505-2E9C-101B-9397-08002B2CF9AE}" pid="3" name="KSOProductBuildVer">
    <vt:lpwstr>2052-12.1.0.17827</vt:lpwstr>
  </property>
</Properties>
</file>