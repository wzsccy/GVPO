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<sst xmlns="http://schemas.openxmlformats.org/spreadsheetml/2006/main" count="432" uniqueCount="65">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</sst>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B13" sqref="A13:AP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578.06</v>
      </c>
      <c r="C2">
        <v>22737.88</v>
      </c>
      <c r="D2">
        <v>465.29</v>
      </c>
      <c r="E2">
        <v>22986.03</v>
      </c>
      <c r="F2">
        <v>593.95</v>
      </c>
      <c r="G2">
        <v>26239.67</v>
      </c>
      <c r="H2">
        <v>-1</v>
      </c>
      <c r="I2">
        <v>4612.81</v>
      </c>
      <c r="J2">
        <v>-1</v>
      </c>
      <c r="K2">
        <v>20930.86</v>
      </c>
      <c r="L2">
        <v>-1</v>
      </c>
      <c r="M2">
        <v>810.34</v>
      </c>
    </row>
    <row r="3" spans="1:13">
      <c r="A3" t="s">
        <v>14</v>
      </c>
      <c r="B3">
        <v>593.5</v>
      </c>
      <c r="C3">
        <v>23533.78</v>
      </c>
      <c r="D3">
        <v>481.83</v>
      </c>
      <c r="E3">
        <v>23206.95</v>
      </c>
      <c r="F3">
        <v>-1</v>
      </c>
      <c r="G3">
        <v>19771.19</v>
      </c>
      <c r="H3">
        <v>-1</v>
      </c>
      <c r="I3">
        <v>3676.81</v>
      </c>
      <c r="J3">
        <v>-1</v>
      </c>
      <c r="K3">
        <v>10861.43</v>
      </c>
      <c r="L3">
        <v>-1</v>
      </c>
      <c r="M3">
        <v>17604.69</v>
      </c>
    </row>
    <row r="4" spans="1:13">
      <c r="A4" t="s">
        <v>15</v>
      </c>
      <c r="B4">
        <v>603.51</v>
      </c>
      <c r="C4">
        <v>24018.1</v>
      </c>
      <c r="D4">
        <v>484.28</v>
      </c>
      <c r="E4">
        <v>23907.35</v>
      </c>
      <c r="F4">
        <v>627.2</v>
      </c>
      <c r="G4">
        <v>27566.51</v>
      </c>
      <c r="H4">
        <v>-1</v>
      </c>
      <c r="I4">
        <v>20056.34</v>
      </c>
      <c r="J4">
        <v>-1</v>
      </c>
      <c r="K4">
        <v>3001.26</v>
      </c>
      <c r="L4">
        <v>-1</v>
      </c>
      <c r="M4">
        <v>3015.23</v>
      </c>
    </row>
    <row r="5" spans="1:13">
      <c r="A5" t="s">
        <v>16</v>
      </c>
      <c r="B5">
        <v>585.7</v>
      </c>
      <c r="C5">
        <v>23208.07</v>
      </c>
      <c r="D5">
        <v>473.11</v>
      </c>
      <c r="E5">
        <v>23062.52</v>
      </c>
      <c r="F5">
        <v>594.31</v>
      </c>
      <c r="G5">
        <v>26620.24</v>
      </c>
      <c r="H5">
        <v>-1</v>
      </c>
      <c r="I5">
        <v>4112.4</v>
      </c>
      <c r="J5">
        <v>597.33</v>
      </c>
      <c r="K5">
        <v>23244.57</v>
      </c>
      <c r="L5">
        <v>-1</v>
      </c>
      <c r="M5">
        <v>0</v>
      </c>
    </row>
    <row r="6" spans="1:13">
      <c r="A6" t="s">
        <v>17</v>
      </c>
      <c r="B6">
        <v>576.51</v>
      </c>
      <c r="C6">
        <v>23083.28</v>
      </c>
      <c r="D6">
        <v>468.19</v>
      </c>
      <c r="E6">
        <v>22637.3</v>
      </c>
      <c r="F6">
        <v>-1</v>
      </c>
      <c r="G6">
        <v>11711.53</v>
      </c>
      <c r="H6">
        <v>-1</v>
      </c>
      <c r="I6">
        <v>10225.51</v>
      </c>
      <c r="J6">
        <v>583.71</v>
      </c>
      <c r="K6">
        <v>23146.21</v>
      </c>
      <c r="L6">
        <v>-1</v>
      </c>
      <c r="M6">
        <v>0</v>
      </c>
    </row>
    <row r="7" spans="1:13">
      <c r="A7" t="s">
        <v>18</v>
      </c>
      <c r="B7">
        <v>580</v>
      </c>
      <c r="C7">
        <v>23098.26</v>
      </c>
      <c r="D7">
        <v>472.48</v>
      </c>
      <c r="E7">
        <v>22749.17</v>
      </c>
      <c r="F7">
        <v>-1</v>
      </c>
      <c r="G7">
        <v>15692.3</v>
      </c>
      <c r="H7">
        <v>-1</v>
      </c>
      <c r="I7">
        <v>4242.17</v>
      </c>
      <c r="J7">
        <v>581.25</v>
      </c>
      <c r="K7">
        <v>23097.09</v>
      </c>
      <c r="L7">
        <v>-1</v>
      </c>
      <c r="M7">
        <v>3856.09</v>
      </c>
    </row>
    <row r="8" spans="1:13">
      <c r="A8" t="s">
        <v>19</v>
      </c>
      <c r="B8">
        <v>591.11</v>
      </c>
      <c r="C8">
        <v>23710.95</v>
      </c>
      <c r="D8">
        <v>475.43</v>
      </c>
      <c r="E8">
        <v>22578.34</v>
      </c>
      <c r="F8">
        <v>610.71</v>
      </c>
      <c r="G8">
        <v>27176.32</v>
      </c>
      <c r="H8">
        <v>-1</v>
      </c>
      <c r="I8">
        <v>3483.67</v>
      </c>
      <c r="J8">
        <v>601.05</v>
      </c>
      <c r="K8">
        <v>23741.29</v>
      </c>
      <c r="L8">
        <v>-1</v>
      </c>
      <c r="M8">
        <v>2250.79</v>
      </c>
    </row>
    <row r="9" spans="1:13">
      <c r="A9" t="s">
        <v>20</v>
      </c>
      <c r="B9">
        <v>598.73</v>
      </c>
      <c r="C9">
        <v>23710.36</v>
      </c>
      <c r="D9">
        <v>489.01</v>
      </c>
      <c r="E9">
        <v>23868.52</v>
      </c>
      <c r="F9">
        <v>606.9</v>
      </c>
      <c r="G9">
        <v>27271.1</v>
      </c>
      <c r="H9">
        <v>-1</v>
      </c>
      <c r="I9">
        <v>0</v>
      </c>
      <c r="J9">
        <v>599.92</v>
      </c>
      <c r="K9">
        <v>23767.19</v>
      </c>
      <c r="L9">
        <v>-1</v>
      </c>
      <c r="M9">
        <v>1826.26</v>
      </c>
    </row>
    <row r="10" spans="1:13">
      <c r="A10" t="s">
        <v>21</v>
      </c>
      <c r="B10">
        <v>576.15</v>
      </c>
      <c r="C10">
        <v>23120.66</v>
      </c>
      <c r="D10">
        <v>463.89</v>
      </c>
      <c r="E10">
        <v>22641.88</v>
      </c>
      <c r="F10">
        <v>589.07</v>
      </c>
      <c r="G10">
        <v>26481.93</v>
      </c>
      <c r="H10">
        <v>-1</v>
      </c>
      <c r="I10">
        <v>8615.97</v>
      </c>
      <c r="J10">
        <v>-1</v>
      </c>
      <c r="K10">
        <v>14347.37</v>
      </c>
      <c r="L10">
        <v>-1</v>
      </c>
      <c r="M10">
        <v>0</v>
      </c>
    </row>
    <row r="11" spans="1:13">
      <c r="A11" t="s">
        <v>22</v>
      </c>
      <c r="B11">
        <v>580.83</v>
      </c>
      <c r="C11">
        <v>23895.76</v>
      </c>
      <c r="D11">
        <v>470.16</v>
      </c>
      <c r="E11">
        <v>23075.77</v>
      </c>
      <c r="F11">
        <v>-1</v>
      </c>
      <c r="G11">
        <v>25190.17</v>
      </c>
      <c r="H11">
        <v>-1</v>
      </c>
      <c r="I11">
        <v>716.45</v>
      </c>
      <c r="J11">
        <v>582.1</v>
      </c>
      <c r="K11">
        <v>23989.45</v>
      </c>
      <c r="L11">
        <v>-1</v>
      </c>
      <c r="M11">
        <v>15218.5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586.41</v>
      </c>
      <c r="B14" s="4">
        <f>IFERROR(AVERAGEIF($D$2:$D$11,"&lt;&gt; -1"),0)</f>
        <v>474.367</v>
      </c>
      <c r="C14" s="4">
        <f>IFERROR(AVERAGEIF($F$2:$F$11,"&lt;&gt; -1"),0)</f>
        <v>603.69</v>
      </c>
      <c r="D14" s="4">
        <f>IFERROR(AVERAGEIF($H$2:$H$11,"&lt;&gt; -1"),0)</f>
        <v>0</v>
      </c>
      <c r="E14" s="4">
        <f>IFERROR(AVERAGEIF($J$2:$J$11,"&lt;&gt; -1"),0)</f>
        <v>590.893333333333</v>
      </c>
      <c r="F14" s="4">
        <f>IFERROR(AVERAGEIF($L$2:$L$11,"&lt;&gt; -1"),0)</f>
        <v>0</v>
      </c>
      <c r="G14" s="4">
        <f>IFERROR(AVERAGEIFS($C$2:$C$11,$B$2:$B$11,"&lt;&gt; -1"),0)</f>
        <v>23411.71</v>
      </c>
      <c r="H14" s="4">
        <f>IFERROR(AVERAGEIFS($E$2:$E$11,$D$2:$D$11,"&lt;&gt; -1"),0)</f>
        <v>23071.383</v>
      </c>
      <c r="I14" s="4">
        <f>IFERROR(AVERAGEIFS($G$2:$G$11,$F$2:$F$11,"&lt;&gt; -1"),0)</f>
        <v>26892.6283333333</v>
      </c>
      <c r="J14" s="4">
        <f>IFERROR(AVERAGEIFS($I$2:$I$11,$H$2:$H$11,"&lt;&gt; -1"),0)</f>
        <v>0</v>
      </c>
      <c r="K14" s="4">
        <f>IFERROR(AVERAGEIFS($K$2:$K$11,$J$2:$J$11,"&lt;&gt; -1"),0)</f>
        <v>23497.6333333333</v>
      </c>
      <c r="L14" s="4">
        <f>IFERROR(AVERAGEIFS($M$2:$M$11,$L$2:$L$11,"&lt;&gt; -1"),0)</f>
        <v>0</v>
      </c>
      <c r="M14" s="4">
        <f>IFERROR(_xlfn.MAXIFS($B$2:$B$11,$B$2:$B$11,"&lt;&gt; -1"),0)</f>
        <v>603.51</v>
      </c>
      <c r="N14" s="4">
        <f>IFERROR(_xlfn.MAXIFS($D$2:$D$11,$D$2:$D$11,"&lt;&gt;-1"),0)</f>
        <v>489.01</v>
      </c>
      <c r="O14" s="4">
        <f>IFERROR(_xlfn.MAXIFS($F$2:$F$11,$F$2:$F$11,"&lt;&gt; -1"),0)</f>
        <v>627.2</v>
      </c>
      <c r="P14" s="4">
        <f>IFERROR(_xlfn.MAXIFS($H$2:$H$11,$H$2:$H$11,"&lt;&gt; -1"),0)</f>
        <v>0</v>
      </c>
      <c r="Q14" s="4">
        <f>IFERROR(_xlfn.MAXIFS($J$2:$J$11,$J$2:$J$11,"&lt;&gt; -1"),0)</f>
        <v>601.05</v>
      </c>
      <c r="R14" s="4">
        <f>IFERROR(_xlfn.MAXIFS($L$2:$L$11,$L$2:$L$11,"&lt;&gt; -1"),0)</f>
        <v>0</v>
      </c>
      <c r="S14" s="4">
        <f>IFERROR(_xlfn.MINIFS($B$2:$B$11,$B$2:$B$11,"&lt;&gt; -1"),0)</f>
        <v>576.15</v>
      </c>
      <c r="T14" s="4">
        <f>IFERROR(_xlfn.MINIFS($D$2:$D$11,$D$2:$D$11,"&lt;&gt;-1"),0)</f>
        <v>463.89</v>
      </c>
      <c r="U14" s="4">
        <f>IFERROR(_xlfn.MINIFS($F$2:$F$11,$F$2:$F$11,"&lt;&gt; -1"),0)</f>
        <v>589.07</v>
      </c>
      <c r="V14" s="4">
        <f>IFERROR(_xlfn.MINIFS($H$2:$H$11,$H$2:$H$11,"&lt;&gt; -1"),0)</f>
        <v>0</v>
      </c>
      <c r="W14" s="4">
        <f>IFERROR(_xlfn.MINIFS($J$2:$J$11,$J$2:$J$11,"&lt;&gt; -1"),0)</f>
        <v>581.25</v>
      </c>
      <c r="X14" s="4">
        <f>IFERROR(_xlfn.MINIFS($L$2:$L$11,$L$2:$L$11,"&lt;&gt; -1"),0)</f>
        <v>0</v>
      </c>
      <c r="Y14" s="4">
        <f>IFERROR(_xlfn.MAXIFS($C$2:$C$11,$B$2:$B$11,"&lt;&gt; -1"),0)</f>
        <v>24018.1</v>
      </c>
      <c r="Z14" s="4">
        <f>IFERROR(_xlfn.MAXIFS($E$2:$E$11,$D$2:$D$11,"&lt;&gt; -1"),0)</f>
        <v>23907.35</v>
      </c>
      <c r="AA14" s="4">
        <f>IFERROR(_xlfn.MAXIFS($G$2:$G$11,$F$2:$F$11,"&lt;&gt; -1"),0)</f>
        <v>27566.51</v>
      </c>
      <c r="AB14" s="4">
        <f>IFERROR(_xlfn.MAXIFS($I$2:$I$11,$H$2:$H$11,"&lt;&gt; -1"),0)</f>
        <v>0</v>
      </c>
      <c r="AC14" s="4">
        <f>IFERROR(_xlfn.MAXIFS($K$2:$K$11,$J$2:$J$11,"&lt;&gt; -1"),0)</f>
        <v>23989.45</v>
      </c>
      <c r="AD14" s="4">
        <f>IFERROR(_xlfn.MAXIFS($M$2:$M$11,$L$2:$L$11,"&lt;&gt; -1"),0)</f>
        <v>0</v>
      </c>
      <c r="AE14" s="4">
        <f>IFERROR(_xlfn.MINIFS($C$2:$C$11,$B$2:$B$11,"&lt;&gt; -1"),0)</f>
        <v>22737.88</v>
      </c>
      <c r="AF14" s="4">
        <f>IFERROR(_xlfn.MINIFS($E$2:$E$11,$D$2:$D$11,"&lt;&gt; -1"),0)</f>
        <v>22578.34</v>
      </c>
      <c r="AG14" s="4">
        <f>IFERROR(_xlfn.MINIFS($G$2:$G$11,$F$2:$F$11,"&lt;&gt; -1"),0)</f>
        <v>26239.67</v>
      </c>
      <c r="AH14" s="4">
        <f>IFERROR(_xlfn.MINIFS($I$2:$I$11,$H$2:$H$11,"&lt;&gt; -1"),0)</f>
        <v>0</v>
      </c>
      <c r="AI14" s="4">
        <f>IFERROR(_xlfn.MINIFS($K$2:$K$11,$J$2:$J$11,"&lt;&gt; -1"),0)</f>
        <v>23097.09</v>
      </c>
      <c r="AJ14" s="4">
        <f>IFERROR(_xlfn.MINIFS($M$2:$M$11,$L$2:$L$11,"&lt;&gt; -1"),0)</f>
        <v>0</v>
      </c>
      <c r="AK14" s="4">
        <f>(COUNTIFS($B$2:$B$11,"&gt;0.0",$B$2:$B$11,"&lt;700.0"))/10</f>
        <v>1</v>
      </c>
      <c r="AL14" s="4">
        <f>(COUNTIFS($D$2:$D$11,"&gt;0.0",$D$2:$D$11,"&lt;700.0"))/10</f>
        <v>1</v>
      </c>
      <c r="AM14" s="4">
        <f>(COUNTIFS($F$2:$F$11,"&gt;0.0",$F$2:$F$11,"&lt;700.0"))/10</f>
        <v>0.6</v>
      </c>
      <c r="AN14" s="4">
        <f>(COUNTIFS($H$2:$H11,"&gt;0.0",$H$2:$H$11,"&lt;700.0"))/10</f>
        <v>0</v>
      </c>
      <c r="AO14" s="4">
        <f>(COUNTIFS($J$2:$J$11,"&gt;0.0",$J$2:$J$11,"&lt;700.0"))/10</f>
        <v>0.6</v>
      </c>
      <c r="AP14" s="4">
        <f>(COUNTIFS($L$2:$L$11,"&gt;0.0",$L$2:$L$11,"&lt;700.0"))/10</f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608.22</v>
      </c>
      <c r="C2">
        <v>22938.72</v>
      </c>
      <c r="D2">
        <v>502.75</v>
      </c>
      <c r="E2">
        <v>23284.98</v>
      </c>
      <c r="F2">
        <v>-1</v>
      </c>
      <c r="G2">
        <v>18848.41</v>
      </c>
      <c r="H2">
        <v>-1</v>
      </c>
      <c r="I2">
        <v>3566.52</v>
      </c>
      <c r="J2">
        <v>-1</v>
      </c>
      <c r="K2">
        <v>8411.8</v>
      </c>
      <c r="L2">
        <v>-1</v>
      </c>
      <c r="M2">
        <v>1131.35</v>
      </c>
    </row>
    <row r="3" spans="1:13">
      <c r="A3" t="s">
        <v>14</v>
      </c>
      <c r="B3">
        <v>628.47</v>
      </c>
      <c r="C3">
        <v>24174.9</v>
      </c>
      <c r="D3">
        <v>520.8</v>
      </c>
      <c r="E3">
        <v>23690.54</v>
      </c>
      <c r="F3">
        <v>-1</v>
      </c>
      <c r="G3">
        <v>27399.98</v>
      </c>
      <c r="H3">
        <v>-1</v>
      </c>
      <c r="I3">
        <v>3334.59</v>
      </c>
      <c r="J3">
        <v>-1</v>
      </c>
      <c r="K3">
        <v>5320.18</v>
      </c>
      <c r="L3">
        <v>-1</v>
      </c>
      <c r="M3">
        <v>0</v>
      </c>
    </row>
    <row r="4" spans="1:13">
      <c r="A4" t="s">
        <v>15</v>
      </c>
      <c r="B4">
        <v>634.38</v>
      </c>
      <c r="C4">
        <v>24248.91</v>
      </c>
      <c r="D4">
        <v>523.02</v>
      </c>
      <c r="E4">
        <v>23716.07</v>
      </c>
      <c r="F4">
        <v>-1</v>
      </c>
      <c r="G4">
        <v>4569.96</v>
      </c>
      <c r="H4">
        <v>-1</v>
      </c>
      <c r="I4">
        <v>16499.82</v>
      </c>
      <c r="J4">
        <v>-1</v>
      </c>
      <c r="K4">
        <v>10428.08</v>
      </c>
      <c r="L4">
        <v>-1</v>
      </c>
      <c r="M4">
        <v>0</v>
      </c>
    </row>
    <row r="5" spans="1:13">
      <c r="A5" t="s">
        <v>16</v>
      </c>
      <c r="B5">
        <v>617.6</v>
      </c>
      <c r="C5">
        <v>22965.04</v>
      </c>
      <c r="D5">
        <v>510.26</v>
      </c>
      <c r="E5">
        <v>22693.05</v>
      </c>
      <c r="F5">
        <v>-1</v>
      </c>
      <c r="G5">
        <v>21104.6</v>
      </c>
      <c r="H5">
        <v>-1</v>
      </c>
      <c r="I5">
        <v>3933.93</v>
      </c>
      <c r="J5">
        <v>-1</v>
      </c>
      <c r="K5">
        <v>15285.39</v>
      </c>
      <c r="L5">
        <v>-1</v>
      </c>
      <c r="M5">
        <v>0</v>
      </c>
    </row>
    <row r="6" spans="1:13">
      <c r="A6" t="s">
        <v>17</v>
      </c>
      <c r="B6">
        <v>612.35</v>
      </c>
      <c r="C6">
        <v>23535.49</v>
      </c>
      <c r="D6">
        <v>509</v>
      </c>
      <c r="E6">
        <v>24047.29</v>
      </c>
      <c r="F6">
        <v>629.08</v>
      </c>
      <c r="G6">
        <v>26979.9</v>
      </c>
      <c r="H6">
        <v>-1</v>
      </c>
      <c r="I6">
        <v>11613.15</v>
      </c>
      <c r="J6">
        <v>617.03</v>
      </c>
      <c r="K6">
        <v>23592.32</v>
      </c>
      <c r="L6">
        <v>-1</v>
      </c>
      <c r="M6">
        <v>0</v>
      </c>
    </row>
    <row r="7" spans="1:13">
      <c r="A7" t="s">
        <v>18</v>
      </c>
      <c r="B7">
        <v>609.64</v>
      </c>
      <c r="C7">
        <v>23853.02</v>
      </c>
      <c r="D7">
        <v>506.64</v>
      </c>
      <c r="E7">
        <v>22340.74</v>
      </c>
      <c r="F7">
        <v>-1</v>
      </c>
      <c r="G7">
        <v>13768.85</v>
      </c>
      <c r="H7">
        <v>-1</v>
      </c>
      <c r="I7">
        <v>8618.69</v>
      </c>
      <c r="J7">
        <v>-1</v>
      </c>
      <c r="K7">
        <v>12069.94</v>
      </c>
      <c r="L7">
        <v>-1</v>
      </c>
      <c r="M7">
        <v>0</v>
      </c>
    </row>
    <row r="8" spans="1:13">
      <c r="A8" t="s">
        <v>19</v>
      </c>
      <c r="B8">
        <v>609.34</v>
      </c>
      <c r="C8">
        <v>23406.92</v>
      </c>
      <c r="D8">
        <v>504.63</v>
      </c>
      <c r="E8">
        <v>23375.44</v>
      </c>
      <c r="F8">
        <v>-1</v>
      </c>
      <c r="G8">
        <v>26625.72</v>
      </c>
      <c r="H8">
        <v>-1</v>
      </c>
      <c r="I8">
        <v>0</v>
      </c>
      <c r="J8">
        <v>-1</v>
      </c>
      <c r="K8">
        <v>7866.53</v>
      </c>
      <c r="L8">
        <v>-1</v>
      </c>
      <c r="M8">
        <v>0</v>
      </c>
    </row>
    <row r="9" spans="1:13">
      <c r="A9" t="s">
        <v>20</v>
      </c>
      <c r="B9">
        <v>629.37</v>
      </c>
      <c r="C9">
        <v>23731.07</v>
      </c>
      <c r="D9">
        <v>526.74</v>
      </c>
      <c r="E9">
        <v>24109.62</v>
      </c>
      <c r="F9">
        <v>-1</v>
      </c>
      <c r="G9">
        <v>6907.32</v>
      </c>
      <c r="H9">
        <v>-1</v>
      </c>
      <c r="I9">
        <v>2360.1</v>
      </c>
      <c r="J9">
        <v>-1</v>
      </c>
      <c r="K9">
        <v>673.06</v>
      </c>
      <c r="L9">
        <v>-1</v>
      </c>
      <c r="M9">
        <v>0</v>
      </c>
    </row>
    <row r="10" spans="1:13">
      <c r="A10" t="s">
        <v>21</v>
      </c>
      <c r="B10">
        <v>617.28</v>
      </c>
      <c r="C10">
        <v>24080.36</v>
      </c>
      <c r="D10">
        <v>511.72</v>
      </c>
      <c r="E10">
        <v>23481.18</v>
      </c>
      <c r="F10">
        <v>634.35</v>
      </c>
      <c r="G10">
        <v>27552.33</v>
      </c>
      <c r="H10">
        <v>-1</v>
      </c>
      <c r="I10">
        <v>11587.31</v>
      </c>
      <c r="J10">
        <v>-1</v>
      </c>
      <c r="K10">
        <v>1624.38</v>
      </c>
      <c r="L10">
        <v>-1</v>
      </c>
      <c r="M10">
        <v>0</v>
      </c>
    </row>
    <row r="11" spans="1:13">
      <c r="A11" t="s">
        <v>22</v>
      </c>
      <c r="B11">
        <v>607.79</v>
      </c>
      <c r="C11">
        <v>23816.16</v>
      </c>
      <c r="D11">
        <v>507.93</v>
      </c>
      <c r="E11">
        <v>23636.25</v>
      </c>
      <c r="F11">
        <v>-1</v>
      </c>
      <c r="G11">
        <v>12977.09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617.444</v>
      </c>
      <c r="B14" s="4">
        <f>IFERROR(AVERAGEIF($D$2:$D$11,"&lt;&gt; -1"),0)</f>
        <v>512.349</v>
      </c>
      <c r="C14" s="4">
        <f>IFERROR(AVERAGEIF($F$2:$F$11,"&lt;&gt; -1"),0)</f>
        <v>631.715</v>
      </c>
      <c r="D14" s="4">
        <f>IFERROR(AVERAGEIF($H$2:$H$11,"&lt;&gt; -1"),0)</f>
        <v>0</v>
      </c>
      <c r="E14" s="4">
        <f>IFERROR(AVERAGEIF($J$2:$J$11,"&lt;&gt; -1"),0)</f>
        <v>617.03</v>
      </c>
      <c r="F14" s="4">
        <f>IFERROR(AVERAGEIF($L$2:$L$11,"&lt;&gt; -1"),0)</f>
        <v>0</v>
      </c>
      <c r="G14" s="4">
        <f>IFERROR(AVERAGEIFS($C$2:$C$11,$B$2:$B$11,"&lt;&gt; -1"),0)</f>
        <v>23675.059</v>
      </c>
      <c r="H14" s="4">
        <f>IFERROR(AVERAGEIFS($E$2:$E$11,$D$2:$D$11,"&lt;&gt; -1"),0)</f>
        <v>23437.516</v>
      </c>
      <c r="I14" s="4">
        <f>IFERROR(AVERAGEIFS($G$2:$G$11,$F$2:$F$11,"&lt;&gt; -1"),0)</f>
        <v>27266.115</v>
      </c>
      <c r="J14" s="4">
        <f>IFERROR(AVERAGEIFS($I$2:$I$11,$H$2:$H$11,"&lt;&gt; -1"),0)</f>
        <v>0</v>
      </c>
      <c r="K14" s="4">
        <f>IFERROR(AVERAGEIFS($K$2:$K$11,$J$2:$J$11,"&lt;&gt; -1"),0)</f>
        <v>23592.32</v>
      </c>
      <c r="L14" s="4">
        <f>IFERROR(AVERAGEIFS($M$2:$M$11,$L$2:$L$11,"&lt;&gt; -1"),0)</f>
        <v>0</v>
      </c>
      <c r="M14" s="4">
        <f>IFERROR(_xlfn.MAXIFS($B$2:$B$11,$B$2:$B$11,"&lt;&gt; -1"),0)</f>
        <v>634.38</v>
      </c>
      <c r="N14" s="4">
        <f>IFERROR(_xlfn.MAXIFS($D$2:$D$11,$D$2:$D$11,"&lt;&gt;-1"),0)</f>
        <v>526.74</v>
      </c>
      <c r="O14" s="4">
        <f>IFERROR(_xlfn.MAXIFS($F$2:$F$11,$F$2:$F$11,"&lt;&gt; -1"),0)</f>
        <v>634.35</v>
      </c>
      <c r="P14" s="4">
        <f>IFERROR(_xlfn.MAXIFS($H$2:$H$11,$H$2:$H$11,"&lt;&gt; -1"),0)</f>
        <v>0</v>
      </c>
      <c r="Q14" s="4">
        <f>IFERROR(_xlfn.MAXIFS($J$2:$J$11,$J$2:$J$11,"&lt;&gt; -1"),0)</f>
        <v>617.03</v>
      </c>
      <c r="R14" s="4">
        <f>IFERROR(_xlfn.MAXIFS($L$2:$L$11,$L$2:$L$11,"&lt;&gt; -1"),0)</f>
        <v>0</v>
      </c>
      <c r="S14" s="4">
        <f>IFERROR(_xlfn.MINIFS($B$2:$B$11,$B$2:$B$11,"&lt;&gt; -1"),0)</f>
        <v>607.79</v>
      </c>
      <c r="T14" s="4">
        <f>IFERROR(_xlfn.MINIFS($D$2:$D$11,$D$2:$D$11,"&lt;&gt;-1"),0)</f>
        <v>502.75</v>
      </c>
      <c r="U14" s="4">
        <f>IFERROR(_xlfn.MINIFS($F$2:$F$11,$F$2:$F$11,"&lt;&gt; -1"),0)</f>
        <v>629.08</v>
      </c>
      <c r="V14" s="4">
        <f>IFERROR(_xlfn.MINIFS($H$2:$H$11,$H$2:$H$11,"&lt;&gt; -1"),0)</f>
        <v>0</v>
      </c>
      <c r="W14" s="4">
        <f>IFERROR(_xlfn.MINIFS($J$2:$J$11,$J$2:$J$11,"&lt;&gt; -1"),0)</f>
        <v>617.03</v>
      </c>
      <c r="X14" s="4">
        <f>IFERROR(_xlfn.MINIFS($L$2:$L$11,$L$2:$L$11,"&lt;&gt; -1"),0)</f>
        <v>0</v>
      </c>
      <c r="Y14" s="4">
        <f>IFERROR(_xlfn.MAXIFS($C$2:$C$11,$B$2:$B$11,"&lt;&gt; -1"),0)</f>
        <v>24248.91</v>
      </c>
      <c r="Z14" s="4">
        <f>IFERROR(_xlfn.MAXIFS($E$2:$E$11,$D$2:$D$11,"&lt;&gt; -1"),0)</f>
        <v>24109.62</v>
      </c>
      <c r="AA14" s="4">
        <f>IFERROR(_xlfn.MAXIFS($G$2:$G$11,$F$2:$F$11,"&lt;&gt; -1"),0)</f>
        <v>27552.33</v>
      </c>
      <c r="AB14" s="4">
        <f>IFERROR(_xlfn.MAXIFS($I$2:$I$11,$H$2:$H$11,"&lt;&gt; -1"),0)</f>
        <v>0</v>
      </c>
      <c r="AC14" s="4">
        <f>IFERROR(_xlfn.MAXIFS($K$2:$K$11,$J$2:$J$11,"&lt;&gt; -1"),0)</f>
        <v>23592.32</v>
      </c>
      <c r="AD14" s="4">
        <f>IFERROR(_xlfn.MAXIFS($M$2:$M$11,$L$2:$L$11,"&lt;&gt; -1"),0)</f>
        <v>0</v>
      </c>
      <c r="AE14" s="4">
        <f>IFERROR(_xlfn.MINIFS($C$2:$C$11,$B$2:$B$11,"&lt;&gt; -1"),0)</f>
        <v>22938.72</v>
      </c>
      <c r="AF14" s="4">
        <f>IFERROR(_xlfn.MINIFS($E$2:$E$11,$D$2:$D$11,"&lt;&gt; -1"),0)</f>
        <v>22340.74</v>
      </c>
      <c r="AG14" s="4">
        <f>IFERROR(_xlfn.MINIFS($G$2:$G$11,$F$2:$F$11,"&lt;&gt; -1"),0)</f>
        <v>26979.9</v>
      </c>
      <c r="AH14" s="4">
        <f>IFERROR(_xlfn.MINIFS($I$2:$I$11,$H$2:$H$11,"&lt;&gt; -1"),0)</f>
        <v>0</v>
      </c>
      <c r="AI14" s="4">
        <f>IFERROR(_xlfn.MINIFS($K$2:$K$11,$J$2:$J$11,"&lt;&gt; -1"),0)</f>
        <v>23592.32</v>
      </c>
      <c r="AJ14" s="4">
        <f>IFERROR(_xlfn.MINIFS($M$2:$M$11,$L$2:$L$11,"&lt;&gt; -1"),0)</f>
        <v>0</v>
      </c>
      <c r="AK14" s="4">
        <f>(COUNTIFS($B$2:$B$11,"&gt;0.0",$B$2:$B$11,"&lt;700.0"))/10</f>
        <v>1</v>
      </c>
      <c r="AL14" s="4">
        <f>(COUNTIFS($D$2:$D$11,"&gt;0.0",$D$2:$D$11,"&lt;700.0"))/10</f>
        <v>1</v>
      </c>
      <c r="AM14" s="4">
        <f>(COUNTIFS($F$2:$F$11,"&gt;0.0",$F$2:$F$11,"&lt;700.0"))/10</f>
        <v>0.2</v>
      </c>
      <c r="AN14" s="4">
        <f>(COUNTIFS($H$2:$H11,"&gt;0.0",$H$2:$H$11,"&lt;700.0"))/10</f>
        <v>0</v>
      </c>
      <c r="AO14" s="4">
        <f>(COUNTIFS($J$2:$J$11,"&gt;0.0",$J$2:$J$11,"&lt;700.0"))/10</f>
        <v>0.1</v>
      </c>
      <c r="AP14" s="4">
        <f>(COUNTIFS($L$2:$L$11,"&gt;0.0",$L$2:$L$11,"&lt;700.0"))/10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636.14</v>
      </c>
      <c r="C2">
        <v>22940.12</v>
      </c>
      <c r="D2">
        <v>525.31</v>
      </c>
      <c r="E2">
        <v>23053.86</v>
      </c>
      <c r="F2">
        <v>-1</v>
      </c>
      <c r="G2">
        <v>0</v>
      </c>
      <c r="H2">
        <v>-1</v>
      </c>
      <c r="I2">
        <v>1651.44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676.5</v>
      </c>
      <c r="C3">
        <v>24424.96</v>
      </c>
      <c r="D3">
        <v>553.72</v>
      </c>
      <c r="E3">
        <v>23508.19</v>
      </c>
      <c r="F3">
        <v>-1</v>
      </c>
      <c r="G3">
        <v>0</v>
      </c>
      <c r="H3">
        <v>-1</v>
      </c>
      <c r="I3">
        <v>13381.95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707.51</v>
      </c>
      <c r="C4">
        <v>24418.38</v>
      </c>
      <c r="D4">
        <v>582.49</v>
      </c>
      <c r="E4">
        <v>22910.78</v>
      </c>
      <c r="F4">
        <v>-1</v>
      </c>
      <c r="G4">
        <v>0</v>
      </c>
      <c r="H4">
        <v>-1</v>
      </c>
      <c r="I4">
        <v>5570.52</v>
      </c>
      <c r="J4">
        <v>-1</v>
      </c>
      <c r="K4">
        <v>0</v>
      </c>
      <c r="L4">
        <v>-1</v>
      </c>
      <c r="M4">
        <v>3722.55</v>
      </c>
    </row>
    <row r="5" spans="1:13">
      <c r="A5" t="s">
        <v>16</v>
      </c>
      <c r="B5">
        <v>684.94</v>
      </c>
      <c r="C5">
        <v>23157.96</v>
      </c>
      <c r="D5">
        <v>565.55</v>
      </c>
      <c r="E5">
        <v>22185.76</v>
      </c>
      <c r="F5">
        <v>-1</v>
      </c>
      <c r="G5">
        <v>0</v>
      </c>
      <c r="H5">
        <v>-1</v>
      </c>
      <c r="I5">
        <v>6257.73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685.71</v>
      </c>
      <c r="C6">
        <v>23129.52</v>
      </c>
      <c r="D6">
        <v>566.41</v>
      </c>
      <c r="E6">
        <v>23425.98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691.79</v>
      </c>
      <c r="C7">
        <v>23128.62</v>
      </c>
      <c r="D7">
        <v>572.29</v>
      </c>
      <c r="E7">
        <v>23450.85</v>
      </c>
      <c r="F7">
        <v>-1</v>
      </c>
      <c r="G7">
        <v>0</v>
      </c>
      <c r="H7">
        <v>-1</v>
      </c>
      <c r="I7">
        <v>2517.32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682.81</v>
      </c>
      <c r="C8">
        <v>23180.98</v>
      </c>
      <c r="D8">
        <v>564.41</v>
      </c>
      <c r="E8">
        <v>23041.17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693.33</v>
      </c>
      <c r="C9">
        <v>24497.98</v>
      </c>
      <c r="D9">
        <v>576.23</v>
      </c>
      <c r="E9">
        <v>23659.83</v>
      </c>
      <c r="F9">
        <v>-1</v>
      </c>
      <c r="G9">
        <v>0</v>
      </c>
      <c r="H9">
        <v>-1</v>
      </c>
      <c r="I9">
        <v>4448.61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694.08</v>
      </c>
      <c r="C10">
        <v>23891.27</v>
      </c>
      <c r="D10">
        <v>569.24</v>
      </c>
      <c r="E10">
        <v>22901.57</v>
      </c>
      <c r="F10">
        <v>-1</v>
      </c>
      <c r="G10">
        <v>0</v>
      </c>
      <c r="H10">
        <v>-1</v>
      </c>
      <c r="I10">
        <v>3105.22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690.66</v>
      </c>
      <c r="C11">
        <v>23490.62</v>
      </c>
      <c r="D11">
        <v>566.02</v>
      </c>
      <c r="E11">
        <v>22394.59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684.347</v>
      </c>
      <c r="B14" s="4">
        <f>IFERROR(AVERAGEIF($D$2:$D$11,"&lt;&gt; -1"),0)</f>
        <v>564.167</v>
      </c>
      <c r="C14" s="4">
        <f>IFERROR(AVERAGEIF($F$2:$F$11,"&lt;&gt; -1"),0)</f>
        <v>0</v>
      </c>
      <c r="D14" s="4">
        <f>IFERROR(AVERAGEIF($H$2:$H$11,"&lt;&gt; -1"),0)</f>
        <v>0</v>
      </c>
      <c r="E14" s="4">
        <f>IFERROR(AVERAGEIF($J$2:$J$11,"&lt;&gt; -1"),0)</f>
        <v>0</v>
      </c>
      <c r="F14" s="4">
        <f>IFERROR(AVERAGEIF($L$2:$L$11,"&lt;&gt; -1"),0)</f>
        <v>0</v>
      </c>
      <c r="G14" s="4">
        <f>IFERROR(AVERAGEIFS($C$2:$C$11,$B$2:$B$11,"&lt;&gt; -1"),0)</f>
        <v>23626.041</v>
      </c>
      <c r="H14" s="4">
        <f>IFERROR(AVERAGEIFS($E$2:$E$11,$D$2:$D$11,"&lt;&gt; -1"),0)</f>
        <v>23053.258</v>
      </c>
      <c r="I14" s="4">
        <f>IFERROR(AVERAGEIFS($G$2:$G$11,$F$2:$F$11,"&lt;&gt; -1"),0)</f>
        <v>0</v>
      </c>
      <c r="J14" s="4">
        <f>IFERROR(AVERAGEIFS($I$2:$I$11,$H$2:$H$11,"&lt;&gt; -1"),0)</f>
        <v>0</v>
      </c>
      <c r="K14" s="4">
        <f>IFERROR(AVERAGEIFS($K$2:$K$11,$J$2:$J$11,"&lt;&gt; -1"),0)</f>
        <v>0</v>
      </c>
      <c r="L14" s="4">
        <f>IFERROR(AVERAGEIFS($M$2:$M$11,$L$2:$L$11,"&lt;&gt; -1"),0)</f>
        <v>0</v>
      </c>
      <c r="M14" s="4">
        <f>IFERROR(_xlfn.MAXIFS($B$2:$B$11,$B$2:$B$11,"&lt;&gt; -1"),0)</f>
        <v>707.51</v>
      </c>
      <c r="N14" s="4">
        <f>IFERROR(_xlfn.MAXIFS($D$2:$D$11,$D$2:$D$11,"&lt;&gt;-1"),0)</f>
        <v>582.49</v>
      </c>
      <c r="O14" s="4">
        <f>IFERROR(_xlfn.MAXIFS($F$2:$F$11,$F$2:$F$11,"&lt;&gt; -1"),0)</f>
        <v>0</v>
      </c>
      <c r="P14" s="4">
        <f>IFERROR(_xlfn.MAXIFS($H$2:$H$11,$H$2:$H$11,"&lt;&gt; -1"),0)</f>
        <v>0</v>
      </c>
      <c r="Q14" s="4">
        <f>IFERROR(_xlfn.MAXIFS($J$2:$J$11,$J$2:$J$11,"&lt;&gt; -1"),0)</f>
        <v>0</v>
      </c>
      <c r="R14" s="4">
        <f>IFERROR(_xlfn.MAXIFS($L$2:$L$11,$L$2:$L$11,"&lt;&gt; -1"),0)</f>
        <v>0</v>
      </c>
      <c r="S14" s="4">
        <f>IFERROR(_xlfn.MINIFS($B$2:$B$11,$B$2:$B$11,"&lt;&gt; -1"),0)</f>
        <v>636.14</v>
      </c>
      <c r="T14" s="4">
        <f>IFERROR(_xlfn.MINIFS($D$2:$D$11,$D$2:$D$11,"&lt;&gt;-1"),0)</f>
        <v>525.31</v>
      </c>
      <c r="U14" s="4">
        <f>IFERROR(_xlfn.MINIFS($F$2:$F$11,$F$2:$F$11,"&lt;&gt; -1"),0)</f>
        <v>0</v>
      </c>
      <c r="V14" s="4">
        <f>IFERROR(_xlfn.MINIFS($H$2:$H$11,$H$2:$H$11,"&lt;&gt; -1"),0)</f>
        <v>0</v>
      </c>
      <c r="W14" s="4">
        <f>IFERROR(_xlfn.MINIFS($J$2:$J$11,$J$2:$J$11,"&lt;&gt; -1"),0)</f>
        <v>0</v>
      </c>
      <c r="X14" s="4">
        <f>IFERROR(_xlfn.MINIFS($L$2:$L$11,$L$2:$L$11,"&lt;&gt; -1"),0)</f>
        <v>0</v>
      </c>
      <c r="Y14" s="4">
        <f>IFERROR(_xlfn.MAXIFS($C$2:$C$11,$B$2:$B$11,"&lt;&gt; -1"),0)</f>
        <v>24497.98</v>
      </c>
      <c r="Z14" s="4">
        <f>IFERROR(_xlfn.MAXIFS($E$2:$E$11,$D$2:$D$11,"&lt;&gt; -1"),0)</f>
        <v>23659.83</v>
      </c>
      <c r="AA14" s="4">
        <f>IFERROR(_xlfn.MAXIFS($G$2:$G$11,$F$2:$F$11,"&lt;&gt; -1"),0)</f>
        <v>0</v>
      </c>
      <c r="AB14" s="4">
        <f>IFERROR(_xlfn.MAXIFS($I$2:$I$11,$H$2:$H$11,"&lt;&gt; -1"),0)</f>
        <v>0</v>
      </c>
      <c r="AC14" s="4">
        <f>IFERROR(_xlfn.MAXIFS($K$2:$K$11,$J$2:$J$11,"&lt;&gt; -1"),0)</f>
        <v>0</v>
      </c>
      <c r="AD14" s="4">
        <f>IFERROR(_xlfn.MAXIFS($M$2:$M$11,$L$2:$L$11,"&lt;&gt; -1"),0)</f>
        <v>0</v>
      </c>
      <c r="AE14" s="4">
        <f>IFERROR(_xlfn.MINIFS($C$2:$C$11,$B$2:$B$11,"&lt;&gt; -1"),0)</f>
        <v>22940.12</v>
      </c>
      <c r="AF14" s="4">
        <f>IFERROR(_xlfn.MINIFS($E$2:$E$11,$D$2:$D$11,"&lt;&gt; -1"),0)</f>
        <v>22185.76</v>
      </c>
      <c r="AG14" s="4">
        <f>IFERROR(_xlfn.MINIFS($G$2:$G$11,$F$2:$F$11,"&lt;&gt; -1"),0)</f>
        <v>0</v>
      </c>
      <c r="AH14" s="4">
        <f>IFERROR(_xlfn.MINIFS($I$2:$I$11,$H$2:$H$11,"&lt;&gt; -1"),0)</f>
        <v>0</v>
      </c>
      <c r="AI14" s="4">
        <f>IFERROR(_xlfn.MINIFS($K$2:$K$11,$J$2:$J$11,"&lt;&gt; -1"),0)</f>
        <v>0</v>
      </c>
      <c r="AJ14" s="4">
        <f>IFERROR(_xlfn.MINIFS($M$2:$M$11,$L$2:$L$11,"&lt;&gt; -1"),0)</f>
        <v>0</v>
      </c>
      <c r="AK14" s="4">
        <f>(COUNTIFS($B$2:$B$11,"&gt;0.0",$B$2:$B$11,"&lt;700.0"))/10</f>
        <v>0.9</v>
      </c>
      <c r="AL14" s="4">
        <f>(COUNTIFS($D$2:$D$11,"&gt;0.0",$D$2:$D$11,"&lt;700.0"))/10</f>
        <v>1</v>
      </c>
      <c r="AM14" s="4">
        <f>(COUNTIFS($F$2:$F$11,"&gt;0.0",$F$2:$F$11,"&lt;700.0"))/10</f>
        <v>0</v>
      </c>
      <c r="AN14" s="4">
        <f>(COUNTIFS($H$2:$H11,"&gt;0.0",$H$2:$H$11,"&lt;700.0"))/10</f>
        <v>0</v>
      </c>
      <c r="AO14" s="4">
        <f>(COUNTIFS($J$2:$J$11,"&gt;0.0",$J$2:$J$11,"&lt;700.0"))/10</f>
        <v>0</v>
      </c>
      <c r="AP14" s="4">
        <f>(COUNTIFS($L$2:$L$11,"&gt;0.0",$L$2:$L$11,"&lt;700.0"))/10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697.6</v>
      </c>
      <c r="C2">
        <v>21895.51</v>
      </c>
      <c r="D2">
        <v>592.96</v>
      </c>
      <c r="E2">
        <v>22647.35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731.31</v>
      </c>
      <c r="C3">
        <v>23702.71</v>
      </c>
      <c r="D3">
        <v>620.63</v>
      </c>
      <c r="E3">
        <v>22577.67</v>
      </c>
      <c r="F3">
        <v>-1</v>
      </c>
      <c r="G3">
        <v>0</v>
      </c>
      <c r="H3">
        <v>-1</v>
      </c>
      <c r="I3">
        <v>2889.07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733.82</v>
      </c>
      <c r="C4">
        <v>24353.32</v>
      </c>
      <c r="D4">
        <v>625.38</v>
      </c>
      <c r="E4">
        <v>23851.55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693.25</v>
      </c>
      <c r="C5">
        <v>22961.67</v>
      </c>
      <c r="D5">
        <v>587.95</v>
      </c>
      <c r="E5">
        <v>23225.23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692.16</v>
      </c>
      <c r="C6">
        <v>23313.68</v>
      </c>
      <c r="D6">
        <v>586.55</v>
      </c>
      <c r="E6">
        <v>22821.14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703.55</v>
      </c>
      <c r="C7">
        <v>23814.53</v>
      </c>
      <c r="D7">
        <v>596.3</v>
      </c>
      <c r="E7">
        <v>22600.98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702.4</v>
      </c>
      <c r="C8">
        <v>23528.41</v>
      </c>
      <c r="D8">
        <v>591.75</v>
      </c>
      <c r="E8">
        <v>23231.82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711.64</v>
      </c>
      <c r="C9">
        <v>23766.7</v>
      </c>
      <c r="D9">
        <v>605.33</v>
      </c>
      <c r="E9">
        <v>22363.2</v>
      </c>
      <c r="F9">
        <v>-1</v>
      </c>
      <c r="G9">
        <v>0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702.4</v>
      </c>
      <c r="C10">
        <v>23400.7</v>
      </c>
      <c r="D10">
        <v>597.61</v>
      </c>
      <c r="E10">
        <v>23261.2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709.18</v>
      </c>
      <c r="C11">
        <v>23155.71</v>
      </c>
      <c r="D11">
        <v>595.97</v>
      </c>
      <c r="E11">
        <v>22785.4</v>
      </c>
      <c r="F11">
        <v>-1</v>
      </c>
      <c r="G11">
        <v>0</v>
      </c>
      <c r="H11">
        <v>-1</v>
      </c>
      <c r="I11">
        <v>3105.49</v>
      </c>
      <c r="J11">
        <v>-1</v>
      </c>
      <c r="K11">
        <v>0</v>
      </c>
      <c r="L11">
        <v>-1</v>
      </c>
      <c r="M11">
        <v>3505.53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707.731</v>
      </c>
      <c r="B14" s="4">
        <f>IFERROR(AVERAGEIF($D$2:$D$11,"&lt;&gt; -1"),0)</f>
        <v>600.043</v>
      </c>
      <c r="C14" s="4">
        <f>IFERROR(AVERAGEIF($F$2:$F$11,"&lt;&gt; -1"),0)</f>
        <v>0</v>
      </c>
      <c r="D14" s="4">
        <f>IFERROR(AVERAGEIF($H$2:$H$11,"&lt;&gt; -1"),0)</f>
        <v>0</v>
      </c>
      <c r="E14" s="4">
        <f>IFERROR(AVERAGEIF($J$2:$J$11,"&lt;&gt; -1"),0)</f>
        <v>0</v>
      </c>
      <c r="F14" s="4">
        <f>IFERROR(AVERAGEIF($L$2:$L$11,"&lt;&gt; -1"),0)</f>
        <v>0</v>
      </c>
      <c r="G14" s="4">
        <f>IFERROR(AVERAGEIFS($C$2:$C$11,$B$2:$B$11,"&lt;&gt; -1"),0)</f>
        <v>23389.294</v>
      </c>
      <c r="H14" s="4">
        <f>IFERROR(AVERAGEIFS($E$2:$E$11,$D$2:$D$11,"&lt;&gt; -1"),0)</f>
        <v>22936.554</v>
      </c>
      <c r="I14" s="4">
        <f>IFERROR(AVERAGEIFS($G$2:$G$11,$F$2:$F$11,"&lt;&gt; -1"),0)</f>
        <v>0</v>
      </c>
      <c r="J14" s="4">
        <f>IFERROR(AVERAGEIFS($I$2:$I$11,$H$2:$H$11,"&lt;&gt; -1"),0)</f>
        <v>0</v>
      </c>
      <c r="K14" s="4">
        <f>IFERROR(AVERAGEIFS($K$2:$K$11,$J$2:$J$11,"&lt;&gt; -1"),0)</f>
        <v>0</v>
      </c>
      <c r="L14" s="4">
        <f>IFERROR(AVERAGEIFS($M$2:$M$11,$L$2:$L$11,"&lt;&gt; -1"),0)</f>
        <v>0</v>
      </c>
      <c r="M14" s="4">
        <f>IFERROR(_xlfn.MAXIFS($B$2:$B$11,$B$2:$B$11,"&lt;&gt; -1"),0)</f>
        <v>733.82</v>
      </c>
      <c r="N14" s="4">
        <f>IFERROR(_xlfn.MAXIFS($D$2:$D$11,$D$2:$D$11,"&lt;&gt;-1"),0)</f>
        <v>625.38</v>
      </c>
      <c r="O14" s="4">
        <f>IFERROR(_xlfn.MAXIFS($F$2:$F$11,$F$2:$F$11,"&lt;&gt; -1"),0)</f>
        <v>0</v>
      </c>
      <c r="P14" s="4">
        <f>IFERROR(_xlfn.MAXIFS($H$2:$H$11,$H$2:$H$11,"&lt;&gt; -1"),0)</f>
        <v>0</v>
      </c>
      <c r="Q14" s="4">
        <f>IFERROR(_xlfn.MAXIFS($J$2:$J$11,$J$2:$J$11,"&lt;&gt; -1"),0)</f>
        <v>0</v>
      </c>
      <c r="R14" s="4">
        <f>IFERROR(_xlfn.MAXIFS($L$2:$L$11,$L$2:$L$11,"&lt;&gt; -1"),0)</f>
        <v>0</v>
      </c>
      <c r="S14" s="4">
        <f>IFERROR(_xlfn.MINIFS($B$2:$B$11,$B$2:$B$11,"&lt;&gt; -1"),0)</f>
        <v>692.16</v>
      </c>
      <c r="T14" s="4">
        <f>IFERROR(_xlfn.MINIFS($D$2:$D$11,$D$2:$D$11,"&lt;&gt;-1"),0)</f>
        <v>586.55</v>
      </c>
      <c r="U14" s="4">
        <f>IFERROR(_xlfn.MINIFS($F$2:$F$11,$F$2:$F$11,"&lt;&gt; -1"),0)</f>
        <v>0</v>
      </c>
      <c r="V14" s="4">
        <f>IFERROR(_xlfn.MINIFS($H$2:$H$11,$H$2:$H$11,"&lt;&gt; -1"),0)</f>
        <v>0</v>
      </c>
      <c r="W14" s="4">
        <f>IFERROR(_xlfn.MINIFS($J$2:$J$11,$J$2:$J$11,"&lt;&gt; -1"),0)</f>
        <v>0</v>
      </c>
      <c r="X14" s="4">
        <f>IFERROR(_xlfn.MINIFS($L$2:$L$11,$L$2:$L$11,"&lt;&gt; -1"),0)</f>
        <v>0</v>
      </c>
      <c r="Y14" s="4">
        <f>IFERROR(_xlfn.MAXIFS($C$2:$C$11,$B$2:$B$11,"&lt;&gt; -1"),0)</f>
        <v>24353.32</v>
      </c>
      <c r="Z14" s="4">
        <f>IFERROR(_xlfn.MAXIFS($E$2:$E$11,$D$2:$D$11,"&lt;&gt; -1"),0)</f>
        <v>23851.55</v>
      </c>
      <c r="AA14" s="4">
        <f>IFERROR(_xlfn.MAXIFS($G$2:$G$11,$F$2:$F$11,"&lt;&gt; -1"),0)</f>
        <v>0</v>
      </c>
      <c r="AB14" s="4">
        <f>IFERROR(_xlfn.MAXIFS($I$2:$I$11,$H$2:$H$11,"&lt;&gt; -1"),0)</f>
        <v>0</v>
      </c>
      <c r="AC14" s="4">
        <f>IFERROR(_xlfn.MAXIFS($K$2:$K$11,$J$2:$J$11,"&lt;&gt; -1"),0)</f>
        <v>0</v>
      </c>
      <c r="AD14" s="4">
        <f>IFERROR(_xlfn.MAXIFS($M$2:$M$11,$L$2:$L$11,"&lt;&gt; -1"),0)</f>
        <v>0</v>
      </c>
      <c r="AE14" s="4">
        <f>IFERROR(_xlfn.MINIFS($C$2:$C$11,$B$2:$B$11,"&lt;&gt; -1"),0)</f>
        <v>21895.51</v>
      </c>
      <c r="AF14" s="4">
        <f>IFERROR(_xlfn.MINIFS($E$2:$E$11,$D$2:$D$11,"&lt;&gt; -1"),0)</f>
        <v>22363.2</v>
      </c>
      <c r="AG14" s="4">
        <f>IFERROR(_xlfn.MINIFS($G$2:$G$11,$F$2:$F$11,"&lt;&gt; -1"),0)</f>
        <v>0</v>
      </c>
      <c r="AH14" s="4">
        <f>IFERROR(_xlfn.MINIFS($I$2:$I$11,$H$2:$H$11,"&lt;&gt; -1"),0)</f>
        <v>0</v>
      </c>
      <c r="AI14" s="4">
        <f>IFERROR(_xlfn.MINIFS($K$2:$K$11,$J$2:$J$11,"&lt;&gt; -1"),0)</f>
        <v>0</v>
      </c>
      <c r="AJ14" s="4">
        <f>IFERROR(_xlfn.MINIFS($M$2:$M$11,$L$2:$L$11,"&lt;&gt; -1"),0)</f>
        <v>0</v>
      </c>
      <c r="AK14" s="4">
        <f>(COUNTIFS($B$2:$B$11,"&gt;0.0",$B$2:$B$11,"&lt;700.0"))/10</f>
        <v>0.3</v>
      </c>
      <c r="AL14" s="4">
        <f>(COUNTIFS($D$2:$D$11,"&gt;0.0",$D$2:$D$11,"&lt;700.0"))/10</f>
        <v>1</v>
      </c>
      <c r="AM14" s="4">
        <f>(COUNTIFS($F$2:$F$11,"&gt;0.0",$F$2:$F$11,"&lt;700.0"))/10</f>
        <v>0</v>
      </c>
      <c r="AN14" s="4">
        <f>(COUNTIFS($H$2:$H11,"&gt;0.0",$H$2:$H$11,"&lt;700.0"))/10</f>
        <v>0</v>
      </c>
      <c r="AO14" s="4">
        <f>(COUNTIFS($J$2:$J$11,"&gt;0.0",$J$2:$J$11,"&lt;700.0"))/10</f>
        <v>0</v>
      </c>
      <c r="AP14" s="4">
        <f>(COUNTIFS($L$2:$L$11,"&gt;0.0",$L$2:$L$11,"&lt;700.0"))/10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711.31</v>
      </c>
      <c r="C2">
        <v>23324.77</v>
      </c>
      <c r="D2">
        <v>620.83</v>
      </c>
      <c r="E2">
        <v>23332.69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743.36</v>
      </c>
      <c r="C3">
        <v>24121.51</v>
      </c>
      <c r="D3">
        <v>647.29</v>
      </c>
      <c r="E3">
        <v>22906.11</v>
      </c>
      <c r="F3">
        <v>-1</v>
      </c>
      <c r="G3">
        <v>0</v>
      </c>
      <c r="H3">
        <v>-1</v>
      </c>
      <c r="I3">
        <v>9407.32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749.05</v>
      </c>
      <c r="C4">
        <v>23918.32</v>
      </c>
      <c r="D4">
        <v>653.4</v>
      </c>
      <c r="E4">
        <v>22679.63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722.82</v>
      </c>
      <c r="C5">
        <v>23040.81</v>
      </c>
      <c r="D5">
        <v>627.47</v>
      </c>
      <c r="E5">
        <v>22293.78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728.12</v>
      </c>
      <c r="C6">
        <v>23653.8</v>
      </c>
      <c r="D6">
        <v>634.11</v>
      </c>
      <c r="E6">
        <v>22957.74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716.74</v>
      </c>
      <c r="C7">
        <v>23713.7</v>
      </c>
      <c r="D7">
        <v>625.03</v>
      </c>
      <c r="E7">
        <v>23180.78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716.25</v>
      </c>
      <c r="C8">
        <v>24039.39</v>
      </c>
      <c r="D8">
        <v>624.41</v>
      </c>
      <c r="E8">
        <v>23032.62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3094.8</v>
      </c>
    </row>
    <row r="9" spans="1:13">
      <c r="A9" t="s">
        <v>20</v>
      </c>
      <c r="B9">
        <v>732.28</v>
      </c>
      <c r="C9">
        <v>24225.63</v>
      </c>
      <c r="D9">
        <v>639.72</v>
      </c>
      <c r="E9">
        <v>22943.59</v>
      </c>
      <c r="F9">
        <v>-1</v>
      </c>
      <c r="G9">
        <v>0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718.81</v>
      </c>
      <c r="C10">
        <v>24358.36</v>
      </c>
      <c r="D10">
        <v>626.51</v>
      </c>
      <c r="E10">
        <v>22894.24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694.41</v>
      </c>
      <c r="C11">
        <v>23764.55</v>
      </c>
      <c r="D11">
        <v>603.31</v>
      </c>
      <c r="E11">
        <v>22842.7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723.315</v>
      </c>
      <c r="B14" s="4">
        <f>IFERROR(AVERAGEIF($D$2:$D$11,"&lt;&gt; -1"),0)</f>
        <v>630.208</v>
      </c>
      <c r="C14" s="4">
        <f>IFERROR(AVERAGEIF($F$2:$F$11,"&lt;&gt; -1"),0)</f>
        <v>0</v>
      </c>
      <c r="D14" s="4">
        <f>IFERROR(AVERAGEIF($H$2:$H$11,"&lt;&gt; -1"),0)</f>
        <v>0</v>
      </c>
      <c r="E14" s="4">
        <f>IFERROR(AVERAGEIF($J$2:$J$11,"&lt;&gt; -1"),0)</f>
        <v>0</v>
      </c>
      <c r="F14" s="4">
        <f>IFERROR(AVERAGEIF($L$2:$L$11,"&lt;&gt; -1"),0)</f>
        <v>0</v>
      </c>
      <c r="G14" s="4">
        <f>IFERROR(AVERAGEIFS($C$2:$C$11,$B$2:$B$11,"&lt;&gt; -1"),0)</f>
        <v>23816.084</v>
      </c>
      <c r="H14" s="4">
        <f>IFERROR(AVERAGEIFS($E$2:$E$11,$D$2:$D$11,"&lt;&gt; -1"),0)</f>
        <v>22906.388</v>
      </c>
      <c r="I14" s="4">
        <f>IFERROR(AVERAGEIFS($G$2:$G$11,$F$2:$F$11,"&lt;&gt; -1"),0)</f>
        <v>0</v>
      </c>
      <c r="J14" s="4">
        <f>IFERROR(AVERAGEIFS($I$2:$I$11,$H$2:$H$11,"&lt;&gt; -1"),0)</f>
        <v>0</v>
      </c>
      <c r="K14" s="4">
        <f>IFERROR(AVERAGEIFS($K$2:$K$11,$J$2:$J$11,"&lt;&gt; -1"),0)</f>
        <v>0</v>
      </c>
      <c r="L14" s="4">
        <f>IFERROR(AVERAGEIFS($M$2:$M$11,$L$2:$L$11,"&lt;&gt; -1"),0)</f>
        <v>0</v>
      </c>
      <c r="M14" s="4">
        <f>IFERROR(_xlfn.MAXIFS($B$2:$B$11,$B$2:$B$11,"&lt;&gt; -1"),0)</f>
        <v>749.05</v>
      </c>
      <c r="N14" s="4">
        <f>IFERROR(_xlfn.MAXIFS($D$2:$D$11,$D$2:$D$11,"&lt;&gt;-1"),0)</f>
        <v>653.4</v>
      </c>
      <c r="O14" s="4">
        <f>IFERROR(_xlfn.MAXIFS($F$2:$F$11,$F$2:$F$11,"&lt;&gt; -1"),0)</f>
        <v>0</v>
      </c>
      <c r="P14" s="4">
        <f>IFERROR(_xlfn.MAXIFS($H$2:$H$11,$H$2:$H$11,"&lt;&gt; -1"),0)</f>
        <v>0</v>
      </c>
      <c r="Q14" s="4">
        <f>IFERROR(_xlfn.MAXIFS($J$2:$J$11,$J$2:$J$11,"&lt;&gt; -1"),0)</f>
        <v>0</v>
      </c>
      <c r="R14" s="4">
        <f>IFERROR(_xlfn.MAXIFS($L$2:$L$11,$L$2:$L$11,"&lt;&gt; -1"),0)</f>
        <v>0</v>
      </c>
      <c r="S14" s="4">
        <f>IFERROR(_xlfn.MINIFS($B$2:$B$11,$B$2:$B$11,"&lt;&gt; -1"),0)</f>
        <v>694.41</v>
      </c>
      <c r="T14" s="4">
        <f>IFERROR(_xlfn.MINIFS($D$2:$D$11,$D$2:$D$11,"&lt;&gt;-1"),0)</f>
        <v>603.31</v>
      </c>
      <c r="U14" s="4">
        <f>IFERROR(_xlfn.MINIFS($F$2:$F$11,$F$2:$F$11,"&lt;&gt; -1"),0)</f>
        <v>0</v>
      </c>
      <c r="V14" s="4">
        <f>IFERROR(_xlfn.MINIFS($H$2:$H$11,$H$2:$H$11,"&lt;&gt; -1"),0)</f>
        <v>0</v>
      </c>
      <c r="W14" s="4">
        <f>IFERROR(_xlfn.MINIFS($J$2:$J$11,$J$2:$J$11,"&lt;&gt; -1"),0)</f>
        <v>0</v>
      </c>
      <c r="X14" s="4">
        <f>IFERROR(_xlfn.MINIFS($L$2:$L$11,$L$2:$L$11,"&lt;&gt; -1"),0)</f>
        <v>0</v>
      </c>
      <c r="Y14" s="4">
        <f>IFERROR(_xlfn.MAXIFS($C$2:$C$11,$B$2:$B$11,"&lt;&gt; -1"),0)</f>
        <v>24358.36</v>
      </c>
      <c r="Z14" s="4">
        <f>IFERROR(_xlfn.MAXIFS($E$2:$E$11,$D$2:$D$11,"&lt;&gt; -1"),0)</f>
        <v>23332.69</v>
      </c>
      <c r="AA14" s="4">
        <f>IFERROR(_xlfn.MAXIFS($G$2:$G$11,$F$2:$F$11,"&lt;&gt; -1"),0)</f>
        <v>0</v>
      </c>
      <c r="AB14" s="4">
        <f>IFERROR(_xlfn.MAXIFS($I$2:$I$11,$H$2:$H$11,"&lt;&gt; -1"),0)</f>
        <v>0</v>
      </c>
      <c r="AC14" s="4">
        <f>IFERROR(_xlfn.MAXIFS($K$2:$K$11,$J$2:$J$11,"&lt;&gt; -1"),0)</f>
        <v>0</v>
      </c>
      <c r="AD14" s="4">
        <f>IFERROR(_xlfn.MAXIFS($M$2:$M$11,$L$2:$L$11,"&lt;&gt; -1"),0)</f>
        <v>0</v>
      </c>
      <c r="AE14" s="4">
        <f>IFERROR(_xlfn.MINIFS($C$2:$C$11,$B$2:$B$11,"&lt;&gt; -1"),0)</f>
        <v>23040.81</v>
      </c>
      <c r="AF14" s="4">
        <f>IFERROR(_xlfn.MINIFS($E$2:$E$11,$D$2:$D$11,"&lt;&gt; -1"),0)</f>
        <v>22293.78</v>
      </c>
      <c r="AG14" s="4">
        <f>IFERROR(_xlfn.MINIFS($G$2:$G$11,$F$2:$F$11,"&lt;&gt; -1"),0)</f>
        <v>0</v>
      </c>
      <c r="AH14" s="4">
        <f>IFERROR(_xlfn.MINIFS($I$2:$I$11,$H$2:$H$11,"&lt;&gt; -1"),0)</f>
        <v>0</v>
      </c>
      <c r="AI14" s="4">
        <f>IFERROR(_xlfn.MINIFS($K$2:$K$11,$J$2:$J$11,"&lt;&gt; -1"),0)</f>
        <v>0</v>
      </c>
      <c r="AJ14" s="4">
        <f>IFERROR(_xlfn.MINIFS($M$2:$M$11,$L$2:$L$11,"&lt;&gt; -1"),0)</f>
        <v>0</v>
      </c>
      <c r="AK14" s="4">
        <f>(COUNTIFS($B$2:$B$11,"&gt;0.0",$B$2:$B$11,"&lt;700.0"))/10</f>
        <v>0.1</v>
      </c>
      <c r="AL14" s="4">
        <f>(COUNTIFS($D$2:$D$11,"&gt;0.0",$D$2:$D$11,"&lt;700.0"))/10</f>
        <v>1</v>
      </c>
      <c r="AM14" s="4">
        <f>(COUNTIFS($F$2:$F$11,"&gt;0.0",$F$2:$F$11,"&lt;700.0"))/10</f>
        <v>0</v>
      </c>
      <c r="AN14" s="4">
        <f>(COUNTIFS($H$2:$H11,"&gt;0.0",$H$2:$H$11,"&lt;700.0"))/10</f>
        <v>0</v>
      </c>
      <c r="AO14" s="4">
        <f>(COUNTIFS($J$2:$J$11,"&gt;0.0",$J$2:$J$11,"&lt;700.0"))/10</f>
        <v>0</v>
      </c>
      <c r="AP14" s="4">
        <f>(COUNTIFS($L$2:$L$11,"&gt;0.0",$L$2:$L$11,"&lt;700.0"))/10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686.97</v>
      </c>
      <c r="C2">
        <v>23323.61</v>
      </c>
      <c r="D2">
        <v>641.4</v>
      </c>
      <c r="E2">
        <v>23009.72</v>
      </c>
      <c r="F2">
        <v>-1</v>
      </c>
      <c r="G2">
        <v>13180.69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716.44</v>
      </c>
      <c r="C3">
        <v>23409.27</v>
      </c>
      <c r="D3">
        <v>666.19</v>
      </c>
      <c r="E3">
        <v>23717.17</v>
      </c>
      <c r="F3">
        <v>-1</v>
      </c>
      <c r="G3">
        <v>6051.33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719.97</v>
      </c>
      <c r="C4">
        <v>23896.91</v>
      </c>
      <c r="D4">
        <v>669.03</v>
      </c>
      <c r="E4">
        <v>23545.85</v>
      </c>
      <c r="F4">
        <v>-1</v>
      </c>
      <c r="G4">
        <v>4678.8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644.76</v>
      </c>
      <c r="C5">
        <v>22219.35</v>
      </c>
      <c r="D5">
        <v>632.69</v>
      </c>
      <c r="E5">
        <v>23186.13</v>
      </c>
      <c r="F5">
        <v>652.04</v>
      </c>
      <c r="G5">
        <v>25447.36</v>
      </c>
      <c r="H5">
        <v>-1</v>
      </c>
      <c r="I5">
        <v>0</v>
      </c>
      <c r="J5">
        <v>645.9</v>
      </c>
      <c r="K5">
        <v>22225.4</v>
      </c>
      <c r="L5">
        <v>-1</v>
      </c>
      <c r="M5">
        <v>0</v>
      </c>
    </row>
    <row r="6" spans="1:13">
      <c r="A6" t="s">
        <v>17</v>
      </c>
      <c r="B6">
        <v>646.46</v>
      </c>
      <c r="C6">
        <v>22869.47</v>
      </c>
      <c r="D6">
        <v>634.16</v>
      </c>
      <c r="E6">
        <v>23961.85</v>
      </c>
      <c r="F6">
        <v>653.71</v>
      </c>
      <c r="G6">
        <v>26226.81</v>
      </c>
      <c r="H6">
        <v>-1</v>
      </c>
      <c r="I6">
        <v>0</v>
      </c>
      <c r="J6">
        <v>647.6</v>
      </c>
      <c r="K6">
        <v>22869.34</v>
      </c>
      <c r="L6">
        <v>-1</v>
      </c>
      <c r="M6">
        <v>0</v>
      </c>
    </row>
    <row r="7" spans="1:13">
      <c r="A7" t="s">
        <v>18</v>
      </c>
      <c r="B7">
        <v>686.59</v>
      </c>
      <c r="C7">
        <v>23302.43</v>
      </c>
      <c r="D7">
        <v>640.09</v>
      </c>
      <c r="E7">
        <v>22620.77</v>
      </c>
      <c r="F7">
        <v>-1</v>
      </c>
      <c r="G7">
        <v>1834.29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672.44</v>
      </c>
      <c r="C8">
        <v>23813.56</v>
      </c>
      <c r="D8">
        <v>627.95</v>
      </c>
      <c r="E8">
        <v>23054.2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657.06</v>
      </c>
      <c r="C9">
        <v>23613.09</v>
      </c>
      <c r="D9">
        <v>642.69</v>
      </c>
      <c r="E9">
        <v>23179.69</v>
      </c>
      <c r="F9">
        <v>664.24</v>
      </c>
      <c r="G9">
        <v>27162.43</v>
      </c>
      <c r="H9">
        <v>-1</v>
      </c>
      <c r="I9">
        <v>2368.91</v>
      </c>
      <c r="J9">
        <v>658.09</v>
      </c>
      <c r="K9">
        <v>23636.23</v>
      </c>
      <c r="L9">
        <v>-1</v>
      </c>
      <c r="M9">
        <v>0</v>
      </c>
    </row>
    <row r="10" spans="1:13">
      <c r="A10" t="s">
        <v>21</v>
      </c>
      <c r="B10">
        <v>683.8</v>
      </c>
      <c r="C10">
        <v>23552.12</v>
      </c>
      <c r="D10">
        <v>637.6</v>
      </c>
      <c r="E10">
        <v>23453.1</v>
      </c>
      <c r="F10">
        <v>-1</v>
      </c>
      <c r="G10">
        <v>892.32</v>
      </c>
      <c r="H10">
        <v>-1</v>
      </c>
      <c r="I10">
        <v>2763.67</v>
      </c>
      <c r="J10">
        <v>-1</v>
      </c>
      <c r="K10">
        <v>9265.49</v>
      </c>
      <c r="L10">
        <v>-1</v>
      </c>
      <c r="M10">
        <v>0</v>
      </c>
    </row>
    <row r="11" spans="1:13">
      <c r="A11" t="s">
        <v>22</v>
      </c>
      <c r="B11">
        <v>667.11</v>
      </c>
      <c r="C11">
        <v>22862.84</v>
      </c>
      <c r="D11">
        <v>621.07</v>
      </c>
      <c r="E11">
        <v>23034.4</v>
      </c>
      <c r="F11">
        <v>-1</v>
      </c>
      <c r="G11">
        <v>26022.88</v>
      </c>
      <c r="H11">
        <v>-1</v>
      </c>
      <c r="I11">
        <v>2335.41</v>
      </c>
      <c r="J11">
        <v>-1</v>
      </c>
      <c r="K11">
        <v>6432.44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678.16</v>
      </c>
      <c r="B14" s="4">
        <f>IFERROR(AVERAGEIF($D$2:$D$11,"&lt;&gt; -1"),0)</f>
        <v>641.287</v>
      </c>
      <c r="C14" s="4">
        <f>IFERROR(AVERAGEIF($F$2:$F$11,"&lt;&gt; -1"),0)</f>
        <v>656.663333333333</v>
      </c>
      <c r="D14" s="4">
        <f>IFERROR(AVERAGEIF($H$2:$H$11,"&lt;&gt; -1"),0)</f>
        <v>0</v>
      </c>
      <c r="E14" s="4">
        <f>IFERROR(AVERAGEIF($J$2:$J$11,"&lt;&gt; -1"),0)</f>
        <v>650.53</v>
      </c>
      <c r="F14" s="4">
        <f>IFERROR(AVERAGEIF($L$2:$L$11,"&lt;&gt; -1"),0)</f>
        <v>0</v>
      </c>
      <c r="G14" s="4">
        <f>IFERROR(AVERAGEIFS($C$2:$C$11,$B$2:$B$11,"&lt;&gt; -1"),0)</f>
        <v>23286.265</v>
      </c>
      <c r="H14" s="4">
        <f>IFERROR(AVERAGEIFS($E$2:$E$11,$D$2:$D$11,"&lt;&gt; -1"),0)</f>
        <v>23276.288</v>
      </c>
      <c r="I14" s="4">
        <f>IFERROR(AVERAGEIFS($G$2:$G$11,$F$2:$F$11,"&lt;&gt; -1"),0)</f>
        <v>26278.8666666667</v>
      </c>
      <c r="J14" s="4">
        <f>IFERROR(AVERAGEIFS($I$2:$I$11,$H$2:$H$11,"&lt;&gt; -1"),0)</f>
        <v>0</v>
      </c>
      <c r="K14" s="4">
        <f>IFERROR(AVERAGEIFS($K$2:$K$11,$J$2:$J$11,"&lt;&gt; -1"),0)</f>
        <v>22910.3233333333</v>
      </c>
      <c r="L14" s="4">
        <f>IFERROR(AVERAGEIFS($M$2:$M$11,$L$2:$L$11,"&lt;&gt; -1"),0)</f>
        <v>0</v>
      </c>
      <c r="M14" s="4">
        <f>IFERROR(_xlfn.MAXIFS($B$2:$B$11,$B$2:$B$11,"&lt;&gt; -1"),0)</f>
        <v>719.97</v>
      </c>
      <c r="N14" s="4">
        <f>IFERROR(_xlfn.MAXIFS($D$2:$D$11,$D$2:$D$11,"&lt;&gt;-1"),0)</f>
        <v>669.03</v>
      </c>
      <c r="O14" s="4">
        <f>IFERROR(_xlfn.MAXIFS($F$2:$F$11,$F$2:$F$11,"&lt;&gt; -1"),0)</f>
        <v>664.24</v>
      </c>
      <c r="P14" s="4">
        <f>IFERROR(_xlfn.MAXIFS($H$2:$H$11,$H$2:$H$11,"&lt;&gt; -1"),0)</f>
        <v>0</v>
      </c>
      <c r="Q14" s="4">
        <f>IFERROR(_xlfn.MAXIFS($J$2:$J$11,$J$2:$J$11,"&lt;&gt; -1"),0)</f>
        <v>658.09</v>
      </c>
      <c r="R14" s="4">
        <f>IFERROR(_xlfn.MAXIFS($L$2:$L$11,$L$2:$L$11,"&lt;&gt; -1"),0)</f>
        <v>0</v>
      </c>
      <c r="S14" s="4">
        <f>IFERROR(_xlfn.MINIFS($B$2:$B$11,$B$2:$B$11,"&lt;&gt; -1"),0)</f>
        <v>644.76</v>
      </c>
      <c r="T14" s="4">
        <f>IFERROR(_xlfn.MINIFS($D$2:$D$11,$D$2:$D$11,"&lt;&gt;-1"),0)</f>
        <v>621.07</v>
      </c>
      <c r="U14" s="4">
        <f>IFERROR(_xlfn.MINIFS($F$2:$F$11,$F$2:$F$11,"&lt;&gt; -1"),0)</f>
        <v>652.04</v>
      </c>
      <c r="V14" s="4">
        <f>IFERROR(_xlfn.MINIFS($H$2:$H$11,$H$2:$H$11,"&lt;&gt; -1"),0)</f>
        <v>0</v>
      </c>
      <c r="W14" s="4">
        <f>IFERROR(_xlfn.MINIFS($J$2:$J$11,$J$2:$J$11,"&lt;&gt; -1"),0)</f>
        <v>645.9</v>
      </c>
      <c r="X14" s="4">
        <f>IFERROR(_xlfn.MINIFS($L$2:$L$11,$L$2:$L$11,"&lt;&gt; -1"),0)</f>
        <v>0</v>
      </c>
      <c r="Y14" s="4">
        <f>IFERROR(_xlfn.MAXIFS($C$2:$C$11,$B$2:$B$11,"&lt;&gt; -1"),0)</f>
        <v>23896.91</v>
      </c>
      <c r="Z14" s="4">
        <f>IFERROR(_xlfn.MAXIFS($E$2:$E$11,$D$2:$D$11,"&lt;&gt; -1"),0)</f>
        <v>23961.85</v>
      </c>
      <c r="AA14" s="4">
        <f>IFERROR(_xlfn.MAXIFS($G$2:$G$11,$F$2:$F$11,"&lt;&gt; -1"),0)</f>
        <v>27162.43</v>
      </c>
      <c r="AB14" s="4">
        <f>IFERROR(_xlfn.MAXIFS($I$2:$I$11,$H$2:$H$11,"&lt;&gt; -1"),0)</f>
        <v>0</v>
      </c>
      <c r="AC14" s="4">
        <f>IFERROR(_xlfn.MAXIFS($K$2:$K$11,$J$2:$J$11,"&lt;&gt; -1"),0)</f>
        <v>23636.23</v>
      </c>
      <c r="AD14" s="4">
        <f>IFERROR(_xlfn.MAXIFS($M$2:$M$11,$L$2:$L$11,"&lt;&gt; -1"),0)</f>
        <v>0</v>
      </c>
      <c r="AE14" s="4">
        <f>IFERROR(_xlfn.MINIFS($C$2:$C$11,$B$2:$B$11,"&lt;&gt; -1"),0)</f>
        <v>22219.35</v>
      </c>
      <c r="AF14" s="4">
        <f>IFERROR(_xlfn.MINIFS($E$2:$E$11,$D$2:$D$11,"&lt;&gt; -1"),0)</f>
        <v>22620.77</v>
      </c>
      <c r="AG14" s="4">
        <f>IFERROR(_xlfn.MINIFS($G$2:$G$11,$F$2:$F$11,"&lt;&gt; -1"),0)</f>
        <v>25447.36</v>
      </c>
      <c r="AH14" s="4">
        <f>IFERROR(_xlfn.MINIFS($I$2:$I$11,$H$2:$H$11,"&lt;&gt; -1"),0)</f>
        <v>0</v>
      </c>
      <c r="AI14" s="4">
        <f>IFERROR(_xlfn.MINIFS($K$2:$K$11,$J$2:$J$11,"&lt;&gt; -1"),0)</f>
        <v>22225.4</v>
      </c>
      <c r="AJ14" s="4">
        <f>IFERROR(_xlfn.MINIFS($M$2:$M$11,$L$2:$L$11,"&lt;&gt; -1"),0)</f>
        <v>0</v>
      </c>
      <c r="AK14" s="4">
        <f>(COUNTIFS($B$2:$B$11,"&gt;0.0",$B$2:$B$11,"&lt;700.0"))/10</f>
        <v>0.8</v>
      </c>
      <c r="AL14" s="4">
        <f>(COUNTIFS($D$2:$D$11,"&gt;0.0",$D$2:$D$11,"&lt;700.0"))/10</f>
        <v>1</v>
      </c>
      <c r="AM14" s="4">
        <f>(COUNTIFS($F$2:$F$11,"&gt;0.0",$F$2:$F$11,"&lt;700.0"))/10</f>
        <v>0.3</v>
      </c>
      <c r="AN14" s="4">
        <f>(COUNTIFS($H$2:$H11,"&gt;0.0",$H$2:$H$11,"&lt;700.0"))/10</f>
        <v>0</v>
      </c>
      <c r="AO14" s="4">
        <f>(COUNTIFS($J$2:$J$11,"&gt;0.0",$J$2:$J$11,"&lt;700.0"))/10</f>
        <v>0.3</v>
      </c>
      <c r="AP14" s="4">
        <f>(COUNTIFS($L$2:$L$11,"&gt;0.0",$L$2:$L$11,"&lt;700.0"))/10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P12" sqref="P12"/>
    </sheetView>
  </sheetViews>
  <sheetFormatPr defaultColWidth="8.72727272727273" defaultRowHeight="14" outlineLevelRow="6"/>
  <sheetData>
    <row r="1" spans="1:4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</row>
    <row r="2" spans="1:42">
      <c r="A2">
        <v>586.41</v>
      </c>
      <c r="B2">
        <v>474.367</v>
      </c>
      <c r="C2">
        <v>603.69</v>
      </c>
      <c r="D2">
        <v>0</v>
      </c>
      <c r="E2">
        <v>590.893333333333</v>
      </c>
      <c r="F2">
        <v>0</v>
      </c>
      <c r="G2">
        <v>23411.71</v>
      </c>
      <c r="H2">
        <v>23071.383</v>
      </c>
      <c r="I2">
        <v>26892.6283333333</v>
      </c>
      <c r="J2">
        <v>0</v>
      </c>
      <c r="K2">
        <v>23497.6333333333</v>
      </c>
      <c r="L2">
        <v>0</v>
      </c>
      <c r="M2">
        <v>603.51</v>
      </c>
      <c r="N2">
        <v>489.01</v>
      </c>
      <c r="O2">
        <v>627.2</v>
      </c>
      <c r="P2">
        <v>0</v>
      </c>
      <c r="Q2">
        <v>601.05</v>
      </c>
      <c r="R2">
        <v>0</v>
      </c>
      <c r="S2">
        <v>576.15</v>
      </c>
      <c r="T2">
        <v>463.89</v>
      </c>
      <c r="U2">
        <v>589.07</v>
      </c>
      <c r="V2">
        <v>0</v>
      </c>
      <c r="W2">
        <v>581.25</v>
      </c>
      <c r="X2">
        <v>0</v>
      </c>
      <c r="Y2">
        <v>24018.1</v>
      </c>
      <c r="Z2">
        <v>23907.35</v>
      </c>
      <c r="AA2">
        <v>27566.51</v>
      </c>
      <c r="AB2">
        <v>0</v>
      </c>
      <c r="AC2">
        <v>23989.45</v>
      </c>
      <c r="AD2">
        <v>0</v>
      </c>
      <c r="AE2">
        <v>22737.88</v>
      </c>
      <c r="AF2">
        <v>22578.34</v>
      </c>
      <c r="AG2">
        <v>26239.67</v>
      </c>
      <c r="AH2">
        <v>0</v>
      </c>
      <c r="AI2">
        <v>23097.09</v>
      </c>
      <c r="AJ2">
        <v>0</v>
      </c>
      <c r="AK2">
        <v>1</v>
      </c>
      <c r="AL2">
        <v>1</v>
      </c>
      <c r="AM2">
        <v>0.6</v>
      </c>
      <c r="AN2">
        <v>0</v>
      </c>
      <c r="AO2">
        <v>0.6</v>
      </c>
      <c r="AP2">
        <v>0</v>
      </c>
    </row>
    <row r="3" spans="1:42">
      <c r="A3">
        <v>617.444</v>
      </c>
      <c r="B3">
        <v>512.349</v>
      </c>
      <c r="C3">
        <v>631.715</v>
      </c>
      <c r="D3">
        <v>0</v>
      </c>
      <c r="E3">
        <v>617.03</v>
      </c>
      <c r="F3">
        <v>0</v>
      </c>
      <c r="G3">
        <v>23675.059</v>
      </c>
      <c r="H3">
        <v>23437.516</v>
      </c>
      <c r="I3">
        <v>27266.115</v>
      </c>
      <c r="J3">
        <v>0</v>
      </c>
      <c r="K3">
        <v>23592.32</v>
      </c>
      <c r="L3">
        <v>0</v>
      </c>
      <c r="M3">
        <v>634.38</v>
      </c>
      <c r="N3">
        <v>526.74</v>
      </c>
      <c r="O3">
        <v>634.35</v>
      </c>
      <c r="P3">
        <v>0</v>
      </c>
      <c r="Q3">
        <v>617.03</v>
      </c>
      <c r="R3">
        <v>0</v>
      </c>
      <c r="S3">
        <v>607.79</v>
      </c>
      <c r="T3">
        <v>502.75</v>
      </c>
      <c r="U3">
        <v>629.08</v>
      </c>
      <c r="V3">
        <v>0</v>
      </c>
      <c r="W3">
        <v>617.03</v>
      </c>
      <c r="X3">
        <v>0</v>
      </c>
      <c r="Y3">
        <v>24248.91</v>
      </c>
      <c r="Z3">
        <v>24109.62</v>
      </c>
      <c r="AA3">
        <v>27552.33</v>
      </c>
      <c r="AB3">
        <v>0</v>
      </c>
      <c r="AC3">
        <v>23592.32</v>
      </c>
      <c r="AD3">
        <v>0</v>
      </c>
      <c r="AE3">
        <v>22938.72</v>
      </c>
      <c r="AF3">
        <v>22340.74</v>
      </c>
      <c r="AG3">
        <v>26979.9</v>
      </c>
      <c r="AH3">
        <v>0</v>
      </c>
      <c r="AI3">
        <v>23592.32</v>
      </c>
      <c r="AJ3">
        <v>0</v>
      </c>
      <c r="AK3">
        <v>1</v>
      </c>
      <c r="AL3">
        <v>1</v>
      </c>
      <c r="AM3">
        <v>0.2</v>
      </c>
      <c r="AN3">
        <v>0</v>
      </c>
      <c r="AO3">
        <v>0.1</v>
      </c>
      <c r="AP3">
        <v>0</v>
      </c>
    </row>
    <row r="4" spans="1:42">
      <c r="A4">
        <v>684.347</v>
      </c>
      <c r="B4">
        <v>564.167</v>
      </c>
      <c r="C4">
        <v>0</v>
      </c>
      <c r="D4">
        <v>0</v>
      </c>
      <c r="E4">
        <v>0</v>
      </c>
      <c r="F4">
        <v>0</v>
      </c>
      <c r="G4">
        <v>23626.041</v>
      </c>
      <c r="H4">
        <v>23053.258</v>
      </c>
      <c r="I4">
        <v>0</v>
      </c>
      <c r="J4">
        <v>0</v>
      </c>
      <c r="K4">
        <v>0</v>
      </c>
      <c r="L4">
        <v>0</v>
      </c>
      <c r="M4">
        <v>707.51</v>
      </c>
      <c r="N4">
        <v>582.49</v>
      </c>
      <c r="O4">
        <v>0</v>
      </c>
      <c r="P4">
        <v>0</v>
      </c>
      <c r="Q4">
        <v>0</v>
      </c>
      <c r="R4">
        <v>0</v>
      </c>
      <c r="S4">
        <v>636.14</v>
      </c>
      <c r="T4">
        <v>525.31</v>
      </c>
      <c r="U4">
        <v>0</v>
      </c>
      <c r="V4">
        <v>0</v>
      </c>
      <c r="W4">
        <v>0</v>
      </c>
      <c r="X4">
        <v>0</v>
      </c>
      <c r="Y4">
        <v>24497.98</v>
      </c>
      <c r="Z4">
        <v>23659.83</v>
      </c>
      <c r="AA4">
        <v>0</v>
      </c>
      <c r="AB4">
        <v>0</v>
      </c>
      <c r="AC4">
        <v>0</v>
      </c>
      <c r="AD4">
        <v>0</v>
      </c>
      <c r="AE4">
        <v>22940.12</v>
      </c>
      <c r="AF4">
        <v>22185.76</v>
      </c>
      <c r="AG4">
        <v>0</v>
      </c>
      <c r="AH4">
        <v>0</v>
      </c>
      <c r="AI4">
        <v>0</v>
      </c>
      <c r="AJ4">
        <v>0</v>
      </c>
      <c r="AK4">
        <v>0.9</v>
      </c>
      <c r="AL4">
        <v>1</v>
      </c>
      <c r="AM4">
        <v>0</v>
      </c>
      <c r="AN4">
        <v>0</v>
      </c>
      <c r="AO4">
        <v>0</v>
      </c>
      <c r="AP4">
        <v>0</v>
      </c>
    </row>
    <row r="5" spans="1:42">
      <c r="A5">
        <v>707.731</v>
      </c>
      <c r="B5">
        <v>600.043</v>
      </c>
      <c r="C5">
        <v>0</v>
      </c>
      <c r="D5">
        <v>0</v>
      </c>
      <c r="E5">
        <v>0</v>
      </c>
      <c r="F5">
        <v>0</v>
      </c>
      <c r="G5">
        <v>23389.294</v>
      </c>
      <c r="H5">
        <v>22936.554</v>
      </c>
      <c r="I5">
        <v>0</v>
      </c>
      <c r="J5">
        <v>0</v>
      </c>
      <c r="K5">
        <v>0</v>
      </c>
      <c r="L5">
        <v>0</v>
      </c>
      <c r="M5">
        <v>733.82</v>
      </c>
      <c r="N5">
        <v>625.38</v>
      </c>
      <c r="O5">
        <v>0</v>
      </c>
      <c r="P5">
        <v>0</v>
      </c>
      <c r="Q5">
        <v>0</v>
      </c>
      <c r="R5">
        <v>0</v>
      </c>
      <c r="S5">
        <v>692.16</v>
      </c>
      <c r="T5">
        <v>586.55</v>
      </c>
      <c r="U5">
        <v>0</v>
      </c>
      <c r="V5">
        <v>0</v>
      </c>
      <c r="W5">
        <v>0</v>
      </c>
      <c r="X5">
        <v>0</v>
      </c>
      <c r="Y5">
        <v>24353.32</v>
      </c>
      <c r="Z5">
        <v>23851.55</v>
      </c>
      <c r="AA5">
        <v>0</v>
      </c>
      <c r="AB5">
        <v>0</v>
      </c>
      <c r="AC5">
        <v>0</v>
      </c>
      <c r="AD5">
        <v>0</v>
      </c>
      <c r="AE5">
        <v>21895.51</v>
      </c>
      <c r="AF5">
        <v>22363.2</v>
      </c>
      <c r="AG5">
        <v>0</v>
      </c>
      <c r="AH5">
        <v>0</v>
      </c>
      <c r="AI5">
        <v>0</v>
      </c>
      <c r="AJ5">
        <v>0</v>
      </c>
      <c r="AK5">
        <v>0.3</v>
      </c>
      <c r="AL5">
        <v>1</v>
      </c>
      <c r="AM5">
        <v>0</v>
      </c>
      <c r="AN5">
        <v>0</v>
      </c>
      <c r="AO5">
        <v>0</v>
      </c>
      <c r="AP5">
        <v>0</v>
      </c>
    </row>
    <row r="6" spans="1:42">
      <c r="A6">
        <v>723.315</v>
      </c>
      <c r="B6">
        <v>630.208</v>
      </c>
      <c r="C6">
        <v>0</v>
      </c>
      <c r="D6">
        <v>0</v>
      </c>
      <c r="E6">
        <v>0</v>
      </c>
      <c r="F6">
        <v>0</v>
      </c>
      <c r="G6">
        <v>23816.084</v>
      </c>
      <c r="H6">
        <v>22906.388</v>
      </c>
      <c r="I6">
        <v>0</v>
      </c>
      <c r="J6">
        <v>0</v>
      </c>
      <c r="K6">
        <v>0</v>
      </c>
      <c r="L6">
        <v>0</v>
      </c>
      <c r="M6">
        <v>749.05</v>
      </c>
      <c r="N6">
        <v>653.4</v>
      </c>
      <c r="O6">
        <v>0</v>
      </c>
      <c r="P6">
        <v>0</v>
      </c>
      <c r="Q6">
        <v>0</v>
      </c>
      <c r="R6">
        <v>0</v>
      </c>
      <c r="S6">
        <v>694.41</v>
      </c>
      <c r="T6">
        <v>603.31</v>
      </c>
      <c r="U6">
        <v>0</v>
      </c>
      <c r="V6">
        <v>0</v>
      </c>
      <c r="W6">
        <v>0</v>
      </c>
      <c r="X6">
        <v>0</v>
      </c>
      <c r="Y6">
        <v>24358.36</v>
      </c>
      <c r="Z6">
        <v>23332.69</v>
      </c>
      <c r="AA6">
        <v>0</v>
      </c>
      <c r="AB6">
        <v>0</v>
      </c>
      <c r="AC6">
        <v>0</v>
      </c>
      <c r="AD6">
        <v>0</v>
      </c>
      <c r="AE6">
        <v>23040.81</v>
      </c>
      <c r="AF6">
        <v>22293.78</v>
      </c>
      <c r="AG6">
        <v>0</v>
      </c>
      <c r="AH6">
        <v>0</v>
      </c>
      <c r="AI6">
        <v>0</v>
      </c>
      <c r="AJ6">
        <v>0</v>
      </c>
      <c r="AK6">
        <v>0.1</v>
      </c>
      <c r="AL6">
        <v>1</v>
      </c>
      <c r="AM6">
        <v>0</v>
      </c>
      <c r="AN6">
        <v>0</v>
      </c>
      <c r="AO6">
        <v>0</v>
      </c>
      <c r="AP6">
        <v>0</v>
      </c>
    </row>
    <row r="7" spans="1:42">
      <c r="A7">
        <v>678.16</v>
      </c>
      <c r="B7">
        <v>641.287</v>
      </c>
      <c r="C7">
        <v>656.663333333333</v>
      </c>
      <c r="D7">
        <v>0</v>
      </c>
      <c r="E7">
        <v>650.53</v>
      </c>
      <c r="F7">
        <v>0</v>
      </c>
      <c r="G7">
        <v>23286.265</v>
      </c>
      <c r="H7">
        <v>23276.288</v>
      </c>
      <c r="I7">
        <v>26278.8666666667</v>
      </c>
      <c r="J7">
        <v>0</v>
      </c>
      <c r="K7">
        <v>22910.3233333333</v>
      </c>
      <c r="L7">
        <v>0</v>
      </c>
      <c r="M7">
        <v>719.97</v>
      </c>
      <c r="N7">
        <v>669.03</v>
      </c>
      <c r="O7">
        <v>664.24</v>
      </c>
      <c r="P7">
        <v>0</v>
      </c>
      <c r="Q7">
        <v>658.09</v>
      </c>
      <c r="R7">
        <v>0</v>
      </c>
      <c r="S7">
        <v>644.76</v>
      </c>
      <c r="T7">
        <v>621.07</v>
      </c>
      <c r="U7">
        <v>652.04</v>
      </c>
      <c r="V7">
        <v>0</v>
      </c>
      <c r="W7">
        <v>645.9</v>
      </c>
      <c r="X7">
        <v>0</v>
      </c>
      <c r="Y7">
        <v>23896.91</v>
      </c>
      <c r="Z7">
        <v>23961.85</v>
      </c>
      <c r="AA7">
        <v>27162.43</v>
      </c>
      <c r="AB7">
        <v>0</v>
      </c>
      <c r="AC7">
        <v>23636.23</v>
      </c>
      <c r="AD7">
        <v>0</v>
      </c>
      <c r="AE7">
        <v>22219.35</v>
      </c>
      <c r="AF7">
        <v>22620.77</v>
      </c>
      <c r="AG7">
        <v>25447.36</v>
      </c>
      <c r="AH7">
        <v>0</v>
      </c>
      <c r="AI7">
        <v>22225.4</v>
      </c>
      <c r="AJ7">
        <v>0</v>
      </c>
      <c r="AK7">
        <v>0.8</v>
      </c>
      <c r="AL7">
        <v>1</v>
      </c>
      <c r="AM7">
        <v>0.3</v>
      </c>
      <c r="AN7">
        <v>0</v>
      </c>
      <c r="AO7">
        <v>0.3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WPS_1666204842</cp:lastModifiedBy>
  <dcterms:created xsi:type="dcterms:W3CDTF">2024-09-26T11:54:00Z</dcterms:created>
  <dcterms:modified xsi:type="dcterms:W3CDTF">2024-09-26T12:19:26Z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BDA744753A5E43CDB713E72C72FCFB78_12</vt:lpwstr>
  </property>
  <property fmtid="{D5CDD505-2E9C-101B-9397-08002B2CF9AE}" pid="3" name="KSOProductBuildVer">
    <vt:lpwstr>2052-12.1.0.17827</vt:lpwstr>
  </property>
</Properties>
</file>