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<sst xmlns="http://schemas.openxmlformats.org/spreadsheetml/2006/main" count="522" uniqueCount="80">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</sst>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A28:AP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432.85</v>
      </c>
      <c r="C2">
        <v>18897.56</v>
      </c>
      <c r="D2">
        <v>322.29</v>
      </c>
      <c r="E2">
        <v>19118.63</v>
      </c>
      <c r="F2">
        <v>438.39</v>
      </c>
      <c r="G2">
        <v>22099.03</v>
      </c>
      <c r="H2">
        <v>-1</v>
      </c>
      <c r="I2">
        <v>12653.25</v>
      </c>
      <c r="J2">
        <v>455.06</v>
      </c>
      <c r="K2">
        <v>18901.9</v>
      </c>
      <c r="L2">
        <v>-1</v>
      </c>
      <c r="M2">
        <v>493.15</v>
      </c>
    </row>
    <row r="3" spans="1:13">
      <c r="A3" t="s">
        <v>14</v>
      </c>
      <c r="B3">
        <v>440.05</v>
      </c>
      <c r="C3">
        <v>18786.97</v>
      </c>
      <c r="D3">
        <v>329.22</v>
      </c>
      <c r="E3">
        <v>18869.07</v>
      </c>
      <c r="F3">
        <v>-1</v>
      </c>
      <c r="G3">
        <v>10149.6</v>
      </c>
      <c r="H3">
        <v>-1</v>
      </c>
      <c r="I3">
        <v>9533.14</v>
      </c>
      <c r="J3">
        <v>-1</v>
      </c>
      <c r="K3">
        <v>8643.89</v>
      </c>
      <c r="L3">
        <v>-1</v>
      </c>
      <c r="M3">
        <v>13182.18</v>
      </c>
    </row>
    <row r="4" spans="1:13">
      <c r="A4" t="s">
        <v>15</v>
      </c>
      <c r="B4">
        <v>430.38</v>
      </c>
      <c r="C4">
        <v>19178.16</v>
      </c>
      <c r="D4">
        <v>321.25</v>
      </c>
      <c r="E4">
        <v>18622.45</v>
      </c>
      <c r="F4">
        <v>449.29</v>
      </c>
      <c r="G4">
        <v>22338.21</v>
      </c>
      <c r="H4">
        <v>350.47</v>
      </c>
      <c r="I4">
        <v>21642.1</v>
      </c>
      <c r="J4">
        <v>-1</v>
      </c>
      <c r="K4">
        <v>16249.14</v>
      </c>
      <c r="L4">
        <v>-1</v>
      </c>
      <c r="M4">
        <v>10781.04</v>
      </c>
    </row>
    <row r="5" spans="1:13">
      <c r="A5" t="s">
        <v>16</v>
      </c>
      <c r="B5">
        <v>434.02</v>
      </c>
      <c r="C5">
        <v>18940.4</v>
      </c>
      <c r="D5">
        <v>326.03</v>
      </c>
      <c r="E5">
        <v>19266.58</v>
      </c>
      <c r="F5">
        <v>447.22</v>
      </c>
      <c r="G5">
        <v>22171.41</v>
      </c>
      <c r="H5">
        <v>-1</v>
      </c>
      <c r="I5">
        <v>13916.24</v>
      </c>
      <c r="J5">
        <v>-1</v>
      </c>
      <c r="K5">
        <v>18917.91</v>
      </c>
      <c r="L5">
        <v>-1</v>
      </c>
      <c r="M5">
        <v>4427.9</v>
      </c>
    </row>
    <row r="6" spans="1:13">
      <c r="A6" t="s">
        <v>17</v>
      </c>
      <c r="B6">
        <v>442.09</v>
      </c>
      <c r="C6">
        <v>19000.06</v>
      </c>
      <c r="D6">
        <v>330.03</v>
      </c>
      <c r="E6">
        <v>19494.33</v>
      </c>
      <c r="F6">
        <v>-1</v>
      </c>
      <c r="G6">
        <v>14213.25</v>
      </c>
      <c r="H6">
        <v>-1</v>
      </c>
      <c r="I6">
        <v>19812.85</v>
      </c>
      <c r="J6">
        <v>-1</v>
      </c>
      <c r="K6">
        <v>10222.39</v>
      </c>
      <c r="L6">
        <v>-1</v>
      </c>
      <c r="M6">
        <v>604.36</v>
      </c>
    </row>
    <row r="7" spans="1:13">
      <c r="A7" t="s">
        <v>18</v>
      </c>
      <c r="B7">
        <v>434.41</v>
      </c>
      <c r="C7">
        <v>18779.71</v>
      </c>
      <c r="D7">
        <v>324.48</v>
      </c>
      <c r="E7">
        <v>18639.65</v>
      </c>
      <c r="F7">
        <v>445.98</v>
      </c>
      <c r="G7">
        <v>22087.15</v>
      </c>
      <c r="H7">
        <v>329.52</v>
      </c>
      <c r="I7">
        <v>21870.74</v>
      </c>
      <c r="J7">
        <v>-1</v>
      </c>
      <c r="K7">
        <v>3290.65</v>
      </c>
      <c r="L7">
        <v>325.14</v>
      </c>
      <c r="M7">
        <v>18644.74</v>
      </c>
    </row>
    <row r="8" spans="1:13">
      <c r="A8" t="s">
        <v>19</v>
      </c>
      <c r="B8">
        <v>429.29</v>
      </c>
      <c r="C8">
        <v>17720.17</v>
      </c>
      <c r="D8">
        <v>312.75</v>
      </c>
      <c r="E8">
        <v>18248.18</v>
      </c>
      <c r="F8">
        <v>-1</v>
      </c>
      <c r="G8">
        <v>15680.42</v>
      </c>
      <c r="H8">
        <v>-1</v>
      </c>
      <c r="I8">
        <v>2310.77</v>
      </c>
      <c r="J8">
        <v>460.11</v>
      </c>
      <c r="K8">
        <v>17731.55</v>
      </c>
      <c r="L8">
        <v>-1</v>
      </c>
      <c r="M8">
        <v>7646.6</v>
      </c>
    </row>
    <row r="9" spans="1:13">
      <c r="A9" t="s">
        <v>20</v>
      </c>
      <c r="B9">
        <v>437.87</v>
      </c>
      <c r="C9">
        <v>19398.99</v>
      </c>
      <c r="D9">
        <v>323.78</v>
      </c>
      <c r="E9">
        <v>18558.62</v>
      </c>
      <c r="F9">
        <v>455.71</v>
      </c>
      <c r="G9">
        <v>22868.99</v>
      </c>
      <c r="H9">
        <v>340.88</v>
      </c>
      <c r="I9">
        <v>21866.17</v>
      </c>
      <c r="J9">
        <v>519.79</v>
      </c>
      <c r="K9">
        <v>19439.08</v>
      </c>
      <c r="L9">
        <v>326.35</v>
      </c>
      <c r="M9">
        <v>18572.02</v>
      </c>
    </row>
    <row r="10" spans="1:13">
      <c r="A10" t="s">
        <v>21</v>
      </c>
      <c r="B10">
        <v>431.25</v>
      </c>
      <c r="C10">
        <v>18897.81</v>
      </c>
      <c r="D10">
        <v>318.79</v>
      </c>
      <c r="E10">
        <v>18837.1</v>
      </c>
      <c r="F10">
        <v>464.55</v>
      </c>
      <c r="G10">
        <v>22086.95</v>
      </c>
      <c r="H10">
        <v>389.27</v>
      </c>
      <c r="I10">
        <v>21997.05</v>
      </c>
      <c r="J10">
        <v>468.44</v>
      </c>
      <c r="K10">
        <v>18940.02</v>
      </c>
      <c r="L10">
        <v>-1</v>
      </c>
      <c r="M10">
        <v>6056.58</v>
      </c>
    </row>
    <row r="11" spans="1:13">
      <c r="A11" t="s">
        <v>22</v>
      </c>
      <c r="B11">
        <v>464.92</v>
      </c>
      <c r="C11">
        <v>20158.46</v>
      </c>
      <c r="D11">
        <v>349.26</v>
      </c>
      <c r="E11">
        <v>20515.11</v>
      </c>
      <c r="F11">
        <v>537.4</v>
      </c>
      <c r="G11">
        <v>23643.65</v>
      </c>
      <c r="H11">
        <v>-1</v>
      </c>
      <c r="I11">
        <v>11425.14</v>
      </c>
      <c r="J11">
        <v>-1</v>
      </c>
      <c r="K11">
        <v>406.72</v>
      </c>
      <c r="L11">
        <v>-1</v>
      </c>
      <c r="M11">
        <v>5392.61</v>
      </c>
    </row>
    <row r="12" spans="1:13">
      <c r="A12" t="s">
        <v>23</v>
      </c>
      <c r="B12">
        <v>429.49</v>
      </c>
      <c r="C12">
        <v>18941.84</v>
      </c>
      <c r="D12">
        <v>320.29</v>
      </c>
      <c r="E12">
        <v>18079.74</v>
      </c>
      <c r="F12">
        <v>446.47</v>
      </c>
      <c r="G12">
        <v>22118.76</v>
      </c>
      <c r="H12">
        <v>374.4</v>
      </c>
      <c r="I12">
        <v>21015.78</v>
      </c>
      <c r="J12">
        <v>448.09</v>
      </c>
      <c r="K12">
        <v>18954.82</v>
      </c>
      <c r="L12">
        <v>-1</v>
      </c>
      <c r="M12">
        <v>12543.21</v>
      </c>
    </row>
    <row r="13" spans="1:13">
      <c r="A13" t="s">
        <v>24</v>
      </c>
      <c r="B13">
        <v>450.7</v>
      </c>
      <c r="C13">
        <v>19949.63</v>
      </c>
      <c r="D13">
        <v>335.84</v>
      </c>
      <c r="E13">
        <v>19669.48</v>
      </c>
      <c r="F13">
        <v>-1</v>
      </c>
      <c r="G13">
        <v>4591.2</v>
      </c>
      <c r="H13">
        <v>-1</v>
      </c>
      <c r="I13">
        <v>4013.42</v>
      </c>
      <c r="J13">
        <v>-1</v>
      </c>
      <c r="K13">
        <v>4114.79</v>
      </c>
      <c r="L13">
        <v>-1</v>
      </c>
      <c r="M13">
        <v>673.06</v>
      </c>
    </row>
    <row r="14" spans="1:13">
      <c r="A14" t="s">
        <v>25</v>
      </c>
      <c r="B14">
        <v>440.67</v>
      </c>
      <c r="C14">
        <v>18837.54</v>
      </c>
      <c r="D14">
        <v>331.98</v>
      </c>
      <c r="E14">
        <v>19167.6</v>
      </c>
      <c r="F14">
        <v>454.3</v>
      </c>
      <c r="G14">
        <v>21964.98</v>
      </c>
      <c r="H14">
        <v>368.55</v>
      </c>
      <c r="I14">
        <v>22304.79</v>
      </c>
      <c r="J14">
        <v>458.38</v>
      </c>
      <c r="K14">
        <v>18894.02</v>
      </c>
      <c r="L14">
        <v>-1</v>
      </c>
      <c r="M14">
        <v>13204.96</v>
      </c>
    </row>
    <row r="15" spans="1:13">
      <c r="A15" t="s">
        <v>26</v>
      </c>
      <c r="B15">
        <v>429.34</v>
      </c>
      <c r="C15">
        <v>18987.27</v>
      </c>
      <c r="D15">
        <v>319</v>
      </c>
      <c r="E15">
        <v>18837.38</v>
      </c>
      <c r="F15">
        <v>446.33</v>
      </c>
      <c r="G15">
        <v>22051.61</v>
      </c>
      <c r="H15">
        <v>342.2</v>
      </c>
      <c r="I15">
        <v>21934.63</v>
      </c>
      <c r="J15">
        <v>-1</v>
      </c>
      <c r="K15">
        <v>14168.9</v>
      </c>
      <c r="L15">
        <v>-1</v>
      </c>
      <c r="M15">
        <v>255.34</v>
      </c>
    </row>
    <row r="16" spans="1:13">
      <c r="A16" t="s">
        <v>27</v>
      </c>
      <c r="B16">
        <v>430.4</v>
      </c>
      <c r="C16">
        <v>18783.89</v>
      </c>
      <c r="D16">
        <v>321.65</v>
      </c>
      <c r="E16">
        <v>18889.77</v>
      </c>
      <c r="F16">
        <v>445.72</v>
      </c>
      <c r="G16">
        <v>21790.64</v>
      </c>
      <c r="H16">
        <v>357.83</v>
      </c>
      <c r="I16">
        <v>21928.19</v>
      </c>
      <c r="J16">
        <v>-1</v>
      </c>
      <c r="K16">
        <v>13121.27</v>
      </c>
      <c r="L16">
        <v>-1</v>
      </c>
      <c r="M16">
        <v>3570.61</v>
      </c>
    </row>
    <row r="17" spans="1:13">
      <c r="A17" t="s">
        <v>28</v>
      </c>
      <c r="B17">
        <v>431.86</v>
      </c>
      <c r="C17">
        <v>18738.09</v>
      </c>
      <c r="D17">
        <v>319.59</v>
      </c>
      <c r="E17">
        <v>19095.52</v>
      </c>
      <c r="F17">
        <v>453.67</v>
      </c>
      <c r="G17">
        <v>21795.59</v>
      </c>
      <c r="H17">
        <v>342.43</v>
      </c>
      <c r="I17">
        <v>22192.41</v>
      </c>
      <c r="J17">
        <v>-1</v>
      </c>
      <c r="K17">
        <v>10748.91</v>
      </c>
      <c r="L17">
        <v>405.88</v>
      </c>
      <c r="M17">
        <v>19114.32</v>
      </c>
    </row>
    <row r="18" spans="1:13">
      <c r="A18" t="s">
        <v>29</v>
      </c>
      <c r="B18">
        <v>444.1</v>
      </c>
      <c r="C18">
        <v>19448.85</v>
      </c>
      <c r="D18">
        <v>336.53</v>
      </c>
      <c r="E18">
        <v>20028.67</v>
      </c>
      <c r="F18">
        <v>-1</v>
      </c>
      <c r="G18">
        <v>12981.37</v>
      </c>
      <c r="H18">
        <v>-1</v>
      </c>
      <c r="I18">
        <v>11573.1</v>
      </c>
      <c r="J18">
        <v>467.22</v>
      </c>
      <c r="K18">
        <v>19538.2</v>
      </c>
      <c r="L18">
        <v>-1</v>
      </c>
      <c r="M18">
        <v>6424.42</v>
      </c>
    </row>
    <row r="19" spans="1:13">
      <c r="A19" t="s">
        <v>30</v>
      </c>
      <c r="B19">
        <v>430.19</v>
      </c>
      <c r="C19">
        <v>19361.64</v>
      </c>
      <c r="D19">
        <v>319.61</v>
      </c>
      <c r="E19">
        <v>18477.42</v>
      </c>
      <c r="F19">
        <v>449.95</v>
      </c>
      <c r="G19">
        <v>22592.7</v>
      </c>
      <c r="H19">
        <v>392.2</v>
      </c>
      <c r="I19">
        <v>21566.9</v>
      </c>
      <c r="J19">
        <v>-1</v>
      </c>
      <c r="K19">
        <v>19194.28</v>
      </c>
      <c r="L19">
        <v>390.36</v>
      </c>
      <c r="M19">
        <v>18421.98</v>
      </c>
    </row>
    <row r="20" spans="1:13">
      <c r="A20" t="s">
        <v>31</v>
      </c>
      <c r="B20">
        <v>398.7</v>
      </c>
      <c r="C20">
        <v>18823.84</v>
      </c>
      <c r="D20">
        <v>324.54</v>
      </c>
      <c r="E20">
        <v>19109.22</v>
      </c>
      <c r="F20">
        <v>-1</v>
      </c>
      <c r="G20">
        <v>11990.45</v>
      </c>
      <c r="H20">
        <v>-1</v>
      </c>
      <c r="I20">
        <v>19673.51</v>
      </c>
      <c r="J20">
        <v>400.78</v>
      </c>
      <c r="K20">
        <v>18831.91</v>
      </c>
      <c r="L20">
        <v>-1</v>
      </c>
      <c r="M20">
        <v>0</v>
      </c>
    </row>
    <row r="21" spans="1:13">
      <c r="A21" t="s">
        <v>32</v>
      </c>
      <c r="B21">
        <v>438.15</v>
      </c>
      <c r="C21">
        <v>19171.77</v>
      </c>
      <c r="D21">
        <v>329.56</v>
      </c>
      <c r="E21">
        <v>19762.99</v>
      </c>
      <c r="F21">
        <v>-1</v>
      </c>
      <c r="G21">
        <v>5862.25</v>
      </c>
      <c r="H21">
        <v>-1</v>
      </c>
      <c r="I21">
        <v>3104.62</v>
      </c>
      <c r="J21">
        <v>-1</v>
      </c>
      <c r="K21">
        <v>7802.62</v>
      </c>
      <c r="L21">
        <v>-1</v>
      </c>
      <c r="M21">
        <v>5698.8</v>
      </c>
    </row>
    <row r="22" spans="1:13">
      <c r="A22" t="s">
        <v>33</v>
      </c>
      <c r="B22">
        <v>437.75</v>
      </c>
      <c r="C22">
        <v>19428.61</v>
      </c>
      <c r="D22">
        <v>321.4</v>
      </c>
      <c r="E22">
        <v>19376.7</v>
      </c>
      <c r="F22">
        <v>452.03</v>
      </c>
      <c r="G22">
        <v>22733.66</v>
      </c>
      <c r="H22">
        <v>395.31</v>
      </c>
      <c r="I22">
        <v>22427.5</v>
      </c>
      <c r="J22">
        <v>470.71</v>
      </c>
      <c r="K22">
        <v>19444.01</v>
      </c>
      <c r="L22">
        <v>-1</v>
      </c>
      <c r="M22">
        <v>5834.46</v>
      </c>
    </row>
    <row r="23" spans="1:13">
      <c r="A23" t="s">
        <v>34</v>
      </c>
      <c r="B23">
        <v>438.07</v>
      </c>
      <c r="C23">
        <v>18713.61</v>
      </c>
      <c r="D23">
        <v>327.77</v>
      </c>
      <c r="E23">
        <v>19489.34</v>
      </c>
      <c r="F23">
        <v>-1</v>
      </c>
      <c r="G23">
        <v>14067.72</v>
      </c>
      <c r="H23">
        <v>-1</v>
      </c>
      <c r="I23">
        <v>12571.55</v>
      </c>
      <c r="J23">
        <v>439.63</v>
      </c>
      <c r="K23">
        <v>18734.01</v>
      </c>
      <c r="L23">
        <v>-1</v>
      </c>
      <c r="M23">
        <v>8614.41</v>
      </c>
    </row>
    <row r="24" spans="1:13">
      <c r="A24" t="s">
        <v>35</v>
      </c>
      <c r="B24">
        <v>443.82</v>
      </c>
      <c r="C24">
        <v>19456.65</v>
      </c>
      <c r="D24">
        <v>327.64</v>
      </c>
      <c r="E24">
        <v>18956.02</v>
      </c>
      <c r="F24">
        <v>475.72</v>
      </c>
      <c r="G24">
        <v>22553.84</v>
      </c>
      <c r="H24">
        <v>366.63</v>
      </c>
      <c r="I24">
        <v>22002.35</v>
      </c>
      <c r="J24">
        <v>-1</v>
      </c>
      <c r="K24">
        <v>1342.96</v>
      </c>
      <c r="L24">
        <v>-1</v>
      </c>
      <c r="M24">
        <v>1556.43</v>
      </c>
    </row>
    <row r="25" spans="1:13">
      <c r="A25" t="s">
        <v>36</v>
      </c>
      <c r="B25">
        <v>430.31</v>
      </c>
      <c r="C25">
        <v>19310.96</v>
      </c>
      <c r="D25">
        <v>323.33</v>
      </c>
      <c r="E25">
        <v>18840.17</v>
      </c>
      <c r="F25">
        <v>-1</v>
      </c>
      <c r="G25">
        <v>15529.72</v>
      </c>
      <c r="H25">
        <v>-1</v>
      </c>
      <c r="I25">
        <v>12865.42</v>
      </c>
      <c r="J25">
        <v>438.52</v>
      </c>
      <c r="K25">
        <v>19364.48</v>
      </c>
      <c r="L25">
        <v>-1</v>
      </c>
      <c r="M25">
        <v>0</v>
      </c>
    </row>
    <row r="26" spans="1:13">
      <c r="A26" t="s">
        <v>37</v>
      </c>
      <c r="B26">
        <v>436.92</v>
      </c>
      <c r="C26">
        <v>19081.95</v>
      </c>
      <c r="D26">
        <v>325.6</v>
      </c>
      <c r="E26">
        <v>19171.37</v>
      </c>
      <c r="F26">
        <v>-1</v>
      </c>
      <c r="G26">
        <v>15643.3</v>
      </c>
      <c r="H26">
        <v>-1</v>
      </c>
      <c r="I26">
        <v>19153.41</v>
      </c>
      <c r="J26">
        <v>486.03</v>
      </c>
      <c r="K26">
        <v>19133.48</v>
      </c>
      <c r="L26">
        <v>-1</v>
      </c>
      <c r="M26">
        <v>18319.34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435.504</v>
      </c>
      <c r="B29" s="4">
        <f>IFERROR(AVERAGEIF($D$2:$D$26,"&lt;&gt; -1"),0)</f>
        <v>325.6884</v>
      </c>
      <c r="C29" s="4">
        <f>IFERROR(AVERAGEIF($F$2:$F$26,"&lt;&gt; -1"),0)</f>
        <v>457.515333333333</v>
      </c>
      <c r="D29" s="4">
        <f>IFERROR(AVERAGEIF($H$2:$H$26,"&lt;&gt; -1"),0)</f>
        <v>362.474166666667</v>
      </c>
      <c r="E29" s="4">
        <f>IFERROR(AVERAGEIF($J$2:$J$26,"&lt;&gt; -1"),0)</f>
        <v>459.396666666667</v>
      </c>
      <c r="F29" s="4">
        <f>IFERROR(AVERAGEIF($L$2:$L$26,"&lt;&gt; -1"),0)</f>
        <v>361.9325</v>
      </c>
      <c r="G29" s="4">
        <f>IFERROR(AVERAGEIFS($C$2:$C$26,$B$2:$B$26,"&lt;&gt; -1"),0)</f>
        <v>19071.7772</v>
      </c>
      <c r="H29" s="4">
        <f>IFERROR(AVERAGEIFS($E$2:$E$26,$D$2:$D$26,"&lt;&gt; -1"),0)</f>
        <v>19084.8444</v>
      </c>
      <c r="I29" s="4">
        <f>IFERROR(AVERAGEIFS($G$2:$G$26,$F$2:$F$26,"&lt;&gt; -1"),0)</f>
        <v>22326.478</v>
      </c>
      <c r="J29" s="4">
        <f>IFERROR(AVERAGEIFS($I$2:$I$26,$H$2:$H$26,"&lt;&gt; -1"),0)</f>
        <v>21895.7175</v>
      </c>
      <c r="K29" s="4">
        <f>IFERROR(AVERAGEIFS($K$2:$K$26,$J$2:$J$26,"&lt;&gt; -1"),0)</f>
        <v>18992.29</v>
      </c>
      <c r="L29" s="4">
        <f>IFERROR(AVERAGEIFS($M$2:$M$26,$L$2:$L$26,"&lt;&gt; -1"),0)</f>
        <v>18688.265</v>
      </c>
      <c r="M29" s="4">
        <f>IFERROR(_xlfn.MAXIFS($B$2:$B$26,$B$2:$B$26,"&lt;&gt; -1"),0)</f>
        <v>464.92</v>
      </c>
      <c r="N29" s="4">
        <f>IFERROR(_xlfn.MAXIFS($D$2:$D$26,$D$2:$D$26,"&lt;&gt;-1"),0)</f>
        <v>349.26</v>
      </c>
      <c r="O29" s="4">
        <f>IFERROR(_xlfn.MAXIFS($F$2:$F$26,$F$2:$F$26,"&lt;&gt; -1"),0)</f>
        <v>537.4</v>
      </c>
      <c r="P29" s="4">
        <f>IFERROR(_xlfn.MAXIFS($H$2:$H$26,$H$2:$H$26,"&lt;&gt; -1"),0)</f>
        <v>395.31</v>
      </c>
      <c r="Q29" s="4">
        <f>IFERROR(_xlfn.MAXIFS($J$2:$J$26,$J$2:$J$26,"&lt;&gt; -1"),0)</f>
        <v>519.79</v>
      </c>
      <c r="R29" s="4">
        <f>IFERROR(_xlfn.MAXIFS($L$2:$L$26,$L$2:$L$26,"&lt;&gt; -1"),0)</f>
        <v>405.88</v>
      </c>
      <c r="S29" s="4">
        <f>IFERROR(_xlfn.MINIFS($B$2:$B$26,$B$2:$B$26,"&lt;&gt; -1"),0)</f>
        <v>398.7</v>
      </c>
      <c r="T29" s="4">
        <f>IFERROR(_xlfn.MINIFS($D$2:$D$26,$D$2:$D$26,"&lt;&gt;-1"),0)</f>
        <v>312.75</v>
      </c>
      <c r="U29" s="4">
        <f>IFERROR(_xlfn.MINIFS($F$2:$F$26,$F$2:$F$26,"&lt;&gt; -1"),0)</f>
        <v>438.39</v>
      </c>
      <c r="V29" s="4">
        <f>IFERROR(_xlfn.MINIFS($H$2:$H$26,$H$2:$H$26,"&lt;&gt; -1"),0)</f>
        <v>329.52</v>
      </c>
      <c r="W29" s="4">
        <f>IFERROR(_xlfn.MINIFS($J$2:$J$26,$J$2:$J$26,"&lt;&gt; -1"),0)</f>
        <v>400.78</v>
      </c>
      <c r="X29" s="4">
        <f>IFERROR(_xlfn.MINIFS($L$2:$L$26,$L$2:$L$26,"&lt;&gt; -1"),0)</f>
        <v>325.14</v>
      </c>
      <c r="Y29" s="4">
        <f>IFERROR(_xlfn.MAXIFS($C$2:$C$26,$B$2:$B$26,"&lt;&gt; -1"),0)</f>
        <v>20158.46</v>
      </c>
      <c r="Z29" s="4">
        <f>IFERROR(_xlfn.MAXIFS($E$2:$E$26,$D$2:$D$26,"&lt;&gt; -1"),0)</f>
        <v>20515.11</v>
      </c>
      <c r="AA29" s="4">
        <f>IFERROR(_xlfn.MAXIFS($G$2:$G$26,$F$2:$F$26,"&lt;&gt; -1"),0)</f>
        <v>23643.65</v>
      </c>
      <c r="AB29" s="4">
        <f>IFERROR(_xlfn.MAXIFS($I$2:$I$26,$H$2:$H$26,"&lt;&gt; -1"),0)</f>
        <v>22427.5</v>
      </c>
      <c r="AC29" s="4">
        <f>IFERROR(_xlfn.MAXIFS($K$2:$K$26,$J$2:$J$26,"&lt;&gt; -1"),0)</f>
        <v>19538.2</v>
      </c>
      <c r="AD29" s="4">
        <f>IFERROR(_xlfn.MAXIFS($M$2:$M$26,$L$2:$L$26,"&lt;&gt; -1"),0)</f>
        <v>19114.32</v>
      </c>
      <c r="AE29" s="4">
        <f>IFERROR(_xlfn.MINIFS($C$2:$C$26,$B$2:$B$26,"&lt;&gt; -1"),0)</f>
        <v>17720.17</v>
      </c>
      <c r="AF29" s="4">
        <f>IFERROR(_xlfn.MINIFS($E$2:$E$26,$D$2:$D$26,"&lt;&gt; -1"),0)</f>
        <v>18079.74</v>
      </c>
      <c r="AG29" s="4">
        <f>IFERROR(_xlfn.MINIFS($G$2:$G$26,$F$2:$F$26,"&lt;&gt; -1"),0)</f>
        <v>21790.64</v>
      </c>
      <c r="AH29" s="4">
        <f>IFERROR(_xlfn.MINIFS($I$2:$I$26,$H$2:$H$26,"&lt;&gt; -1"),0)</f>
        <v>21015.78</v>
      </c>
      <c r="AI29" s="4">
        <f>IFERROR(_xlfn.MINIFS($K$2:$K$26,$J$2:$J$26,"&lt;&gt; -1"),0)</f>
        <v>17731.55</v>
      </c>
      <c r="AJ29" s="4">
        <f>IFERROR(_xlfn.MINIFS($M$2:$M$26,$L$2:$L$26,"&lt;&gt; -1"),0)</f>
        <v>18421.98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0.6</v>
      </c>
      <c r="AN29" s="4">
        <f>(COUNTIFS($H$2:$H26,"&gt;0.0",$H$2:$H$26,"&lt;700.0"))/25</f>
        <v>0.48</v>
      </c>
      <c r="AO29" s="4">
        <f>(COUNTIFS($J$2:$J$26,"&gt;0.0",$J$2:$J$26,"&lt;700.0"))/25</f>
        <v>0.48</v>
      </c>
      <c r="AP29" s="4">
        <f>(COUNTIFS($L$2:$L$26,"&gt;0.0",$L$2:$L$26,"&lt;700.0"))/25</f>
        <v>0.16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460.07</v>
      </c>
      <c r="C2">
        <v>18862.46</v>
      </c>
      <c r="D2">
        <v>354</v>
      </c>
      <c r="E2">
        <v>18893.27</v>
      </c>
      <c r="F2">
        <v>498.01</v>
      </c>
      <c r="G2">
        <v>21823.69</v>
      </c>
      <c r="H2">
        <v>-1</v>
      </c>
      <c r="I2">
        <v>15301.18</v>
      </c>
      <c r="J2">
        <v>-1</v>
      </c>
      <c r="K2">
        <v>18072.18</v>
      </c>
      <c r="L2">
        <v>-1</v>
      </c>
      <c r="M2">
        <v>0</v>
      </c>
    </row>
    <row r="3" spans="1:13">
      <c r="A3" t="s">
        <v>14</v>
      </c>
      <c r="B3">
        <v>463.48</v>
      </c>
      <c r="C3">
        <v>18745.37</v>
      </c>
      <c r="D3">
        <v>354.93</v>
      </c>
      <c r="E3">
        <v>19465.07</v>
      </c>
      <c r="F3">
        <v>-1</v>
      </c>
      <c r="G3">
        <v>627.92</v>
      </c>
      <c r="H3">
        <v>-1</v>
      </c>
      <c r="I3">
        <v>584.48</v>
      </c>
      <c r="J3">
        <v>-1</v>
      </c>
      <c r="K3">
        <v>3642.35</v>
      </c>
      <c r="L3">
        <v>-1</v>
      </c>
      <c r="M3">
        <v>3710.27</v>
      </c>
    </row>
    <row r="4" spans="1:13">
      <c r="A4" t="s">
        <v>15</v>
      </c>
      <c r="B4">
        <v>448.25</v>
      </c>
      <c r="C4">
        <v>19468.99</v>
      </c>
      <c r="D4">
        <v>344.15</v>
      </c>
      <c r="E4">
        <v>18561.35</v>
      </c>
      <c r="F4">
        <v>468.76</v>
      </c>
      <c r="G4">
        <v>22728.63</v>
      </c>
      <c r="H4">
        <v>403.5</v>
      </c>
      <c r="I4">
        <v>21497.62</v>
      </c>
      <c r="J4">
        <v>-1</v>
      </c>
      <c r="K4">
        <v>17823.35</v>
      </c>
      <c r="L4">
        <v>-1</v>
      </c>
      <c r="M4">
        <v>0</v>
      </c>
    </row>
    <row r="5" spans="1:13">
      <c r="A5" t="s">
        <v>16</v>
      </c>
      <c r="B5">
        <v>459.95</v>
      </c>
      <c r="C5">
        <v>19302.77</v>
      </c>
      <c r="D5">
        <v>351.89</v>
      </c>
      <c r="E5">
        <v>19044.96</v>
      </c>
      <c r="F5">
        <v>478.22</v>
      </c>
      <c r="G5">
        <v>22493.73</v>
      </c>
      <c r="H5">
        <v>-1</v>
      </c>
      <c r="I5">
        <v>8815.43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459.82</v>
      </c>
      <c r="C6">
        <v>18747.27</v>
      </c>
      <c r="D6">
        <v>354.29</v>
      </c>
      <c r="E6">
        <v>19586.46</v>
      </c>
      <c r="F6">
        <v>-1</v>
      </c>
      <c r="G6">
        <v>10219.97</v>
      </c>
      <c r="H6">
        <v>-1</v>
      </c>
      <c r="I6">
        <v>18403.78</v>
      </c>
      <c r="J6">
        <v>-1</v>
      </c>
      <c r="K6">
        <v>604.08</v>
      </c>
      <c r="L6">
        <v>-1</v>
      </c>
      <c r="M6">
        <v>0</v>
      </c>
    </row>
    <row r="7" spans="1:13">
      <c r="A7" t="s">
        <v>18</v>
      </c>
      <c r="B7">
        <v>447.7</v>
      </c>
      <c r="C7">
        <v>18716.29</v>
      </c>
      <c r="D7">
        <v>345.76</v>
      </c>
      <c r="E7">
        <v>18954.28</v>
      </c>
      <c r="F7">
        <v>465.56</v>
      </c>
      <c r="G7">
        <v>21817.54</v>
      </c>
      <c r="H7">
        <v>-1</v>
      </c>
      <c r="I7">
        <v>20212.56</v>
      </c>
      <c r="J7">
        <v>463.24</v>
      </c>
      <c r="K7">
        <v>18691.67</v>
      </c>
      <c r="L7">
        <v>-1</v>
      </c>
      <c r="M7">
        <v>0</v>
      </c>
    </row>
    <row r="8" spans="1:13">
      <c r="A8" t="s">
        <v>19</v>
      </c>
      <c r="B8">
        <v>445.01</v>
      </c>
      <c r="C8">
        <v>17720.57</v>
      </c>
      <c r="D8">
        <v>336.41</v>
      </c>
      <c r="E8">
        <v>18337.49</v>
      </c>
      <c r="F8">
        <v>-1</v>
      </c>
      <c r="G8">
        <v>5328.33</v>
      </c>
      <c r="H8">
        <v>-1</v>
      </c>
      <c r="I8">
        <v>0</v>
      </c>
      <c r="J8">
        <v>-1</v>
      </c>
      <c r="K8">
        <v>1278.19</v>
      </c>
      <c r="L8">
        <v>-1</v>
      </c>
      <c r="M8">
        <v>0</v>
      </c>
    </row>
    <row r="9" spans="1:13">
      <c r="A9" t="s">
        <v>20</v>
      </c>
      <c r="B9">
        <v>423.32</v>
      </c>
      <c r="C9">
        <v>19441.32</v>
      </c>
      <c r="D9">
        <v>352.45</v>
      </c>
      <c r="E9">
        <v>19183.59</v>
      </c>
      <c r="F9">
        <v>445.82</v>
      </c>
      <c r="G9">
        <v>22881.22</v>
      </c>
      <c r="H9">
        <v>-1</v>
      </c>
      <c r="I9">
        <v>0</v>
      </c>
      <c r="J9">
        <v>462.92</v>
      </c>
      <c r="K9">
        <v>19441.65</v>
      </c>
      <c r="L9">
        <v>-1</v>
      </c>
      <c r="M9">
        <v>0</v>
      </c>
    </row>
    <row r="10" spans="1:13">
      <c r="A10" t="s">
        <v>21</v>
      </c>
      <c r="B10">
        <v>441.04</v>
      </c>
      <c r="C10">
        <v>18735.44</v>
      </c>
      <c r="D10">
        <v>339.27</v>
      </c>
      <c r="E10">
        <v>18690.88</v>
      </c>
      <c r="F10">
        <v>461</v>
      </c>
      <c r="G10">
        <v>21934.44</v>
      </c>
      <c r="H10">
        <v>-1</v>
      </c>
      <c r="I10">
        <v>0</v>
      </c>
      <c r="J10">
        <v>442.72</v>
      </c>
      <c r="K10">
        <v>18789.16</v>
      </c>
      <c r="L10">
        <v>-1</v>
      </c>
      <c r="M10">
        <v>0</v>
      </c>
    </row>
    <row r="11" spans="1:13">
      <c r="A11" t="s">
        <v>22</v>
      </c>
      <c r="B11">
        <v>477.56</v>
      </c>
      <c r="C11">
        <v>20020.69</v>
      </c>
      <c r="D11">
        <v>374.79</v>
      </c>
      <c r="E11">
        <v>19655.57</v>
      </c>
      <c r="F11">
        <v>508.92</v>
      </c>
      <c r="G11">
        <v>23543.33</v>
      </c>
      <c r="H11">
        <v>456.87</v>
      </c>
      <c r="I11">
        <v>23007.18</v>
      </c>
      <c r="J11">
        <v>-1</v>
      </c>
      <c r="K11">
        <v>1237.83</v>
      </c>
      <c r="L11">
        <v>-1</v>
      </c>
      <c r="M11">
        <v>18568.45</v>
      </c>
    </row>
    <row r="12" spans="1:13">
      <c r="A12" t="s">
        <v>23</v>
      </c>
      <c r="B12">
        <v>443.62</v>
      </c>
      <c r="C12">
        <v>18970.41</v>
      </c>
      <c r="D12">
        <v>357.87</v>
      </c>
      <c r="E12">
        <v>19250.11</v>
      </c>
      <c r="F12">
        <v>470.37</v>
      </c>
      <c r="G12">
        <v>21960.88</v>
      </c>
      <c r="H12">
        <v>-1</v>
      </c>
      <c r="I12">
        <v>17074.41</v>
      </c>
      <c r="J12">
        <v>504.88</v>
      </c>
      <c r="K12">
        <v>18847.75</v>
      </c>
      <c r="L12">
        <v>-1</v>
      </c>
      <c r="M12">
        <v>638.09</v>
      </c>
    </row>
    <row r="13" spans="1:13">
      <c r="A13" t="s">
        <v>24</v>
      </c>
      <c r="B13">
        <v>490.98</v>
      </c>
      <c r="C13">
        <v>19689.21</v>
      </c>
      <c r="D13">
        <v>377.06</v>
      </c>
      <c r="E13">
        <v>19765.45</v>
      </c>
      <c r="F13">
        <v>-1</v>
      </c>
      <c r="G13">
        <v>10614.05</v>
      </c>
      <c r="H13">
        <v>-1</v>
      </c>
      <c r="I13">
        <v>6868.3</v>
      </c>
      <c r="J13">
        <v>-1</v>
      </c>
      <c r="K13">
        <v>282.97</v>
      </c>
      <c r="L13">
        <v>-1</v>
      </c>
      <c r="M13">
        <v>0</v>
      </c>
    </row>
    <row r="14" spans="1:13">
      <c r="A14" t="s">
        <v>25</v>
      </c>
      <c r="B14">
        <v>486.38</v>
      </c>
      <c r="C14">
        <v>19030.76</v>
      </c>
      <c r="D14">
        <v>372.4</v>
      </c>
      <c r="E14">
        <v>19454.27</v>
      </c>
      <c r="F14">
        <v>520.62</v>
      </c>
      <c r="G14">
        <v>22143.29</v>
      </c>
      <c r="H14">
        <v>-1</v>
      </c>
      <c r="I14">
        <v>16435.52</v>
      </c>
      <c r="J14">
        <v>-1</v>
      </c>
      <c r="K14">
        <v>6412.31</v>
      </c>
      <c r="L14">
        <v>-1</v>
      </c>
      <c r="M14">
        <v>0</v>
      </c>
    </row>
    <row r="15" spans="1:13">
      <c r="A15" t="s">
        <v>26</v>
      </c>
      <c r="B15">
        <v>441.19</v>
      </c>
      <c r="C15">
        <v>18898.9</v>
      </c>
      <c r="D15">
        <v>361.76</v>
      </c>
      <c r="E15">
        <v>19392.95</v>
      </c>
      <c r="F15">
        <v>467.95</v>
      </c>
      <c r="G15">
        <v>21983.41</v>
      </c>
      <c r="H15">
        <v>-1</v>
      </c>
      <c r="I15">
        <v>0</v>
      </c>
      <c r="J15">
        <v>473.66</v>
      </c>
      <c r="K15">
        <v>18885.37</v>
      </c>
      <c r="L15">
        <v>-1</v>
      </c>
      <c r="M15">
        <v>0</v>
      </c>
    </row>
    <row r="16" spans="1:13">
      <c r="A16" t="s">
        <v>27</v>
      </c>
      <c r="B16">
        <v>476.32</v>
      </c>
      <c r="C16">
        <v>18525.39</v>
      </c>
      <c r="D16">
        <v>363.54</v>
      </c>
      <c r="E16">
        <v>19145.68</v>
      </c>
      <c r="F16">
        <v>495.15</v>
      </c>
      <c r="G16">
        <v>21590.79</v>
      </c>
      <c r="H16">
        <v>-1</v>
      </c>
      <c r="I16">
        <v>0</v>
      </c>
      <c r="J16">
        <v>-1</v>
      </c>
      <c r="K16">
        <v>372.68</v>
      </c>
      <c r="L16">
        <v>-1</v>
      </c>
      <c r="M16">
        <v>0</v>
      </c>
    </row>
    <row r="17" spans="1:13">
      <c r="A17" t="s">
        <v>28</v>
      </c>
      <c r="B17">
        <v>475.26</v>
      </c>
      <c r="C17">
        <v>18760.15</v>
      </c>
      <c r="D17">
        <v>363.36</v>
      </c>
      <c r="E17">
        <v>19162.92</v>
      </c>
      <c r="F17">
        <v>-1</v>
      </c>
      <c r="G17">
        <v>20612.16</v>
      </c>
      <c r="H17">
        <v>-1</v>
      </c>
      <c r="I17">
        <v>14882.31</v>
      </c>
      <c r="J17">
        <v>-1</v>
      </c>
      <c r="K17">
        <v>752.72</v>
      </c>
      <c r="L17">
        <v>-1</v>
      </c>
      <c r="M17">
        <v>0</v>
      </c>
    </row>
    <row r="18" spans="1:13">
      <c r="A18" t="s">
        <v>29</v>
      </c>
      <c r="B18">
        <v>475.19</v>
      </c>
      <c r="C18">
        <v>19184.9</v>
      </c>
      <c r="D18">
        <v>371.77</v>
      </c>
      <c r="E18">
        <v>20021.94</v>
      </c>
      <c r="F18">
        <v>-1</v>
      </c>
      <c r="G18">
        <v>10448.59</v>
      </c>
      <c r="H18">
        <v>-1</v>
      </c>
      <c r="I18">
        <v>9091.72</v>
      </c>
      <c r="J18">
        <v>-1</v>
      </c>
      <c r="K18">
        <v>339.68</v>
      </c>
      <c r="L18">
        <v>-1</v>
      </c>
      <c r="M18">
        <v>0</v>
      </c>
    </row>
    <row r="19" spans="1:13">
      <c r="A19" t="s">
        <v>30</v>
      </c>
      <c r="B19">
        <v>456.46</v>
      </c>
      <c r="C19">
        <v>19210.47</v>
      </c>
      <c r="D19">
        <v>350.15</v>
      </c>
      <c r="E19">
        <v>19325.4</v>
      </c>
      <c r="F19">
        <v>475.36</v>
      </c>
      <c r="G19">
        <v>22271.66</v>
      </c>
      <c r="H19">
        <v>-1</v>
      </c>
      <c r="I19">
        <v>1521.53</v>
      </c>
      <c r="J19">
        <v>-1</v>
      </c>
      <c r="K19">
        <v>692.58</v>
      </c>
      <c r="L19">
        <v>-1</v>
      </c>
      <c r="M19">
        <v>0</v>
      </c>
    </row>
    <row r="20" spans="1:13">
      <c r="A20" t="s">
        <v>31</v>
      </c>
      <c r="B20">
        <v>457.68</v>
      </c>
      <c r="C20">
        <v>18810.43</v>
      </c>
      <c r="D20">
        <v>354.26</v>
      </c>
      <c r="E20">
        <v>19224.05</v>
      </c>
      <c r="F20">
        <v>-1</v>
      </c>
      <c r="G20">
        <v>11560.57</v>
      </c>
      <c r="H20">
        <v>-1</v>
      </c>
      <c r="I20">
        <v>1578.38</v>
      </c>
      <c r="J20">
        <v>-1</v>
      </c>
      <c r="K20">
        <v>462.74</v>
      </c>
      <c r="L20">
        <v>-1</v>
      </c>
      <c r="M20">
        <v>0</v>
      </c>
    </row>
    <row r="21" spans="1:13">
      <c r="A21" t="s">
        <v>32</v>
      </c>
      <c r="B21">
        <v>-1</v>
      </c>
      <c r="C21">
        <v>8947.05</v>
      </c>
      <c r="D21">
        <v>360.37</v>
      </c>
      <c r="E21">
        <v>19789.88</v>
      </c>
      <c r="F21">
        <v>-1</v>
      </c>
      <c r="G21">
        <v>4930.06</v>
      </c>
      <c r="H21">
        <v>-1</v>
      </c>
      <c r="I21">
        <v>5734.03</v>
      </c>
      <c r="J21">
        <v>-1</v>
      </c>
      <c r="K21">
        <v>0</v>
      </c>
      <c r="L21">
        <v>-1</v>
      </c>
      <c r="M21">
        <v>8475.52</v>
      </c>
    </row>
    <row r="22" spans="1:13">
      <c r="A22" t="s">
        <v>33</v>
      </c>
      <c r="B22">
        <v>450.36</v>
      </c>
      <c r="C22">
        <v>19128.28</v>
      </c>
      <c r="D22">
        <v>349.64</v>
      </c>
      <c r="E22">
        <v>19443.84</v>
      </c>
      <c r="F22">
        <v>466.99</v>
      </c>
      <c r="G22">
        <v>22448.15</v>
      </c>
      <c r="H22">
        <v>-1</v>
      </c>
      <c r="I22">
        <v>9541.18</v>
      </c>
      <c r="J22">
        <v>-1</v>
      </c>
      <c r="K22">
        <v>5744.76</v>
      </c>
      <c r="L22">
        <v>-1</v>
      </c>
      <c r="M22">
        <v>0</v>
      </c>
    </row>
    <row r="23" spans="1:13">
      <c r="A23" t="s">
        <v>34</v>
      </c>
      <c r="B23">
        <v>459.91</v>
      </c>
      <c r="C23">
        <v>18853.64</v>
      </c>
      <c r="D23">
        <v>354.95</v>
      </c>
      <c r="E23">
        <v>18654.06</v>
      </c>
      <c r="F23">
        <v>-1</v>
      </c>
      <c r="G23">
        <v>13496.12</v>
      </c>
      <c r="H23">
        <v>-1</v>
      </c>
      <c r="I23">
        <v>12499.57</v>
      </c>
      <c r="J23">
        <v>-1</v>
      </c>
      <c r="K23">
        <v>1947.99</v>
      </c>
      <c r="L23">
        <v>-1</v>
      </c>
      <c r="M23">
        <v>709.58</v>
      </c>
    </row>
    <row r="24" spans="1:13">
      <c r="A24" t="s">
        <v>35</v>
      </c>
      <c r="B24">
        <v>462.4</v>
      </c>
      <c r="C24">
        <v>19603.71</v>
      </c>
      <c r="D24">
        <v>356.7</v>
      </c>
      <c r="E24">
        <v>19575.88</v>
      </c>
      <c r="F24">
        <v>477.32</v>
      </c>
      <c r="G24">
        <v>22748.08</v>
      </c>
      <c r="H24">
        <v>-1</v>
      </c>
      <c r="I24">
        <v>16840.77</v>
      </c>
      <c r="J24">
        <v>482.14</v>
      </c>
      <c r="K24">
        <v>19644.37</v>
      </c>
      <c r="L24">
        <v>-1</v>
      </c>
      <c r="M24">
        <v>0</v>
      </c>
    </row>
    <row r="25" spans="1:13">
      <c r="A25" t="s">
        <v>36</v>
      </c>
      <c r="B25">
        <v>463.24</v>
      </c>
      <c r="C25">
        <v>19330.74</v>
      </c>
      <c r="D25">
        <v>357.56</v>
      </c>
      <c r="E25">
        <v>19905.54</v>
      </c>
      <c r="F25">
        <v>-1</v>
      </c>
      <c r="G25">
        <v>13353.58</v>
      </c>
      <c r="H25">
        <v>-1</v>
      </c>
      <c r="I25">
        <v>0</v>
      </c>
      <c r="J25">
        <v>-1</v>
      </c>
      <c r="K25">
        <v>362.63</v>
      </c>
      <c r="L25">
        <v>-1</v>
      </c>
      <c r="M25">
        <v>0</v>
      </c>
    </row>
    <row r="26" spans="1:13">
      <c r="A26" t="s">
        <v>37</v>
      </c>
      <c r="B26">
        <v>465.85</v>
      </c>
      <c r="C26">
        <v>19505.4</v>
      </c>
      <c r="D26">
        <v>358.66</v>
      </c>
      <c r="E26">
        <v>18946.22</v>
      </c>
      <c r="F26">
        <v>-1</v>
      </c>
      <c r="G26">
        <v>15033.44</v>
      </c>
      <c r="H26">
        <v>-1</v>
      </c>
      <c r="I26">
        <v>18314.25</v>
      </c>
      <c r="J26">
        <v>-1</v>
      </c>
      <c r="K26">
        <v>12173.57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459.626666666667</v>
      </c>
      <c r="B29" s="4">
        <f>IFERROR(AVERAGEIF($D$2:$D$26,"&lt;&gt; -1"),0)</f>
        <v>356.7196</v>
      </c>
      <c r="C29" s="4">
        <f>IFERROR(AVERAGEIF($F$2:$F$26,"&lt;&gt; -1"),0)</f>
        <v>478.575</v>
      </c>
      <c r="D29" s="4">
        <f>IFERROR(AVERAGEIF($H$2:$H$26,"&lt;&gt; -1"),0)</f>
        <v>430.185</v>
      </c>
      <c r="E29" s="4">
        <f>IFERROR(AVERAGEIF($J$2:$J$26,"&lt;&gt; -1"),0)</f>
        <v>471.593333333333</v>
      </c>
      <c r="F29" s="4">
        <f>IFERROR(AVERAGEIF($L$2:$L$26,"&lt;&gt; -1"),0)</f>
        <v>0</v>
      </c>
      <c r="G29" s="4">
        <f>IFERROR(AVERAGEIFS($C$2:$C$26,$B$2:$B$26,"&lt;&gt; -1"),0)</f>
        <v>19052.6483333333</v>
      </c>
      <c r="H29" s="4">
        <f>IFERROR(AVERAGEIFS($E$2:$E$26,$D$2:$D$26,"&lt;&gt; -1"),0)</f>
        <v>19257.2444</v>
      </c>
      <c r="I29" s="4">
        <f>IFERROR(AVERAGEIFS($G$2:$G$26,$F$2:$F$26,"&lt;&gt; -1"),0)</f>
        <v>22312.06</v>
      </c>
      <c r="J29" s="4">
        <f>IFERROR(AVERAGEIFS($I$2:$I$26,$H$2:$H$26,"&lt;&gt; -1"),0)</f>
        <v>22252.4</v>
      </c>
      <c r="K29" s="4">
        <f>IFERROR(AVERAGEIFS($K$2:$K$26,$J$2:$J$26,"&lt;&gt; -1"),0)</f>
        <v>19049.995</v>
      </c>
      <c r="L29" s="4">
        <f>IFERROR(AVERAGEIFS($M$2:$M$26,$L$2:$L$26,"&lt;&gt; -1"),0)</f>
        <v>0</v>
      </c>
      <c r="M29" s="4">
        <f>IFERROR(_xlfn.MAXIFS($B$2:$B$26,$B$2:$B$26,"&lt;&gt; -1"),0)</f>
        <v>490.98</v>
      </c>
      <c r="N29" s="4">
        <f>IFERROR(_xlfn.MAXIFS($D$2:$D$26,$D$2:$D$26,"&lt;&gt;-1"),0)</f>
        <v>377.06</v>
      </c>
      <c r="O29" s="4">
        <f>IFERROR(_xlfn.MAXIFS($F$2:$F$26,$F$2:$F$26,"&lt;&gt; -1"),0)</f>
        <v>520.62</v>
      </c>
      <c r="P29" s="4">
        <f>IFERROR(_xlfn.MAXIFS($H$2:$H$26,$H$2:$H$26,"&lt;&gt; -1"),0)</f>
        <v>456.87</v>
      </c>
      <c r="Q29" s="4">
        <f>IFERROR(_xlfn.MAXIFS($J$2:$J$26,$J$2:$J$26,"&lt;&gt; -1"),0)</f>
        <v>504.88</v>
      </c>
      <c r="R29" s="4">
        <f>IFERROR(_xlfn.MAXIFS($L$2:$L$26,$L$2:$L$26,"&lt;&gt; -1"),0)</f>
        <v>0</v>
      </c>
      <c r="S29" s="4">
        <f>IFERROR(_xlfn.MINIFS($B$2:$B$26,$B$2:$B$26,"&lt;&gt; -1"),0)</f>
        <v>423.32</v>
      </c>
      <c r="T29" s="4">
        <f>IFERROR(_xlfn.MINIFS($D$2:$D$26,$D$2:$D$26,"&lt;&gt;-1"),0)</f>
        <v>336.41</v>
      </c>
      <c r="U29" s="4">
        <f>IFERROR(_xlfn.MINIFS($F$2:$F$26,$F$2:$F$26,"&lt;&gt; -1"),0)</f>
        <v>445.82</v>
      </c>
      <c r="V29" s="4">
        <f>IFERROR(_xlfn.MINIFS($H$2:$H$26,$H$2:$H$26,"&lt;&gt; -1"),0)</f>
        <v>403.5</v>
      </c>
      <c r="W29" s="4">
        <f>IFERROR(_xlfn.MINIFS($J$2:$J$26,$J$2:$J$26,"&lt;&gt; -1"),0)</f>
        <v>442.72</v>
      </c>
      <c r="X29" s="4">
        <f>IFERROR(_xlfn.MINIFS($L$2:$L$26,$L$2:$L$26,"&lt;&gt; -1"),0)</f>
        <v>0</v>
      </c>
      <c r="Y29" s="4">
        <f>IFERROR(_xlfn.MAXIFS($C$2:$C$26,$B$2:$B$26,"&lt;&gt; -1"),0)</f>
        <v>20020.69</v>
      </c>
      <c r="Z29" s="4">
        <f>IFERROR(_xlfn.MAXIFS($E$2:$E$26,$D$2:$D$26,"&lt;&gt; -1"),0)</f>
        <v>20021.94</v>
      </c>
      <c r="AA29" s="4">
        <f>IFERROR(_xlfn.MAXIFS($G$2:$G$26,$F$2:$F$26,"&lt;&gt; -1"),0)</f>
        <v>23543.33</v>
      </c>
      <c r="AB29" s="4">
        <f>IFERROR(_xlfn.MAXIFS($I$2:$I$26,$H$2:$H$26,"&lt;&gt; -1"),0)</f>
        <v>23007.18</v>
      </c>
      <c r="AC29" s="4">
        <f>IFERROR(_xlfn.MAXIFS($K$2:$K$26,$J$2:$J$26,"&lt;&gt; -1"),0)</f>
        <v>19644.37</v>
      </c>
      <c r="AD29" s="4">
        <f>IFERROR(_xlfn.MAXIFS($M$2:$M$26,$L$2:$L$26,"&lt;&gt; -1"),0)</f>
        <v>0</v>
      </c>
      <c r="AE29" s="4">
        <f>IFERROR(_xlfn.MINIFS($C$2:$C$26,$B$2:$B$26,"&lt;&gt; -1"),0)</f>
        <v>17720.57</v>
      </c>
      <c r="AF29" s="4">
        <f>IFERROR(_xlfn.MINIFS($E$2:$E$26,$D$2:$D$26,"&lt;&gt; -1"),0)</f>
        <v>18337.49</v>
      </c>
      <c r="AG29" s="4">
        <f>IFERROR(_xlfn.MINIFS($G$2:$G$26,$F$2:$F$26,"&lt;&gt; -1"),0)</f>
        <v>21590.79</v>
      </c>
      <c r="AH29" s="4">
        <f>IFERROR(_xlfn.MINIFS($I$2:$I$26,$H$2:$H$26,"&lt;&gt; -1"),0)</f>
        <v>21497.62</v>
      </c>
      <c r="AI29" s="4">
        <f>IFERROR(_xlfn.MINIFS($K$2:$K$26,$J$2:$J$26,"&lt;&gt; -1"),0)</f>
        <v>18691.67</v>
      </c>
      <c r="AJ29" s="4">
        <f>IFERROR(_xlfn.MINIFS($M$2:$M$26,$L$2:$L$26,"&lt;&gt; -1"),0)</f>
        <v>0</v>
      </c>
      <c r="AK29" s="4">
        <f>(COUNTIFS($B$2:$B$26,"&gt;0.0",$B$2:$B$26,"&lt;700.0"))/25</f>
        <v>0.96</v>
      </c>
      <c r="AL29" s="4">
        <f>(COUNTIFS($D$2:$D$26,"&gt;0.0",$D$2:$D$26,"&lt;700.0"))/25</f>
        <v>1</v>
      </c>
      <c r="AM29" s="4">
        <f>(COUNTIFS($F$2:$F$26,"&gt;0.0",$F$2:$F$26,"&lt;700.0"))/25</f>
        <v>0.56</v>
      </c>
      <c r="AN29" s="4">
        <f>(COUNTIFS($H$2:$H26,"&gt;0.0",$H$2:$H$26,"&lt;700.0"))/25</f>
        <v>0.08</v>
      </c>
      <c r="AO29" s="4">
        <f>(COUNTIFS($J$2:$J$26,"&gt;0.0",$J$2:$J$26,"&lt;700.0"))/25</f>
        <v>0.24</v>
      </c>
      <c r="AP29" s="4">
        <f>(COUNTIFS($L$2:$L$26,"&gt;0.0",$L$2:$L$26,"&lt;700.0"))/25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488.45</v>
      </c>
      <c r="C2">
        <v>19144.15</v>
      </c>
      <c r="D2">
        <v>377.17</v>
      </c>
      <c r="E2">
        <v>18318.52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503.79</v>
      </c>
      <c r="C3">
        <v>19502.79</v>
      </c>
      <c r="D3">
        <v>384.86</v>
      </c>
      <c r="E3">
        <v>19204.05</v>
      </c>
      <c r="F3">
        <v>-1</v>
      </c>
      <c r="G3">
        <v>0</v>
      </c>
      <c r="H3">
        <v>-1</v>
      </c>
      <c r="I3">
        <v>14351.81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494.08</v>
      </c>
      <c r="C4">
        <v>19510.99</v>
      </c>
      <c r="D4">
        <v>383.68</v>
      </c>
      <c r="E4">
        <v>19086.98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496.72</v>
      </c>
      <c r="C5">
        <v>19047.84</v>
      </c>
      <c r="D5">
        <v>381.81</v>
      </c>
      <c r="E5">
        <v>19150.69</v>
      </c>
      <c r="F5">
        <v>-1</v>
      </c>
      <c r="G5">
        <v>0</v>
      </c>
      <c r="H5">
        <v>-1</v>
      </c>
      <c r="I5">
        <v>21311.49</v>
      </c>
      <c r="J5">
        <v>-1</v>
      </c>
      <c r="K5">
        <v>0</v>
      </c>
      <c r="L5">
        <v>-1</v>
      </c>
      <c r="M5">
        <v>848.12</v>
      </c>
    </row>
    <row r="6" spans="1:13">
      <c r="A6" t="s">
        <v>17</v>
      </c>
      <c r="B6">
        <v>503.76</v>
      </c>
      <c r="C6">
        <v>19883.14</v>
      </c>
      <c r="D6">
        <v>393.89</v>
      </c>
      <c r="E6">
        <v>19703.44</v>
      </c>
      <c r="F6">
        <v>-1</v>
      </c>
      <c r="G6">
        <v>0</v>
      </c>
      <c r="H6">
        <v>-1</v>
      </c>
      <c r="I6">
        <v>15729.08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493.7</v>
      </c>
      <c r="C7">
        <v>19650.42</v>
      </c>
      <c r="D7">
        <v>381.81</v>
      </c>
      <c r="E7">
        <v>19169.86</v>
      </c>
      <c r="F7">
        <v>-1</v>
      </c>
      <c r="G7">
        <v>0</v>
      </c>
      <c r="H7">
        <v>-1</v>
      </c>
      <c r="I7">
        <v>2077.73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473.65</v>
      </c>
      <c r="C8">
        <v>18494.06</v>
      </c>
      <c r="D8">
        <v>362.63</v>
      </c>
      <c r="E8">
        <v>19014.35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490.88</v>
      </c>
      <c r="C9">
        <v>20001.13</v>
      </c>
      <c r="D9">
        <v>378.29</v>
      </c>
      <c r="E9">
        <v>19649.75</v>
      </c>
      <c r="F9">
        <v>-1</v>
      </c>
      <c r="G9">
        <v>0</v>
      </c>
      <c r="H9">
        <v>-1</v>
      </c>
      <c r="I9">
        <v>2207.01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488.87</v>
      </c>
      <c r="C10">
        <v>19178.42</v>
      </c>
      <c r="D10">
        <v>375.14</v>
      </c>
      <c r="E10">
        <v>19100.23</v>
      </c>
      <c r="F10">
        <v>-1</v>
      </c>
      <c r="G10">
        <v>0</v>
      </c>
      <c r="H10">
        <v>-1</v>
      </c>
      <c r="I10">
        <v>13844.85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524.18</v>
      </c>
      <c r="C11">
        <v>20590.45</v>
      </c>
      <c r="D11">
        <v>412.09</v>
      </c>
      <c r="E11">
        <v>20975.59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489.64</v>
      </c>
      <c r="C12">
        <v>19295.64</v>
      </c>
      <c r="D12">
        <v>378.03</v>
      </c>
      <c r="E12">
        <v>18673.48</v>
      </c>
      <c r="F12">
        <v>-1</v>
      </c>
      <c r="G12">
        <v>0</v>
      </c>
      <c r="H12">
        <v>-1</v>
      </c>
      <c r="I12">
        <v>21418.48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515.89</v>
      </c>
      <c r="C13">
        <v>19711.38</v>
      </c>
      <c r="D13">
        <v>397.66</v>
      </c>
      <c r="E13">
        <v>19543.66</v>
      </c>
      <c r="F13">
        <v>-1</v>
      </c>
      <c r="G13">
        <v>0</v>
      </c>
      <c r="H13">
        <v>-1</v>
      </c>
      <c r="I13">
        <v>11258.79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516.72</v>
      </c>
      <c r="C14">
        <v>20238.09</v>
      </c>
      <c r="D14">
        <v>394.51</v>
      </c>
      <c r="E14">
        <v>19814.87</v>
      </c>
      <c r="F14">
        <v>-1</v>
      </c>
      <c r="G14">
        <v>0</v>
      </c>
      <c r="H14">
        <v>449.37</v>
      </c>
      <c r="I14">
        <v>22842.27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504.22</v>
      </c>
      <c r="C15">
        <v>18916.25</v>
      </c>
      <c r="D15">
        <v>383.42</v>
      </c>
      <c r="E15">
        <v>19506.8</v>
      </c>
      <c r="F15">
        <v>-1</v>
      </c>
      <c r="G15">
        <v>0</v>
      </c>
      <c r="H15">
        <v>-1</v>
      </c>
      <c r="I15">
        <v>2050.38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498.46</v>
      </c>
      <c r="C16">
        <v>19058.42</v>
      </c>
      <c r="D16">
        <v>383.12</v>
      </c>
      <c r="E16">
        <v>18335</v>
      </c>
      <c r="F16">
        <v>-1</v>
      </c>
      <c r="G16">
        <v>0</v>
      </c>
      <c r="H16">
        <v>-1</v>
      </c>
      <c r="I16">
        <v>14512.84</v>
      </c>
      <c r="J16">
        <v>-1</v>
      </c>
      <c r="K16">
        <v>0</v>
      </c>
      <c r="L16">
        <v>-1</v>
      </c>
      <c r="M16">
        <v>1114</v>
      </c>
    </row>
    <row r="17" spans="1:13">
      <c r="A17" t="s">
        <v>28</v>
      </c>
      <c r="B17">
        <v>494.53</v>
      </c>
      <c r="C17">
        <v>19029.85</v>
      </c>
      <c r="D17">
        <v>383.75</v>
      </c>
      <c r="E17">
        <v>18821.22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515.02</v>
      </c>
      <c r="C18">
        <v>20046.17</v>
      </c>
      <c r="D18">
        <v>395.99</v>
      </c>
      <c r="E18">
        <v>19865.37</v>
      </c>
      <c r="F18">
        <v>-1</v>
      </c>
      <c r="G18">
        <v>0</v>
      </c>
      <c r="H18">
        <v>-1</v>
      </c>
      <c r="I18">
        <v>20771.71</v>
      </c>
      <c r="J18">
        <v>-1</v>
      </c>
      <c r="K18">
        <v>0</v>
      </c>
      <c r="L18">
        <v>-1</v>
      </c>
      <c r="M18">
        <v>5488.09</v>
      </c>
    </row>
    <row r="19" spans="1:13">
      <c r="A19" t="s">
        <v>30</v>
      </c>
      <c r="B19">
        <v>495.79</v>
      </c>
      <c r="C19">
        <v>18754.04</v>
      </c>
      <c r="D19">
        <v>380.68</v>
      </c>
      <c r="E19">
        <v>18649.79</v>
      </c>
      <c r="F19">
        <v>-1</v>
      </c>
      <c r="G19">
        <v>0</v>
      </c>
      <c r="H19">
        <v>472.21</v>
      </c>
      <c r="I19">
        <v>21885.82</v>
      </c>
      <c r="J19">
        <v>-1</v>
      </c>
      <c r="K19">
        <v>0</v>
      </c>
      <c r="L19">
        <v>-1</v>
      </c>
      <c r="M19">
        <v>8665.9</v>
      </c>
    </row>
    <row r="20" spans="1:13">
      <c r="A20" t="s">
        <v>31</v>
      </c>
      <c r="B20">
        <v>507.87</v>
      </c>
      <c r="C20">
        <v>19310.64</v>
      </c>
      <c r="D20">
        <v>388.95</v>
      </c>
      <c r="E20">
        <v>19034.96</v>
      </c>
      <c r="F20">
        <v>-1</v>
      </c>
      <c r="G20">
        <v>0</v>
      </c>
      <c r="H20">
        <v>-1</v>
      </c>
      <c r="I20">
        <v>19496.39</v>
      </c>
      <c r="J20">
        <v>-1</v>
      </c>
      <c r="K20">
        <v>0</v>
      </c>
      <c r="L20">
        <v>-1</v>
      </c>
      <c r="M20">
        <v>18512.51</v>
      </c>
    </row>
    <row r="21" spans="1:13">
      <c r="A21" t="s">
        <v>32</v>
      </c>
      <c r="B21">
        <v>507.68</v>
      </c>
      <c r="C21">
        <v>19864.89</v>
      </c>
      <c r="D21">
        <v>395.32</v>
      </c>
      <c r="E21">
        <v>20224.7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501.52</v>
      </c>
      <c r="C22">
        <v>19706.37</v>
      </c>
      <c r="D22">
        <v>386.03</v>
      </c>
      <c r="E22">
        <v>18769.63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503.4</v>
      </c>
      <c r="C23">
        <v>19603.21</v>
      </c>
      <c r="D23">
        <v>388.18</v>
      </c>
      <c r="E23">
        <v>19310.63</v>
      </c>
      <c r="F23">
        <v>-1</v>
      </c>
      <c r="G23">
        <v>0</v>
      </c>
      <c r="H23">
        <v>-1</v>
      </c>
      <c r="I23">
        <v>16776.65</v>
      </c>
      <c r="J23">
        <v>-1</v>
      </c>
      <c r="K23">
        <v>0</v>
      </c>
      <c r="L23">
        <v>-1</v>
      </c>
      <c r="M23">
        <v>562.91</v>
      </c>
    </row>
    <row r="24" spans="1:13">
      <c r="A24" t="s">
        <v>35</v>
      </c>
      <c r="B24">
        <v>511.24</v>
      </c>
      <c r="C24">
        <v>19321.4</v>
      </c>
      <c r="D24">
        <v>389.7</v>
      </c>
      <c r="E24">
        <v>19423.25</v>
      </c>
      <c r="F24">
        <v>-1</v>
      </c>
      <c r="G24">
        <v>0</v>
      </c>
      <c r="H24">
        <v>-1</v>
      </c>
      <c r="I24">
        <v>17017.99</v>
      </c>
      <c r="J24">
        <v>-1</v>
      </c>
      <c r="K24">
        <v>0</v>
      </c>
      <c r="L24">
        <v>-1</v>
      </c>
      <c r="M24">
        <v>2925.62</v>
      </c>
    </row>
    <row r="25" spans="1:13">
      <c r="A25" t="s">
        <v>36</v>
      </c>
      <c r="B25">
        <v>510.29</v>
      </c>
      <c r="C25">
        <v>19347.62</v>
      </c>
      <c r="D25">
        <v>395.43</v>
      </c>
      <c r="E25">
        <v>19184.04</v>
      </c>
      <c r="F25">
        <v>-1</v>
      </c>
      <c r="G25">
        <v>0</v>
      </c>
      <c r="H25">
        <v>-1</v>
      </c>
      <c r="I25">
        <v>1808.41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515.89</v>
      </c>
      <c r="C26">
        <v>19599.19</v>
      </c>
      <c r="D26">
        <v>394.71</v>
      </c>
      <c r="E26">
        <v>19620.85</v>
      </c>
      <c r="F26">
        <v>-1</v>
      </c>
      <c r="G26">
        <v>0</v>
      </c>
      <c r="H26">
        <v>-1</v>
      </c>
      <c r="I26">
        <v>13269.44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501.8496</v>
      </c>
      <c r="B29" s="4">
        <f>IFERROR(AVERAGEIF($D$2:$D$26,"&lt;&gt; -1"),0)</f>
        <v>386.674</v>
      </c>
      <c r="C29" s="4">
        <f>IFERROR(AVERAGEIF($F$2:$F$26,"&lt;&gt; -1"),0)</f>
        <v>0</v>
      </c>
      <c r="D29" s="4">
        <f>IFERROR(AVERAGEIF($H$2:$H$26,"&lt;&gt; -1"),0)</f>
        <v>460.79</v>
      </c>
      <c r="E29" s="4">
        <f>IFERROR(AVERAGEIF($J$2:$J$26,"&lt;&gt; -1"),0)</f>
        <v>0</v>
      </c>
      <c r="F29" s="4">
        <f>IFERROR(AVERAGEIF($L$2:$L$26,"&lt;&gt; -1"),0)</f>
        <v>0</v>
      </c>
      <c r="G29" s="4">
        <f>IFERROR(AVERAGEIFS($C$2:$C$26,$B$2:$B$26,"&lt;&gt; -1"),0)</f>
        <v>19472.262</v>
      </c>
      <c r="H29" s="4">
        <f>IFERROR(AVERAGEIFS($E$2:$E$26,$D$2:$D$26,"&lt;&gt; -1"),0)</f>
        <v>19286.0684</v>
      </c>
      <c r="I29" s="4">
        <f>IFERROR(AVERAGEIFS($G$2:$G$26,$F$2:$F$26,"&lt;&gt; -1"),0)</f>
        <v>0</v>
      </c>
      <c r="J29" s="4">
        <f>IFERROR(AVERAGEIFS($I$2:$I$26,$H$2:$H$26,"&lt;&gt; -1"),0)</f>
        <v>22364.045</v>
      </c>
      <c r="K29" s="4">
        <f>IFERROR(AVERAGEIFS($K$2:$K$26,$J$2:$J$26,"&lt;&gt; -1"),0)</f>
        <v>0</v>
      </c>
      <c r="L29" s="4">
        <f>IFERROR(AVERAGEIFS($M$2:$M$26,$L$2:$L$26,"&lt;&gt; -1"),0)</f>
        <v>0</v>
      </c>
      <c r="M29" s="4">
        <f>IFERROR(_xlfn.MAXIFS($B$2:$B$26,$B$2:$B$26,"&lt;&gt; -1"),0)</f>
        <v>524.18</v>
      </c>
      <c r="N29" s="4">
        <f>IFERROR(_xlfn.MAXIFS($D$2:$D$26,$D$2:$D$26,"&lt;&gt;-1"),0)</f>
        <v>412.09</v>
      </c>
      <c r="O29" s="4">
        <f>IFERROR(_xlfn.MAXIFS($F$2:$F$26,$F$2:$F$26,"&lt;&gt; -1"),0)</f>
        <v>0</v>
      </c>
      <c r="P29" s="4">
        <f>IFERROR(_xlfn.MAXIFS($H$2:$H$26,$H$2:$H$26,"&lt;&gt; -1"),0)</f>
        <v>472.21</v>
      </c>
      <c r="Q29" s="4">
        <f>IFERROR(_xlfn.MAXIFS($J$2:$J$26,$J$2:$J$26,"&lt;&gt; -1"),0)</f>
        <v>0</v>
      </c>
      <c r="R29" s="4">
        <f>IFERROR(_xlfn.MAXIFS($L$2:$L$26,$L$2:$L$26,"&lt;&gt; -1"),0)</f>
        <v>0</v>
      </c>
      <c r="S29" s="4">
        <f>IFERROR(_xlfn.MINIFS($B$2:$B$26,$B$2:$B$26,"&lt;&gt; -1"),0)</f>
        <v>473.65</v>
      </c>
      <c r="T29" s="4">
        <f>IFERROR(_xlfn.MINIFS($D$2:$D$26,$D$2:$D$26,"&lt;&gt;-1"),0)</f>
        <v>362.63</v>
      </c>
      <c r="U29" s="4">
        <f>IFERROR(_xlfn.MINIFS($F$2:$F$26,$F$2:$F$26,"&lt;&gt; -1"),0)</f>
        <v>0</v>
      </c>
      <c r="V29" s="4">
        <f>IFERROR(_xlfn.MINIFS($H$2:$H$26,$H$2:$H$26,"&lt;&gt; -1"),0)</f>
        <v>449.37</v>
      </c>
      <c r="W29" s="4">
        <f>IFERROR(_xlfn.MINIFS($J$2:$J$26,$J$2:$J$26,"&lt;&gt; -1"),0)</f>
        <v>0</v>
      </c>
      <c r="X29" s="4">
        <f>IFERROR(_xlfn.MINIFS($L$2:$L$26,$L$2:$L$26,"&lt;&gt; -1"),0)</f>
        <v>0</v>
      </c>
      <c r="Y29" s="4">
        <f>IFERROR(_xlfn.MAXIFS($C$2:$C$26,$B$2:$B$26,"&lt;&gt; -1"),0)</f>
        <v>20590.45</v>
      </c>
      <c r="Z29" s="4">
        <f>IFERROR(_xlfn.MAXIFS($E$2:$E$26,$D$2:$D$26,"&lt;&gt; -1"),0)</f>
        <v>20975.59</v>
      </c>
      <c r="AA29" s="4">
        <f>IFERROR(_xlfn.MAXIFS($G$2:$G$26,$F$2:$F$26,"&lt;&gt; -1"),0)</f>
        <v>0</v>
      </c>
      <c r="AB29" s="4">
        <f>IFERROR(_xlfn.MAXIFS($I$2:$I$26,$H$2:$H$26,"&lt;&gt; -1"),0)</f>
        <v>22842.27</v>
      </c>
      <c r="AC29" s="4">
        <f>IFERROR(_xlfn.MAXIFS($K$2:$K$26,$J$2:$J$26,"&lt;&gt; -1"),0)</f>
        <v>0</v>
      </c>
      <c r="AD29" s="4">
        <f>IFERROR(_xlfn.MAXIFS($M$2:$M$26,$L$2:$L$26,"&lt;&gt; -1"),0)</f>
        <v>0</v>
      </c>
      <c r="AE29" s="4">
        <f>IFERROR(_xlfn.MINIFS($C$2:$C$26,$B$2:$B$26,"&lt;&gt; -1"),0)</f>
        <v>18494.06</v>
      </c>
      <c r="AF29" s="4">
        <f>IFERROR(_xlfn.MINIFS($E$2:$E$26,$D$2:$D$26,"&lt;&gt; -1"),0)</f>
        <v>18318.52</v>
      </c>
      <c r="AG29" s="4">
        <f>IFERROR(_xlfn.MINIFS($G$2:$G$26,$F$2:$F$26,"&lt;&gt; -1"),0)</f>
        <v>0</v>
      </c>
      <c r="AH29" s="4">
        <f>IFERROR(_xlfn.MINIFS($I$2:$I$26,$H$2:$H$26,"&lt;&gt; -1"),0)</f>
        <v>21885.82</v>
      </c>
      <c r="AI29" s="4">
        <f>IFERROR(_xlfn.MINIFS($K$2:$K$26,$J$2:$J$26,"&lt;&gt; -1"),0)</f>
        <v>0</v>
      </c>
      <c r="AJ29" s="4">
        <f>IFERROR(_xlfn.MINIFS($M$2:$M$26,$L$2:$L$26,"&lt;&gt; -1"),0)</f>
        <v>0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0.08</v>
      </c>
      <c r="AO29" s="4">
        <f>(COUNTIFS($J$2:$J$26,"&gt;0.0",$J$2:$J$26,"&lt;700.0"))/25</f>
        <v>0</v>
      </c>
      <c r="AP29" s="4">
        <f>(COUNTIFS($L$2:$L$26,"&gt;0.0",$L$2:$L$26,"&lt;700.0"))/25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526.31</v>
      </c>
      <c r="C2">
        <v>19933.89</v>
      </c>
      <c r="D2">
        <v>418</v>
      </c>
      <c r="E2">
        <v>18977.77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532.18</v>
      </c>
      <c r="C3">
        <v>19849.52</v>
      </c>
      <c r="D3">
        <v>423.02</v>
      </c>
      <c r="E3">
        <v>18739.74</v>
      </c>
      <c r="F3">
        <v>-1</v>
      </c>
      <c r="G3">
        <v>0</v>
      </c>
      <c r="H3">
        <v>-1</v>
      </c>
      <c r="I3">
        <v>11024.48</v>
      </c>
      <c r="J3">
        <v>-1</v>
      </c>
      <c r="K3">
        <v>0</v>
      </c>
      <c r="L3">
        <v>-1</v>
      </c>
      <c r="M3">
        <v>7132.86</v>
      </c>
    </row>
    <row r="4" spans="1:13">
      <c r="A4" t="s">
        <v>15</v>
      </c>
      <c r="B4">
        <v>517.76</v>
      </c>
      <c r="C4">
        <v>20288.2</v>
      </c>
      <c r="D4">
        <v>412.73</v>
      </c>
      <c r="E4">
        <v>19409.84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536.66</v>
      </c>
      <c r="C5">
        <v>19337.89</v>
      </c>
      <c r="D5">
        <v>428.36</v>
      </c>
      <c r="E5">
        <v>18419.46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10260.6</v>
      </c>
      <c r="D6">
        <v>451.46</v>
      </c>
      <c r="E6">
        <v>19876.75</v>
      </c>
      <c r="F6">
        <v>-1</v>
      </c>
      <c r="G6">
        <v>0</v>
      </c>
      <c r="H6">
        <v>-1</v>
      </c>
      <c r="I6">
        <v>19721.98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540.03</v>
      </c>
      <c r="C7">
        <v>19585.18</v>
      </c>
      <c r="D7">
        <v>433.53</v>
      </c>
      <c r="E7">
        <v>19418.56</v>
      </c>
      <c r="F7">
        <v>-1</v>
      </c>
      <c r="G7">
        <v>0</v>
      </c>
      <c r="H7">
        <v>-1</v>
      </c>
      <c r="I7">
        <v>20806.93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524.08</v>
      </c>
      <c r="C8">
        <v>18614.27</v>
      </c>
      <c r="D8">
        <v>416.29</v>
      </c>
      <c r="E8">
        <v>18490.56</v>
      </c>
      <c r="F8">
        <v>-1</v>
      </c>
      <c r="G8">
        <v>0</v>
      </c>
      <c r="H8">
        <v>-1</v>
      </c>
      <c r="I8">
        <v>17311.93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544.96</v>
      </c>
      <c r="C9">
        <v>19875.13</v>
      </c>
      <c r="D9">
        <v>435.38</v>
      </c>
      <c r="E9">
        <v>19081.34</v>
      </c>
      <c r="F9">
        <v>-1</v>
      </c>
      <c r="G9">
        <v>0</v>
      </c>
      <c r="H9">
        <v>-1</v>
      </c>
      <c r="I9">
        <v>21885.16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568.82</v>
      </c>
      <c r="C10">
        <v>19350.27</v>
      </c>
      <c r="D10">
        <v>428.14</v>
      </c>
      <c r="E10">
        <v>18418.64</v>
      </c>
      <c r="F10">
        <v>-1</v>
      </c>
      <c r="G10">
        <v>0</v>
      </c>
      <c r="H10">
        <v>-1</v>
      </c>
      <c r="I10">
        <v>19752.48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580.79</v>
      </c>
      <c r="C11">
        <v>20816.45</v>
      </c>
      <c r="D11">
        <v>468.82</v>
      </c>
      <c r="E11">
        <v>20946.3</v>
      </c>
      <c r="F11">
        <v>-1</v>
      </c>
      <c r="G11">
        <v>0</v>
      </c>
      <c r="H11">
        <v>-1</v>
      </c>
      <c r="I11">
        <v>1614.47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535.72</v>
      </c>
      <c r="C12">
        <v>18845.79</v>
      </c>
      <c r="D12">
        <v>423.17</v>
      </c>
      <c r="E12">
        <v>18920.26</v>
      </c>
      <c r="F12">
        <v>-1</v>
      </c>
      <c r="G12">
        <v>0</v>
      </c>
      <c r="H12">
        <v>-1</v>
      </c>
      <c r="I12">
        <v>20087.18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555.4</v>
      </c>
      <c r="C13">
        <v>20002.8</v>
      </c>
      <c r="D13">
        <v>444.95</v>
      </c>
      <c r="E13">
        <v>18788.18</v>
      </c>
      <c r="F13">
        <v>-1</v>
      </c>
      <c r="G13">
        <v>0</v>
      </c>
      <c r="H13">
        <v>512.24</v>
      </c>
      <c r="I13">
        <v>21931.52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532.49</v>
      </c>
      <c r="C14">
        <v>20009.41</v>
      </c>
      <c r="D14">
        <v>421.76</v>
      </c>
      <c r="E14">
        <v>19487</v>
      </c>
      <c r="F14">
        <v>-1</v>
      </c>
      <c r="G14">
        <v>0</v>
      </c>
      <c r="H14">
        <v>505.32</v>
      </c>
      <c r="I14">
        <v>22503.19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509.6</v>
      </c>
      <c r="C15">
        <v>19064.83</v>
      </c>
      <c r="D15">
        <v>407.26</v>
      </c>
      <c r="E15">
        <v>19542.94</v>
      </c>
      <c r="F15">
        <v>-1</v>
      </c>
      <c r="G15">
        <v>0</v>
      </c>
      <c r="H15">
        <v>-1</v>
      </c>
      <c r="I15">
        <v>11811.45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518.03</v>
      </c>
      <c r="C16">
        <v>19687.23</v>
      </c>
      <c r="D16">
        <v>414.02</v>
      </c>
      <c r="E16">
        <v>18942.77</v>
      </c>
      <c r="F16">
        <v>-1</v>
      </c>
      <c r="G16">
        <v>0</v>
      </c>
      <c r="H16">
        <v>-1</v>
      </c>
      <c r="I16">
        <v>1807.58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516.71</v>
      </c>
      <c r="C17">
        <v>19780.55</v>
      </c>
      <c r="D17">
        <v>411.53</v>
      </c>
      <c r="E17">
        <v>19235.63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537.8</v>
      </c>
      <c r="C18">
        <v>20223.91</v>
      </c>
      <c r="D18">
        <v>431.8</v>
      </c>
      <c r="E18">
        <v>19888.29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515.04</v>
      </c>
      <c r="C19">
        <v>19124.55</v>
      </c>
      <c r="D19">
        <v>403.94</v>
      </c>
      <c r="E19">
        <v>18531.33</v>
      </c>
      <c r="F19">
        <v>-1</v>
      </c>
      <c r="G19">
        <v>0</v>
      </c>
      <c r="H19">
        <v>477.6</v>
      </c>
      <c r="I19">
        <v>21539.03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516.2</v>
      </c>
      <c r="C20">
        <v>19221.49</v>
      </c>
      <c r="D20">
        <v>409.81</v>
      </c>
      <c r="E20">
        <v>18981.84</v>
      </c>
      <c r="F20">
        <v>-1</v>
      </c>
      <c r="G20">
        <v>0</v>
      </c>
      <c r="H20">
        <v>-1</v>
      </c>
      <c r="I20">
        <v>1842.5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534.58</v>
      </c>
      <c r="C21">
        <v>19909.99</v>
      </c>
      <c r="D21">
        <v>-1</v>
      </c>
      <c r="E21">
        <v>16282.15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515.95</v>
      </c>
      <c r="C22">
        <v>19944.72</v>
      </c>
      <c r="D22">
        <v>412.6</v>
      </c>
      <c r="E22">
        <v>19511.27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-1</v>
      </c>
      <c r="C23">
        <v>7561.98</v>
      </c>
      <c r="D23">
        <v>414.67</v>
      </c>
      <c r="E23">
        <v>18792.75</v>
      </c>
      <c r="F23">
        <v>-1</v>
      </c>
      <c r="G23">
        <v>0</v>
      </c>
      <c r="H23">
        <v>-1</v>
      </c>
      <c r="I23">
        <v>1749.97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525.64</v>
      </c>
      <c r="C24">
        <v>19636.7</v>
      </c>
      <c r="D24">
        <v>417.51</v>
      </c>
      <c r="E24">
        <v>20256.89</v>
      </c>
      <c r="F24">
        <v>-1</v>
      </c>
      <c r="G24">
        <v>0</v>
      </c>
      <c r="H24">
        <v>-1</v>
      </c>
      <c r="I24">
        <v>1823.86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524.53</v>
      </c>
      <c r="C25">
        <v>19987.44</v>
      </c>
      <c r="D25">
        <v>414.39</v>
      </c>
      <c r="E25">
        <v>19288.19</v>
      </c>
      <c r="F25">
        <v>-1</v>
      </c>
      <c r="G25">
        <v>0</v>
      </c>
      <c r="H25">
        <v>-1</v>
      </c>
      <c r="I25">
        <v>803.88</v>
      </c>
      <c r="J25">
        <v>-1</v>
      </c>
      <c r="K25">
        <v>0</v>
      </c>
      <c r="L25">
        <v>-1</v>
      </c>
      <c r="M25">
        <v>713.52</v>
      </c>
    </row>
    <row r="26" spans="1:13">
      <c r="A26" t="s">
        <v>37</v>
      </c>
      <c r="B26">
        <v>525.88</v>
      </c>
      <c r="C26">
        <v>20245.32</v>
      </c>
      <c r="D26">
        <v>420.26</v>
      </c>
      <c r="E26">
        <v>19589.72</v>
      </c>
      <c r="F26">
        <v>-1</v>
      </c>
      <c r="G26">
        <v>0</v>
      </c>
      <c r="H26">
        <v>-1</v>
      </c>
      <c r="I26">
        <v>15982.55</v>
      </c>
      <c r="J26">
        <v>-1</v>
      </c>
      <c r="K26">
        <v>0</v>
      </c>
      <c r="L26">
        <v>-1</v>
      </c>
      <c r="M26">
        <v>4777.88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531.963478260869</v>
      </c>
      <c r="B29" s="4">
        <f>IFERROR(AVERAGEIF($D$2:$D$26,"&lt;&gt; -1"),0)</f>
        <v>423.475</v>
      </c>
      <c r="C29" s="4">
        <f>IFERROR(AVERAGEIF($F$2:$F$26,"&lt;&gt; -1"),0)</f>
        <v>0</v>
      </c>
      <c r="D29" s="4">
        <f>IFERROR(AVERAGEIF($H$2:$H$26,"&lt;&gt; -1"),0)</f>
        <v>498.386666666667</v>
      </c>
      <c r="E29" s="4">
        <f>IFERROR(AVERAGEIF($J$2:$J$26,"&lt;&gt; -1"),0)</f>
        <v>0</v>
      </c>
      <c r="F29" s="4">
        <f>IFERROR(AVERAGEIF($L$2:$L$26,"&lt;&gt; -1"),0)</f>
        <v>0</v>
      </c>
      <c r="G29" s="4">
        <f>IFERROR(AVERAGEIFS($C$2:$C$26,$B$2:$B$26,"&lt;&gt; -1"),0)</f>
        <v>19710.2404347826</v>
      </c>
      <c r="H29" s="4">
        <f>IFERROR(AVERAGEIFS($E$2:$E$26,$D$2:$D$26,"&lt;&gt; -1"),0)</f>
        <v>19230.6675</v>
      </c>
      <c r="I29" s="4">
        <f>IFERROR(AVERAGEIFS($G$2:$G$26,$F$2:$F$26,"&lt;&gt; -1"),0)</f>
        <v>0</v>
      </c>
      <c r="J29" s="4">
        <f>IFERROR(AVERAGEIFS($I$2:$I$26,$H$2:$H$26,"&lt;&gt; -1"),0)</f>
        <v>21991.2466666667</v>
      </c>
      <c r="K29" s="4">
        <f>IFERROR(AVERAGEIFS($K$2:$K$26,$J$2:$J$26,"&lt;&gt; -1"),0)</f>
        <v>0</v>
      </c>
      <c r="L29" s="4">
        <f>IFERROR(AVERAGEIFS($M$2:$M$26,$L$2:$L$26,"&lt;&gt; -1"),0)</f>
        <v>0</v>
      </c>
      <c r="M29" s="4">
        <f>IFERROR(_xlfn.MAXIFS($B$2:$B$26,$B$2:$B$26,"&lt;&gt; -1"),0)</f>
        <v>580.79</v>
      </c>
      <c r="N29" s="4">
        <f>IFERROR(_xlfn.MAXIFS($D$2:$D$26,$D$2:$D$26,"&lt;&gt;-1"),0)</f>
        <v>468.82</v>
      </c>
      <c r="O29" s="4">
        <f>IFERROR(_xlfn.MAXIFS($F$2:$F$26,$F$2:$F$26,"&lt;&gt; -1"),0)</f>
        <v>0</v>
      </c>
      <c r="P29" s="4">
        <f>IFERROR(_xlfn.MAXIFS($H$2:$H$26,$H$2:$H$26,"&lt;&gt; -1"),0)</f>
        <v>512.24</v>
      </c>
      <c r="Q29" s="4">
        <f>IFERROR(_xlfn.MAXIFS($J$2:$J$26,$J$2:$J$26,"&lt;&gt; -1"),0)</f>
        <v>0</v>
      </c>
      <c r="R29" s="4">
        <f>IFERROR(_xlfn.MAXIFS($L$2:$L$26,$L$2:$L$26,"&lt;&gt; -1"),0)</f>
        <v>0</v>
      </c>
      <c r="S29" s="4">
        <f>IFERROR(_xlfn.MINIFS($B$2:$B$26,$B$2:$B$26,"&lt;&gt; -1"),0)</f>
        <v>509.6</v>
      </c>
      <c r="T29" s="4">
        <f>IFERROR(_xlfn.MINIFS($D$2:$D$26,$D$2:$D$26,"&lt;&gt;-1"),0)</f>
        <v>403.94</v>
      </c>
      <c r="U29" s="4">
        <f>IFERROR(_xlfn.MINIFS($F$2:$F$26,$F$2:$F$26,"&lt;&gt; -1"),0)</f>
        <v>0</v>
      </c>
      <c r="V29" s="4">
        <f>IFERROR(_xlfn.MINIFS($H$2:$H$26,$H$2:$H$26,"&lt;&gt; -1"),0)</f>
        <v>477.6</v>
      </c>
      <c r="W29" s="4">
        <f>IFERROR(_xlfn.MINIFS($J$2:$J$26,$J$2:$J$26,"&lt;&gt; -1"),0)</f>
        <v>0</v>
      </c>
      <c r="X29" s="4">
        <f>IFERROR(_xlfn.MINIFS($L$2:$L$26,$L$2:$L$26,"&lt;&gt; -1"),0)</f>
        <v>0</v>
      </c>
      <c r="Y29" s="4">
        <f>IFERROR(_xlfn.MAXIFS($C$2:$C$26,$B$2:$B$26,"&lt;&gt; -1"),0)</f>
        <v>20816.45</v>
      </c>
      <c r="Z29" s="4">
        <f>IFERROR(_xlfn.MAXIFS($E$2:$E$26,$D$2:$D$26,"&lt;&gt; -1"),0)</f>
        <v>20946.3</v>
      </c>
      <c r="AA29" s="4">
        <f>IFERROR(_xlfn.MAXIFS($G$2:$G$26,$F$2:$F$26,"&lt;&gt; -1"),0)</f>
        <v>0</v>
      </c>
      <c r="AB29" s="4">
        <f>IFERROR(_xlfn.MAXIFS($I$2:$I$26,$H$2:$H$26,"&lt;&gt; -1"),0)</f>
        <v>22503.19</v>
      </c>
      <c r="AC29" s="4">
        <f>IFERROR(_xlfn.MAXIFS($K$2:$K$26,$J$2:$J$26,"&lt;&gt; -1"),0)</f>
        <v>0</v>
      </c>
      <c r="AD29" s="4">
        <f>IFERROR(_xlfn.MAXIFS($M$2:$M$26,$L$2:$L$26,"&lt;&gt; -1"),0)</f>
        <v>0</v>
      </c>
      <c r="AE29" s="4">
        <f>IFERROR(_xlfn.MINIFS($C$2:$C$26,$B$2:$B$26,"&lt;&gt; -1"),0)</f>
        <v>18614.27</v>
      </c>
      <c r="AF29" s="4">
        <f>IFERROR(_xlfn.MINIFS($E$2:$E$26,$D$2:$D$26,"&lt;&gt; -1"),0)</f>
        <v>18418.64</v>
      </c>
      <c r="AG29" s="4">
        <f>IFERROR(_xlfn.MINIFS($G$2:$G$26,$F$2:$F$26,"&lt;&gt; -1"),0)</f>
        <v>0</v>
      </c>
      <c r="AH29" s="4">
        <f>IFERROR(_xlfn.MINIFS($I$2:$I$26,$H$2:$H$26,"&lt;&gt; -1"),0)</f>
        <v>21539.03</v>
      </c>
      <c r="AI29" s="4">
        <f>IFERROR(_xlfn.MINIFS($K$2:$K$26,$J$2:$J$26,"&lt;&gt; -1"),0)</f>
        <v>0</v>
      </c>
      <c r="AJ29" s="4">
        <f>IFERROR(_xlfn.MINIFS($M$2:$M$26,$L$2:$L$26,"&lt;&gt; -1"),0)</f>
        <v>0</v>
      </c>
      <c r="AK29" s="4">
        <f>(COUNTIFS($B$2:$B$26,"&gt;0.0",$B$2:$B$26,"&lt;700.0"))/25</f>
        <v>0.92</v>
      </c>
      <c r="AL29" s="4">
        <f>(COUNTIFS($D$2:$D$26,"&gt;0.0",$D$2:$D$26,"&lt;700.0"))/25</f>
        <v>0.96</v>
      </c>
      <c r="AM29" s="4">
        <f>(COUNTIFS($F$2:$F$26,"&gt;0.0",$F$2:$F$26,"&lt;700.0"))/25</f>
        <v>0</v>
      </c>
      <c r="AN29" s="4">
        <f>(COUNTIFS($H$2:$H26,"&gt;0.0",$H$2:$H$26,"&lt;700.0"))/25</f>
        <v>0.12</v>
      </c>
      <c r="AO29" s="4">
        <f>(COUNTIFS($J$2:$J$26,"&gt;0.0",$J$2:$J$26,"&lt;700.0"))/25</f>
        <v>0</v>
      </c>
      <c r="AP29" s="4">
        <f>(COUNTIFS($L$2:$L$26,"&gt;0.0",$L$2:$L$26,"&lt;700.0"))/25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537.27</v>
      </c>
      <c r="C2">
        <v>19597.27</v>
      </c>
      <c r="D2">
        <v>440.01</v>
      </c>
      <c r="E2">
        <v>18788.6</v>
      </c>
      <c r="F2">
        <v>-1</v>
      </c>
      <c r="G2">
        <v>0</v>
      </c>
      <c r="H2">
        <v>511.13</v>
      </c>
      <c r="I2">
        <v>21734.65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543.63</v>
      </c>
      <c r="C3">
        <v>19039.03</v>
      </c>
      <c r="D3">
        <v>443.44</v>
      </c>
      <c r="E3">
        <v>19287.5</v>
      </c>
      <c r="F3">
        <v>-1</v>
      </c>
      <c r="G3">
        <v>0</v>
      </c>
      <c r="H3">
        <v>-1</v>
      </c>
      <c r="I3">
        <v>3846.29</v>
      </c>
      <c r="J3">
        <v>-1</v>
      </c>
      <c r="K3">
        <v>0</v>
      </c>
      <c r="L3">
        <v>-1</v>
      </c>
      <c r="M3">
        <v>980.97</v>
      </c>
    </row>
    <row r="4" spans="1:13">
      <c r="A4" t="s">
        <v>15</v>
      </c>
      <c r="B4">
        <v>542.69</v>
      </c>
      <c r="C4">
        <v>20289.61</v>
      </c>
      <c r="D4">
        <v>444.76</v>
      </c>
      <c r="E4">
        <v>19477.51</v>
      </c>
      <c r="F4">
        <v>-1</v>
      </c>
      <c r="G4">
        <v>0</v>
      </c>
      <c r="H4">
        <v>525.12</v>
      </c>
      <c r="I4">
        <v>22699.06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548.98</v>
      </c>
      <c r="C5">
        <v>20194.05</v>
      </c>
      <c r="D5">
        <v>452.6</v>
      </c>
      <c r="E5">
        <v>19796.41</v>
      </c>
      <c r="F5">
        <v>-1</v>
      </c>
      <c r="G5">
        <v>0</v>
      </c>
      <c r="H5">
        <v>-1</v>
      </c>
      <c r="I5">
        <v>11486.63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560.08</v>
      </c>
      <c r="C6">
        <v>20206.99</v>
      </c>
      <c r="D6">
        <v>462.94</v>
      </c>
      <c r="E6">
        <v>20410.75</v>
      </c>
      <c r="F6">
        <v>-1</v>
      </c>
      <c r="G6">
        <v>0</v>
      </c>
      <c r="H6">
        <v>-1</v>
      </c>
      <c r="I6">
        <v>15995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543.48</v>
      </c>
      <c r="C7">
        <v>19907.13</v>
      </c>
      <c r="D7">
        <v>445.02</v>
      </c>
      <c r="E7">
        <v>18706.37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520.58</v>
      </c>
      <c r="C8">
        <v>19050.57</v>
      </c>
      <c r="D8">
        <v>423.8</v>
      </c>
      <c r="E8">
        <v>18395.12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543.26</v>
      </c>
      <c r="C9">
        <v>19453.66</v>
      </c>
      <c r="D9">
        <v>442.65</v>
      </c>
      <c r="E9">
        <v>18728.42</v>
      </c>
      <c r="F9">
        <v>-1</v>
      </c>
      <c r="G9">
        <v>0</v>
      </c>
      <c r="H9">
        <v>484.98</v>
      </c>
      <c r="I9">
        <v>22031.71</v>
      </c>
      <c r="J9">
        <v>-1</v>
      </c>
      <c r="K9">
        <v>0</v>
      </c>
      <c r="L9">
        <v>-1</v>
      </c>
      <c r="M9">
        <v>603.36</v>
      </c>
    </row>
    <row r="10" spans="1:13">
      <c r="A10" t="s">
        <v>21</v>
      </c>
      <c r="B10">
        <v>583.62</v>
      </c>
      <c r="C10">
        <v>19702.09</v>
      </c>
      <c r="D10">
        <v>443.22</v>
      </c>
      <c r="E10">
        <v>19522.15</v>
      </c>
      <c r="F10">
        <v>-1</v>
      </c>
      <c r="G10">
        <v>0</v>
      </c>
      <c r="H10">
        <v>526.46</v>
      </c>
      <c r="I10">
        <v>22754.81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575.64</v>
      </c>
      <c r="C11">
        <v>21184.72</v>
      </c>
      <c r="D11">
        <v>477.79</v>
      </c>
      <c r="E11">
        <v>20436.88</v>
      </c>
      <c r="F11">
        <v>-1</v>
      </c>
      <c r="G11">
        <v>0</v>
      </c>
      <c r="H11">
        <v>527.31</v>
      </c>
      <c r="I11">
        <v>23797.51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542.29</v>
      </c>
      <c r="C12">
        <v>19321.5</v>
      </c>
      <c r="D12">
        <v>442.1</v>
      </c>
      <c r="E12">
        <v>19169.05</v>
      </c>
      <c r="F12">
        <v>-1</v>
      </c>
      <c r="G12">
        <v>0</v>
      </c>
      <c r="H12">
        <v>-1</v>
      </c>
      <c r="I12">
        <v>5671.81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554.56</v>
      </c>
      <c r="C13">
        <v>20213.19</v>
      </c>
      <c r="D13">
        <v>459.19</v>
      </c>
      <c r="E13">
        <v>19919.78</v>
      </c>
      <c r="F13">
        <v>-1</v>
      </c>
      <c r="G13">
        <v>0</v>
      </c>
      <c r="H13">
        <v>-1</v>
      </c>
      <c r="I13">
        <v>2080.58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541.87</v>
      </c>
      <c r="C14">
        <v>19286.01</v>
      </c>
      <c r="D14">
        <v>445.63</v>
      </c>
      <c r="E14">
        <v>19108.49</v>
      </c>
      <c r="F14">
        <v>-1</v>
      </c>
      <c r="G14">
        <v>0</v>
      </c>
      <c r="H14">
        <v>541.35</v>
      </c>
      <c r="I14">
        <v>21940.17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536.63</v>
      </c>
      <c r="C15">
        <v>19143.41</v>
      </c>
      <c r="D15">
        <v>436.68</v>
      </c>
      <c r="E15">
        <v>18647.38</v>
      </c>
      <c r="F15">
        <v>-1</v>
      </c>
      <c r="G15">
        <v>0</v>
      </c>
      <c r="H15">
        <v>526.45</v>
      </c>
      <c r="I15">
        <v>21698.24</v>
      </c>
      <c r="J15">
        <v>-1</v>
      </c>
      <c r="K15">
        <v>0</v>
      </c>
      <c r="L15">
        <v>-1</v>
      </c>
      <c r="M15">
        <v>10426.67</v>
      </c>
    </row>
    <row r="16" spans="1:13">
      <c r="A16" t="s">
        <v>27</v>
      </c>
      <c r="B16">
        <v>546.07</v>
      </c>
      <c r="C16">
        <v>19762.5</v>
      </c>
      <c r="D16">
        <v>447.88</v>
      </c>
      <c r="E16">
        <v>19261.25</v>
      </c>
      <c r="F16">
        <v>-1</v>
      </c>
      <c r="G16">
        <v>0</v>
      </c>
      <c r="H16">
        <v>541.9</v>
      </c>
      <c r="I16">
        <v>22238.96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539.76</v>
      </c>
      <c r="C17">
        <v>19567.25</v>
      </c>
      <c r="D17">
        <v>442.73</v>
      </c>
      <c r="E17">
        <v>19117.15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569.3</v>
      </c>
      <c r="C18">
        <v>20405.1</v>
      </c>
      <c r="D18">
        <v>468.61</v>
      </c>
      <c r="E18">
        <v>20453.84</v>
      </c>
      <c r="F18">
        <v>-1</v>
      </c>
      <c r="G18">
        <v>0</v>
      </c>
      <c r="H18">
        <v>-1</v>
      </c>
      <c r="I18">
        <v>18798.16</v>
      </c>
      <c r="J18">
        <v>-1</v>
      </c>
      <c r="K18">
        <v>0</v>
      </c>
      <c r="L18">
        <v>-1</v>
      </c>
      <c r="M18">
        <v>754</v>
      </c>
    </row>
    <row r="19" spans="1:13">
      <c r="A19" t="s">
        <v>30</v>
      </c>
      <c r="B19">
        <v>540.35</v>
      </c>
      <c r="C19">
        <v>18560.05</v>
      </c>
      <c r="D19">
        <v>442.12</v>
      </c>
      <c r="E19">
        <v>18455.45</v>
      </c>
      <c r="F19">
        <v>-1</v>
      </c>
      <c r="G19">
        <v>0</v>
      </c>
      <c r="H19">
        <v>-1</v>
      </c>
      <c r="I19">
        <v>15393.72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540.6</v>
      </c>
      <c r="C20">
        <v>19613.66</v>
      </c>
      <c r="D20">
        <v>442.34</v>
      </c>
      <c r="E20">
        <v>18875.97</v>
      </c>
      <c r="F20">
        <v>-1</v>
      </c>
      <c r="G20">
        <v>0</v>
      </c>
      <c r="H20">
        <v>-1</v>
      </c>
      <c r="I20">
        <v>10397.58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556.5</v>
      </c>
      <c r="C21">
        <v>20053.69</v>
      </c>
      <c r="D21">
        <v>460.19</v>
      </c>
      <c r="E21">
        <v>20147.31</v>
      </c>
      <c r="F21">
        <v>-1</v>
      </c>
      <c r="G21">
        <v>0</v>
      </c>
      <c r="H21">
        <v>-1</v>
      </c>
      <c r="I21">
        <v>8110.39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549.93</v>
      </c>
      <c r="C22">
        <v>20333.43</v>
      </c>
      <c r="D22">
        <v>455.49</v>
      </c>
      <c r="E22">
        <v>19742.95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-1</v>
      </c>
      <c r="C23">
        <v>10128.6</v>
      </c>
      <c r="D23">
        <v>448.34</v>
      </c>
      <c r="E23">
        <v>19211.55</v>
      </c>
      <c r="F23">
        <v>-1</v>
      </c>
      <c r="G23">
        <v>0</v>
      </c>
      <c r="H23">
        <v>-1</v>
      </c>
      <c r="I23">
        <v>5309.61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542.17</v>
      </c>
      <c r="C24">
        <v>19535.8</v>
      </c>
      <c r="D24">
        <v>443.05</v>
      </c>
      <c r="E24">
        <v>19264.97</v>
      </c>
      <c r="F24">
        <v>-1</v>
      </c>
      <c r="G24">
        <v>0</v>
      </c>
      <c r="H24">
        <v>531.81</v>
      </c>
      <c r="I24">
        <v>22157.32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530.63</v>
      </c>
      <c r="C25">
        <v>19690.24</v>
      </c>
      <c r="D25">
        <v>438.66</v>
      </c>
      <c r="E25">
        <v>19441.63</v>
      </c>
      <c r="F25">
        <v>-1</v>
      </c>
      <c r="G25">
        <v>0</v>
      </c>
      <c r="H25">
        <v>-1</v>
      </c>
      <c r="I25">
        <v>1467.59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544.19</v>
      </c>
      <c r="C26">
        <v>20119.97</v>
      </c>
      <c r="D26">
        <v>449.26</v>
      </c>
      <c r="E26">
        <v>19468.9</v>
      </c>
      <c r="F26">
        <v>-1</v>
      </c>
      <c r="G26">
        <v>0</v>
      </c>
      <c r="H26">
        <v>-1</v>
      </c>
      <c r="I26">
        <v>16696.25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547.253333333333</v>
      </c>
      <c r="B29" s="4">
        <f>IFERROR(AVERAGEIF($D$2:$D$26,"&lt;&gt; -1"),0)</f>
        <v>447.94</v>
      </c>
      <c r="C29" s="4">
        <f>IFERROR(AVERAGEIF($F$2:$F$26,"&lt;&gt; -1"),0)</f>
        <v>0</v>
      </c>
      <c r="D29" s="4">
        <f>IFERROR(AVERAGEIF($H$2:$H$26,"&lt;&gt; -1"),0)</f>
        <v>524.056666666667</v>
      </c>
      <c r="E29" s="4">
        <f>IFERROR(AVERAGEIF($J$2:$J$26,"&lt;&gt; -1"),0)</f>
        <v>0</v>
      </c>
      <c r="F29" s="4">
        <f>IFERROR(AVERAGEIF($L$2:$L$26,"&lt;&gt; -1"),0)</f>
        <v>0</v>
      </c>
      <c r="G29" s="4">
        <f>IFERROR(AVERAGEIFS($C$2:$C$26,$B$2:$B$26,"&lt;&gt; -1"),0)</f>
        <v>19759.6216666667</v>
      </c>
      <c r="H29" s="4">
        <f>IFERROR(AVERAGEIFS($E$2:$E$26,$D$2:$D$26,"&lt;&gt; -1"),0)</f>
        <v>19353.4152</v>
      </c>
      <c r="I29" s="4">
        <f>IFERROR(AVERAGEIFS($G$2:$G$26,$F$2:$F$26,"&lt;&gt; -1"),0)</f>
        <v>0</v>
      </c>
      <c r="J29" s="4">
        <f>IFERROR(AVERAGEIFS($I$2:$I$26,$H$2:$H$26,"&lt;&gt; -1"),0)</f>
        <v>22339.1588888889</v>
      </c>
      <c r="K29" s="4">
        <f>IFERROR(AVERAGEIFS($K$2:$K$26,$J$2:$J$26,"&lt;&gt; -1"),0)</f>
        <v>0</v>
      </c>
      <c r="L29" s="4">
        <f>IFERROR(AVERAGEIFS($M$2:$M$26,$L$2:$L$26,"&lt;&gt; -1"),0)</f>
        <v>0</v>
      </c>
      <c r="M29" s="4">
        <f>IFERROR(_xlfn.MAXIFS($B$2:$B$26,$B$2:$B$26,"&lt;&gt; -1"),0)</f>
        <v>583.62</v>
      </c>
      <c r="N29" s="4">
        <f>IFERROR(_xlfn.MAXIFS($D$2:$D$26,$D$2:$D$26,"&lt;&gt;-1"),0)</f>
        <v>477.79</v>
      </c>
      <c r="O29" s="4">
        <f>IFERROR(_xlfn.MAXIFS($F$2:$F$26,$F$2:$F$26,"&lt;&gt; -1"),0)</f>
        <v>0</v>
      </c>
      <c r="P29" s="4">
        <f>IFERROR(_xlfn.MAXIFS($H$2:$H$26,$H$2:$H$26,"&lt;&gt; -1"),0)</f>
        <v>541.9</v>
      </c>
      <c r="Q29" s="4">
        <f>IFERROR(_xlfn.MAXIFS($J$2:$J$26,$J$2:$J$26,"&lt;&gt; -1"),0)</f>
        <v>0</v>
      </c>
      <c r="R29" s="4">
        <f>IFERROR(_xlfn.MAXIFS($L$2:$L$26,$L$2:$L$26,"&lt;&gt; -1"),0)</f>
        <v>0</v>
      </c>
      <c r="S29" s="4">
        <f>IFERROR(_xlfn.MINIFS($B$2:$B$26,$B$2:$B$26,"&lt;&gt; -1"),0)</f>
        <v>520.58</v>
      </c>
      <c r="T29" s="4">
        <f>IFERROR(_xlfn.MINIFS($D$2:$D$26,$D$2:$D$26,"&lt;&gt;-1"),0)</f>
        <v>423.8</v>
      </c>
      <c r="U29" s="4">
        <f>IFERROR(_xlfn.MINIFS($F$2:$F$26,$F$2:$F$26,"&lt;&gt; -1"),0)</f>
        <v>0</v>
      </c>
      <c r="V29" s="4">
        <f>IFERROR(_xlfn.MINIFS($H$2:$H$26,$H$2:$H$26,"&lt;&gt; -1"),0)</f>
        <v>484.98</v>
      </c>
      <c r="W29" s="4">
        <f>IFERROR(_xlfn.MINIFS($J$2:$J$26,$J$2:$J$26,"&lt;&gt; -1"),0)</f>
        <v>0</v>
      </c>
      <c r="X29" s="4">
        <f>IFERROR(_xlfn.MINIFS($L$2:$L$26,$L$2:$L$26,"&lt;&gt; -1"),0)</f>
        <v>0</v>
      </c>
      <c r="Y29" s="4">
        <f>IFERROR(_xlfn.MAXIFS($C$2:$C$26,$B$2:$B$26,"&lt;&gt; -1"),0)</f>
        <v>21184.72</v>
      </c>
      <c r="Z29" s="4">
        <f>IFERROR(_xlfn.MAXIFS($E$2:$E$26,$D$2:$D$26,"&lt;&gt; -1"),0)</f>
        <v>20453.84</v>
      </c>
      <c r="AA29" s="4">
        <f>IFERROR(_xlfn.MAXIFS($G$2:$G$26,$F$2:$F$26,"&lt;&gt; -1"),0)</f>
        <v>0</v>
      </c>
      <c r="AB29" s="4">
        <f>IFERROR(_xlfn.MAXIFS($I$2:$I$26,$H$2:$H$26,"&lt;&gt; -1"),0)</f>
        <v>23797.51</v>
      </c>
      <c r="AC29" s="4">
        <f>IFERROR(_xlfn.MAXIFS($K$2:$K$26,$J$2:$J$26,"&lt;&gt; -1"),0)</f>
        <v>0</v>
      </c>
      <c r="AD29" s="4">
        <f>IFERROR(_xlfn.MAXIFS($M$2:$M$26,$L$2:$L$26,"&lt;&gt; -1"),0)</f>
        <v>0</v>
      </c>
      <c r="AE29" s="4">
        <f>IFERROR(_xlfn.MINIFS($C$2:$C$26,$B$2:$B$26,"&lt;&gt; -1"),0)</f>
        <v>18560.05</v>
      </c>
      <c r="AF29" s="4">
        <f>IFERROR(_xlfn.MINIFS($E$2:$E$26,$D$2:$D$26,"&lt;&gt; -1"),0)</f>
        <v>18395.12</v>
      </c>
      <c r="AG29" s="4">
        <f>IFERROR(_xlfn.MINIFS($G$2:$G$26,$F$2:$F$26,"&lt;&gt; -1"),0)</f>
        <v>0</v>
      </c>
      <c r="AH29" s="4">
        <f>IFERROR(_xlfn.MINIFS($I$2:$I$26,$H$2:$H$26,"&lt;&gt; -1"),0)</f>
        <v>21698.24</v>
      </c>
      <c r="AI29" s="4">
        <f>IFERROR(_xlfn.MINIFS($K$2:$K$26,$J$2:$J$26,"&lt;&gt; -1"),0)</f>
        <v>0</v>
      </c>
      <c r="AJ29" s="4">
        <f>IFERROR(_xlfn.MINIFS($M$2:$M$26,$L$2:$L$26,"&lt;&gt; -1"),0)</f>
        <v>0</v>
      </c>
      <c r="AK29" s="4">
        <f>(COUNTIFS($B$2:$B$26,"&gt;0.0",$B$2:$B$26,"&lt;700.0"))/25</f>
        <v>0.96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0.36</v>
      </c>
      <c r="AO29" s="4">
        <f>(COUNTIFS($J$2:$J$26,"&gt;0.0",$J$2:$J$26,"&lt;700.0"))/25</f>
        <v>0</v>
      </c>
      <c r="AP29" s="4">
        <f>(COUNTIFS($L$2:$L$26,"&gt;0.0",$L$2:$L$26,"&lt;700.0"))/25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517.95</v>
      </c>
      <c r="C2">
        <v>19200.24</v>
      </c>
      <c r="D2">
        <v>466.75</v>
      </c>
      <c r="E2">
        <v>19154.11</v>
      </c>
      <c r="F2">
        <v>606.12</v>
      </c>
      <c r="G2">
        <v>22313.82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490.94</v>
      </c>
      <c r="C3">
        <v>18451.82</v>
      </c>
      <c r="D3">
        <v>470.3</v>
      </c>
      <c r="E3">
        <v>18766.02</v>
      </c>
      <c r="F3">
        <v>559.18</v>
      </c>
      <c r="G3">
        <v>21363.96</v>
      </c>
      <c r="H3">
        <v>-1</v>
      </c>
      <c r="I3">
        <v>0</v>
      </c>
      <c r="J3">
        <v>-1</v>
      </c>
      <c r="K3">
        <v>4321.63</v>
      </c>
      <c r="L3">
        <v>-1</v>
      </c>
      <c r="M3">
        <v>0</v>
      </c>
    </row>
    <row r="4" spans="1:13">
      <c r="A4" t="s">
        <v>15</v>
      </c>
      <c r="B4">
        <v>490.96</v>
      </c>
      <c r="C4">
        <v>19102.77</v>
      </c>
      <c r="D4">
        <v>475.57</v>
      </c>
      <c r="E4">
        <v>19478.35</v>
      </c>
      <c r="F4">
        <v>496.2</v>
      </c>
      <c r="G4">
        <v>22381.42</v>
      </c>
      <c r="H4">
        <v>-1</v>
      </c>
      <c r="I4">
        <v>2484.59</v>
      </c>
      <c r="J4">
        <v>491.63</v>
      </c>
      <c r="K4">
        <v>19097.92</v>
      </c>
      <c r="L4">
        <v>-1</v>
      </c>
      <c r="M4">
        <v>0</v>
      </c>
    </row>
    <row r="5" spans="1:13">
      <c r="A5" t="s">
        <v>16</v>
      </c>
      <c r="B5">
        <v>491.87</v>
      </c>
      <c r="C5">
        <v>18945.84</v>
      </c>
      <c r="D5">
        <v>477.81</v>
      </c>
      <c r="E5">
        <v>19193.2</v>
      </c>
      <c r="F5">
        <v>496.89</v>
      </c>
      <c r="G5">
        <v>22132.62</v>
      </c>
      <c r="H5">
        <v>-1</v>
      </c>
      <c r="I5">
        <v>0</v>
      </c>
      <c r="J5">
        <v>492.5</v>
      </c>
      <c r="K5">
        <v>18947.96</v>
      </c>
      <c r="L5">
        <v>-1</v>
      </c>
      <c r="M5">
        <v>0</v>
      </c>
    </row>
    <row r="6" spans="1:13">
      <c r="A6" t="s">
        <v>17</v>
      </c>
      <c r="B6">
        <v>499.1</v>
      </c>
      <c r="C6">
        <v>19549.23</v>
      </c>
      <c r="D6">
        <v>481.68</v>
      </c>
      <c r="E6">
        <v>20620.48</v>
      </c>
      <c r="F6">
        <v>-1</v>
      </c>
      <c r="G6">
        <v>11287.48</v>
      </c>
      <c r="H6">
        <v>-1</v>
      </c>
      <c r="I6">
        <v>0</v>
      </c>
      <c r="J6">
        <v>-1</v>
      </c>
      <c r="K6">
        <v>559.75</v>
      </c>
      <c r="L6">
        <v>-1</v>
      </c>
      <c r="M6">
        <v>0</v>
      </c>
    </row>
    <row r="7" spans="1:13">
      <c r="A7" t="s">
        <v>18</v>
      </c>
      <c r="B7">
        <v>509.83</v>
      </c>
      <c r="C7">
        <v>19201.26</v>
      </c>
      <c r="D7">
        <v>461.24</v>
      </c>
      <c r="E7">
        <v>20033.47</v>
      </c>
      <c r="F7">
        <v>-1</v>
      </c>
      <c r="G7">
        <v>5395.14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460.96</v>
      </c>
      <c r="C8">
        <v>17549.73</v>
      </c>
      <c r="D8">
        <v>440.83</v>
      </c>
      <c r="E8">
        <v>17913.91</v>
      </c>
      <c r="F8">
        <v>507.06</v>
      </c>
      <c r="G8">
        <v>20375.93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468.65</v>
      </c>
      <c r="C9">
        <v>19481.61</v>
      </c>
      <c r="D9">
        <v>454.04</v>
      </c>
      <c r="E9">
        <v>19085.43</v>
      </c>
      <c r="F9">
        <v>473.6</v>
      </c>
      <c r="G9">
        <v>22964.83</v>
      </c>
      <c r="H9">
        <v>-1</v>
      </c>
      <c r="I9">
        <v>1731.49</v>
      </c>
      <c r="J9">
        <v>469.22</v>
      </c>
      <c r="K9">
        <v>19489.25</v>
      </c>
      <c r="L9">
        <v>-1</v>
      </c>
      <c r="M9">
        <v>0</v>
      </c>
    </row>
    <row r="10" spans="1:13">
      <c r="A10" t="s">
        <v>21</v>
      </c>
      <c r="B10">
        <v>508.81</v>
      </c>
      <c r="C10">
        <v>19684.06</v>
      </c>
      <c r="D10">
        <v>458.84</v>
      </c>
      <c r="E10">
        <v>18884.96</v>
      </c>
      <c r="F10">
        <v>-1</v>
      </c>
      <c r="G10">
        <v>9801.26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514.23</v>
      </c>
      <c r="C11">
        <v>20288.08</v>
      </c>
      <c r="D11">
        <v>491</v>
      </c>
      <c r="E11">
        <v>20450.21</v>
      </c>
      <c r="F11">
        <v>-1</v>
      </c>
      <c r="G11">
        <v>16409.73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474.06</v>
      </c>
      <c r="C12">
        <v>19132.83</v>
      </c>
      <c r="D12">
        <v>461.38</v>
      </c>
      <c r="E12">
        <v>19455.61</v>
      </c>
      <c r="F12">
        <v>478.99</v>
      </c>
      <c r="G12">
        <v>22355.15</v>
      </c>
      <c r="H12">
        <v>-1</v>
      </c>
      <c r="I12">
        <v>1953.27</v>
      </c>
      <c r="J12">
        <v>474.7</v>
      </c>
      <c r="K12">
        <v>19136.02</v>
      </c>
      <c r="L12">
        <v>-1</v>
      </c>
      <c r="M12">
        <v>0</v>
      </c>
    </row>
    <row r="13" spans="1:13">
      <c r="A13" t="s">
        <v>24</v>
      </c>
      <c r="B13">
        <v>484.29</v>
      </c>
      <c r="C13">
        <v>19649.88</v>
      </c>
      <c r="D13">
        <v>470.13</v>
      </c>
      <c r="E13">
        <v>19557.43</v>
      </c>
      <c r="F13">
        <v>489.33</v>
      </c>
      <c r="G13">
        <v>23007.33</v>
      </c>
      <c r="H13">
        <v>-1</v>
      </c>
      <c r="I13">
        <v>12408.97</v>
      </c>
      <c r="J13">
        <v>484.89</v>
      </c>
      <c r="K13">
        <v>19652.14</v>
      </c>
      <c r="L13">
        <v>-1</v>
      </c>
      <c r="M13">
        <v>0</v>
      </c>
    </row>
    <row r="14" spans="1:13">
      <c r="A14" t="s">
        <v>25</v>
      </c>
      <c r="B14">
        <v>511.15</v>
      </c>
      <c r="C14">
        <v>19097.91</v>
      </c>
      <c r="D14">
        <v>459.73</v>
      </c>
      <c r="E14">
        <v>19190.27</v>
      </c>
      <c r="F14">
        <v>-1</v>
      </c>
      <c r="G14">
        <v>3851.48</v>
      </c>
      <c r="H14">
        <v>-1</v>
      </c>
      <c r="I14">
        <v>1955.94</v>
      </c>
      <c r="J14">
        <v>-1</v>
      </c>
      <c r="K14">
        <v>2887.93</v>
      </c>
      <c r="L14">
        <v>-1</v>
      </c>
      <c r="M14">
        <v>0</v>
      </c>
    </row>
    <row r="15" spans="1:13">
      <c r="A15" t="s">
        <v>26</v>
      </c>
      <c r="B15">
        <v>491.81</v>
      </c>
      <c r="C15">
        <v>19416.61</v>
      </c>
      <c r="D15">
        <v>446.96</v>
      </c>
      <c r="E15">
        <v>18677.88</v>
      </c>
      <c r="F15">
        <v>-1</v>
      </c>
      <c r="G15">
        <v>11285.52</v>
      </c>
      <c r="H15">
        <v>-1</v>
      </c>
      <c r="I15">
        <v>2301.32</v>
      </c>
      <c r="J15">
        <v>-1</v>
      </c>
      <c r="K15">
        <v>7781.9</v>
      </c>
      <c r="L15">
        <v>-1</v>
      </c>
      <c r="M15">
        <v>0</v>
      </c>
    </row>
    <row r="16" spans="1:13">
      <c r="A16" t="s">
        <v>27</v>
      </c>
      <c r="B16">
        <v>469.26</v>
      </c>
      <c r="C16">
        <v>18991.42</v>
      </c>
      <c r="D16">
        <v>455.06</v>
      </c>
      <c r="E16">
        <v>19526.01</v>
      </c>
      <c r="F16">
        <v>474.25</v>
      </c>
      <c r="G16">
        <v>22186.31</v>
      </c>
      <c r="H16">
        <v>-1</v>
      </c>
      <c r="I16">
        <v>12808.69</v>
      </c>
      <c r="J16">
        <v>469.88</v>
      </c>
      <c r="K16">
        <v>18990.46</v>
      </c>
      <c r="L16">
        <v>-1</v>
      </c>
      <c r="M16">
        <v>0</v>
      </c>
    </row>
    <row r="17" spans="1:13">
      <c r="A17" t="s">
        <v>28</v>
      </c>
      <c r="B17">
        <v>495.9</v>
      </c>
      <c r="C17">
        <v>18828.75</v>
      </c>
      <c r="D17">
        <v>450.65</v>
      </c>
      <c r="E17">
        <v>19220.35</v>
      </c>
      <c r="F17">
        <v>-1</v>
      </c>
      <c r="G17">
        <v>20212.2</v>
      </c>
      <c r="H17">
        <v>-1</v>
      </c>
      <c r="I17">
        <v>0</v>
      </c>
      <c r="J17">
        <v>-1</v>
      </c>
      <c r="K17">
        <v>550.43</v>
      </c>
      <c r="L17">
        <v>-1</v>
      </c>
      <c r="M17">
        <v>0</v>
      </c>
    </row>
    <row r="18" spans="1:13">
      <c r="A18" t="s">
        <v>29</v>
      </c>
      <c r="B18">
        <v>532.24</v>
      </c>
      <c r="C18">
        <v>20052.48</v>
      </c>
      <c r="D18">
        <v>480.99</v>
      </c>
      <c r="E18">
        <v>21037.95</v>
      </c>
      <c r="F18">
        <v>-1</v>
      </c>
      <c r="G18">
        <v>2388.42</v>
      </c>
      <c r="H18">
        <v>-1</v>
      </c>
      <c r="I18">
        <v>0</v>
      </c>
      <c r="J18">
        <v>-1</v>
      </c>
      <c r="K18">
        <v>1374.18</v>
      </c>
      <c r="L18">
        <v>-1</v>
      </c>
      <c r="M18">
        <v>0</v>
      </c>
    </row>
    <row r="19" spans="1:13">
      <c r="A19" t="s">
        <v>30</v>
      </c>
      <c r="B19">
        <v>493.15</v>
      </c>
      <c r="C19">
        <v>18520.13</v>
      </c>
      <c r="D19">
        <v>445.02</v>
      </c>
      <c r="E19">
        <v>18459.57</v>
      </c>
      <c r="F19">
        <v>-1</v>
      </c>
      <c r="G19">
        <v>1258.56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503.11</v>
      </c>
      <c r="C20">
        <v>18567.24</v>
      </c>
      <c r="D20">
        <v>453.43</v>
      </c>
      <c r="E20">
        <v>19550.12</v>
      </c>
      <c r="F20">
        <v>-1</v>
      </c>
      <c r="G20">
        <v>3442.72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491.44</v>
      </c>
      <c r="C21">
        <v>19786.23</v>
      </c>
      <c r="D21">
        <v>476.77</v>
      </c>
      <c r="E21">
        <v>19782.92</v>
      </c>
      <c r="F21">
        <v>-1</v>
      </c>
      <c r="G21">
        <v>8761.28</v>
      </c>
      <c r="H21">
        <v>-1</v>
      </c>
      <c r="I21">
        <v>1993.42</v>
      </c>
      <c r="J21">
        <v>-1</v>
      </c>
      <c r="K21">
        <v>2664.87</v>
      </c>
      <c r="L21">
        <v>-1</v>
      </c>
      <c r="M21">
        <v>0</v>
      </c>
    </row>
    <row r="22" spans="1:13">
      <c r="A22" t="s">
        <v>33</v>
      </c>
      <c r="B22">
        <v>515.87</v>
      </c>
      <c r="C22">
        <v>19647.07</v>
      </c>
      <c r="D22">
        <v>468.17</v>
      </c>
      <c r="E22">
        <v>20045.32</v>
      </c>
      <c r="F22">
        <v>-1</v>
      </c>
      <c r="G22">
        <v>13984.78</v>
      </c>
      <c r="H22">
        <v>-1</v>
      </c>
      <c r="I22">
        <v>1703.28</v>
      </c>
      <c r="J22">
        <v>-1</v>
      </c>
      <c r="K22">
        <v>524.76</v>
      </c>
      <c r="L22">
        <v>-1</v>
      </c>
      <c r="M22">
        <v>0</v>
      </c>
    </row>
    <row r="23" spans="1:13">
      <c r="A23" t="s">
        <v>34</v>
      </c>
      <c r="B23">
        <v>505.77</v>
      </c>
      <c r="C23">
        <v>18587.03</v>
      </c>
      <c r="D23">
        <v>454.94</v>
      </c>
      <c r="E23">
        <v>19254.52</v>
      </c>
      <c r="F23">
        <v>-1</v>
      </c>
      <c r="G23">
        <v>5309.23</v>
      </c>
      <c r="H23">
        <v>-1</v>
      </c>
      <c r="I23">
        <v>2674.43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478.2</v>
      </c>
      <c r="C24">
        <v>19296.72</v>
      </c>
      <c r="D24">
        <v>459.57</v>
      </c>
      <c r="E24">
        <v>19814.46</v>
      </c>
      <c r="F24">
        <v>-1</v>
      </c>
      <c r="G24">
        <v>11890.48</v>
      </c>
      <c r="H24">
        <v>-1</v>
      </c>
      <c r="I24">
        <v>1703.14</v>
      </c>
      <c r="J24">
        <v>-1</v>
      </c>
      <c r="K24">
        <v>356.31</v>
      </c>
      <c r="L24">
        <v>-1</v>
      </c>
      <c r="M24">
        <v>0</v>
      </c>
    </row>
    <row r="25" spans="1:13">
      <c r="A25" t="s">
        <v>36</v>
      </c>
      <c r="B25">
        <v>473.47</v>
      </c>
      <c r="C25">
        <v>19215.09</v>
      </c>
      <c r="D25">
        <v>460.01</v>
      </c>
      <c r="E25">
        <v>19852.51</v>
      </c>
      <c r="F25">
        <v>-1</v>
      </c>
      <c r="G25">
        <v>2607.82</v>
      </c>
      <c r="H25">
        <v>-1</v>
      </c>
      <c r="I25">
        <v>0</v>
      </c>
      <c r="J25">
        <v>474.19</v>
      </c>
      <c r="K25">
        <v>19217.83</v>
      </c>
      <c r="L25">
        <v>-1</v>
      </c>
      <c r="M25">
        <v>0</v>
      </c>
    </row>
    <row r="26" spans="1:13">
      <c r="A26" t="s">
        <v>37</v>
      </c>
      <c r="B26">
        <v>519.24</v>
      </c>
      <c r="C26">
        <v>20124.09</v>
      </c>
      <c r="D26">
        <v>472.58</v>
      </c>
      <c r="E26">
        <v>19350.42</v>
      </c>
      <c r="F26">
        <v>-1</v>
      </c>
      <c r="G26">
        <v>5868.97</v>
      </c>
      <c r="H26">
        <v>-1</v>
      </c>
      <c r="I26">
        <v>10739.93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495.6904</v>
      </c>
      <c r="B29" s="4">
        <f>IFERROR(AVERAGEIF($D$2:$D$26,"&lt;&gt; -1"),0)</f>
        <v>463.738</v>
      </c>
      <c r="C29" s="4">
        <f>IFERROR(AVERAGEIF($F$2:$F$26,"&lt;&gt; -1"),0)</f>
        <v>509.068888888889</v>
      </c>
      <c r="D29" s="4">
        <f>IFERROR(AVERAGEIF($H$2:$H$26,"&lt;&gt; -1"),0)</f>
        <v>0</v>
      </c>
      <c r="E29" s="4">
        <f>IFERROR(AVERAGEIF($J$2:$J$26,"&lt;&gt; -1"),0)</f>
        <v>479.572857142857</v>
      </c>
      <c r="F29" s="4">
        <f>IFERROR(AVERAGEIF($L$2:$L$26,"&lt;&gt; -1"),0)</f>
        <v>0</v>
      </c>
      <c r="G29" s="4">
        <f>IFERROR(AVERAGEIFS($C$2:$C$26,$B$2:$B$26,"&lt;&gt; -1"),0)</f>
        <v>19214.7248</v>
      </c>
      <c r="H29" s="4">
        <f>IFERROR(AVERAGEIFS($E$2:$E$26,$D$2:$D$26,"&lt;&gt; -1"),0)</f>
        <v>19454.2192</v>
      </c>
      <c r="I29" s="4">
        <f>IFERROR(AVERAGEIFS($G$2:$G$26,$F$2:$F$26,"&lt;&gt; -1"),0)</f>
        <v>22120.1522222222</v>
      </c>
      <c r="J29" s="4">
        <f>IFERROR(AVERAGEIFS($I$2:$I$26,$H$2:$H$26,"&lt;&gt; -1"),0)</f>
        <v>0</v>
      </c>
      <c r="K29" s="4">
        <f>IFERROR(AVERAGEIFS($K$2:$K$26,$J$2:$J$26,"&lt;&gt; -1"),0)</f>
        <v>19218.7971428571</v>
      </c>
      <c r="L29" s="4">
        <f>IFERROR(AVERAGEIFS($M$2:$M$26,$L$2:$L$26,"&lt;&gt; -1"),0)</f>
        <v>0</v>
      </c>
      <c r="M29" s="4">
        <f>IFERROR(_xlfn.MAXIFS($B$2:$B$26,$B$2:$B$26,"&lt;&gt; -1"),0)</f>
        <v>532.24</v>
      </c>
      <c r="N29" s="4">
        <f>IFERROR(_xlfn.MAXIFS($D$2:$D$26,$D$2:$D$26,"&lt;&gt;-1"),0)</f>
        <v>491</v>
      </c>
      <c r="O29" s="4">
        <f>IFERROR(_xlfn.MAXIFS($F$2:$F$26,$F$2:$F$26,"&lt;&gt; -1"),0)</f>
        <v>606.12</v>
      </c>
      <c r="P29" s="4">
        <f>IFERROR(_xlfn.MAXIFS($H$2:$H$26,$H$2:$H$26,"&lt;&gt; -1"),0)</f>
        <v>0</v>
      </c>
      <c r="Q29" s="4">
        <f>IFERROR(_xlfn.MAXIFS($J$2:$J$26,$J$2:$J$26,"&lt;&gt; -1"),0)</f>
        <v>492.5</v>
      </c>
      <c r="R29" s="4">
        <f>IFERROR(_xlfn.MAXIFS($L$2:$L$26,$L$2:$L$26,"&lt;&gt; -1"),0)</f>
        <v>0</v>
      </c>
      <c r="S29" s="4">
        <f>IFERROR(_xlfn.MINIFS($B$2:$B$26,$B$2:$B$26,"&lt;&gt; -1"),0)</f>
        <v>460.96</v>
      </c>
      <c r="T29" s="4">
        <f>IFERROR(_xlfn.MINIFS($D$2:$D$26,$D$2:$D$26,"&lt;&gt;-1"),0)</f>
        <v>440.83</v>
      </c>
      <c r="U29" s="4">
        <f>IFERROR(_xlfn.MINIFS($F$2:$F$26,$F$2:$F$26,"&lt;&gt; -1"),0)</f>
        <v>473.6</v>
      </c>
      <c r="V29" s="4">
        <f>IFERROR(_xlfn.MINIFS($H$2:$H$26,$H$2:$H$26,"&lt;&gt; -1"),0)</f>
        <v>0</v>
      </c>
      <c r="W29" s="4">
        <f>IFERROR(_xlfn.MINIFS($J$2:$J$26,$J$2:$J$26,"&lt;&gt; -1"),0)</f>
        <v>469.22</v>
      </c>
      <c r="X29" s="4">
        <f>IFERROR(_xlfn.MINIFS($L$2:$L$26,$L$2:$L$26,"&lt;&gt; -1"),0)</f>
        <v>0</v>
      </c>
      <c r="Y29" s="4">
        <f>IFERROR(_xlfn.MAXIFS($C$2:$C$26,$B$2:$B$26,"&lt;&gt; -1"),0)</f>
        <v>20288.08</v>
      </c>
      <c r="Z29" s="4">
        <f>IFERROR(_xlfn.MAXIFS($E$2:$E$26,$D$2:$D$26,"&lt;&gt; -1"),0)</f>
        <v>21037.95</v>
      </c>
      <c r="AA29" s="4">
        <f>IFERROR(_xlfn.MAXIFS($G$2:$G$26,$F$2:$F$26,"&lt;&gt; -1"),0)</f>
        <v>23007.33</v>
      </c>
      <c r="AB29" s="4">
        <f>IFERROR(_xlfn.MAXIFS($I$2:$I$26,$H$2:$H$26,"&lt;&gt; -1"),0)</f>
        <v>0</v>
      </c>
      <c r="AC29" s="4">
        <f>IFERROR(_xlfn.MAXIFS($K$2:$K$26,$J$2:$J$26,"&lt;&gt; -1"),0)</f>
        <v>19652.14</v>
      </c>
      <c r="AD29" s="4">
        <f>IFERROR(_xlfn.MAXIFS($M$2:$M$26,$L$2:$L$26,"&lt;&gt; -1"),0)</f>
        <v>0</v>
      </c>
      <c r="AE29" s="4">
        <f>IFERROR(_xlfn.MINIFS($C$2:$C$26,$B$2:$B$26,"&lt;&gt; -1"),0)</f>
        <v>17549.73</v>
      </c>
      <c r="AF29" s="4">
        <f>IFERROR(_xlfn.MINIFS($E$2:$E$26,$D$2:$D$26,"&lt;&gt; -1"),0)</f>
        <v>17913.91</v>
      </c>
      <c r="AG29" s="4">
        <f>IFERROR(_xlfn.MINIFS($G$2:$G$26,$F$2:$F$26,"&lt;&gt; -1"),0)</f>
        <v>20375.93</v>
      </c>
      <c r="AH29" s="4">
        <f>IFERROR(_xlfn.MINIFS($I$2:$I$26,$H$2:$H$26,"&lt;&gt; -1"),0)</f>
        <v>0</v>
      </c>
      <c r="AI29" s="4">
        <f>IFERROR(_xlfn.MINIFS($K$2:$K$26,$J$2:$J$26,"&lt;&gt; -1"),0)</f>
        <v>18947.96</v>
      </c>
      <c r="AJ29" s="4">
        <f>IFERROR(_xlfn.MINIFS($M$2:$M$26,$L$2:$L$26,"&lt;&gt; -1"),0)</f>
        <v>0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0.36</v>
      </c>
      <c r="AN29" s="4">
        <f>(COUNTIFS($H$2:$H26,"&gt;0.0",$H$2:$H$26,"&lt;700.0"))/25</f>
        <v>0</v>
      </c>
      <c r="AO29" s="4">
        <f>(COUNTIFS($J$2:$J$26,"&gt;0.0",$J$2:$J$26,"&lt;700.0"))/25</f>
        <v>0.28</v>
      </c>
      <c r="AP29" s="4">
        <f>(COUNTIFS($L$2:$L$26,"&gt;0.0",$L$2:$L$26,"&lt;700.0"))/25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F15" sqref="F15"/>
    </sheetView>
  </sheetViews>
  <sheetFormatPr defaultColWidth="8.72727272727273" defaultRowHeight="14" outlineLevelRow="6"/>
  <sheetData>
    <row r="1" spans="1:4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</row>
    <row r="2" spans="1:42">
      <c r="A2">
        <v>435.504</v>
      </c>
      <c r="B2">
        <v>325.6884</v>
      </c>
      <c r="C2">
        <v>457.515333333333</v>
      </c>
      <c r="D2">
        <v>362.474166666667</v>
      </c>
      <c r="E2">
        <v>459.396666666667</v>
      </c>
      <c r="F2">
        <v>361.9325</v>
      </c>
      <c r="G2">
        <v>19071.7772</v>
      </c>
      <c r="H2">
        <v>19084.8444</v>
      </c>
      <c r="I2">
        <v>22326.478</v>
      </c>
      <c r="J2">
        <v>21895.7175</v>
      </c>
      <c r="K2">
        <v>18992.29</v>
      </c>
      <c r="L2">
        <v>18688.265</v>
      </c>
      <c r="M2">
        <v>464.92</v>
      </c>
      <c r="N2">
        <v>349.26</v>
      </c>
      <c r="O2">
        <v>537.4</v>
      </c>
      <c r="P2">
        <v>395.31</v>
      </c>
      <c r="Q2">
        <v>519.79</v>
      </c>
      <c r="R2">
        <v>405.88</v>
      </c>
      <c r="S2">
        <v>398.7</v>
      </c>
      <c r="T2">
        <v>312.75</v>
      </c>
      <c r="U2">
        <v>438.39</v>
      </c>
      <c r="V2">
        <v>329.52</v>
      </c>
      <c r="W2">
        <v>400.78</v>
      </c>
      <c r="X2">
        <v>325.14</v>
      </c>
      <c r="Y2">
        <v>20158.46</v>
      </c>
      <c r="Z2">
        <v>20515.11</v>
      </c>
      <c r="AA2">
        <v>23643.65</v>
      </c>
      <c r="AB2">
        <v>22427.5</v>
      </c>
      <c r="AC2">
        <v>19538.2</v>
      </c>
      <c r="AD2">
        <v>19114.32</v>
      </c>
      <c r="AE2">
        <v>17720.17</v>
      </c>
      <c r="AF2">
        <v>18079.74</v>
      </c>
      <c r="AG2">
        <v>21790.64</v>
      </c>
      <c r="AH2">
        <v>21015.78</v>
      </c>
      <c r="AI2">
        <v>17731.55</v>
      </c>
      <c r="AJ2">
        <v>18421.98</v>
      </c>
      <c r="AK2">
        <v>1</v>
      </c>
      <c r="AL2">
        <v>1</v>
      </c>
      <c r="AM2">
        <v>0.6</v>
      </c>
      <c r="AN2">
        <v>0.48</v>
      </c>
      <c r="AO2">
        <v>0.48</v>
      </c>
      <c r="AP2">
        <v>0.16</v>
      </c>
    </row>
    <row r="3" spans="1:42">
      <c r="A3">
        <v>459.626666666667</v>
      </c>
      <c r="B3">
        <v>356.7196</v>
      </c>
      <c r="C3">
        <v>478.575</v>
      </c>
      <c r="D3">
        <v>430.185</v>
      </c>
      <c r="E3">
        <v>471.593333333333</v>
      </c>
      <c r="F3">
        <v>0</v>
      </c>
      <c r="G3">
        <v>19052.6483333333</v>
      </c>
      <c r="H3">
        <v>19257.2444</v>
      </c>
      <c r="I3">
        <v>22312.06</v>
      </c>
      <c r="J3">
        <v>22252.4</v>
      </c>
      <c r="K3">
        <v>19049.995</v>
      </c>
      <c r="L3">
        <v>0</v>
      </c>
      <c r="M3">
        <v>490.98</v>
      </c>
      <c r="N3">
        <v>377.06</v>
      </c>
      <c r="O3">
        <v>520.62</v>
      </c>
      <c r="P3">
        <v>456.87</v>
      </c>
      <c r="Q3">
        <v>504.88</v>
      </c>
      <c r="R3">
        <v>0</v>
      </c>
      <c r="S3">
        <v>423.32</v>
      </c>
      <c r="T3">
        <v>336.41</v>
      </c>
      <c r="U3">
        <v>445.82</v>
      </c>
      <c r="V3">
        <v>403.5</v>
      </c>
      <c r="W3">
        <v>442.72</v>
      </c>
      <c r="X3">
        <v>0</v>
      </c>
      <c r="Y3">
        <v>20020.69</v>
      </c>
      <c r="Z3">
        <v>20021.94</v>
      </c>
      <c r="AA3">
        <v>23543.33</v>
      </c>
      <c r="AB3">
        <v>23007.18</v>
      </c>
      <c r="AC3">
        <v>19644.37</v>
      </c>
      <c r="AD3">
        <v>0</v>
      </c>
      <c r="AE3">
        <v>17720.57</v>
      </c>
      <c r="AF3">
        <v>18337.49</v>
      </c>
      <c r="AG3">
        <v>21590.79</v>
      </c>
      <c r="AH3">
        <v>21497.62</v>
      </c>
      <c r="AI3">
        <v>18691.67</v>
      </c>
      <c r="AJ3">
        <v>0</v>
      </c>
      <c r="AK3">
        <v>0.96</v>
      </c>
      <c r="AL3">
        <v>1</v>
      </c>
      <c r="AM3">
        <v>0.56</v>
      </c>
      <c r="AN3">
        <v>0.08</v>
      </c>
      <c r="AO3">
        <v>0.24</v>
      </c>
      <c r="AP3">
        <v>0</v>
      </c>
    </row>
    <row r="4" spans="1:42">
      <c r="A4">
        <v>501.8496</v>
      </c>
      <c r="B4">
        <v>386.674</v>
      </c>
      <c r="C4">
        <v>0</v>
      </c>
      <c r="D4">
        <v>460.79</v>
      </c>
      <c r="E4">
        <v>0</v>
      </c>
      <c r="F4">
        <v>0</v>
      </c>
      <c r="G4">
        <v>19472.262</v>
      </c>
      <c r="H4">
        <v>19286.0684</v>
      </c>
      <c r="I4">
        <v>0</v>
      </c>
      <c r="J4">
        <v>22364.045</v>
      </c>
      <c r="K4">
        <v>0</v>
      </c>
      <c r="L4">
        <v>0</v>
      </c>
      <c r="M4">
        <v>524.18</v>
      </c>
      <c r="N4">
        <v>412.09</v>
      </c>
      <c r="O4">
        <v>0</v>
      </c>
      <c r="P4">
        <v>472.21</v>
      </c>
      <c r="Q4">
        <v>0</v>
      </c>
      <c r="R4">
        <v>0</v>
      </c>
      <c r="S4">
        <v>473.65</v>
      </c>
      <c r="T4">
        <v>362.63</v>
      </c>
      <c r="U4">
        <v>0</v>
      </c>
      <c r="V4">
        <v>449.37</v>
      </c>
      <c r="W4">
        <v>0</v>
      </c>
      <c r="X4">
        <v>0</v>
      </c>
      <c r="Y4">
        <v>20590.45</v>
      </c>
      <c r="Z4">
        <v>20975.59</v>
      </c>
      <c r="AA4">
        <v>0</v>
      </c>
      <c r="AB4">
        <v>22842.27</v>
      </c>
      <c r="AC4">
        <v>0</v>
      </c>
      <c r="AD4">
        <v>0</v>
      </c>
      <c r="AE4">
        <v>18494.06</v>
      </c>
      <c r="AF4">
        <v>18318.52</v>
      </c>
      <c r="AG4">
        <v>0</v>
      </c>
      <c r="AH4">
        <v>21885.82</v>
      </c>
      <c r="AI4">
        <v>0</v>
      </c>
      <c r="AJ4">
        <v>0</v>
      </c>
      <c r="AK4">
        <v>1</v>
      </c>
      <c r="AL4">
        <v>1</v>
      </c>
      <c r="AM4">
        <v>0</v>
      </c>
      <c r="AN4">
        <v>0.08</v>
      </c>
      <c r="AO4">
        <v>0</v>
      </c>
      <c r="AP4">
        <v>0</v>
      </c>
    </row>
    <row r="5" spans="1:42">
      <c r="A5">
        <v>531.963478260869</v>
      </c>
      <c r="B5">
        <v>423.475</v>
      </c>
      <c r="C5">
        <v>0</v>
      </c>
      <c r="D5">
        <v>498.386666666667</v>
      </c>
      <c r="E5">
        <v>0</v>
      </c>
      <c r="F5">
        <v>0</v>
      </c>
      <c r="G5">
        <v>19710.2404347826</v>
      </c>
      <c r="H5">
        <v>19230.6675</v>
      </c>
      <c r="I5">
        <v>0</v>
      </c>
      <c r="J5">
        <v>21991.2466666667</v>
      </c>
      <c r="K5">
        <v>0</v>
      </c>
      <c r="L5">
        <v>0</v>
      </c>
      <c r="M5">
        <v>580.79</v>
      </c>
      <c r="N5">
        <v>468.82</v>
      </c>
      <c r="O5">
        <v>0</v>
      </c>
      <c r="P5">
        <v>512.24</v>
      </c>
      <c r="Q5">
        <v>0</v>
      </c>
      <c r="R5">
        <v>0</v>
      </c>
      <c r="S5">
        <v>509.6</v>
      </c>
      <c r="T5">
        <v>403.94</v>
      </c>
      <c r="U5">
        <v>0</v>
      </c>
      <c r="V5">
        <v>477.6</v>
      </c>
      <c r="W5">
        <v>0</v>
      </c>
      <c r="X5">
        <v>0</v>
      </c>
      <c r="Y5">
        <v>20816.45</v>
      </c>
      <c r="Z5">
        <v>20946.3</v>
      </c>
      <c r="AA5">
        <v>0</v>
      </c>
      <c r="AB5">
        <v>22503.19</v>
      </c>
      <c r="AC5">
        <v>0</v>
      </c>
      <c r="AD5">
        <v>0</v>
      </c>
      <c r="AE5">
        <v>18614.27</v>
      </c>
      <c r="AF5">
        <v>18418.64</v>
      </c>
      <c r="AG5">
        <v>0</v>
      </c>
      <c r="AH5">
        <v>21539.03</v>
      </c>
      <c r="AI5">
        <v>0</v>
      </c>
      <c r="AJ5">
        <v>0</v>
      </c>
      <c r="AK5">
        <v>0.92</v>
      </c>
      <c r="AL5">
        <v>0.96</v>
      </c>
      <c r="AM5">
        <v>0</v>
      </c>
      <c r="AN5">
        <v>0.12</v>
      </c>
      <c r="AO5">
        <v>0</v>
      </c>
      <c r="AP5">
        <v>0</v>
      </c>
    </row>
    <row r="6" spans="1:42">
      <c r="A6">
        <v>547.253333333333</v>
      </c>
      <c r="B6">
        <v>447.94</v>
      </c>
      <c r="C6">
        <v>0</v>
      </c>
      <c r="D6">
        <v>524.056666666667</v>
      </c>
      <c r="E6">
        <v>0</v>
      </c>
      <c r="F6">
        <v>0</v>
      </c>
      <c r="G6">
        <v>19759.6216666667</v>
      </c>
      <c r="H6">
        <v>19353.4152</v>
      </c>
      <c r="I6">
        <v>0</v>
      </c>
      <c r="J6">
        <v>22339.1588888889</v>
      </c>
      <c r="K6">
        <v>0</v>
      </c>
      <c r="L6">
        <v>0</v>
      </c>
      <c r="M6">
        <v>583.62</v>
      </c>
      <c r="N6">
        <v>477.79</v>
      </c>
      <c r="O6">
        <v>0</v>
      </c>
      <c r="P6">
        <v>541.9</v>
      </c>
      <c r="Q6">
        <v>0</v>
      </c>
      <c r="R6">
        <v>0</v>
      </c>
      <c r="S6">
        <v>520.58</v>
      </c>
      <c r="T6">
        <v>423.8</v>
      </c>
      <c r="U6">
        <v>0</v>
      </c>
      <c r="V6">
        <v>484.98</v>
      </c>
      <c r="W6">
        <v>0</v>
      </c>
      <c r="X6">
        <v>0</v>
      </c>
      <c r="Y6">
        <v>21184.72</v>
      </c>
      <c r="Z6">
        <v>20453.84</v>
      </c>
      <c r="AA6">
        <v>0</v>
      </c>
      <c r="AB6">
        <v>23797.51</v>
      </c>
      <c r="AC6">
        <v>0</v>
      </c>
      <c r="AD6">
        <v>0</v>
      </c>
      <c r="AE6">
        <v>18560.05</v>
      </c>
      <c r="AF6">
        <v>18395.12</v>
      </c>
      <c r="AG6">
        <v>0</v>
      </c>
      <c r="AH6">
        <v>21698.24</v>
      </c>
      <c r="AI6">
        <v>0</v>
      </c>
      <c r="AJ6">
        <v>0</v>
      </c>
      <c r="AK6">
        <v>0.96</v>
      </c>
      <c r="AL6">
        <v>1</v>
      </c>
      <c r="AM6">
        <v>0</v>
      </c>
      <c r="AN6">
        <v>0.36</v>
      </c>
      <c r="AO6">
        <v>0</v>
      </c>
      <c r="AP6">
        <v>0</v>
      </c>
    </row>
    <row r="7" spans="1:42">
      <c r="A7">
        <v>495.6904</v>
      </c>
      <c r="B7">
        <v>463.738</v>
      </c>
      <c r="C7">
        <v>509.068888888889</v>
      </c>
      <c r="D7">
        <v>0</v>
      </c>
      <c r="E7">
        <v>479.572857142857</v>
      </c>
      <c r="F7">
        <v>0</v>
      </c>
      <c r="G7">
        <v>19214.7248</v>
      </c>
      <c r="H7">
        <v>19454.2192</v>
      </c>
      <c r="I7">
        <v>22120.1522222222</v>
      </c>
      <c r="J7">
        <v>0</v>
      </c>
      <c r="K7">
        <v>19218.7971428571</v>
      </c>
      <c r="L7">
        <v>0</v>
      </c>
      <c r="M7">
        <v>532.24</v>
      </c>
      <c r="N7">
        <v>491</v>
      </c>
      <c r="O7">
        <v>606.12</v>
      </c>
      <c r="P7">
        <v>0</v>
      </c>
      <c r="Q7">
        <v>492.5</v>
      </c>
      <c r="R7">
        <v>0</v>
      </c>
      <c r="S7">
        <v>460.96</v>
      </c>
      <c r="T7">
        <v>440.83</v>
      </c>
      <c r="U7">
        <v>473.6</v>
      </c>
      <c r="V7">
        <v>0</v>
      </c>
      <c r="W7">
        <v>469.22</v>
      </c>
      <c r="X7">
        <v>0</v>
      </c>
      <c r="Y7">
        <v>20288.08</v>
      </c>
      <c r="Z7">
        <v>21037.95</v>
      </c>
      <c r="AA7">
        <v>23007.33</v>
      </c>
      <c r="AB7">
        <v>0</v>
      </c>
      <c r="AC7">
        <v>19652.14</v>
      </c>
      <c r="AD7">
        <v>0</v>
      </c>
      <c r="AE7">
        <v>17549.73</v>
      </c>
      <c r="AF7">
        <v>17913.91</v>
      </c>
      <c r="AG7">
        <v>20375.93</v>
      </c>
      <c r="AH7">
        <v>0</v>
      </c>
      <c r="AI7">
        <v>18947.96</v>
      </c>
      <c r="AJ7">
        <v>0</v>
      </c>
      <c r="AK7">
        <v>1</v>
      </c>
      <c r="AL7">
        <v>1</v>
      </c>
      <c r="AM7">
        <v>0.36</v>
      </c>
      <c r="AN7">
        <v>0</v>
      </c>
      <c r="AO7">
        <v>0.28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2024-09-30T14:11:00Z</dcterms:created>
  <dcterms:modified xsi:type="dcterms:W3CDTF">2024-10-01T13:37:46Z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A4B1E50C177A48DB86DBB624109C1A9D_12</vt:lpwstr>
  </property>
  <property fmtid="{D5CDD505-2E9C-101B-9397-08002B2CF9AE}" pid="3" name="KSOProductBuildVer">
    <vt:lpwstr>2052-12.1.0.17827</vt:lpwstr>
  </property>
</Properties>
</file>