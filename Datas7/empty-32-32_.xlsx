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<sst xmlns="http://schemas.openxmlformats.org/spreadsheetml/2006/main" count="522" uniqueCount="80">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</sst>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topLeftCell="T7" workbookViewId="0">
      <selection activeCell="U28" sqref="A28:AP29"/>
    </sheetView>
  </sheetViews>
  <sheetFormatPr defaultColWidth="9" defaultRowHeight="14"/>
  <cols>
    <col min="1" max="1" width="12.9090909090909" customWidth="1"/>
    <col min="7" max="12" width="9.54545454545454"/>
    <col min="25" max="36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237.87</v>
      </c>
      <c r="C2">
        <v>6790.42</v>
      </c>
      <c r="D2">
        <v>129.68</v>
      </c>
      <c r="E2">
        <v>7137.09</v>
      </c>
      <c r="F2">
        <v>241.43</v>
      </c>
      <c r="G2">
        <v>7692.9</v>
      </c>
      <c r="H2">
        <v>144.7</v>
      </c>
      <c r="I2">
        <v>7974.25</v>
      </c>
      <c r="J2">
        <v>238.6</v>
      </c>
      <c r="K2">
        <v>6782.86</v>
      </c>
      <c r="L2">
        <v>133.56</v>
      </c>
      <c r="M2">
        <v>7033.14</v>
      </c>
    </row>
    <row r="3" spans="1:13">
      <c r="A3" t="s">
        <v>14</v>
      </c>
      <c r="B3">
        <v>248.57</v>
      </c>
      <c r="C3">
        <v>7187.91</v>
      </c>
      <c r="D3">
        <v>136.58</v>
      </c>
      <c r="E3">
        <v>7244.06</v>
      </c>
      <c r="F3">
        <v>252.15</v>
      </c>
      <c r="G3">
        <v>8290.5</v>
      </c>
      <c r="H3">
        <v>145.8</v>
      </c>
      <c r="I3">
        <v>8273.64</v>
      </c>
      <c r="J3">
        <v>253.47</v>
      </c>
      <c r="K3">
        <v>7195.55</v>
      </c>
      <c r="L3">
        <v>139.86</v>
      </c>
      <c r="M3">
        <v>7179.25</v>
      </c>
    </row>
    <row r="4" spans="1:13">
      <c r="A4" t="s">
        <v>15</v>
      </c>
      <c r="B4">
        <v>246.25</v>
      </c>
      <c r="C4">
        <v>7040.1</v>
      </c>
      <c r="D4">
        <v>134.98</v>
      </c>
      <c r="E4">
        <v>7226.23</v>
      </c>
      <c r="F4">
        <v>248.63</v>
      </c>
      <c r="G4">
        <v>8024.65</v>
      </c>
      <c r="H4">
        <v>148.67</v>
      </c>
      <c r="I4">
        <v>8153.04</v>
      </c>
      <c r="J4">
        <v>246.46</v>
      </c>
      <c r="K4">
        <v>7019.61</v>
      </c>
      <c r="L4">
        <v>154.31</v>
      </c>
      <c r="M4">
        <v>7152.69</v>
      </c>
    </row>
    <row r="5" spans="1:13">
      <c r="A5" t="s">
        <v>16</v>
      </c>
      <c r="B5">
        <v>218.49</v>
      </c>
      <c r="C5">
        <v>7154.67</v>
      </c>
      <c r="D5">
        <v>133.68</v>
      </c>
      <c r="E5">
        <v>7124.44</v>
      </c>
      <c r="F5">
        <v>227.09</v>
      </c>
      <c r="G5">
        <v>8142.7</v>
      </c>
      <c r="H5">
        <v>148.26</v>
      </c>
      <c r="I5">
        <v>8042.53</v>
      </c>
      <c r="J5">
        <v>221.55</v>
      </c>
      <c r="K5">
        <v>7116.73</v>
      </c>
      <c r="L5">
        <v>138.23</v>
      </c>
      <c r="M5">
        <v>7054.26</v>
      </c>
    </row>
    <row r="6" spans="1:13">
      <c r="A6" t="s">
        <v>17</v>
      </c>
      <c r="B6">
        <v>251</v>
      </c>
      <c r="C6">
        <v>7088.56</v>
      </c>
      <c r="D6">
        <v>133.22</v>
      </c>
      <c r="E6">
        <v>7002.92</v>
      </c>
      <c r="F6">
        <v>256.17</v>
      </c>
      <c r="G6">
        <v>8061.47</v>
      </c>
      <c r="H6">
        <v>144.41</v>
      </c>
      <c r="I6">
        <v>7917.98</v>
      </c>
      <c r="J6">
        <v>252.59</v>
      </c>
      <c r="K6">
        <v>7062.82</v>
      </c>
      <c r="L6">
        <v>138.62</v>
      </c>
      <c r="M6">
        <v>6941.04</v>
      </c>
    </row>
    <row r="7" spans="1:13">
      <c r="A7" t="s">
        <v>18</v>
      </c>
      <c r="B7">
        <v>245.71</v>
      </c>
      <c r="C7">
        <v>7099.43</v>
      </c>
      <c r="D7">
        <v>131.29</v>
      </c>
      <c r="E7">
        <v>6923</v>
      </c>
      <c r="F7">
        <v>249.47</v>
      </c>
      <c r="G7">
        <v>8033.15</v>
      </c>
      <c r="H7">
        <v>145.47</v>
      </c>
      <c r="I7">
        <v>7802.41</v>
      </c>
      <c r="J7">
        <v>246.61</v>
      </c>
      <c r="K7">
        <v>7073.2</v>
      </c>
      <c r="L7">
        <v>136.89</v>
      </c>
      <c r="M7">
        <v>6882.15</v>
      </c>
    </row>
    <row r="8" spans="1:13">
      <c r="A8" t="s">
        <v>19</v>
      </c>
      <c r="B8">
        <v>239.83</v>
      </c>
      <c r="C8">
        <v>6876.32</v>
      </c>
      <c r="D8">
        <v>128.5</v>
      </c>
      <c r="E8">
        <v>6936.65</v>
      </c>
      <c r="F8">
        <v>242.42</v>
      </c>
      <c r="G8">
        <v>7789.31</v>
      </c>
      <c r="H8">
        <v>135.11</v>
      </c>
      <c r="I8">
        <v>7835.34</v>
      </c>
      <c r="J8">
        <v>240.23</v>
      </c>
      <c r="K8">
        <v>6855.89</v>
      </c>
      <c r="L8">
        <v>131.47</v>
      </c>
      <c r="M8">
        <v>6861.46</v>
      </c>
    </row>
    <row r="9" spans="1:13">
      <c r="A9" t="s">
        <v>20</v>
      </c>
      <c r="B9">
        <v>248.98</v>
      </c>
      <c r="C9">
        <v>6965.64</v>
      </c>
      <c r="D9">
        <v>133.81</v>
      </c>
      <c r="E9">
        <v>7183.25</v>
      </c>
      <c r="F9">
        <v>253.17</v>
      </c>
      <c r="G9">
        <v>7885.38</v>
      </c>
      <c r="H9">
        <v>144.23</v>
      </c>
      <c r="I9">
        <v>8056.69</v>
      </c>
      <c r="J9">
        <v>253.66</v>
      </c>
      <c r="K9">
        <v>6934.59</v>
      </c>
      <c r="L9">
        <v>138.48</v>
      </c>
      <c r="M9">
        <v>7129.77</v>
      </c>
    </row>
    <row r="10" spans="1:13">
      <c r="A10" t="s">
        <v>21</v>
      </c>
      <c r="B10">
        <v>240.69</v>
      </c>
      <c r="C10">
        <v>6815.84</v>
      </c>
      <c r="D10">
        <v>133.35</v>
      </c>
      <c r="E10">
        <v>7170.37</v>
      </c>
      <c r="F10">
        <v>242.85</v>
      </c>
      <c r="G10">
        <v>7840.11</v>
      </c>
      <c r="H10">
        <v>145.25</v>
      </c>
      <c r="I10">
        <v>8168.71</v>
      </c>
      <c r="J10">
        <v>241.27</v>
      </c>
      <c r="K10">
        <v>6805.9</v>
      </c>
      <c r="L10">
        <v>140.02</v>
      </c>
      <c r="M10">
        <v>7098</v>
      </c>
    </row>
    <row r="11" spans="1:13">
      <c r="A11" t="s">
        <v>22</v>
      </c>
      <c r="B11">
        <v>245.57</v>
      </c>
      <c r="C11">
        <v>7168.78</v>
      </c>
      <c r="D11">
        <v>135.94</v>
      </c>
      <c r="E11">
        <v>7243.84</v>
      </c>
      <c r="F11">
        <v>247.89</v>
      </c>
      <c r="G11">
        <v>8106.79</v>
      </c>
      <c r="H11">
        <v>150.21</v>
      </c>
      <c r="I11">
        <v>8133.26</v>
      </c>
      <c r="J11">
        <v>246.34</v>
      </c>
      <c r="K11">
        <v>7192.31</v>
      </c>
      <c r="L11">
        <v>140.66</v>
      </c>
      <c r="M11">
        <v>7209.62</v>
      </c>
    </row>
    <row r="12" spans="1:13">
      <c r="A12" t="s">
        <v>23</v>
      </c>
      <c r="B12">
        <v>244.64</v>
      </c>
      <c r="C12">
        <v>6947.59</v>
      </c>
      <c r="D12">
        <v>134.69</v>
      </c>
      <c r="E12">
        <v>7141.81</v>
      </c>
      <c r="F12">
        <v>246.8</v>
      </c>
      <c r="G12">
        <v>7926.24</v>
      </c>
      <c r="H12">
        <v>142.48</v>
      </c>
      <c r="I12">
        <v>8021.27</v>
      </c>
      <c r="J12">
        <v>244.93</v>
      </c>
      <c r="K12">
        <v>6955.95</v>
      </c>
      <c r="L12">
        <v>137.81</v>
      </c>
      <c r="M12">
        <v>7086.76</v>
      </c>
    </row>
    <row r="13" spans="1:13">
      <c r="A13" t="s">
        <v>24</v>
      </c>
      <c r="B13">
        <v>238.72</v>
      </c>
      <c r="C13">
        <v>7023.96</v>
      </c>
      <c r="D13">
        <v>130.48</v>
      </c>
      <c r="E13">
        <v>7054.6</v>
      </c>
      <c r="F13">
        <v>240.85</v>
      </c>
      <c r="G13">
        <v>7940.05</v>
      </c>
      <c r="H13">
        <v>145.33</v>
      </c>
      <c r="I13">
        <v>7901.37</v>
      </c>
      <c r="J13">
        <v>241.33</v>
      </c>
      <c r="K13">
        <v>7038.81</v>
      </c>
      <c r="L13">
        <v>146.24</v>
      </c>
      <c r="M13">
        <v>7006.43</v>
      </c>
    </row>
    <row r="14" spans="1:13">
      <c r="A14" t="s">
        <v>25</v>
      </c>
      <c r="B14">
        <v>246.22</v>
      </c>
      <c r="C14">
        <v>6896.5</v>
      </c>
      <c r="D14">
        <v>133.37</v>
      </c>
      <c r="E14">
        <v>7192.34</v>
      </c>
      <c r="F14">
        <v>251.94</v>
      </c>
      <c r="G14">
        <v>7833.25</v>
      </c>
      <c r="H14">
        <v>148.33</v>
      </c>
      <c r="I14">
        <v>8047.66</v>
      </c>
      <c r="J14">
        <v>247.69</v>
      </c>
      <c r="K14">
        <v>6857.97</v>
      </c>
      <c r="L14">
        <v>140.72</v>
      </c>
      <c r="M14">
        <v>7079.73</v>
      </c>
    </row>
    <row r="15" spans="1:13">
      <c r="A15" t="s">
        <v>26</v>
      </c>
      <c r="B15">
        <v>244.81</v>
      </c>
      <c r="C15">
        <v>7250.52</v>
      </c>
      <c r="D15">
        <v>135.7</v>
      </c>
      <c r="E15">
        <v>7343.8</v>
      </c>
      <c r="F15">
        <v>248.23</v>
      </c>
      <c r="G15">
        <v>8288.23</v>
      </c>
      <c r="H15">
        <v>149.86</v>
      </c>
      <c r="I15">
        <v>8251.22</v>
      </c>
      <c r="J15">
        <v>245.76</v>
      </c>
      <c r="K15">
        <v>7246.38</v>
      </c>
      <c r="L15">
        <v>139.35</v>
      </c>
      <c r="M15">
        <v>7284.99</v>
      </c>
    </row>
    <row r="16" spans="1:13">
      <c r="A16" t="s">
        <v>27</v>
      </c>
      <c r="B16">
        <v>241.77</v>
      </c>
      <c r="C16">
        <v>7077.03</v>
      </c>
      <c r="D16">
        <v>133.41</v>
      </c>
      <c r="E16">
        <v>7161.98</v>
      </c>
      <c r="F16">
        <v>245</v>
      </c>
      <c r="G16">
        <v>8056.45</v>
      </c>
      <c r="H16">
        <v>146.32</v>
      </c>
      <c r="I16">
        <v>8040.09</v>
      </c>
      <c r="J16">
        <v>242.32</v>
      </c>
      <c r="K16">
        <v>7072.11</v>
      </c>
      <c r="L16">
        <v>144.4</v>
      </c>
      <c r="M16">
        <v>7091.53</v>
      </c>
    </row>
    <row r="17" spans="1:13">
      <c r="A17" t="s">
        <v>28</v>
      </c>
      <c r="B17">
        <v>243.58</v>
      </c>
      <c r="C17">
        <v>6929.73</v>
      </c>
      <c r="D17">
        <v>133.02</v>
      </c>
      <c r="E17">
        <v>7036.08</v>
      </c>
      <c r="F17">
        <v>246.13</v>
      </c>
      <c r="G17">
        <v>7973.58</v>
      </c>
      <c r="H17">
        <v>146.57</v>
      </c>
      <c r="I17">
        <v>8000.32</v>
      </c>
      <c r="J17">
        <v>248.04</v>
      </c>
      <c r="K17">
        <v>6949.95</v>
      </c>
      <c r="L17">
        <v>138.35</v>
      </c>
      <c r="M17">
        <v>6975.37</v>
      </c>
    </row>
    <row r="18" spans="1:13">
      <c r="A18" t="s">
        <v>29</v>
      </c>
      <c r="B18">
        <v>244.49</v>
      </c>
      <c r="C18">
        <v>6857.48</v>
      </c>
      <c r="D18">
        <v>130.97</v>
      </c>
      <c r="E18">
        <v>7116.19</v>
      </c>
      <c r="F18">
        <v>247.93</v>
      </c>
      <c r="G18">
        <v>7738.82</v>
      </c>
      <c r="H18">
        <v>143.67</v>
      </c>
      <c r="I18">
        <v>8055.24</v>
      </c>
      <c r="J18">
        <v>245.48</v>
      </c>
      <c r="K18">
        <v>6816.36</v>
      </c>
      <c r="L18">
        <v>142.04</v>
      </c>
      <c r="M18">
        <v>7055.13</v>
      </c>
    </row>
    <row r="19" spans="1:13">
      <c r="A19" t="s">
        <v>30</v>
      </c>
      <c r="B19">
        <v>246.59</v>
      </c>
      <c r="C19">
        <v>7030.83</v>
      </c>
      <c r="D19">
        <v>132.8</v>
      </c>
      <c r="E19">
        <v>7302.87</v>
      </c>
      <c r="F19">
        <v>250.62</v>
      </c>
      <c r="G19">
        <v>8049.03</v>
      </c>
      <c r="H19">
        <v>145.91</v>
      </c>
      <c r="I19">
        <v>8181.99</v>
      </c>
      <c r="J19">
        <v>247.8</v>
      </c>
      <c r="K19">
        <v>7012.06</v>
      </c>
      <c r="L19">
        <v>136.16</v>
      </c>
      <c r="M19">
        <v>7214.93</v>
      </c>
    </row>
    <row r="20" spans="1:13">
      <c r="A20" t="s">
        <v>31</v>
      </c>
      <c r="B20">
        <v>245.39</v>
      </c>
      <c r="C20">
        <v>7373.03</v>
      </c>
      <c r="D20">
        <v>137.58</v>
      </c>
      <c r="E20">
        <v>7323.59</v>
      </c>
      <c r="F20">
        <v>247.41</v>
      </c>
      <c r="G20">
        <v>8422.16</v>
      </c>
      <c r="H20">
        <v>152.63</v>
      </c>
      <c r="I20">
        <v>8237.93</v>
      </c>
      <c r="J20">
        <v>245.58</v>
      </c>
      <c r="K20">
        <v>7380.51</v>
      </c>
      <c r="L20">
        <v>141.55</v>
      </c>
      <c r="M20">
        <v>7268.74</v>
      </c>
    </row>
    <row r="21" spans="1:13">
      <c r="A21" t="s">
        <v>32</v>
      </c>
      <c r="B21">
        <v>242.05</v>
      </c>
      <c r="C21">
        <v>6732.12</v>
      </c>
      <c r="D21">
        <v>131.35</v>
      </c>
      <c r="E21">
        <v>7014.07</v>
      </c>
      <c r="F21">
        <v>245.5</v>
      </c>
      <c r="G21">
        <v>7716.33</v>
      </c>
      <c r="H21">
        <v>142.03</v>
      </c>
      <c r="I21">
        <v>7907.4</v>
      </c>
      <c r="J21">
        <v>242.9</v>
      </c>
      <c r="K21">
        <v>6729.84</v>
      </c>
      <c r="L21">
        <v>133.55</v>
      </c>
      <c r="M21">
        <v>6929.74</v>
      </c>
    </row>
    <row r="22" spans="1:13">
      <c r="A22" t="s">
        <v>33</v>
      </c>
      <c r="B22">
        <v>250.61</v>
      </c>
      <c r="C22">
        <v>7194.2</v>
      </c>
      <c r="D22">
        <v>132.82</v>
      </c>
      <c r="E22">
        <v>7135.12</v>
      </c>
      <c r="F22">
        <v>254.92</v>
      </c>
      <c r="G22">
        <v>8126.99</v>
      </c>
      <c r="H22">
        <v>138.93</v>
      </c>
      <c r="I22">
        <v>8058.52</v>
      </c>
      <c r="J22">
        <v>251.92</v>
      </c>
      <c r="K22">
        <v>7152.7</v>
      </c>
      <c r="L22">
        <v>134.79</v>
      </c>
      <c r="M22">
        <v>7113.97</v>
      </c>
    </row>
    <row r="23" spans="1:13">
      <c r="A23" t="s">
        <v>34</v>
      </c>
      <c r="B23">
        <v>244.03</v>
      </c>
      <c r="C23">
        <v>7060.34</v>
      </c>
      <c r="D23">
        <v>132.56</v>
      </c>
      <c r="E23">
        <v>6958.84</v>
      </c>
      <c r="F23">
        <v>247.32</v>
      </c>
      <c r="G23">
        <v>8031.96</v>
      </c>
      <c r="H23">
        <v>142.59</v>
      </c>
      <c r="I23">
        <v>7870.17</v>
      </c>
      <c r="J23">
        <v>244.72</v>
      </c>
      <c r="K23">
        <v>7057.81</v>
      </c>
      <c r="L23">
        <v>140.21</v>
      </c>
      <c r="M23">
        <v>6920.37</v>
      </c>
    </row>
    <row r="24" spans="1:13">
      <c r="A24" t="s">
        <v>35</v>
      </c>
      <c r="B24">
        <v>237.89</v>
      </c>
      <c r="C24">
        <v>6940.78</v>
      </c>
      <c r="D24">
        <v>130.48</v>
      </c>
      <c r="E24">
        <v>7014.61</v>
      </c>
      <c r="F24">
        <v>240.09</v>
      </c>
      <c r="G24">
        <v>7901.17</v>
      </c>
      <c r="H24">
        <v>142.69</v>
      </c>
      <c r="I24">
        <v>7964.36</v>
      </c>
      <c r="J24">
        <v>238.69</v>
      </c>
      <c r="K24">
        <v>6953.53</v>
      </c>
      <c r="L24">
        <v>132.95</v>
      </c>
      <c r="M24">
        <v>6911.36</v>
      </c>
    </row>
    <row r="25" spans="1:13">
      <c r="A25" t="s">
        <v>36</v>
      </c>
      <c r="B25">
        <v>244.46</v>
      </c>
      <c r="C25">
        <v>7345.49</v>
      </c>
      <c r="D25">
        <v>135.08</v>
      </c>
      <c r="E25">
        <v>7356.78</v>
      </c>
      <c r="F25">
        <v>250.22</v>
      </c>
      <c r="G25">
        <v>8303.18</v>
      </c>
      <c r="H25">
        <v>145.86</v>
      </c>
      <c r="I25">
        <v>8270.95</v>
      </c>
      <c r="J25">
        <v>247.44</v>
      </c>
      <c r="K25">
        <v>7311.81</v>
      </c>
      <c r="L25">
        <v>138.82</v>
      </c>
      <c r="M25">
        <v>7292.8</v>
      </c>
    </row>
    <row r="26" spans="1:13">
      <c r="A26" t="s">
        <v>37</v>
      </c>
      <c r="B26">
        <v>243.06</v>
      </c>
      <c r="C26">
        <v>7280.16</v>
      </c>
      <c r="D26">
        <v>134.2</v>
      </c>
      <c r="E26">
        <v>7322.58</v>
      </c>
      <c r="F26">
        <v>245.25</v>
      </c>
      <c r="G26">
        <v>8271.28</v>
      </c>
      <c r="H26">
        <v>147.97</v>
      </c>
      <c r="I26">
        <v>8248.17</v>
      </c>
      <c r="J26">
        <v>243.19</v>
      </c>
      <c r="K26">
        <v>7269.64</v>
      </c>
      <c r="L26">
        <v>142.38</v>
      </c>
      <c r="M26">
        <v>7281.43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243.2508</v>
      </c>
      <c r="B29" s="4">
        <f>IFERROR(AVERAGEIF($D$2:$D$26,"&lt;&gt; -1"),0)</f>
        <v>133.1816</v>
      </c>
      <c r="C29" s="4">
        <f>IFERROR(AVERAGEIF($F$2:$F$26,"&lt;&gt; -1"),0)</f>
        <v>246.7792</v>
      </c>
      <c r="D29" s="4">
        <f>IFERROR(AVERAGEIF($H$2:$H$26,"&lt;&gt; -1"),0)</f>
        <v>145.3312</v>
      </c>
      <c r="E29" s="4">
        <f>IFERROR(AVERAGEIF($J$2:$J$26,"&lt;&gt; -1"),0)</f>
        <v>244.7428</v>
      </c>
      <c r="F29" s="4">
        <f>IFERROR(AVERAGEIF($L$2:$L$26,"&lt;&gt; -1"),0)</f>
        <v>139.2568</v>
      </c>
      <c r="G29" s="4">
        <f>IFERROR(AVERAGEIFS($C$2:$C$26,$B$2:$B$26,"&lt;&gt; -1"),0)</f>
        <v>7045.0972</v>
      </c>
      <c r="H29" s="4">
        <f>IFERROR(AVERAGEIFS($E$2:$E$26,$D$2:$D$26,"&lt;&gt; -1"),0)</f>
        <v>7146.6844</v>
      </c>
      <c r="I29" s="4">
        <f>IFERROR(AVERAGEIFS($G$2:$G$26,$F$2:$F$26,"&lt;&gt; -1"),0)</f>
        <v>8017.8272</v>
      </c>
      <c r="J29" s="4">
        <f>IFERROR(AVERAGEIFS($I$2:$I$26,$H$2:$H$26,"&lt;&gt; -1"),0)</f>
        <v>8056.5804</v>
      </c>
      <c r="K29" s="4">
        <f>IFERROR(AVERAGEIFS($K$2:$K$26,$J$2:$J$26,"&lt;&gt; -1"),0)</f>
        <v>7033.7956</v>
      </c>
      <c r="L29" s="4">
        <f>IFERROR(AVERAGEIFS($M$2:$M$26,$L$2:$L$26,"&lt;&gt; -1"),0)</f>
        <v>7082.1864</v>
      </c>
      <c r="M29" s="4">
        <f>IFERROR(_xlfn.MAXIFS($B$2:$B$26,$B$2:$B$26,"&lt;&gt; -1"),0)</f>
        <v>251</v>
      </c>
      <c r="N29" s="4">
        <f>IFERROR(_xlfn.MAXIFS($D$2:$D$26,$D$2:$D$26,"&lt;&gt;-1"),0)</f>
        <v>137.58</v>
      </c>
      <c r="O29" s="4">
        <f>IFERROR(_xlfn.MAXIFS($F$2:$F$26,$F$2:$F$26,"&lt;&gt; -1"),0)</f>
        <v>256.17</v>
      </c>
      <c r="P29" s="4">
        <f>IFERROR(_xlfn.MAXIFS($H$2:$H$26,$H$2:$H$26,"&lt;&gt; -1"),0)</f>
        <v>152.63</v>
      </c>
      <c r="Q29" s="4">
        <f>IFERROR(_xlfn.MAXIFS($J$2:$J$26,$J$2:$J$26,"&lt;&gt; -1"),0)</f>
        <v>253.66</v>
      </c>
      <c r="R29" s="4">
        <f>IFERROR(_xlfn.MAXIFS($L$2:$L$26,$L$2:$L$26,"&lt;&gt; -1"),0)</f>
        <v>154.31</v>
      </c>
      <c r="S29" s="4">
        <f>IFERROR(_xlfn.MINIFS($B$2:$B$26,$B$2:$B$26,"&lt;&gt; -1"),0)</f>
        <v>218.49</v>
      </c>
      <c r="T29" s="4">
        <f>IFERROR(_xlfn.MINIFS($D$2:$D$26,$D$2:$D$26,"&lt;&gt;-1"),0)</f>
        <v>128.5</v>
      </c>
      <c r="U29" s="4">
        <f>IFERROR(_xlfn.MINIFS($F$2:$F$26,$F$2:$F$26,"&lt;&gt; -1"),0)</f>
        <v>227.09</v>
      </c>
      <c r="V29" s="4">
        <f>IFERROR(_xlfn.MINIFS($H$2:$H$26,$H$2:$H$26,"&lt;&gt; -1"),0)</f>
        <v>135.11</v>
      </c>
      <c r="W29" s="4">
        <f>IFERROR(_xlfn.MINIFS($J$2:$J$26,$J$2:$J$26,"&lt;&gt; -1"),0)</f>
        <v>221.55</v>
      </c>
      <c r="X29" s="4">
        <f>IFERROR(_xlfn.MINIFS($L$2:$L$26,$L$2:$L$26,"&lt;&gt; -1"),0)</f>
        <v>131.47</v>
      </c>
      <c r="Y29" s="4">
        <f>IFERROR(_xlfn.MAXIFS($C$2:$C$26,$B$2:$B$26,"&lt;&gt; -1"),0)</f>
        <v>7373.03</v>
      </c>
      <c r="Z29" s="4">
        <f>IFERROR(_xlfn.MAXIFS($E$2:$E$26,$D$2:$D$26,"&lt;&gt; -1"),0)</f>
        <v>7356.78</v>
      </c>
      <c r="AA29" s="4">
        <f>IFERROR(_xlfn.MAXIFS($G$2:$G$26,$F$2:$F$26,"&lt;&gt; -1"),0)</f>
        <v>8422.16</v>
      </c>
      <c r="AB29" s="4">
        <f>IFERROR(_xlfn.MAXIFS($I$2:$I$26,$H$2:$H$26,"&lt;&gt; -1"),0)</f>
        <v>8273.64</v>
      </c>
      <c r="AC29" s="4">
        <f>IFERROR(_xlfn.MAXIFS($K$2:$K$26,$J$2:$J$26,"&lt;&gt; -1"),0)</f>
        <v>7380.51</v>
      </c>
      <c r="AD29" s="4">
        <f>IFERROR(_xlfn.MAXIFS($M$2:$M$26,$L$2:$L$26,"&lt;&gt; -1"),0)</f>
        <v>7292.8</v>
      </c>
      <c r="AE29" s="4">
        <f>IFERROR(_xlfn.MINIFS($C$2:$C$26,$B$2:$B$26,"&lt;&gt; -1"),0)</f>
        <v>6732.12</v>
      </c>
      <c r="AF29" s="4">
        <f>IFERROR(_xlfn.MINIFS($E$2:$E$26,$D$2:$D$26,"&lt;&gt; -1"),0)</f>
        <v>6923</v>
      </c>
      <c r="AG29" s="4">
        <f>IFERROR(_xlfn.MINIFS($G$2:$G$26,$F$2:$F$26,"&lt;&gt; -1"),0)</f>
        <v>7692.9</v>
      </c>
      <c r="AH29" s="4">
        <f>IFERROR(_xlfn.MINIFS($I$2:$I$26,$H$2:$H$26,"&lt;&gt; -1"),0)</f>
        <v>7802.41</v>
      </c>
      <c r="AI29" s="4">
        <f>IFERROR(_xlfn.MINIFS($K$2:$K$26,$J$2:$J$26,"&lt;&gt; -1"),0)</f>
        <v>6729.84</v>
      </c>
      <c r="AJ29" s="4">
        <f>IFERROR(_xlfn.MINIFS($M$2:$M$26,$L$2:$L$26,"&lt;&gt; -1"),0)</f>
        <v>6861.46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1</v>
      </c>
      <c r="AN29" s="4">
        <f>(COUNTIFS($H$2:$H26,"&gt;0.0",$H$2:$H$26,"&lt;300.0"))/25</f>
        <v>1</v>
      </c>
      <c r="AO29" s="4">
        <f>(COUNTIFS($J$2:$J$26,"&gt;0.0",$J$2:$J$26,"&lt;300.0"))/25</f>
        <v>1</v>
      </c>
      <c r="AP29" s="4">
        <f>(COUNTIFS($L$2:$L$26,"&gt;0.0",$L$2:$L$26,"&lt;300.0"))/25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215.84</v>
      </c>
      <c r="C2">
        <v>6818.02</v>
      </c>
      <c r="D2">
        <v>143.78</v>
      </c>
      <c r="E2">
        <v>7291.31</v>
      </c>
      <c r="F2">
        <v>223.63</v>
      </c>
      <c r="G2">
        <v>7697.61</v>
      </c>
      <c r="H2">
        <v>173.57</v>
      </c>
      <c r="I2">
        <v>7993.27</v>
      </c>
      <c r="J2">
        <v>218.05</v>
      </c>
      <c r="K2">
        <v>6797.64</v>
      </c>
      <c r="L2">
        <v>174.32</v>
      </c>
      <c r="M2">
        <v>7099.08</v>
      </c>
    </row>
    <row r="3" spans="1:13">
      <c r="A3" t="s">
        <v>14</v>
      </c>
      <c r="B3">
        <v>260.69</v>
      </c>
      <c r="C3">
        <v>7405.74</v>
      </c>
      <c r="D3">
        <v>149.4</v>
      </c>
      <c r="E3">
        <v>7379.46</v>
      </c>
      <c r="F3">
        <v>267.33</v>
      </c>
      <c r="G3">
        <v>8449.65</v>
      </c>
      <c r="H3">
        <v>173.67</v>
      </c>
      <c r="I3">
        <v>8164.99</v>
      </c>
      <c r="J3">
        <v>262.42</v>
      </c>
      <c r="K3">
        <v>7323.37</v>
      </c>
      <c r="L3">
        <v>185.03</v>
      </c>
      <c r="M3">
        <v>7200.36</v>
      </c>
    </row>
    <row r="4" spans="1:13">
      <c r="A4" t="s">
        <v>15</v>
      </c>
      <c r="B4">
        <v>223.04</v>
      </c>
      <c r="C4">
        <v>7064.91</v>
      </c>
      <c r="D4">
        <v>144.73</v>
      </c>
      <c r="E4">
        <v>7323.28</v>
      </c>
      <c r="F4">
        <v>232.1</v>
      </c>
      <c r="G4">
        <v>8040.82</v>
      </c>
      <c r="H4">
        <v>161.64</v>
      </c>
      <c r="I4">
        <v>8127.3</v>
      </c>
      <c r="J4">
        <v>225.5</v>
      </c>
      <c r="K4">
        <v>7025.56</v>
      </c>
      <c r="L4">
        <v>-1</v>
      </c>
      <c r="M4">
        <v>0</v>
      </c>
    </row>
    <row r="5" spans="1:13">
      <c r="A5" t="s">
        <v>16</v>
      </c>
      <c r="B5">
        <v>255.74</v>
      </c>
      <c r="C5">
        <v>7285.88</v>
      </c>
      <c r="D5">
        <v>144.97</v>
      </c>
      <c r="E5">
        <v>7300.3</v>
      </c>
      <c r="F5">
        <v>263.27</v>
      </c>
      <c r="G5">
        <v>8247.29</v>
      </c>
      <c r="H5">
        <v>161.99</v>
      </c>
      <c r="I5">
        <v>7995.71</v>
      </c>
      <c r="J5">
        <v>261.41</v>
      </c>
      <c r="K5">
        <v>7237.09</v>
      </c>
      <c r="L5">
        <v>157.1</v>
      </c>
      <c r="M5">
        <v>7083.57</v>
      </c>
    </row>
    <row r="6" spans="1:13">
      <c r="A6" t="s">
        <v>17</v>
      </c>
      <c r="B6">
        <v>253.27</v>
      </c>
      <c r="C6">
        <v>7059.55</v>
      </c>
      <c r="D6">
        <v>143.04</v>
      </c>
      <c r="E6">
        <v>7227.21</v>
      </c>
      <c r="F6">
        <v>262.28</v>
      </c>
      <c r="G6">
        <v>7983.05</v>
      </c>
      <c r="H6">
        <v>154.01</v>
      </c>
      <c r="I6">
        <v>8026.37</v>
      </c>
      <c r="J6">
        <v>257.09</v>
      </c>
      <c r="K6">
        <v>7011.97</v>
      </c>
      <c r="L6">
        <v>149.21</v>
      </c>
      <c r="M6">
        <v>7080.72</v>
      </c>
    </row>
    <row r="7" spans="1:13">
      <c r="A7" t="s">
        <v>18</v>
      </c>
      <c r="B7">
        <v>250.52</v>
      </c>
      <c r="C7">
        <v>7074.71</v>
      </c>
      <c r="D7">
        <v>142.61</v>
      </c>
      <c r="E7">
        <v>6896.45</v>
      </c>
      <c r="F7">
        <v>256.29</v>
      </c>
      <c r="G7">
        <v>8008.43</v>
      </c>
      <c r="H7">
        <v>152.79</v>
      </c>
      <c r="I7">
        <v>7697.65</v>
      </c>
      <c r="J7">
        <v>252.5</v>
      </c>
      <c r="K7">
        <v>7060.35</v>
      </c>
      <c r="L7">
        <v>155.41</v>
      </c>
      <c r="M7">
        <v>6860.01</v>
      </c>
    </row>
    <row r="8" spans="1:13">
      <c r="A8" t="s">
        <v>19</v>
      </c>
      <c r="B8">
        <v>247.36</v>
      </c>
      <c r="C8">
        <v>6847.25</v>
      </c>
      <c r="D8">
        <v>140.14</v>
      </c>
      <c r="E8">
        <v>7124.69</v>
      </c>
      <c r="F8">
        <v>257.13</v>
      </c>
      <c r="G8">
        <v>7657.97</v>
      </c>
      <c r="H8">
        <v>170.06</v>
      </c>
      <c r="I8">
        <v>7834.25</v>
      </c>
      <c r="J8">
        <v>252.41</v>
      </c>
      <c r="K8">
        <v>6770.84</v>
      </c>
      <c r="L8">
        <v>-1</v>
      </c>
      <c r="M8">
        <v>0</v>
      </c>
    </row>
    <row r="9" spans="1:13">
      <c r="A9" t="s">
        <v>20</v>
      </c>
      <c r="B9">
        <v>252.33</v>
      </c>
      <c r="C9">
        <v>7030.49</v>
      </c>
      <c r="D9">
        <v>146.01</v>
      </c>
      <c r="E9">
        <v>7516.29</v>
      </c>
      <c r="F9">
        <v>254.54</v>
      </c>
      <c r="G9">
        <v>8025.97</v>
      </c>
      <c r="H9">
        <v>164.47</v>
      </c>
      <c r="I9">
        <v>8275.61</v>
      </c>
      <c r="J9">
        <v>252.57</v>
      </c>
      <c r="K9">
        <v>7036.55</v>
      </c>
      <c r="L9">
        <v>-1</v>
      </c>
      <c r="M9">
        <v>455.09</v>
      </c>
    </row>
    <row r="10" spans="1:13">
      <c r="A10" t="s">
        <v>21</v>
      </c>
      <c r="B10">
        <v>253.01</v>
      </c>
      <c r="C10">
        <v>6806.43</v>
      </c>
      <c r="D10">
        <v>145.28</v>
      </c>
      <c r="E10">
        <v>7281.89</v>
      </c>
      <c r="F10">
        <v>261.08</v>
      </c>
      <c r="G10">
        <v>7767.13</v>
      </c>
      <c r="H10">
        <v>157.32</v>
      </c>
      <c r="I10">
        <v>8129.81</v>
      </c>
      <c r="J10">
        <v>260.93</v>
      </c>
      <c r="K10">
        <v>6761.19</v>
      </c>
      <c r="L10">
        <v>149.9</v>
      </c>
      <c r="M10">
        <v>7110.79</v>
      </c>
    </row>
    <row r="11" spans="1:13">
      <c r="A11" t="s">
        <v>22</v>
      </c>
      <c r="B11">
        <v>332.38</v>
      </c>
      <c r="C11">
        <v>7015.06</v>
      </c>
      <c r="D11">
        <v>162.3</v>
      </c>
      <c r="E11">
        <v>7317.33</v>
      </c>
      <c r="F11">
        <v>337.65</v>
      </c>
      <c r="G11">
        <v>7966.94</v>
      </c>
      <c r="H11">
        <v>184.92</v>
      </c>
      <c r="I11">
        <v>8196.73</v>
      </c>
      <c r="J11">
        <v>333.66</v>
      </c>
      <c r="K11">
        <v>6994.92</v>
      </c>
      <c r="L11">
        <v>196.51</v>
      </c>
      <c r="M11">
        <v>7254.94</v>
      </c>
    </row>
    <row r="12" spans="1:13">
      <c r="A12" t="s">
        <v>23</v>
      </c>
      <c r="B12">
        <v>388.66</v>
      </c>
      <c r="C12">
        <v>6773.74</v>
      </c>
      <c r="D12">
        <v>222.69</v>
      </c>
      <c r="E12">
        <v>7363.62</v>
      </c>
      <c r="F12">
        <v>393.81</v>
      </c>
      <c r="G12">
        <v>7741.68</v>
      </c>
      <c r="H12">
        <v>260.12</v>
      </c>
      <c r="I12">
        <v>8019.59</v>
      </c>
      <c r="J12">
        <v>389.54</v>
      </c>
      <c r="K12">
        <v>6782.87</v>
      </c>
      <c r="L12">
        <v>-1</v>
      </c>
      <c r="M12">
        <v>547.2</v>
      </c>
    </row>
    <row r="13" spans="1:13">
      <c r="A13" t="s">
        <v>24</v>
      </c>
      <c r="B13">
        <v>371.35</v>
      </c>
      <c r="C13">
        <v>6965.87</v>
      </c>
      <c r="D13">
        <v>215.32</v>
      </c>
      <c r="E13">
        <v>6812.33</v>
      </c>
      <c r="F13">
        <v>376.18</v>
      </c>
      <c r="G13">
        <v>7810.22</v>
      </c>
      <c r="H13">
        <v>222.75</v>
      </c>
      <c r="I13">
        <v>7689.39</v>
      </c>
      <c r="J13">
        <v>373.61</v>
      </c>
      <c r="K13">
        <v>6962.55</v>
      </c>
      <c r="L13">
        <v>217.95</v>
      </c>
      <c r="M13">
        <v>6795.42</v>
      </c>
    </row>
    <row r="14" spans="1:13">
      <c r="A14" t="s">
        <v>25</v>
      </c>
      <c r="B14">
        <v>258.09</v>
      </c>
      <c r="C14">
        <v>6862.83</v>
      </c>
      <c r="D14">
        <v>145.01</v>
      </c>
      <c r="E14">
        <v>7407.39</v>
      </c>
      <c r="F14">
        <v>264.54</v>
      </c>
      <c r="G14">
        <v>7810.74</v>
      </c>
      <c r="H14">
        <v>155.87</v>
      </c>
      <c r="I14">
        <v>8225.04</v>
      </c>
      <c r="J14">
        <v>262.98</v>
      </c>
      <c r="K14">
        <v>6820.87</v>
      </c>
      <c r="L14">
        <v>-1</v>
      </c>
      <c r="M14">
        <v>304.32</v>
      </c>
    </row>
    <row r="15" spans="1:13">
      <c r="A15" t="s">
        <v>26</v>
      </c>
      <c r="B15">
        <v>257.18</v>
      </c>
      <c r="C15">
        <v>7323.42</v>
      </c>
      <c r="D15">
        <v>151.35</v>
      </c>
      <c r="E15">
        <v>7501.62</v>
      </c>
      <c r="F15">
        <v>260.31</v>
      </c>
      <c r="G15">
        <v>8355.03</v>
      </c>
      <c r="H15">
        <v>179.78</v>
      </c>
      <c r="I15">
        <v>8223.87</v>
      </c>
      <c r="J15">
        <v>257.9</v>
      </c>
      <c r="K15">
        <v>7317.82</v>
      </c>
      <c r="L15">
        <v>-1</v>
      </c>
      <c r="M15">
        <v>525.59</v>
      </c>
    </row>
    <row r="16" spans="1:13">
      <c r="A16" t="s">
        <v>27</v>
      </c>
      <c r="B16">
        <v>256.45</v>
      </c>
      <c r="C16">
        <v>7161.16</v>
      </c>
      <c r="D16">
        <v>146.78</v>
      </c>
      <c r="E16">
        <v>7266.8</v>
      </c>
      <c r="F16">
        <v>259.74</v>
      </c>
      <c r="G16">
        <v>8097.55</v>
      </c>
      <c r="H16">
        <v>161.71</v>
      </c>
      <c r="I16">
        <v>8125.2</v>
      </c>
      <c r="J16">
        <v>256.93</v>
      </c>
      <c r="K16">
        <v>7129.71</v>
      </c>
      <c r="L16">
        <v>168.43</v>
      </c>
      <c r="M16">
        <v>7189.76</v>
      </c>
    </row>
    <row r="17" spans="1:13">
      <c r="A17" t="s">
        <v>28</v>
      </c>
      <c r="B17">
        <v>257.66</v>
      </c>
      <c r="C17">
        <v>7033.31</v>
      </c>
      <c r="D17">
        <v>146.33</v>
      </c>
      <c r="E17">
        <v>7131.81</v>
      </c>
      <c r="F17">
        <v>267.52</v>
      </c>
      <c r="G17">
        <v>7989.02</v>
      </c>
      <c r="H17">
        <v>148.45</v>
      </c>
      <c r="I17">
        <v>8235.57</v>
      </c>
      <c r="J17">
        <v>262.73</v>
      </c>
      <c r="K17">
        <v>6983.25</v>
      </c>
      <c r="L17">
        <v>146.54</v>
      </c>
      <c r="M17">
        <v>7131.81</v>
      </c>
    </row>
    <row r="18" spans="1:13">
      <c r="A18" t="s">
        <v>29</v>
      </c>
      <c r="B18">
        <v>250.03</v>
      </c>
      <c r="C18">
        <v>6806.16</v>
      </c>
      <c r="D18">
        <v>142.81</v>
      </c>
      <c r="E18">
        <v>7122.49</v>
      </c>
      <c r="F18">
        <v>254.61</v>
      </c>
      <c r="G18">
        <v>7702.92</v>
      </c>
      <c r="H18">
        <v>166.8</v>
      </c>
      <c r="I18">
        <v>7761.08</v>
      </c>
      <c r="J18">
        <v>251.35</v>
      </c>
      <c r="K18">
        <v>6789.63</v>
      </c>
      <c r="L18">
        <v>190.52</v>
      </c>
      <c r="M18">
        <v>6988.86</v>
      </c>
    </row>
    <row r="19" spans="1:13">
      <c r="A19" t="s">
        <v>30</v>
      </c>
      <c r="B19">
        <v>254.66</v>
      </c>
      <c r="C19">
        <v>7158.96</v>
      </c>
      <c r="D19">
        <v>146.17</v>
      </c>
      <c r="E19">
        <v>6963.68</v>
      </c>
      <c r="F19">
        <v>263.1</v>
      </c>
      <c r="G19">
        <v>8076.44</v>
      </c>
      <c r="H19">
        <v>153.37</v>
      </c>
      <c r="I19">
        <v>7952.76</v>
      </c>
      <c r="J19">
        <v>265.28</v>
      </c>
      <c r="K19">
        <v>7108.6</v>
      </c>
      <c r="L19">
        <v>150.43</v>
      </c>
      <c r="M19">
        <v>6931.21</v>
      </c>
    </row>
    <row r="20" spans="1:13">
      <c r="A20" t="s">
        <v>31</v>
      </c>
      <c r="B20">
        <v>239</v>
      </c>
      <c r="C20">
        <v>7523.98</v>
      </c>
      <c r="D20">
        <v>150.32</v>
      </c>
      <c r="E20">
        <v>7301.86</v>
      </c>
      <c r="F20">
        <v>251.48</v>
      </c>
      <c r="G20">
        <v>8472.44</v>
      </c>
      <c r="H20">
        <v>160.74</v>
      </c>
      <c r="I20">
        <v>8193.18</v>
      </c>
      <c r="J20">
        <v>243.69</v>
      </c>
      <c r="K20">
        <v>7410.58</v>
      </c>
      <c r="L20">
        <v>156.28</v>
      </c>
      <c r="M20">
        <v>7253.01</v>
      </c>
    </row>
    <row r="21" spans="1:13">
      <c r="A21" t="s">
        <v>32</v>
      </c>
      <c r="B21">
        <v>255.38</v>
      </c>
      <c r="C21">
        <v>6708.69</v>
      </c>
      <c r="D21">
        <v>146.2</v>
      </c>
      <c r="E21">
        <v>7050.45</v>
      </c>
      <c r="F21">
        <v>259.14</v>
      </c>
      <c r="G21">
        <v>7727.2</v>
      </c>
      <c r="H21">
        <v>166.6</v>
      </c>
      <c r="I21">
        <v>7706.6</v>
      </c>
      <c r="J21">
        <v>255.94</v>
      </c>
      <c r="K21">
        <v>6715.19</v>
      </c>
      <c r="L21">
        <v>-1</v>
      </c>
      <c r="M21">
        <v>0</v>
      </c>
    </row>
    <row r="22" spans="1:13">
      <c r="A22" t="s">
        <v>33</v>
      </c>
      <c r="B22">
        <v>257.58</v>
      </c>
      <c r="C22">
        <v>7160.67</v>
      </c>
      <c r="D22">
        <v>147.77</v>
      </c>
      <c r="E22">
        <v>6950.89</v>
      </c>
      <c r="F22">
        <v>263.16</v>
      </c>
      <c r="G22">
        <v>8113.55</v>
      </c>
      <c r="H22">
        <v>155.74</v>
      </c>
      <c r="I22">
        <v>7831.61</v>
      </c>
      <c r="J22">
        <v>260.96</v>
      </c>
      <c r="K22">
        <v>7116.63</v>
      </c>
      <c r="L22">
        <v>151.99</v>
      </c>
      <c r="M22">
        <v>6900.58</v>
      </c>
    </row>
    <row r="23" spans="1:13">
      <c r="A23" t="s">
        <v>34</v>
      </c>
      <c r="B23">
        <v>255.78</v>
      </c>
      <c r="C23">
        <v>7119.57</v>
      </c>
      <c r="D23">
        <v>148.89</v>
      </c>
      <c r="E23">
        <v>7441.97</v>
      </c>
      <c r="F23">
        <v>261.72</v>
      </c>
      <c r="G23">
        <v>8028.91</v>
      </c>
      <c r="H23">
        <v>175.85</v>
      </c>
      <c r="I23">
        <v>8153.23</v>
      </c>
      <c r="J23">
        <v>258.26</v>
      </c>
      <c r="K23">
        <v>7081.1</v>
      </c>
      <c r="L23">
        <v>186.26</v>
      </c>
      <c r="M23">
        <v>7205.58</v>
      </c>
    </row>
    <row r="24" spans="1:13">
      <c r="A24" t="s">
        <v>35</v>
      </c>
      <c r="B24">
        <v>254.98</v>
      </c>
      <c r="C24">
        <v>7006.54</v>
      </c>
      <c r="D24">
        <v>146.88</v>
      </c>
      <c r="E24">
        <v>7183.25</v>
      </c>
      <c r="F24">
        <v>257.15</v>
      </c>
      <c r="G24">
        <v>7981.25</v>
      </c>
      <c r="H24">
        <v>162.77</v>
      </c>
      <c r="I24">
        <v>7958.62</v>
      </c>
      <c r="J24">
        <v>255.17</v>
      </c>
      <c r="K24">
        <v>7010.26</v>
      </c>
      <c r="L24">
        <v>167.52</v>
      </c>
      <c r="M24">
        <v>7065.83</v>
      </c>
    </row>
    <row r="25" spans="1:13">
      <c r="A25" t="s">
        <v>36</v>
      </c>
      <c r="B25">
        <v>259.82</v>
      </c>
      <c r="C25">
        <v>7329.28</v>
      </c>
      <c r="D25">
        <v>149.01</v>
      </c>
      <c r="E25">
        <v>7739.55</v>
      </c>
      <c r="F25">
        <v>268.17</v>
      </c>
      <c r="G25">
        <v>8334.59</v>
      </c>
      <c r="H25">
        <v>167.16</v>
      </c>
      <c r="I25">
        <v>8504.09</v>
      </c>
      <c r="J25">
        <v>263.29</v>
      </c>
      <c r="K25">
        <v>7326.79</v>
      </c>
      <c r="L25">
        <v>-1</v>
      </c>
      <c r="M25">
        <v>601.76</v>
      </c>
    </row>
    <row r="26" spans="1:13">
      <c r="A26" t="s">
        <v>37</v>
      </c>
      <c r="B26">
        <v>261.54</v>
      </c>
      <c r="C26">
        <v>7409.48</v>
      </c>
      <c r="D26">
        <v>151.48</v>
      </c>
      <c r="E26">
        <v>7415.17</v>
      </c>
      <c r="F26">
        <v>265.61</v>
      </c>
      <c r="G26">
        <v>8422.84</v>
      </c>
      <c r="H26">
        <v>173.66</v>
      </c>
      <c r="I26">
        <v>8173.34</v>
      </c>
      <c r="J26">
        <v>262.82</v>
      </c>
      <c r="K26">
        <v>7377.09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264.8936</v>
      </c>
      <c r="B29" s="4">
        <f>IFERROR(AVERAGEIF($D$2:$D$26,"&lt;&gt; -1"),0)</f>
        <v>152.7708</v>
      </c>
      <c r="C29" s="4">
        <f>IFERROR(AVERAGEIF($F$2:$F$26,"&lt;&gt; -1"),0)</f>
        <v>271.2616</v>
      </c>
      <c r="D29" s="4">
        <f>IFERROR(AVERAGEIF($H$2:$H$26,"&lt;&gt; -1"),0)</f>
        <v>170.6324</v>
      </c>
      <c r="E29" s="4">
        <f>IFERROR(AVERAGEIF($J$2:$J$26,"&lt;&gt; -1"),0)</f>
        <v>267.8796</v>
      </c>
      <c r="F29" s="4">
        <f>IFERROR(AVERAGEIF($L$2:$L$26,"&lt;&gt; -1"),0)</f>
        <v>168.9625</v>
      </c>
      <c r="G29" s="4">
        <f>IFERROR(AVERAGEIFS($C$2:$C$26,$B$2:$B$26,"&lt;&gt; -1"),0)</f>
        <v>7070.068</v>
      </c>
      <c r="H29" s="4">
        <f>IFERROR(AVERAGEIFS($E$2:$E$26,$D$2:$D$26,"&lt;&gt; -1"),0)</f>
        <v>7252.4436</v>
      </c>
      <c r="I29" s="4">
        <f>IFERROR(AVERAGEIFS($G$2:$G$26,$F$2:$F$26,"&lt;&gt; -1"),0)</f>
        <v>8020.3696</v>
      </c>
      <c r="J29" s="4">
        <f>IFERROR(AVERAGEIFS($I$2:$I$26,$H$2:$H$26,"&lt;&gt; -1"),0)</f>
        <v>8047.7944</v>
      </c>
      <c r="K29" s="4">
        <f>IFERROR(AVERAGEIFS($K$2:$K$26,$J$2:$J$26,"&lt;&gt; -1"),0)</f>
        <v>7038.0968</v>
      </c>
      <c r="L29" s="4">
        <f>IFERROR(AVERAGEIFS($M$2:$M$26,$L$2:$L$26,"&lt;&gt; -1"),0)</f>
        <v>7071.970625</v>
      </c>
      <c r="M29" s="4">
        <f>IFERROR(_xlfn.MAXIFS($B$2:$B$26,$B$2:$B$26,"&lt;&gt; -1"),0)</f>
        <v>388.66</v>
      </c>
      <c r="N29" s="4">
        <f>IFERROR(_xlfn.MAXIFS($D$2:$D$26,$D$2:$D$26,"&lt;&gt;-1"),0)</f>
        <v>222.69</v>
      </c>
      <c r="O29" s="4">
        <f>IFERROR(_xlfn.MAXIFS($F$2:$F$26,$F$2:$F$26,"&lt;&gt; -1"),0)</f>
        <v>393.81</v>
      </c>
      <c r="P29" s="4">
        <f>IFERROR(_xlfn.MAXIFS($H$2:$H$26,$H$2:$H$26,"&lt;&gt; -1"),0)</f>
        <v>260.12</v>
      </c>
      <c r="Q29" s="4">
        <f>IFERROR(_xlfn.MAXIFS($J$2:$J$26,$J$2:$J$26,"&lt;&gt; -1"),0)</f>
        <v>389.54</v>
      </c>
      <c r="R29" s="4">
        <f>IFERROR(_xlfn.MAXIFS($L$2:$L$26,$L$2:$L$26,"&lt;&gt; -1"),0)</f>
        <v>217.95</v>
      </c>
      <c r="S29" s="4">
        <f>IFERROR(_xlfn.MINIFS($B$2:$B$26,$B$2:$B$26,"&lt;&gt; -1"),0)</f>
        <v>215.84</v>
      </c>
      <c r="T29" s="4">
        <f>IFERROR(_xlfn.MINIFS($D$2:$D$26,$D$2:$D$26,"&lt;&gt;-1"),0)</f>
        <v>140.14</v>
      </c>
      <c r="U29" s="4">
        <f>IFERROR(_xlfn.MINIFS($F$2:$F$26,$F$2:$F$26,"&lt;&gt; -1"),0)</f>
        <v>223.63</v>
      </c>
      <c r="V29" s="4">
        <f>IFERROR(_xlfn.MINIFS($H$2:$H$26,$H$2:$H$26,"&lt;&gt; -1"),0)</f>
        <v>148.45</v>
      </c>
      <c r="W29" s="4">
        <f>IFERROR(_xlfn.MINIFS($J$2:$J$26,$J$2:$J$26,"&lt;&gt; -1"),0)</f>
        <v>218.05</v>
      </c>
      <c r="X29" s="4">
        <f>IFERROR(_xlfn.MINIFS($L$2:$L$26,$L$2:$L$26,"&lt;&gt; -1"),0)</f>
        <v>146.54</v>
      </c>
      <c r="Y29" s="4">
        <f>IFERROR(_xlfn.MAXIFS($C$2:$C$26,$B$2:$B$26,"&lt;&gt; -1"),0)</f>
        <v>7523.98</v>
      </c>
      <c r="Z29" s="4">
        <f>IFERROR(_xlfn.MAXIFS($E$2:$E$26,$D$2:$D$26,"&lt;&gt; -1"),0)</f>
        <v>7739.55</v>
      </c>
      <c r="AA29" s="4">
        <f>IFERROR(_xlfn.MAXIFS($G$2:$G$26,$F$2:$F$26,"&lt;&gt; -1"),0)</f>
        <v>8472.44</v>
      </c>
      <c r="AB29" s="4">
        <f>IFERROR(_xlfn.MAXIFS($I$2:$I$26,$H$2:$H$26,"&lt;&gt; -1"),0)</f>
        <v>8504.09</v>
      </c>
      <c r="AC29" s="4">
        <f>IFERROR(_xlfn.MAXIFS($K$2:$K$26,$J$2:$J$26,"&lt;&gt; -1"),0)</f>
        <v>7410.58</v>
      </c>
      <c r="AD29" s="4">
        <f>IFERROR(_xlfn.MAXIFS($M$2:$M$26,$L$2:$L$26,"&lt;&gt; -1"),0)</f>
        <v>7254.94</v>
      </c>
      <c r="AE29" s="4">
        <f>IFERROR(_xlfn.MINIFS($C$2:$C$26,$B$2:$B$26,"&lt;&gt; -1"),0)</f>
        <v>6708.69</v>
      </c>
      <c r="AF29" s="4">
        <f>IFERROR(_xlfn.MINIFS($E$2:$E$26,$D$2:$D$26,"&lt;&gt; -1"),0)</f>
        <v>6812.33</v>
      </c>
      <c r="AG29" s="4">
        <f>IFERROR(_xlfn.MINIFS($G$2:$G$26,$F$2:$F$26,"&lt;&gt; -1"),0)</f>
        <v>7657.97</v>
      </c>
      <c r="AH29" s="4">
        <f>IFERROR(_xlfn.MINIFS($I$2:$I$26,$H$2:$H$26,"&lt;&gt; -1"),0)</f>
        <v>7689.39</v>
      </c>
      <c r="AI29" s="4">
        <f>IFERROR(_xlfn.MINIFS($K$2:$K$26,$J$2:$J$26,"&lt;&gt; -1"),0)</f>
        <v>6715.19</v>
      </c>
      <c r="AJ29" s="4">
        <f>IFERROR(_xlfn.MINIFS($M$2:$M$26,$L$2:$L$26,"&lt;&gt; -1"),0)</f>
        <v>6795.42</v>
      </c>
      <c r="AK29" s="4">
        <f>(COUNTIFS($B$2:$B$26,"&gt;0.0",$B$2:$B$26,"&lt;300.0"))/25</f>
        <v>0.88</v>
      </c>
      <c r="AL29" s="4">
        <f>(COUNTIFS($D$2:$D$26,"&gt;0.0",$D$2:$D$26,"&lt;300.0"))/25</f>
        <v>1</v>
      </c>
      <c r="AM29" s="4">
        <f>(COUNTIFS($F$2:$F$26,"&gt;0.0",$F$2:$F$26,"&lt;300.0"))/25</f>
        <v>0.88</v>
      </c>
      <c r="AN29" s="4">
        <f>(COUNTIFS($H$2:$H26,"&gt;0.0",$H$2:$H$26,"&lt;300.0"))/25</f>
        <v>1</v>
      </c>
      <c r="AO29" s="4">
        <f>(COUNTIFS($J$2:$J$26,"&gt;0.0",$J$2:$J$26,"&lt;300.0"))/25</f>
        <v>0.88</v>
      </c>
      <c r="AP29" s="4">
        <f>(COUNTIFS($L$2:$L$26,"&gt;0.0",$L$2:$L$26,"&lt;300.0"))/25</f>
        <v>0.64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272.3</v>
      </c>
      <c r="C2">
        <v>7239.98</v>
      </c>
      <c r="D2">
        <v>157.64</v>
      </c>
      <c r="E2">
        <v>7126.96</v>
      </c>
      <c r="F2">
        <v>-1</v>
      </c>
      <c r="G2">
        <v>1155.87</v>
      </c>
      <c r="H2">
        <v>181.57</v>
      </c>
      <c r="I2">
        <v>7786.78</v>
      </c>
      <c r="J2">
        <v>-1</v>
      </c>
      <c r="K2">
        <v>0</v>
      </c>
      <c r="L2">
        <v>-1</v>
      </c>
      <c r="M2">
        <v>605.49</v>
      </c>
    </row>
    <row r="3" spans="1:13">
      <c r="A3" t="s">
        <v>14</v>
      </c>
      <c r="B3">
        <v>281.77</v>
      </c>
      <c r="C3">
        <v>7552.57</v>
      </c>
      <c r="D3">
        <v>165.24</v>
      </c>
      <c r="E3">
        <v>7475.52</v>
      </c>
      <c r="F3">
        <v>337.46</v>
      </c>
      <c r="G3">
        <v>8338.98</v>
      </c>
      <c r="H3">
        <v>179.72</v>
      </c>
      <c r="I3">
        <v>8400.75</v>
      </c>
      <c r="J3">
        <v>-1</v>
      </c>
      <c r="K3">
        <v>0</v>
      </c>
      <c r="L3">
        <v>177.08</v>
      </c>
      <c r="M3">
        <v>7364.2</v>
      </c>
    </row>
    <row r="4" spans="1:13">
      <c r="A4" t="s">
        <v>15</v>
      </c>
      <c r="B4">
        <v>281.37</v>
      </c>
      <c r="C4">
        <v>7523.55</v>
      </c>
      <c r="D4">
        <v>161.05</v>
      </c>
      <c r="E4">
        <v>7391.07</v>
      </c>
      <c r="F4">
        <v>-1</v>
      </c>
      <c r="G4">
        <v>0</v>
      </c>
      <c r="H4">
        <v>183.01</v>
      </c>
      <c r="I4">
        <v>8094.91</v>
      </c>
      <c r="J4">
        <v>-1</v>
      </c>
      <c r="K4">
        <v>0</v>
      </c>
      <c r="L4">
        <v>-1</v>
      </c>
      <c r="M4">
        <v>615.7</v>
      </c>
    </row>
    <row r="5" spans="1:13">
      <c r="A5" t="s">
        <v>16</v>
      </c>
      <c r="B5">
        <v>280.26</v>
      </c>
      <c r="C5">
        <v>7604.19</v>
      </c>
      <c r="D5">
        <v>160.69</v>
      </c>
      <c r="E5">
        <v>7161.25</v>
      </c>
      <c r="F5">
        <v>-1</v>
      </c>
      <c r="G5">
        <v>1188.69</v>
      </c>
      <c r="H5">
        <v>177.99</v>
      </c>
      <c r="I5">
        <v>7992.24</v>
      </c>
      <c r="J5">
        <v>-1</v>
      </c>
      <c r="K5">
        <v>0</v>
      </c>
      <c r="L5">
        <v>249.72</v>
      </c>
      <c r="M5">
        <v>7080.86</v>
      </c>
    </row>
    <row r="6" spans="1:13">
      <c r="A6" t="s">
        <v>17</v>
      </c>
      <c r="B6">
        <v>277.44</v>
      </c>
      <c r="C6">
        <v>7472.66</v>
      </c>
      <c r="D6">
        <v>159.33</v>
      </c>
      <c r="E6">
        <v>7236.82</v>
      </c>
      <c r="F6">
        <v>-1</v>
      </c>
      <c r="G6">
        <v>0</v>
      </c>
      <c r="H6">
        <v>187.57</v>
      </c>
      <c r="I6">
        <v>7989.71</v>
      </c>
      <c r="J6">
        <v>-1</v>
      </c>
      <c r="K6">
        <v>0</v>
      </c>
      <c r="L6">
        <v>-1</v>
      </c>
      <c r="M6">
        <v>466.95</v>
      </c>
    </row>
    <row r="7" spans="1:13">
      <c r="A7" t="s">
        <v>18</v>
      </c>
      <c r="B7">
        <v>270.32</v>
      </c>
      <c r="C7">
        <v>7319.4</v>
      </c>
      <c r="D7">
        <v>157.72</v>
      </c>
      <c r="E7">
        <v>7141.16</v>
      </c>
      <c r="F7">
        <v>-1</v>
      </c>
      <c r="G7">
        <v>0</v>
      </c>
      <c r="H7">
        <v>178.4</v>
      </c>
      <c r="I7">
        <v>7882.59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277.86</v>
      </c>
      <c r="C8">
        <v>7333.19</v>
      </c>
      <c r="D8">
        <v>157.34</v>
      </c>
      <c r="E8">
        <v>7301.02</v>
      </c>
      <c r="F8">
        <v>-1</v>
      </c>
      <c r="G8">
        <v>0</v>
      </c>
      <c r="H8">
        <v>190.68</v>
      </c>
      <c r="I8">
        <v>7948.67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281.61</v>
      </c>
      <c r="C9">
        <v>7622.69</v>
      </c>
      <c r="D9">
        <v>162.24</v>
      </c>
      <c r="E9">
        <v>7453.84</v>
      </c>
      <c r="F9">
        <v>-1</v>
      </c>
      <c r="G9">
        <v>7848.82</v>
      </c>
      <c r="H9">
        <v>178.38</v>
      </c>
      <c r="I9">
        <v>8189.98</v>
      </c>
      <c r="J9">
        <v>-1</v>
      </c>
      <c r="K9">
        <v>0</v>
      </c>
      <c r="L9">
        <v>-1</v>
      </c>
      <c r="M9">
        <v>583.14</v>
      </c>
    </row>
    <row r="10" spans="1:13">
      <c r="A10" t="s">
        <v>21</v>
      </c>
      <c r="B10">
        <v>277.94</v>
      </c>
      <c r="C10">
        <v>6996.79</v>
      </c>
      <c r="D10">
        <v>160.03</v>
      </c>
      <c r="E10">
        <v>6863.14</v>
      </c>
      <c r="F10">
        <v>-1</v>
      </c>
      <c r="G10">
        <v>0</v>
      </c>
      <c r="H10">
        <v>170.41</v>
      </c>
      <c r="I10">
        <v>7802.53</v>
      </c>
      <c r="J10">
        <v>-1</v>
      </c>
      <c r="K10">
        <v>0</v>
      </c>
      <c r="L10">
        <v>165.37</v>
      </c>
      <c r="M10">
        <v>6763.5</v>
      </c>
    </row>
    <row r="11" spans="1:13">
      <c r="A11" t="s">
        <v>22</v>
      </c>
      <c r="B11">
        <v>276.62</v>
      </c>
      <c r="C11">
        <v>7549.88</v>
      </c>
      <c r="D11">
        <v>160.82</v>
      </c>
      <c r="E11">
        <v>7244.35</v>
      </c>
      <c r="F11">
        <v>-1</v>
      </c>
      <c r="G11">
        <v>5729.79</v>
      </c>
      <c r="H11">
        <v>173.55</v>
      </c>
      <c r="I11">
        <v>8135.75</v>
      </c>
      <c r="J11">
        <v>-1</v>
      </c>
      <c r="K11">
        <v>0</v>
      </c>
      <c r="L11">
        <v>166.73</v>
      </c>
      <c r="M11">
        <v>7181.74</v>
      </c>
    </row>
    <row r="12" spans="1:13">
      <c r="A12" t="s">
        <v>23</v>
      </c>
      <c r="B12">
        <v>273.86</v>
      </c>
      <c r="C12">
        <v>7074.63</v>
      </c>
      <c r="D12">
        <v>157.86</v>
      </c>
      <c r="E12">
        <v>7077.08</v>
      </c>
      <c r="F12">
        <v>-1</v>
      </c>
      <c r="G12">
        <v>1202.91</v>
      </c>
      <c r="H12">
        <v>178.1</v>
      </c>
      <c r="I12">
        <v>7869.63</v>
      </c>
      <c r="J12">
        <v>-1</v>
      </c>
      <c r="K12">
        <v>0</v>
      </c>
      <c r="L12">
        <v>220.05</v>
      </c>
      <c r="M12">
        <v>7010.67</v>
      </c>
    </row>
    <row r="13" spans="1:13">
      <c r="A13" t="s">
        <v>24</v>
      </c>
      <c r="B13">
        <v>269.74</v>
      </c>
      <c r="C13">
        <v>7177.61</v>
      </c>
      <c r="D13">
        <v>155.52</v>
      </c>
      <c r="E13">
        <v>7125.23</v>
      </c>
      <c r="F13">
        <v>-1</v>
      </c>
      <c r="G13">
        <v>1095.01</v>
      </c>
      <c r="H13">
        <v>187.66</v>
      </c>
      <c r="I13">
        <v>7584.78</v>
      </c>
      <c r="J13">
        <v>-1</v>
      </c>
      <c r="K13">
        <v>0</v>
      </c>
      <c r="L13">
        <v>-1</v>
      </c>
      <c r="M13">
        <v>644.33</v>
      </c>
    </row>
    <row r="14" spans="1:13">
      <c r="A14" t="s">
        <v>25</v>
      </c>
      <c r="B14">
        <v>278.44</v>
      </c>
      <c r="C14">
        <v>7106.01</v>
      </c>
      <c r="D14">
        <v>159.12</v>
      </c>
      <c r="E14">
        <v>7298.59</v>
      </c>
      <c r="F14">
        <v>-1</v>
      </c>
      <c r="G14">
        <v>2886.78</v>
      </c>
      <c r="H14">
        <v>184.67</v>
      </c>
      <c r="I14">
        <v>7933.81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282.07</v>
      </c>
      <c r="C15">
        <v>7805</v>
      </c>
      <c r="D15">
        <v>164.7</v>
      </c>
      <c r="E15">
        <v>7501.36</v>
      </c>
      <c r="F15">
        <v>371.73</v>
      </c>
      <c r="G15">
        <v>8509.18</v>
      </c>
      <c r="H15">
        <v>178.16</v>
      </c>
      <c r="I15">
        <v>8332.15</v>
      </c>
      <c r="J15">
        <v>-1</v>
      </c>
      <c r="K15">
        <v>0</v>
      </c>
      <c r="L15">
        <v>-1</v>
      </c>
      <c r="M15">
        <v>354.28</v>
      </c>
    </row>
    <row r="16" spans="1:13">
      <c r="A16" t="s">
        <v>27</v>
      </c>
      <c r="B16">
        <v>276.65</v>
      </c>
      <c r="C16">
        <v>7458.25</v>
      </c>
      <c r="D16">
        <v>160.59</v>
      </c>
      <c r="E16">
        <v>7705.13</v>
      </c>
      <c r="F16">
        <v>-1</v>
      </c>
      <c r="G16">
        <v>0</v>
      </c>
      <c r="H16">
        <v>247.74</v>
      </c>
      <c r="I16">
        <v>8356.23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275.36</v>
      </c>
      <c r="C17">
        <v>7328.82</v>
      </c>
      <c r="D17">
        <v>158.8</v>
      </c>
      <c r="E17">
        <v>7407.91</v>
      </c>
      <c r="F17">
        <v>-1</v>
      </c>
      <c r="G17">
        <v>0</v>
      </c>
      <c r="H17">
        <v>183.43</v>
      </c>
      <c r="I17">
        <v>8068.49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268.66</v>
      </c>
      <c r="C18">
        <v>7381.15</v>
      </c>
      <c r="D18">
        <v>155.12</v>
      </c>
      <c r="E18">
        <v>7059.98</v>
      </c>
      <c r="F18">
        <v>-1</v>
      </c>
      <c r="G18">
        <v>5994.92</v>
      </c>
      <c r="H18">
        <v>176.54</v>
      </c>
      <c r="I18">
        <v>7777.79</v>
      </c>
      <c r="J18">
        <v>-1</v>
      </c>
      <c r="K18">
        <v>0</v>
      </c>
      <c r="L18">
        <v>-1</v>
      </c>
      <c r="M18">
        <v>630.03</v>
      </c>
    </row>
    <row r="19" spans="1:13">
      <c r="A19" t="s">
        <v>30</v>
      </c>
      <c r="B19">
        <v>276.13</v>
      </c>
      <c r="C19">
        <v>7351.19</v>
      </c>
      <c r="D19">
        <v>158.73</v>
      </c>
      <c r="E19">
        <v>7442.82</v>
      </c>
      <c r="F19">
        <v>-1</v>
      </c>
      <c r="G19">
        <v>0</v>
      </c>
      <c r="H19">
        <v>181.74</v>
      </c>
      <c r="I19">
        <v>8145.25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274.97</v>
      </c>
      <c r="C20">
        <v>7611.05</v>
      </c>
      <c r="D20">
        <v>161.82</v>
      </c>
      <c r="E20">
        <v>7493.44</v>
      </c>
      <c r="F20">
        <v>-1</v>
      </c>
      <c r="G20">
        <v>8093.14</v>
      </c>
      <c r="H20">
        <v>186.69</v>
      </c>
      <c r="I20">
        <v>8174.52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272.99</v>
      </c>
      <c r="C21">
        <v>7354.57</v>
      </c>
      <c r="D21">
        <v>157.46</v>
      </c>
      <c r="E21">
        <v>7272.6</v>
      </c>
      <c r="F21">
        <v>-1</v>
      </c>
      <c r="G21">
        <v>1292.35</v>
      </c>
      <c r="H21">
        <v>173.06</v>
      </c>
      <c r="I21">
        <v>8112.85</v>
      </c>
      <c r="J21">
        <v>-1</v>
      </c>
      <c r="K21">
        <v>0</v>
      </c>
      <c r="L21">
        <v>-1</v>
      </c>
      <c r="M21">
        <v>533.76</v>
      </c>
    </row>
    <row r="22" spans="1:13">
      <c r="A22" t="s">
        <v>33</v>
      </c>
      <c r="B22">
        <v>267.49</v>
      </c>
      <c r="C22">
        <v>7616.82</v>
      </c>
      <c r="D22">
        <v>158.47</v>
      </c>
      <c r="E22">
        <v>7345.95</v>
      </c>
      <c r="F22">
        <v>-1</v>
      </c>
      <c r="G22">
        <v>0</v>
      </c>
      <c r="H22">
        <v>193.76</v>
      </c>
      <c r="I22">
        <v>8088.07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276.41</v>
      </c>
      <c r="C23">
        <v>7379.72</v>
      </c>
      <c r="D23">
        <v>158.43</v>
      </c>
      <c r="E23">
        <v>7299.07</v>
      </c>
      <c r="F23">
        <v>-1</v>
      </c>
      <c r="G23">
        <v>0</v>
      </c>
      <c r="H23">
        <v>174.29</v>
      </c>
      <c r="I23">
        <v>8035.46</v>
      </c>
      <c r="J23">
        <v>-1</v>
      </c>
      <c r="K23">
        <v>0</v>
      </c>
      <c r="L23">
        <v>203.39</v>
      </c>
      <c r="M23">
        <v>7098.05</v>
      </c>
    </row>
    <row r="24" spans="1:13">
      <c r="A24" t="s">
        <v>35</v>
      </c>
      <c r="B24">
        <v>273.05</v>
      </c>
      <c r="C24">
        <v>7412.87</v>
      </c>
      <c r="D24">
        <v>156.35</v>
      </c>
      <c r="E24">
        <v>7389.39</v>
      </c>
      <c r="F24">
        <v>-1</v>
      </c>
      <c r="G24">
        <v>0</v>
      </c>
      <c r="H24">
        <v>201.51</v>
      </c>
      <c r="I24">
        <v>8007.5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275.09</v>
      </c>
      <c r="C25">
        <v>7498.3</v>
      </c>
      <c r="D25">
        <v>158.53</v>
      </c>
      <c r="E25">
        <v>7321.55</v>
      </c>
      <c r="F25">
        <v>-1</v>
      </c>
      <c r="G25">
        <v>1216.88</v>
      </c>
      <c r="H25">
        <v>185.98</v>
      </c>
      <c r="I25">
        <v>8057.48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276.89</v>
      </c>
      <c r="C26">
        <v>7774.75</v>
      </c>
      <c r="D26">
        <v>161.63</v>
      </c>
      <c r="E26">
        <v>7655.8</v>
      </c>
      <c r="F26">
        <v>-1</v>
      </c>
      <c r="G26">
        <v>0</v>
      </c>
      <c r="H26">
        <v>183.98</v>
      </c>
      <c r="I26">
        <v>8355.5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275.8116</v>
      </c>
      <c r="B29" s="4">
        <f>IFERROR(AVERAGEIF($D$2:$D$26,"&lt;&gt; -1"),0)</f>
        <v>159.4092</v>
      </c>
      <c r="C29" s="4">
        <f>IFERROR(AVERAGEIF($F$2:$F$26,"&lt;&gt; -1"),0)</f>
        <v>354.595</v>
      </c>
      <c r="D29" s="4">
        <f>IFERROR(AVERAGEIF($H$2:$H$26,"&lt;&gt; -1"),0)</f>
        <v>184.7436</v>
      </c>
      <c r="E29" s="4">
        <f>IFERROR(AVERAGEIF($J$2:$J$26,"&lt;&gt; -1"),0)</f>
        <v>0</v>
      </c>
      <c r="F29" s="4">
        <f>IFERROR(AVERAGEIF($L$2:$L$26,"&lt;&gt; -1"),0)</f>
        <v>197.056666666667</v>
      </c>
      <c r="G29" s="4">
        <f>IFERROR(AVERAGEIFS($C$2:$C$26,$B$2:$B$26,"&lt;&gt; -1"),0)</f>
        <v>7421.8256</v>
      </c>
      <c r="H29" s="4">
        <f>IFERROR(AVERAGEIFS($E$2:$E$26,$D$2:$D$26,"&lt;&gt; -1"),0)</f>
        <v>7311.6412</v>
      </c>
      <c r="I29" s="4">
        <f>IFERROR(AVERAGEIFS($G$2:$G$26,$F$2:$F$26,"&lt;&gt; -1"),0)</f>
        <v>8424.08</v>
      </c>
      <c r="J29" s="4">
        <f>IFERROR(AVERAGEIFS($I$2:$I$26,$H$2:$H$26,"&lt;&gt; -1"),0)</f>
        <v>8044.9368</v>
      </c>
      <c r="K29" s="4">
        <f>IFERROR(AVERAGEIFS($K$2:$K$26,$J$2:$J$26,"&lt;&gt; -1"),0)</f>
        <v>0</v>
      </c>
      <c r="L29" s="4">
        <f>IFERROR(AVERAGEIFS($M$2:$M$26,$L$2:$L$26,"&lt;&gt; -1"),0)</f>
        <v>7083.17</v>
      </c>
      <c r="M29" s="4">
        <f>IFERROR(_xlfn.MAXIFS($B$2:$B$26,$B$2:$B$26,"&lt;&gt; -1"),0)</f>
        <v>282.07</v>
      </c>
      <c r="N29" s="4">
        <f>IFERROR(_xlfn.MAXIFS($D$2:$D$26,$D$2:$D$26,"&lt;&gt;-1"),0)</f>
        <v>165.24</v>
      </c>
      <c r="O29" s="4">
        <f>IFERROR(_xlfn.MAXIFS($F$2:$F$26,$F$2:$F$26,"&lt;&gt; -1"),0)</f>
        <v>371.73</v>
      </c>
      <c r="P29" s="4">
        <f>IFERROR(_xlfn.MAXIFS($H$2:$H$26,$H$2:$H$26,"&lt;&gt; -1"),0)</f>
        <v>247.74</v>
      </c>
      <c r="Q29" s="4">
        <f>IFERROR(_xlfn.MAXIFS($J$2:$J$26,$J$2:$J$26,"&lt;&gt; -1"),0)</f>
        <v>0</v>
      </c>
      <c r="R29" s="4">
        <f>IFERROR(_xlfn.MAXIFS($L$2:$L$26,$L$2:$L$26,"&lt;&gt; -1"),0)</f>
        <v>249.72</v>
      </c>
      <c r="S29" s="4">
        <f>IFERROR(_xlfn.MINIFS($B$2:$B$26,$B$2:$B$26,"&lt;&gt; -1"),0)</f>
        <v>267.49</v>
      </c>
      <c r="T29" s="4">
        <f>IFERROR(_xlfn.MINIFS($D$2:$D$26,$D$2:$D$26,"&lt;&gt;-1"),0)</f>
        <v>155.12</v>
      </c>
      <c r="U29" s="4">
        <f>IFERROR(_xlfn.MINIFS($F$2:$F$26,$F$2:$F$26,"&lt;&gt; -1"),0)</f>
        <v>337.46</v>
      </c>
      <c r="V29" s="4">
        <f>IFERROR(_xlfn.MINIFS($H$2:$H$26,$H$2:$H$26,"&lt;&gt; -1"),0)</f>
        <v>170.41</v>
      </c>
      <c r="W29" s="4">
        <f>IFERROR(_xlfn.MINIFS($J$2:$J$26,$J$2:$J$26,"&lt;&gt; -1"),0)</f>
        <v>0</v>
      </c>
      <c r="X29" s="4">
        <f>IFERROR(_xlfn.MINIFS($L$2:$L$26,$L$2:$L$26,"&lt;&gt; -1"),0)</f>
        <v>165.37</v>
      </c>
      <c r="Y29" s="4">
        <f>IFERROR(_xlfn.MAXIFS($C$2:$C$26,$B$2:$B$26,"&lt;&gt; -1"),0)</f>
        <v>7805</v>
      </c>
      <c r="Z29" s="4">
        <f>IFERROR(_xlfn.MAXIFS($E$2:$E$26,$D$2:$D$26,"&lt;&gt; -1"),0)</f>
        <v>7705.13</v>
      </c>
      <c r="AA29" s="4">
        <f>IFERROR(_xlfn.MAXIFS($G$2:$G$26,$F$2:$F$26,"&lt;&gt; -1"),0)</f>
        <v>8509.18</v>
      </c>
      <c r="AB29" s="4">
        <f>IFERROR(_xlfn.MAXIFS($I$2:$I$26,$H$2:$H$26,"&lt;&gt; -1"),0)</f>
        <v>8400.75</v>
      </c>
      <c r="AC29" s="4">
        <f>IFERROR(_xlfn.MAXIFS($K$2:$K$26,$J$2:$J$26,"&lt;&gt; -1"),0)</f>
        <v>0</v>
      </c>
      <c r="AD29" s="4">
        <f>IFERROR(_xlfn.MAXIFS($M$2:$M$26,$L$2:$L$26,"&lt;&gt; -1"),0)</f>
        <v>7364.2</v>
      </c>
      <c r="AE29" s="4">
        <f>IFERROR(_xlfn.MINIFS($C$2:$C$26,$B$2:$B$26,"&lt;&gt; -1"),0)</f>
        <v>6996.79</v>
      </c>
      <c r="AF29" s="4">
        <f>IFERROR(_xlfn.MINIFS($E$2:$E$26,$D$2:$D$26,"&lt;&gt; -1"),0)</f>
        <v>6863.14</v>
      </c>
      <c r="AG29" s="4">
        <f>IFERROR(_xlfn.MINIFS($G$2:$G$26,$F$2:$F$26,"&lt;&gt; -1"),0)</f>
        <v>8338.98</v>
      </c>
      <c r="AH29" s="4">
        <f>IFERROR(_xlfn.MINIFS($I$2:$I$26,$H$2:$H$26,"&lt;&gt; -1"),0)</f>
        <v>7584.78</v>
      </c>
      <c r="AI29" s="4">
        <f>IFERROR(_xlfn.MINIFS($K$2:$K$26,$J$2:$J$26,"&lt;&gt; -1"),0)</f>
        <v>0</v>
      </c>
      <c r="AJ29" s="4">
        <f>IFERROR(_xlfn.MINIFS($M$2:$M$26,$L$2:$L$26,"&lt;&gt; -1"),0)</f>
        <v>6763.5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0</v>
      </c>
      <c r="AN29" s="4">
        <f>(COUNTIFS($H$2:$H26,"&gt;0.0",$H$2:$H$26,"&lt;300.0"))/25</f>
        <v>1</v>
      </c>
      <c r="AO29" s="4">
        <f>(COUNTIFS($J$2:$J$26,"&gt;0.0",$J$2:$J$26,"&lt;300.0"))/25</f>
        <v>0</v>
      </c>
      <c r="AP29" s="4">
        <f>(COUNTIFS($L$2:$L$26,"&gt;0.0",$L$2:$L$26,"&lt;300.0"))/25</f>
        <v>0.24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274.87</v>
      </c>
      <c r="C2">
        <v>7369.64</v>
      </c>
      <c r="D2">
        <v>169.94</v>
      </c>
      <c r="E2">
        <v>7196.72</v>
      </c>
      <c r="F2">
        <v>-1</v>
      </c>
      <c r="G2">
        <v>0</v>
      </c>
      <c r="H2">
        <v>191.02</v>
      </c>
      <c r="I2">
        <v>7864.75</v>
      </c>
      <c r="J2">
        <v>-1</v>
      </c>
      <c r="K2">
        <v>0</v>
      </c>
      <c r="L2">
        <v>-1</v>
      </c>
      <c r="M2">
        <v>517.48</v>
      </c>
    </row>
    <row r="3" spans="1:13">
      <c r="A3" t="s">
        <v>14</v>
      </c>
      <c r="B3">
        <v>283.54</v>
      </c>
      <c r="C3">
        <v>7871.82</v>
      </c>
      <c r="D3">
        <v>174.72</v>
      </c>
      <c r="E3">
        <v>7156.29</v>
      </c>
      <c r="F3">
        <v>-1</v>
      </c>
      <c r="G3">
        <v>0</v>
      </c>
      <c r="H3">
        <v>181.73</v>
      </c>
      <c r="I3">
        <v>8167.77</v>
      </c>
      <c r="J3">
        <v>-1</v>
      </c>
      <c r="K3">
        <v>0</v>
      </c>
      <c r="L3">
        <v>178.32</v>
      </c>
      <c r="M3">
        <v>7111.98</v>
      </c>
    </row>
    <row r="4" spans="1:13">
      <c r="A4" t="s">
        <v>15</v>
      </c>
      <c r="B4">
        <v>279.04</v>
      </c>
      <c r="C4">
        <v>7570.62</v>
      </c>
      <c r="D4">
        <v>171.77</v>
      </c>
      <c r="E4">
        <v>7245.12</v>
      </c>
      <c r="F4">
        <v>-1</v>
      </c>
      <c r="G4">
        <v>0</v>
      </c>
      <c r="H4">
        <v>191.5</v>
      </c>
      <c r="I4">
        <v>8137.79</v>
      </c>
      <c r="J4">
        <v>-1</v>
      </c>
      <c r="K4">
        <v>0</v>
      </c>
      <c r="L4">
        <v>184.87</v>
      </c>
      <c r="M4">
        <v>7156.05</v>
      </c>
    </row>
    <row r="5" spans="1:13">
      <c r="A5" t="s">
        <v>16</v>
      </c>
      <c r="B5">
        <v>280.71</v>
      </c>
      <c r="C5">
        <v>7712.99</v>
      </c>
      <c r="D5">
        <v>173.39</v>
      </c>
      <c r="E5">
        <v>7370.39</v>
      </c>
      <c r="F5">
        <v>-1</v>
      </c>
      <c r="G5">
        <v>0</v>
      </c>
      <c r="H5">
        <v>259.72</v>
      </c>
      <c r="I5">
        <v>8132.74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278.05</v>
      </c>
      <c r="C6">
        <v>7765.86</v>
      </c>
      <c r="D6">
        <v>170.99</v>
      </c>
      <c r="E6">
        <v>7279.85</v>
      </c>
      <c r="F6">
        <v>-1</v>
      </c>
      <c r="G6">
        <v>0</v>
      </c>
      <c r="H6">
        <v>182.28</v>
      </c>
      <c r="I6">
        <v>8121.17</v>
      </c>
      <c r="J6">
        <v>-1</v>
      </c>
      <c r="K6">
        <v>0</v>
      </c>
      <c r="L6">
        <v>185.74</v>
      </c>
      <c r="M6">
        <v>7198.06</v>
      </c>
    </row>
    <row r="7" spans="1:13">
      <c r="A7" t="s">
        <v>18</v>
      </c>
      <c r="B7">
        <v>274.59</v>
      </c>
      <c r="C7">
        <v>7508.28</v>
      </c>
      <c r="D7">
        <v>165.93</v>
      </c>
      <c r="E7">
        <v>7155.58</v>
      </c>
      <c r="F7">
        <v>-1</v>
      </c>
      <c r="G7">
        <v>0</v>
      </c>
      <c r="H7">
        <v>182.01</v>
      </c>
      <c r="I7">
        <v>8010.39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273.15</v>
      </c>
      <c r="C8">
        <v>7510.93</v>
      </c>
      <c r="D8">
        <v>167.5</v>
      </c>
      <c r="E8">
        <v>7392.83</v>
      </c>
      <c r="F8">
        <v>-1</v>
      </c>
      <c r="G8">
        <v>0</v>
      </c>
      <c r="H8">
        <v>214.46</v>
      </c>
      <c r="I8">
        <v>8076.93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279.44</v>
      </c>
      <c r="C9">
        <v>7865.21</v>
      </c>
      <c r="D9">
        <v>173.33</v>
      </c>
      <c r="E9">
        <v>7516</v>
      </c>
      <c r="F9">
        <v>-1</v>
      </c>
      <c r="G9">
        <v>0</v>
      </c>
      <c r="H9">
        <v>198.96</v>
      </c>
      <c r="I9">
        <v>8219.69</v>
      </c>
      <c r="J9">
        <v>-1</v>
      </c>
      <c r="K9">
        <v>0</v>
      </c>
      <c r="L9">
        <v>-1</v>
      </c>
      <c r="M9">
        <v>606.39</v>
      </c>
    </row>
    <row r="10" spans="1:13">
      <c r="A10" t="s">
        <v>21</v>
      </c>
      <c r="B10">
        <v>280.7</v>
      </c>
      <c r="C10">
        <v>7503.7</v>
      </c>
      <c r="D10">
        <v>171.07</v>
      </c>
      <c r="E10">
        <v>6974.27</v>
      </c>
      <c r="F10">
        <v>-1</v>
      </c>
      <c r="G10">
        <v>0</v>
      </c>
      <c r="H10">
        <v>182.27</v>
      </c>
      <c r="I10">
        <v>7957.95</v>
      </c>
      <c r="J10">
        <v>-1</v>
      </c>
      <c r="K10">
        <v>0</v>
      </c>
      <c r="L10">
        <v>174.79</v>
      </c>
      <c r="M10">
        <v>6884.53</v>
      </c>
    </row>
    <row r="11" spans="1:13">
      <c r="A11" t="s">
        <v>22</v>
      </c>
      <c r="B11">
        <v>278.16</v>
      </c>
      <c r="C11">
        <v>7707.36</v>
      </c>
      <c r="D11">
        <v>170.13</v>
      </c>
      <c r="E11">
        <v>7318.53</v>
      </c>
      <c r="F11">
        <v>-1</v>
      </c>
      <c r="G11">
        <v>0</v>
      </c>
      <c r="H11">
        <v>190.55</v>
      </c>
      <c r="I11">
        <v>8085.79</v>
      </c>
      <c r="J11">
        <v>-1</v>
      </c>
      <c r="K11">
        <v>0</v>
      </c>
      <c r="L11">
        <v>205.15</v>
      </c>
      <c r="M11">
        <v>7161.81</v>
      </c>
    </row>
    <row r="12" spans="1:13">
      <c r="A12" t="s">
        <v>23</v>
      </c>
      <c r="B12">
        <v>272.94</v>
      </c>
      <c r="C12">
        <v>7328.06</v>
      </c>
      <c r="D12">
        <v>166.29</v>
      </c>
      <c r="E12">
        <v>7077.99</v>
      </c>
      <c r="F12">
        <v>-1</v>
      </c>
      <c r="G12">
        <v>0</v>
      </c>
      <c r="H12">
        <v>185</v>
      </c>
      <c r="I12">
        <v>7786.51</v>
      </c>
      <c r="J12">
        <v>-1</v>
      </c>
      <c r="K12">
        <v>0</v>
      </c>
      <c r="L12">
        <v>182.3</v>
      </c>
      <c r="M12">
        <v>6959.41</v>
      </c>
    </row>
    <row r="13" spans="1:13">
      <c r="A13" t="s">
        <v>24</v>
      </c>
      <c r="B13">
        <v>275.48</v>
      </c>
      <c r="C13">
        <v>7422.01</v>
      </c>
      <c r="D13">
        <v>166.91</v>
      </c>
      <c r="E13">
        <v>7192.28</v>
      </c>
      <c r="F13">
        <v>-1</v>
      </c>
      <c r="G13">
        <v>0</v>
      </c>
      <c r="H13">
        <v>179.03</v>
      </c>
      <c r="I13">
        <v>7951.64</v>
      </c>
      <c r="J13">
        <v>-1</v>
      </c>
      <c r="K13">
        <v>0</v>
      </c>
      <c r="L13">
        <v>186.61</v>
      </c>
      <c r="M13">
        <v>7063.38</v>
      </c>
    </row>
    <row r="14" spans="1:13">
      <c r="A14" t="s">
        <v>25</v>
      </c>
      <c r="B14">
        <v>276.08</v>
      </c>
      <c r="C14">
        <v>7410.41</v>
      </c>
      <c r="D14">
        <v>170.41</v>
      </c>
      <c r="E14">
        <v>7235.37</v>
      </c>
      <c r="F14">
        <v>-1</v>
      </c>
      <c r="G14">
        <v>0</v>
      </c>
      <c r="H14">
        <v>186.94</v>
      </c>
      <c r="I14">
        <v>7943.49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283.47</v>
      </c>
      <c r="C15">
        <v>7715.55</v>
      </c>
      <c r="D15">
        <v>175.36</v>
      </c>
      <c r="E15">
        <v>7334.23</v>
      </c>
      <c r="F15">
        <v>-1</v>
      </c>
      <c r="G15">
        <v>0</v>
      </c>
      <c r="H15">
        <v>191.68</v>
      </c>
      <c r="I15">
        <v>8145.7</v>
      </c>
      <c r="J15">
        <v>-1</v>
      </c>
      <c r="K15">
        <v>0</v>
      </c>
      <c r="L15">
        <v>182.64</v>
      </c>
      <c r="M15">
        <v>7181.5</v>
      </c>
    </row>
    <row r="16" spans="1:13">
      <c r="A16" t="s">
        <v>27</v>
      </c>
      <c r="B16">
        <v>283.1</v>
      </c>
      <c r="C16">
        <v>7577.57</v>
      </c>
      <c r="D16">
        <v>172.89</v>
      </c>
      <c r="E16">
        <v>7466.25</v>
      </c>
      <c r="F16">
        <v>-1</v>
      </c>
      <c r="G16">
        <v>0</v>
      </c>
      <c r="H16">
        <v>183.49</v>
      </c>
      <c r="I16">
        <v>8298.62</v>
      </c>
      <c r="J16">
        <v>-1</v>
      </c>
      <c r="K16">
        <v>0</v>
      </c>
      <c r="L16">
        <v>-1</v>
      </c>
      <c r="M16">
        <v>289.97</v>
      </c>
    </row>
    <row r="17" spans="1:13">
      <c r="A17" t="s">
        <v>28</v>
      </c>
      <c r="B17">
        <v>278.29</v>
      </c>
      <c r="C17">
        <v>7514.6</v>
      </c>
      <c r="D17">
        <v>171.81</v>
      </c>
      <c r="E17">
        <v>7410.36</v>
      </c>
      <c r="F17">
        <v>-1</v>
      </c>
      <c r="G17">
        <v>0</v>
      </c>
      <c r="H17">
        <v>191.33</v>
      </c>
      <c r="I17">
        <v>8229.58</v>
      </c>
      <c r="J17">
        <v>-1</v>
      </c>
      <c r="K17">
        <v>0</v>
      </c>
      <c r="L17">
        <v>236.38</v>
      </c>
      <c r="M17">
        <v>7258.15</v>
      </c>
    </row>
    <row r="18" spans="1:13">
      <c r="A18" t="s">
        <v>29</v>
      </c>
      <c r="B18">
        <v>276.05</v>
      </c>
      <c r="C18">
        <v>7369.59</v>
      </c>
      <c r="D18">
        <v>168.59</v>
      </c>
      <c r="E18">
        <v>7100.83</v>
      </c>
      <c r="F18">
        <v>-1</v>
      </c>
      <c r="G18">
        <v>0</v>
      </c>
      <c r="H18">
        <v>198.04</v>
      </c>
      <c r="I18">
        <v>7792.6</v>
      </c>
      <c r="J18">
        <v>-1</v>
      </c>
      <c r="K18">
        <v>0</v>
      </c>
      <c r="L18">
        <v>-1</v>
      </c>
      <c r="M18">
        <v>440.53</v>
      </c>
    </row>
    <row r="19" spans="1:13">
      <c r="A19" t="s">
        <v>30</v>
      </c>
      <c r="B19">
        <v>282.11</v>
      </c>
      <c r="C19">
        <v>7633.56</v>
      </c>
      <c r="D19">
        <v>173.72</v>
      </c>
      <c r="E19">
        <v>7487.14</v>
      </c>
      <c r="F19">
        <v>-1</v>
      </c>
      <c r="G19">
        <v>0</v>
      </c>
      <c r="H19">
        <v>218.9</v>
      </c>
      <c r="I19">
        <v>8173.57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286.04</v>
      </c>
      <c r="C20">
        <v>7706.99</v>
      </c>
      <c r="D20">
        <v>176.42</v>
      </c>
      <c r="E20">
        <v>7569.55</v>
      </c>
      <c r="F20">
        <v>-1</v>
      </c>
      <c r="G20">
        <v>0</v>
      </c>
      <c r="H20">
        <v>199.24</v>
      </c>
      <c r="I20">
        <v>8306.05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278.47</v>
      </c>
      <c r="C21">
        <v>7618.45</v>
      </c>
      <c r="D21">
        <v>170.6</v>
      </c>
      <c r="E21">
        <v>6973.13</v>
      </c>
      <c r="F21">
        <v>-1</v>
      </c>
      <c r="G21">
        <v>0</v>
      </c>
      <c r="H21">
        <v>185.46</v>
      </c>
      <c r="I21">
        <v>7726.63</v>
      </c>
      <c r="J21">
        <v>-1</v>
      </c>
      <c r="K21">
        <v>0</v>
      </c>
      <c r="L21">
        <v>-1</v>
      </c>
      <c r="M21">
        <v>345.08</v>
      </c>
    </row>
    <row r="22" spans="1:13">
      <c r="A22" t="s">
        <v>33</v>
      </c>
      <c r="B22">
        <v>282.9</v>
      </c>
      <c r="C22">
        <v>7588.58</v>
      </c>
      <c r="D22">
        <v>171.61</v>
      </c>
      <c r="E22">
        <v>7118.09</v>
      </c>
      <c r="F22">
        <v>-1</v>
      </c>
      <c r="G22">
        <v>0</v>
      </c>
      <c r="H22">
        <v>189.51</v>
      </c>
      <c r="I22">
        <v>7842.91</v>
      </c>
      <c r="J22">
        <v>-1</v>
      </c>
      <c r="K22">
        <v>0</v>
      </c>
      <c r="L22">
        <v>-1</v>
      </c>
      <c r="M22">
        <v>461.33</v>
      </c>
    </row>
    <row r="23" spans="1:13">
      <c r="A23" t="s">
        <v>34</v>
      </c>
      <c r="B23">
        <v>280.33</v>
      </c>
      <c r="C23">
        <v>7728.43</v>
      </c>
      <c r="D23">
        <v>173.28</v>
      </c>
      <c r="E23">
        <v>7556.21</v>
      </c>
      <c r="F23">
        <v>-1</v>
      </c>
      <c r="G23">
        <v>0</v>
      </c>
      <c r="H23">
        <v>202.75</v>
      </c>
      <c r="I23">
        <v>8207.71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276.03</v>
      </c>
      <c r="C24">
        <v>7326.87</v>
      </c>
      <c r="D24">
        <v>167.69</v>
      </c>
      <c r="E24">
        <v>6939.25</v>
      </c>
      <c r="F24">
        <v>-1</v>
      </c>
      <c r="G24">
        <v>0</v>
      </c>
      <c r="H24">
        <v>179.36</v>
      </c>
      <c r="I24">
        <v>7766.39</v>
      </c>
      <c r="J24">
        <v>-1</v>
      </c>
      <c r="K24">
        <v>0</v>
      </c>
      <c r="L24">
        <v>173.91</v>
      </c>
      <c r="M24">
        <v>6838.86</v>
      </c>
    </row>
    <row r="25" spans="1:13">
      <c r="A25" t="s">
        <v>36</v>
      </c>
      <c r="B25">
        <v>283.48</v>
      </c>
      <c r="C25">
        <v>7696.55</v>
      </c>
      <c r="D25">
        <v>173.59</v>
      </c>
      <c r="E25">
        <v>7592.77</v>
      </c>
      <c r="F25">
        <v>-1</v>
      </c>
      <c r="G25">
        <v>0</v>
      </c>
      <c r="H25">
        <v>196.25</v>
      </c>
      <c r="I25">
        <v>8332.56</v>
      </c>
      <c r="J25">
        <v>-1</v>
      </c>
      <c r="K25">
        <v>0</v>
      </c>
      <c r="L25">
        <v>-1</v>
      </c>
      <c r="M25">
        <v>545.5</v>
      </c>
    </row>
    <row r="26" spans="1:13">
      <c r="A26" t="s">
        <v>37</v>
      </c>
      <c r="B26">
        <v>284.11</v>
      </c>
      <c r="C26">
        <v>7853.58</v>
      </c>
      <c r="D26">
        <v>174.83</v>
      </c>
      <c r="E26">
        <v>7194.55</v>
      </c>
      <c r="F26">
        <v>-1</v>
      </c>
      <c r="G26">
        <v>0</v>
      </c>
      <c r="H26">
        <v>176.99</v>
      </c>
      <c r="I26">
        <v>8337.1</v>
      </c>
      <c r="J26">
        <v>-1</v>
      </c>
      <c r="K26">
        <v>0</v>
      </c>
      <c r="L26">
        <v>174.99</v>
      </c>
      <c r="M26">
        <v>7194.55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279.2452</v>
      </c>
      <c r="B29" s="4">
        <f>IFERROR(AVERAGEIF($D$2:$D$26,"&lt;&gt; -1"),0)</f>
        <v>171.3108</v>
      </c>
      <c r="C29" s="4">
        <f>IFERROR(AVERAGEIF($F$2:$F$26,"&lt;&gt; -1"),0)</f>
        <v>0</v>
      </c>
      <c r="D29" s="4">
        <f>IFERROR(AVERAGEIF($H$2:$H$26,"&lt;&gt; -1"),0)</f>
        <v>193.5388</v>
      </c>
      <c r="E29" s="4">
        <f>IFERROR(AVERAGEIF($J$2:$J$26,"&lt;&gt; -1"),0)</f>
        <v>0</v>
      </c>
      <c r="F29" s="4">
        <f>IFERROR(AVERAGEIF($L$2:$L$26,"&lt;&gt; -1"),0)</f>
        <v>187.790909090909</v>
      </c>
      <c r="G29" s="4">
        <f>IFERROR(AVERAGEIFS($C$2:$C$26,$B$2:$B$26,"&lt;&gt; -1"),0)</f>
        <v>7595.0884</v>
      </c>
      <c r="H29" s="4">
        <f>IFERROR(AVERAGEIFS($E$2:$E$26,$D$2:$D$26,"&lt;&gt; -1"),0)</f>
        <v>7274.1432</v>
      </c>
      <c r="I29" s="4">
        <f>IFERROR(AVERAGEIFS($G$2:$G$26,$F$2:$F$26,"&lt;&gt; -1"),0)</f>
        <v>0</v>
      </c>
      <c r="J29" s="4">
        <f>IFERROR(AVERAGEIFS($I$2:$I$26,$H$2:$H$26,"&lt;&gt; -1"),0)</f>
        <v>8064.6412</v>
      </c>
      <c r="K29" s="4">
        <f>IFERROR(AVERAGEIFS($K$2:$K$26,$J$2:$J$26,"&lt;&gt; -1"),0)</f>
        <v>0</v>
      </c>
      <c r="L29" s="4">
        <f>IFERROR(AVERAGEIFS($M$2:$M$26,$L$2:$L$26,"&lt;&gt; -1"),0)</f>
        <v>7091.66181818182</v>
      </c>
      <c r="M29" s="4">
        <f>IFERROR(_xlfn.MAXIFS($B$2:$B$26,$B$2:$B$26,"&lt;&gt; -1"),0)</f>
        <v>286.04</v>
      </c>
      <c r="N29" s="4">
        <f>IFERROR(_xlfn.MAXIFS($D$2:$D$26,$D$2:$D$26,"&lt;&gt;-1"),0)</f>
        <v>176.42</v>
      </c>
      <c r="O29" s="4">
        <f>IFERROR(_xlfn.MAXIFS($F$2:$F$26,$F$2:$F$26,"&lt;&gt; -1"),0)</f>
        <v>0</v>
      </c>
      <c r="P29" s="4">
        <f>IFERROR(_xlfn.MAXIFS($H$2:$H$26,$H$2:$H$26,"&lt;&gt; -1"),0)</f>
        <v>259.72</v>
      </c>
      <c r="Q29" s="4">
        <f>IFERROR(_xlfn.MAXIFS($J$2:$J$26,$J$2:$J$26,"&lt;&gt; -1"),0)</f>
        <v>0</v>
      </c>
      <c r="R29" s="4">
        <f>IFERROR(_xlfn.MAXIFS($L$2:$L$26,$L$2:$L$26,"&lt;&gt; -1"),0)</f>
        <v>236.38</v>
      </c>
      <c r="S29" s="4">
        <f>IFERROR(_xlfn.MINIFS($B$2:$B$26,$B$2:$B$26,"&lt;&gt; -1"),0)</f>
        <v>272.94</v>
      </c>
      <c r="T29" s="4">
        <f>IFERROR(_xlfn.MINIFS($D$2:$D$26,$D$2:$D$26,"&lt;&gt;-1"),0)</f>
        <v>165.93</v>
      </c>
      <c r="U29" s="4">
        <f>IFERROR(_xlfn.MINIFS($F$2:$F$26,$F$2:$F$26,"&lt;&gt; -1"),0)</f>
        <v>0</v>
      </c>
      <c r="V29" s="4">
        <f>IFERROR(_xlfn.MINIFS($H$2:$H$26,$H$2:$H$26,"&lt;&gt; -1"),0)</f>
        <v>176.99</v>
      </c>
      <c r="W29" s="4">
        <f>IFERROR(_xlfn.MINIFS($J$2:$J$26,$J$2:$J$26,"&lt;&gt; -1"),0)</f>
        <v>0</v>
      </c>
      <c r="X29" s="4">
        <f>IFERROR(_xlfn.MINIFS($L$2:$L$26,$L$2:$L$26,"&lt;&gt; -1"),0)</f>
        <v>173.91</v>
      </c>
      <c r="Y29" s="4">
        <f>IFERROR(_xlfn.MAXIFS($C$2:$C$26,$B$2:$B$26,"&lt;&gt; -1"),0)</f>
        <v>7871.82</v>
      </c>
      <c r="Z29" s="4">
        <f>IFERROR(_xlfn.MAXIFS($E$2:$E$26,$D$2:$D$26,"&lt;&gt; -1"),0)</f>
        <v>7592.77</v>
      </c>
      <c r="AA29" s="4">
        <f>IFERROR(_xlfn.MAXIFS($G$2:$G$26,$F$2:$F$26,"&lt;&gt; -1"),0)</f>
        <v>0</v>
      </c>
      <c r="AB29" s="4">
        <f>IFERROR(_xlfn.MAXIFS($I$2:$I$26,$H$2:$H$26,"&lt;&gt; -1"),0)</f>
        <v>8337.1</v>
      </c>
      <c r="AC29" s="4">
        <f>IFERROR(_xlfn.MAXIFS($K$2:$K$26,$J$2:$J$26,"&lt;&gt; -1"),0)</f>
        <v>0</v>
      </c>
      <c r="AD29" s="4">
        <f>IFERROR(_xlfn.MAXIFS($M$2:$M$26,$L$2:$L$26,"&lt;&gt; -1"),0)</f>
        <v>7258.15</v>
      </c>
      <c r="AE29" s="4">
        <f>IFERROR(_xlfn.MINIFS($C$2:$C$26,$B$2:$B$26,"&lt;&gt; -1"),0)</f>
        <v>7326.87</v>
      </c>
      <c r="AF29" s="4">
        <f>IFERROR(_xlfn.MINIFS($E$2:$E$26,$D$2:$D$26,"&lt;&gt; -1"),0)</f>
        <v>6939.25</v>
      </c>
      <c r="AG29" s="4">
        <f>IFERROR(_xlfn.MINIFS($G$2:$G$26,$F$2:$F$26,"&lt;&gt; -1"),0)</f>
        <v>0</v>
      </c>
      <c r="AH29" s="4">
        <f>IFERROR(_xlfn.MINIFS($I$2:$I$26,$H$2:$H$26,"&lt;&gt; -1"),0)</f>
        <v>7726.63</v>
      </c>
      <c r="AI29" s="4">
        <f>IFERROR(_xlfn.MINIFS($K$2:$K$26,$J$2:$J$26,"&lt;&gt; -1"),0)</f>
        <v>0</v>
      </c>
      <c r="AJ29" s="4">
        <f>IFERROR(_xlfn.MINIFS($M$2:$M$26,$L$2:$L$26,"&lt;&gt; -1"),0)</f>
        <v>6838.86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0</v>
      </c>
      <c r="AN29" s="4">
        <f>(COUNTIFS($H$2:$H26,"&gt;0.0",$H$2:$H$26,"&lt;300.0"))/25</f>
        <v>1</v>
      </c>
      <c r="AO29" s="4">
        <f>(COUNTIFS($J$2:$J$26,"&gt;0.0",$J$2:$J$26,"&lt;300.0"))/25</f>
        <v>0</v>
      </c>
      <c r="AP29" s="4">
        <f>(COUNTIFS($L$2:$L$26,"&gt;0.0",$L$2:$L$26,"&lt;300.0"))/25</f>
        <v>0.44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281.53</v>
      </c>
      <c r="C2">
        <v>7319.64</v>
      </c>
      <c r="D2">
        <v>183.95</v>
      </c>
      <c r="E2">
        <v>7241.4</v>
      </c>
      <c r="F2">
        <v>-1</v>
      </c>
      <c r="G2">
        <v>0</v>
      </c>
      <c r="H2">
        <v>202.71</v>
      </c>
      <c r="I2">
        <v>7856.26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288.12</v>
      </c>
      <c r="C3">
        <v>7574.54</v>
      </c>
      <c r="D3">
        <v>189.58</v>
      </c>
      <c r="E3">
        <v>7715.77</v>
      </c>
      <c r="F3">
        <v>-1</v>
      </c>
      <c r="G3">
        <v>0</v>
      </c>
      <c r="H3">
        <v>219.16</v>
      </c>
      <c r="I3">
        <v>8443.77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287.24</v>
      </c>
      <c r="C4">
        <v>7603.77</v>
      </c>
      <c r="D4">
        <v>185.86</v>
      </c>
      <c r="E4">
        <v>7399.03</v>
      </c>
      <c r="F4">
        <v>-1</v>
      </c>
      <c r="G4">
        <v>0</v>
      </c>
      <c r="H4">
        <v>203.97</v>
      </c>
      <c r="I4">
        <v>8223.36</v>
      </c>
      <c r="J4">
        <v>-1</v>
      </c>
      <c r="K4">
        <v>0</v>
      </c>
      <c r="L4">
        <v>-1</v>
      </c>
      <c r="M4">
        <v>448.4</v>
      </c>
    </row>
    <row r="5" spans="1:13">
      <c r="A5" t="s">
        <v>16</v>
      </c>
      <c r="B5">
        <v>286.96</v>
      </c>
      <c r="C5">
        <v>7552.83</v>
      </c>
      <c r="D5">
        <v>185.51</v>
      </c>
      <c r="E5">
        <v>7133.53</v>
      </c>
      <c r="F5">
        <v>-1</v>
      </c>
      <c r="G5">
        <v>0</v>
      </c>
      <c r="H5">
        <v>200.38</v>
      </c>
      <c r="I5">
        <v>7945.37</v>
      </c>
      <c r="J5">
        <v>-1</v>
      </c>
      <c r="K5">
        <v>0</v>
      </c>
      <c r="L5">
        <v>-1</v>
      </c>
      <c r="M5">
        <v>397.69</v>
      </c>
    </row>
    <row r="6" spans="1:13">
      <c r="A6" t="s">
        <v>17</v>
      </c>
      <c r="B6">
        <v>281.09</v>
      </c>
      <c r="C6">
        <v>7666.28</v>
      </c>
      <c r="D6">
        <v>184.39</v>
      </c>
      <c r="E6">
        <v>7244.17</v>
      </c>
      <c r="F6">
        <v>-1</v>
      </c>
      <c r="G6">
        <v>0</v>
      </c>
      <c r="H6">
        <v>206.82</v>
      </c>
      <c r="I6">
        <v>8046.76</v>
      </c>
      <c r="J6">
        <v>-1</v>
      </c>
      <c r="K6">
        <v>0</v>
      </c>
      <c r="L6">
        <v>196.81</v>
      </c>
      <c r="M6">
        <v>7118.3</v>
      </c>
    </row>
    <row r="7" spans="1:13">
      <c r="A7" t="s">
        <v>18</v>
      </c>
      <c r="B7">
        <v>276.75</v>
      </c>
      <c r="C7">
        <v>7520.08</v>
      </c>
      <c r="D7">
        <v>179.74</v>
      </c>
      <c r="E7">
        <v>7239.91</v>
      </c>
      <c r="F7">
        <v>-1</v>
      </c>
      <c r="G7">
        <v>0</v>
      </c>
      <c r="H7">
        <v>205.93</v>
      </c>
      <c r="I7">
        <v>7963.26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281.04</v>
      </c>
      <c r="C8">
        <v>7475.84</v>
      </c>
      <c r="D8">
        <v>182.29</v>
      </c>
      <c r="E8">
        <v>7408.62</v>
      </c>
      <c r="F8">
        <v>-1</v>
      </c>
      <c r="G8">
        <v>0</v>
      </c>
      <c r="H8">
        <v>196.68</v>
      </c>
      <c r="I8">
        <v>8210.67</v>
      </c>
      <c r="J8">
        <v>-1</v>
      </c>
      <c r="K8">
        <v>0</v>
      </c>
      <c r="L8">
        <v>195.3</v>
      </c>
      <c r="M8">
        <v>7285.89</v>
      </c>
    </row>
    <row r="9" spans="1:13">
      <c r="A9" t="s">
        <v>20</v>
      </c>
      <c r="B9">
        <v>281.54</v>
      </c>
      <c r="C9">
        <v>7739.63</v>
      </c>
      <c r="D9">
        <v>184.61</v>
      </c>
      <c r="E9">
        <v>7514.39</v>
      </c>
      <c r="F9">
        <v>-1</v>
      </c>
      <c r="G9">
        <v>0</v>
      </c>
      <c r="H9">
        <v>200.4</v>
      </c>
      <c r="I9">
        <v>8209.41</v>
      </c>
      <c r="J9">
        <v>-1</v>
      </c>
      <c r="K9">
        <v>0</v>
      </c>
      <c r="L9">
        <v>-1</v>
      </c>
      <c r="M9">
        <v>472.13</v>
      </c>
    </row>
    <row r="10" spans="1:13">
      <c r="A10" t="s">
        <v>21</v>
      </c>
      <c r="B10">
        <v>283.77</v>
      </c>
      <c r="C10">
        <v>7408.76</v>
      </c>
      <c r="D10">
        <v>183</v>
      </c>
      <c r="E10">
        <v>6840.27</v>
      </c>
      <c r="F10">
        <v>-1</v>
      </c>
      <c r="G10">
        <v>0</v>
      </c>
      <c r="H10">
        <v>185.14</v>
      </c>
      <c r="I10">
        <v>7853.93</v>
      </c>
      <c r="J10">
        <v>-1</v>
      </c>
      <c r="K10">
        <v>0</v>
      </c>
      <c r="L10">
        <v>183.17</v>
      </c>
      <c r="M10">
        <v>6840.27</v>
      </c>
    </row>
    <row r="11" spans="1:13">
      <c r="A11" t="s">
        <v>22</v>
      </c>
      <c r="B11">
        <v>282.59</v>
      </c>
      <c r="C11">
        <v>7523.67</v>
      </c>
      <c r="D11">
        <v>185</v>
      </c>
      <c r="E11">
        <v>7515.71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278.16</v>
      </c>
      <c r="C12">
        <v>7508.02</v>
      </c>
      <c r="D12">
        <v>178.71</v>
      </c>
      <c r="E12">
        <v>7019.93</v>
      </c>
      <c r="F12">
        <v>-1</v>
      </c>
      <c r="G12">
        <v>0</v>
      </c>
      <c r="H12">
        <v>190.06</v>
      </c>
      <c r="I12">
        <v>7925.62</v>
      </c>
      <c r="J12">
        <v>-1</v>
      </c>
      <c r="K12">
        <v>0</v>
      </c>
      <c r="L12">
        <v>183.55</v>
      </c>
      <c r="M12">
        <v>6984.14</v>
      </c>
    </row>
    <row r="13" spans="1:13">
      <c r="A13" t="s">
        <v>24</v>
      </c>
      <c r="B13">
        <v>280.98</v>
      </c>
      <c r="C13">
        <v>7333.68</v>
      </c>
      <c r="D13">
        <v>182.92</v>
      </c>
      <c r="E13">
        <v>7615.61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287.43</v>
      </c>
      <c r="C14">
        <v>7319.58</v>
      </c>
      <c r="D14">
        <v>185.06</v>
      </c>
      <c r="E14">
        <v>7130.88</v>
      </c>
      <c r="F14">
        <v>-1</v>
      </c>
      <c r="G14">
        <v>0</v>
      </c>
      <c r="H14">
        <v>204.87</v>
      </c>
      <c r="I14">
        <v>7851.38</v>
      </c>
      <c r="J14">
        <v>-1</v>
      </c>
      <c r="K14">
        <v>0</v>
      </c>
      <c r="L14">
        <v>200.66</v>
      </c>
      <c r="M14">
        <v>7014.01</v>
      </c>
    </row>
    <row r="15" spans="1:13">
      <c r="A15" t="s">
        <v>26</v>
      </c>
      <c r="B15">
        <v>286.37</v>
      </c>
      <c r="C15">
        <v>7722.6</v>
      </c>
      <c r="D15">
        <v>190.77</v>
      </c>
      <c r="E15">
        <v>7723.99</v>
      </c>
      <c r="F15">
        <v>-1</v>
      </c>
      <c r="G15">
        <v>0</v>
      </c>
      <c r="H15">
        <v>249.8</v>
      </c>
      <c r="I15">
        <v>8312.51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286.26</v>
      </c>
      <c r="C16">
        <v>7522.49</v>
      </c>
      <c r="D16">
        <v>185.81</v>
      </c>
      <c r="E16">
        <v>7455.08</v>
      </c>
      <c r="F16">
        <v>-1</v>
      </c>
      <c r="G16">
        <v>0</v>
      </c>
      <c r="H16">
        <v>203.81</v>
      </c>
      <c r="I16">
        <v>8213.1</v>
      </c>
      <c r="J16">
        <v>-1</v>
      </c>
      <c r="K16">
        <v>0</v>
      </c>
      <c r="L16">
        <v>251.33</v>
      </c>
      <c r="M16">
        <v>7356.8</v>
      </c>
    </row>
    <row r="17" spans="1:13">
      <c r="A17" t="s">
        <v>28</v>
      </c>
      <c r="B17">
        <v>281.79</v>
      </c>
      <c r="C17">
        <v>7401.14</v>
      </c>
      <c r="D17">
        <v>184.88</v>
      </c>
      <c r="E17">
        <v>7353.53</v>
      </c>
      <c r="F17">
        <v>-1</v>
      </c>
      <c r="G17">
        <v>0</v>
      </c>
      <c r="H17">
        <v>212.18</v>
      </c>
      <c r="I17">
        <v>8076.86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281.66</v>
      </c>
      <c r="C18">
        <v>7469.45</v>
      </c>
      <c r="D18">
        <v>182.68</v>
      </c>
      <c r="E18">
        <v>7290.32</v>
      </c>
      <c r="F18">
        <v>-1</v>
      </c>
      <c r="G18">
        <v>0</v>
      </c>
      <c r="H18">
        <v>193.8</v>
      </c>
      <c r="I18">
        <v>8198.39</v>
      </c>
      <c r="J18">
        <v>-1</v>
      </c>
      <c r="K18">
        <v>0</v>
      </c>
      <c r="L18">
        <v>189.39</v>
      </c>
      <c r="M18">
        <v>7244.07</v>
      </c>
    </row>
    <row r="19" spans="1:13">
      <c r="A19" t="s">
        <v>30</v>
      </c>
      <c r="B19">
        <v>283.28</v>
      </c>
      <c r="C19">
        <v>7558.23</v>
      </c>
      <c r="D19">
        <v>185.09</v>
      </c>
      <c r="E19">
        <v>7521.39</v>
      </c>
      <c r="F19">
        <v>-1</v>
      </c>
      <c r="G19">
        <v>0</v>
      </c>
      <c r="H19">
        <v>202.11</v>
      </c>
      <c r="I19">
        <v>8249.31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290.49</v>
      </c>
      <c r="C20">
        <v>7592</v>
      </c>
      <c r="D20">
        <v>188.34</v>
      </c>
      <c r="E20">
        <v>7376.78</v>
      </c>
      <c r="F20">
        <v>-1</v>
      </c>
      <c r="G20">
        <v>0</v>
      </c>
      <c r="H20">
        <v>197.61</v>
      </c>
      <c r="I20">
        <v>8348.83</v>
      </c>
      <c r="J20">
        <v>-1</v>
      </c>
      <c r="K20">
        <v>0</v>
      </c>
      <c r="L20">
        <v>190.85</v>
      </c>
      <c r="M20">
        <v>7279.83</v>
      </c>
    </row>
    <row r="21" spans="1:13">
      <c r="A21" t="s">
        <v>32</v>
      </c>
      <c r="B21">
        <v>281.63</v>
      </c>
      <c r="C21">
        <v>7549.44</v>
      </c>
      <c r="D21">
        <v>184.01</v>
      </c>
      <c r="E21">
        <v>7318.46</v>
      </c>
      <c r="F21">
        <v>-1</v>
      </c>
      <c r="G21">
        <v>0</v>
      </c>
      <c r="H21">
        <v>217.11</v>
      </c>
      <c r="I21">
        <v>7930.81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283.32</v>
      </c>
      <c r="C22">
        <v>7544.69</v>
      </c>
      <c r="D22">
        <v>183.63</v>
      </c>
      <c r="E22">
        <v>7135.32</v>
      </c>
      <c r="F22">
        <v>-1</v>
      </c>
      <c r="G22">
        <v>0</v>
      </c>
      <c r="H22">
        <v>194.99</v>
      </c>
      <c r="I22">
        <v>7992.43</v>
      </c>
      <c r="J22">
        <v>-1</v>
      </c>
      <c r="K22">
        <v>0</v>
      </c>
      <c r="L22">
        <v>190.27</v>
      </c>
      <c r="M22">
        <v>7092.14</v>
      </c>
    </row>
    <row r="23" spans="1:13">
      <c r="A23" t="s">
        <v>34</v>
      </c>
      <c r="B23">
        <v>284.68</v>
      </c>
      <c r="C23">
        <v>7666.94</v>
      </c>
      <c r="D23">
        <v>185.89</v>
      </c>
      <c r="E23">
        <v>7510.06</v>
      </c>
      <c r="F23">
        <v>-1</v>
      </c>
      <c r="G23">
        <v>0</v>
      </c>
      <c r="H23">
        <v>211.21</v>
      </c>
      <c r="I23">
        <v>8320.39</v>
      </c>
      <c r="J23">
        <v>-1</v>
      </c>
      <c r="K23">
        <v>0</v>
      </c>
      <c r="L23">
        <v>206.59</v>
      </c>
      <c r="M23">
        <v>7393.32</v>
      </c>
    </row>
    <row r="24" spans="1:13">
      <c r="A24" t="s">
        <v>35</v>
      </c>
      <c r="B24">
        <v>279.72</v>
      </c>
      <c r="C24">
        <v>7194.11</v>
      </c>
      <c r="D24">
        <v>181.09</v>
      </c>
      <c r="E24">
        <v>7113.28</v>
      </c>
      <c r="F24">
        <v>-1</v>
      </c>
      <c r="G24">
        <v>0</v>
      </c>
      <c r="H24">
        <v>227.17</v>
      </c>
      <c r="I24">
        <v>7791.23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287.9</v>
      </c>
      <c r="C25">
        <v>7727.74</v>
      </c>
      <c r="D25">
        <v>187.19</v>
      </c>
      <c r="E25">
        <v>7671.87</v>
      </c>
      <c r="F25">
        <v>-1</v>
      </c>
      <c r="G25">
        <v>0</v>
      </c>
      <c r="H25">
        <v>204.75</v>
      </c>
      <c r="I25">
        <v>8444.08</v>
      </c>
      <c r="J25">
        <v>-1</v>
      </c>
      <c r="K25">
        <v>0</v>
      </c>
      <c r="L25">
        <v>221.22</v>
      </c>
      <c r="M25">
        <v>7493.19</v>
      </c>
    </row>
    <row r="26" spans="1:13">
      <c r="A26" t="s">
        <v>37</v>
      </c>
      <c r="B26">
        <v>283.28</v>
      </c>
      <c r="C26">
        <v>7935.86</v>
      </c>
      <c r="D26">
        <v>186.57</v>
      </c>
      <c r="E26">
        <v>6958.03</v>
      </c>
      <c r="F26">
        <v>-1</v>
      </c>
      <c r="G26">
        <v>0</v>
      </c>
      <c r="H26">
        <v>192.12</v>
      </c>
      <c r="I26">
        <v>7968.45</v>
      </c>
      <c r="J26">
        <v>-1</v>
      </c>
      <c r="K26">
        <v>0</v>
      </c>
      <c r="L26">
        <v>187.68</v>
      </c>
      <c r="M26">
        <v>6935.65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283.5032</v>
      </c>
      <c r="B29" s="4">
        <f>IFERROR(AVERAGEIF($D$2:$D$26,"&lt;&gt; -1"),0)</f>
        <v>184.6628</v>
      </c>
      <c r="C29" s="4">
        <f>IFERROR(AVERAGEIF($F$2:$F$26,"&lt;&gt; -1"),0)</f>
        <v>0</v>
      </c>
      <c r="D29" s="4">
        <f>IFERROR(AVERAGEIF($H$2:$H$26,"&lt;&gt; -1"),0)</f>
        <v>205.338260869565</v>
      </c>
      <c r="E29" s="4">
        <f>IFERROR(AVERAGEIF($J$2:$J$26,"&lt;&gt; -1"),0)</f>
        <v>0</v>
      </c>
      <c r="F29" s="4">
        <f>IFERROR(AVERAGEIF($L$2:$L$26,"&lt;&gt; -1"),0)</f>
        <v>199.735</v>
      </c>
      <c r="G29" s="4">
        <f>IFERROR(AVERAGEIFS($C$2:$C$26,$B$2:$B$26,"&lt;&gt; -1"),0)</f>
        <v>7537.2404</v>
      </c>
      <c r="H29" s="4">
        <f>IFERROR(AVERAGEIFS($E$2:$E$26,$D$2:$D$26,"&lt;&gt; -1"),0)</f>
        <v>7337.8932</v>
      </c>
      <c r="I29" s="4">
        <f>IFERROR(AVERAGEIFS($G$2:$G$26,$F$2:$F$26,"&lt;&gt; -1"),0)</f>
        <v>0</v>
      </c>
      <c r="J29" s="4">
        <f>IFERROR(AVERAGEIFS($I$2:$I$26,$H$2:$H$26,"&lt;&gt; -1"),0)</f>
        <v>8103.31217391304</v>
      </c>
      <c r="K29" s="4">
        <f>IFERROR(AVERAGEIFS($K$2:$K$26,$J$2:$J$26,"&lt;&gt; -1"),0)</f>
        <v>0</v>
      </c>
      <c r="L29" s="4">
        <f>IFERROR(AVERAGEIFS($M$2:$M$26,$L$2:$L$26,"&lt;&gt; -1"),0)</f>
        <v>7169.80083333333</v>
      </c>
      <c r="M29" s="4">
        <f>IFERROR(_xlfn.MAXIFS($B$2:$B$26,$B$2:$B$26,"&lt;&gt; -1"),0)</f>
        <v>290.49</v>
      </c>
      <c r="N29" s="4">
        <f>IFERROR(_xlfn.MAXIFS($D$2:$D$26,$D$2:$D$26,"&lt;&gt;-1"),0)</f>
        <v>190.77</v>
      </c>
      <c r="O29" s="4">
        <f>IFERROR(_xlfn.MAXIFS($F$2:$F$26,$F$2:$F$26,"&lt;&gt; -1"),0)</f>
        <v>0</v>
      </c>
      <c r="P29" s="4">
        <f>IFERROR(_xlfn.MAXIFS($H$2:$H$26,$H$2:$H$26,"&lt;&gt; -1"),0)</f>
        <v>249.8</v>
      </c>
      <c r="Q29" s="4">
        <f>IFERROR(_xlfn.MAXIFS($J$2:$J$26,$J$2:$J$26,"&lt;&gt; -1"),0)</f>
        <v>0</v>
      </c>
      <c r="R29" s="4">
        <f>IFERROR(_xlfn.MAXIFS($L$2:$L$26,$L$2:$L$26,"&lt;&gt; -1"),0)</f>
        <v>251.33</v>
      </c>
      <c r="S29" s="4">
        <f>IFERROR(_xlfn.MINIFS($B$2:$B$26,$B$2:$B$26,"&lt;&gt; -1"),0)</f>
        <v>276.75</v>
      </c>
      <c r="T29" s="4">
        <f>IFERROR(_xlfn.MINIFS($D$2:$D$26,$D$2:$D$26,"&lt;&gt;-1"),0)</f>
        <v>178.71</v>
      </c>
      <c r="U29" s="4">
        <f>IFERROR(_xlfn.MINIFS($F$2:$F$26,$F$2:$F$26,"&lt;&gt; -1"),0)</f>
        <v>0</v>
      </c>
      <c r="V29" s="4">
        <f>IFERROR(_xlfn.MINIFS($H$2:$H$26,$H$2:$H$26,"&lt;&gt; -1"),0)</f>
        <v>185.14</v>
      </c>
      <c r="W29" s="4">
        <f>IFERROR(_xlfn.MINIFS($J$2:$J$26,$J$2:$J$26,"&lt;&gt; -1"),0)</f>
        <v>0</v>
      </c>
      <c r="X29" s="4">
        <f>IFERROR(_xlfn.MINIFS($L$2:$L$26,$L$2:$L$26,"&lt;&gt; -1"),0)</f>
        <v>183.17</v>
      </c>
      <c r="Y29" s="4">
        <f>IFERROR(_xlfn.MAXIFS($C$2:$C$26,$B$2:$B$26,"&lt;&gt; -1"),0)</f>
        <v>7935.86</v>
      </c>
      <c r="Z29" s="4">
        <f>IFERROR(_xlfn.MAXIFS($E$2:$E$26,$D$2:$D$26,"&lt;&gt; -1"),0)</f>
        <v>7723.99</v>
      </c>
      <c r="AA29" s="4">
        <f>IFERROR(_xlfn.MAXIFS($G$2:$G$26,$F$2:$F$26,"&lt;&gt; -1"),0)</f>
        <v>0</v>
      </c>
      <c r="AB29" s="4">
        <f>IFERROR(_xlfn.MAXIFS($I$2:$I$26,$H$2:$H$26,"&lt;&gt; -1"),0)</f>
        <v>8444.08</v>
      </c>
      <c r="AC29" s="4">
        <f>IFERROR(_xlfn.MAXIFS($K$2:$K$26,$J$2:$J$26,"&lt;&gt; -1"),0)</f>
        <v>0</v>
      </c>
      <c r="AD29" s="4">
        <f>IFERROR(_xlfn.MAXIFS($M$2:$M$26,$L$2:$L$26,"&lt;&gt; -1"),0)</f>
        <v>7493.19</v>
      </c>
      <c r="AE29" s="4">
        <f>IFERROR(_xlfn.MINIFS($C$2:$C$26,$B$2:$B$26,"&lt;&gt; -1"),0)</f>
        <v>7194.11</v>
      </c>
      <c r="AF29" s="4">
        <f>IFERROR(_xlfn.MINIFS($E$2:$E$26,$D$2:$D$26,"&lt;&gt; -1"),0)</f>
        <v>6840.27</v>
      </c>
      <c r="AG29" s="4">
        <f>IFERROR(_xlfn.MINIFS($G$2:$G$26,$F$2:$F$26,"&lt;&gt; -1"),0)</f>
        <v>0</v>
      </c>
      <c r="AH29" s="4">
        <f>IFERROR(_xlfn.MINIFS($I$2:$I$26,$H$2:$H$26,"&lt;&gt; -1"),0)</f>
        <v>7791.23</v>
      </c>
      <c r="AI29" s="4">
        <f>IFERROR(_xlfn.MINIFS($K$2:$K$26,$J$2:$J$26,"&lt;&gt; -1"),0)</f>
        <v>0</v>
      </c>
      <c r="AJ29" s="4">
        <f>IFERROR(_xlfn.MINIFS($M$2:$M$26,$L$2:$L$26,"&lt;&gt; -1"),0)</f>
        <v>6840.27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0</v>
      </c>
      <c r="AN29" s="4">
        <f>(COUNTIFS($H$2:$H26,"&gt;0.0",$H$2:$H$26,"&lt;300.0"))/25</f>
        <v>0.92</v>
      </c>
      <c r="AO29" s="4">
        <f>(COUNTIFS($J$2:$J$26,"&gt;0.0",$J$2:$J$26,"&lt;300.0"))/25</f>
        <v>0</v>
      </c>
      <c r="AP29" s="4">
        <f>(COUNTIFS($L$2:$L$26,"&gt;0.0",$L$2:$L$26,"&lt;300.0"))/25</f>
        <v>0.48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217.14</v>
      </c>
      <c r="C2">
        <v>6902.37</v>
      </c>
      <c r="D2">
        <v>198.72</v>
      </c>
      <c r="E2">
        <v>7528.2</v>
      </c>
      <c r="F2">
        <v>219.23</v>
      </c>
      <c r="G2">
        <v>7814.95</v>
      </c>
      <c r="H2">
        <v>223.98</v>
      </c>
      <c r="I2">
        <v>8164</v>
      </c>
      <c r="J2">
        <v>217.26</v>
      </c>
      <c r="K2">
        <v>6896.37</v>
      </c>
      <c r="L2">
        <v>-1</v>
      </c>
      <c r="M2">
        <v>0</v>
      </c>
    </row>
    <row r="3" spans="1:13">
      <c r="A3" t="s">
        <v>14</v>
      </c>
      <c r="B3">
        <v>221.18</v>
      </c>
      <c r="C3">
        <v>7170.12</v>
      </c>
      <c r="D3">
        <v>202.93</v>
      </c>
      <c r="E3">
        <v>7485.38</v>
      </c>
      <c r="F3">
        <v>223.2</v>
      </c>
      <c r="G3">
        <v>8321.74</v>
      </c>
      <c r="H3">
        <v>218.21</v>
      </c>
      <c r="I3">
        <v>8218.35</v>
      </c>
      <c r="J3">
        <v>221.26</v>
      </c>
      <c r="K3">
        <v>7170.12</v>
      </c>
      <c r="L3">
        <v>-1</v>
      </c>
      <c r="M3">
        <v>0</v>
      </c>
    </row>
    <row r="4" spans="1:13">
      <c r="A4" t="s">
        <v>15</v>
      </c>
      <c r="B4">
        <v>254.65</v>
      </c>
      <c r="C4">
        <v>7198.42</v>
      </c>
      <c r="D4">
        <v>199.52</v>
      </c>
      <c r="E4">
        <v>7571.97</v>
      </c>
      <c r="F4">
        <v>262.76</v>
      </c>
      <c r="G4">
        <v>8110.34</v>
      </c>
      <c r="H4">
        <v>231.08</v>
      </c>
      <c r="I4">
        <v>8328.65</v>
      </c>
      <c r="J4">
        <v>260.59</v>
      </c>
      <c r="K4">
        <v>7140.99</v>
      </c>
      <c r="L4">
        <v>-1</v>
      </c>
      <c r="M4">
        <v>573.29</v>
      </c>
    </row>
    <row r="5" spans="1:13">
      <c r="A5" t="s">
        <v>16</v>
      </c>
      <c r="B5">
        <v>220.02</v>
      </c>
      <c r="C5">
        <v>7357.96</v>
      </c>
      <c r="D5">
        <v>198.17</v>
      </c>
      <c r="E5">
        <v>7453.19</v>
      </c>
      <c r="F5">
        <v>236.15</v>
      </c>
      <c r="G5">
        <v>8230.15</v>
      </c>
      <c r="H5">
        <v>231.26</v>
      </c>
      <c r="I5">
        <v>8127.46</v>
      </c>
      <c r="J5">
        <v>231.67</v>
      </c>
      <c r="K5">
        <v>7280.38</v>
      </c>
      <c r="L5">
        <v>-1</v>
      </c>
      <c r="M5">
        <v>0</v>
      </c>
    </row>
    <row r="6" spans="1:13">
      <c r="A6" t="s">
        <v>17</v>
      </c>
      <c r="B6">
        <v>247.18</v>
      </c>
      <c r="C6">
        <v>7165.17</v>
      </c>
      <c r="D6">
        <v>196.33</v>
      </c>
      <c r="E6">
        <v>7527.51</v>
      </c>
      <c r="F6">
        <v>257.13</v>
      </c>
      <c r="G6">
        <v>8064.01</v>
      </c>
      <c r="H6">
        <v>252.74</v>
      </c>
      <c r="I6">
        <v>8120.56</v>
      </c>
      <c r="J6">
        <v>255.03</v>
      </c>
      <c r="K6">
        <v>7104.28</v>
      </c>
      <c r="L6">
        <v>-1</v>
      </c>
      <c r="M6">
        <v>0</v>
      </c>
    </row>
    <row r="7" spans="1:13">
      <c r="A7" t="s">
        <v>18</v>
      </c>
      <c r="B7">
        <v>216.93</v>
      </c>
      <c r="C7">
        <v>7125.12</v>
      </c>
      <c r="D7">
        <v>196.43</v>
      </c>
      <c r="E7">
        <v>7484.21</v>
      </c>
      <c r="F7">
        <v>231.74</v>
      </c>
      <c r="G7">
        <v>7970.15</v>
      </c>
      <c r="H7">
        <v>277.99</v>
      </c>
      <c r="I7">
        <v>8115.39</v>
      </c>
      <c r="J7">
        <v>226.73</v>
      </c>
      <c r="K7">
        <v>7067.3</v>
      </c>
      <c r="L7">
        <v>-1</v>
      </c>
      <c r="M7">
        <v>0</v>
      </c>
    </row>
    <row r="8" spans="1:13">
      <c r="A8" t="s">
        <v>19</v>
      </c>
      <c r="B8">
        <v>246.45</v>
      </c>
      <c r="C8">
        <v>7178.7</v>
      </c>
      <c r="D8">
        <v>194.22</v>
      </c>
      <c r="E8">
        <v>7422.14</v>
      </c>
      <c r="F8">
        <v>276.01</v>
      </c>
      <c r="G8">
        <v>7794.77</v>
      </c>
      <c r="H8">
        <v>241.81</v>
      </c>
      <c r="I8">
        <v>7992.38</v>
      </c>
      <c r="J8">
        <v>-1</v>
      </c>
      <c r="K8">
        <v>548.61</v>
      </c>
      <c r="L8">
        <v>-1</v>
      </c>
      <c r="M8">
        <v>0</v>
      </c>
    </row>
    <row r="9" spans="1:13">
      <c r="A9" t="s">
        <v>20</v>
      </c>
      <c r="B9">
        <v>249.92</v>
      </c>
      <c r="C9">
        <v>7508.43</v>
      </c>
      <c r="D9">
        <v>199.73</v>
      </c>
      <c r="E9">
        <v>7821.73</v>
      </c>
      <c r="F9">
        <v>268.04</v>
      </c>
      <c r="G9">
        <v>8252.22</v>
      </c>
      <c r="H9">
        <v>261.76</v>
      </c>
      <c r="I9">
        <v>8280.25</v>
      </c>
      <c r="J9">
        <v>-1</v>
      </c>
      <c r="K9">
        <v>391.68</v>
      </c>
      <c r="L9">
        <v>-1</v>
      </c>
      <c r="M9">
        <v>0</v>
      </c>
    </row>
    <row r="10" spans="1:13">
      <c r="A10" t="s">
        <v>21</v>
      </c>
      <c r="B10">
        <v>214.95</v>
      </c>
      <c r="C10">
        <v>6648.3</v>
      </c>
      <c r="D10">
        <v>196.08</v>
      </c>
      <c r="E10">
        <v>7363.03</v>
      </c>
      <c r="F10">
        <v>216.95</v>
      </c>
      <c r="G10">
        <v>7629.7</v>
      </c>
      <c r="H10">
        <v>217.49</v>
      </c>
      <c r="I10">
        <v>8076.76</v>
      </c>
      <c r="J10">
        <v>215.08</v>
      </c>
      <c r="K10">
        <v>6642.89</v>
      </c>
      <c r="L10">
        <v>-1</v>
      </c>
      <c r="M10">
        <v>0</v>
      </c>
    </row>
    <row r="11" spans="1:13">
      <c r="A11" t="s">
        <v>22</v>
      </c>
      <c r="B11">
        <v>250.01</v>
      </c>
      <c r="C11">
        <v>7225.46</v>
      </c>
      <c r="D11">
        <v>198.64</v>
      </c>
      <c r="E11">
        <v>7265.83</v>
      </c>
      <c r="F11">
        <v>260.41</v>
      </c>
      <c r="G11">
        <v>8102.84</v>
      </c>
      <c r="H11">
        <v>227.2</v>
      </c>
      <c r="I11">
        <v>8036.98</v>
      </c>
      <c r="J11">
        <v>254.8</v>
      </c>
      <c r="K11">
        <v>7186.85</v>
      </c>
      <c r="L11">
        <v>-1</v>
      </c>
      <c r="M11">
        <v>0</v>
      </c>
    </row>
    <row r="12" spans="1:13">
      <c r="A12" t="s">
        <v>23</v>
      </c>
      <c r="B12">
        <v>242.23</v>
      </c>
      <c r="C12">
        <v>6884.84</v>
      </c>
      <c r="D12">
        <v>191.22</v>
      </c>
      <c r="E12">
        <v>7080.02</v>
      </c>
      <c r="F12">
        <v>252.05</v>
      </c>
      <c r="G12">
        <v>7712.87</v>
      </c>
      <c r="H12">
        <v>221.26</v>
      </c>
      <c r="I12">
        <v>7778.5</v>
      </c>
      <c r="J12">
        <v>245.82</v>
      </c>
      <c r="K12">
        <v>6803.78</v>
      </c>
      <c r="L12">
        <v>-1</v>
      </c>
      <c r="M12">
        <v>607.46</v>
      </c>
    </row>
    <row r="13" spans="1:13">
      <c r="A13" t="s">
        <v>24</v>
      </c>
      <c r="B13">
        <v>249.47</v>
      </c>
      <c r="C13">
        <v>7305.78</v>
      </c>
      <c r="D13">
        <v>194.19</v>
      </c>
      <c r="E13">
        <v>7241.18</v>
      </c>
      <c r="F13">
        <v>265.61</v>
      </c>
      <c r="G13">
        <v>8019.52</v>
      </c>
      <c r="H13">
        <v>239.55</v>
      </c>
      <c r="I13">
        <v>7950.77</v>
      </c>
      <c r="J13">
        <v>274.74</v>
      </c>
      <c r="K13">
        <v>7175.08</v>
      </c>
      <c r="L13">
        <v>-1</v>
      </c>
      <c r="M13">
        <v>0</v>
      </c>
    </row>
    <row r="14" spans="1:13">
      <c r="A14" t="s">
        <v>25</v>
      </c>
      <c r="B14">
        <v>247.93</v>
      </c>
      <c r="C14">
        <v>7430.84</v>
      </c>
      <c r="D14">
        <v>199.84</v>
      </c>
      <c r="E14">
        <v>7503.92</v>
      </c>
      <c r="F14">
        <v>285.28</v>
      </c>
      <c r="G14">
        <v>7970.54</v>
      </c>
      <c r="H14">
        <v>240.01</v>
      </c>
      <c r="I14">
        <v>8108.84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224.3</v>
      </c>
      <c r="C15">
        <v>7349.26</v>
      </c>
      <c r="D15">
        <v>205.89</v>
      </c>
      <c r="E15">
        <v>7411.81</v>
      </c>
      <c r="F15">
        <v>226.33</v>
      </c>
      <c r="G15">
        <v>8381.02</v>
      </c>
      <c r="H15">
        <v>228.77</v>
      </c>
      <c r="I15">
        <v>8129.93</v>
      </c>
      <c r="J15">
        <v>224.39</v>
      </c>
      <c r="K15">
        <v>7328.44</v>
      </c>
      <c r="L15">
        <v>-1</v>
      </c>
      <c r="M15">
        <v>0</v>
      </c>
    </row>
    <row r="16" spans="1:13">
      <c r="A16" t="s">
        <v>27</v>
      </c>
      <c r="B16">
        <v>217.74</v>
      </c>
      <c r="C16">
        <v>6955.78</v>
      </c>
      <c r="D16">
        <v>199.33</v>
      </c>
      <c r="E16">
        <v>7476.45</v>
      </c>
      <c r="F16">
        <v>222.08</v>
      </c>
      <c r="G16">
        <v>7904.08</v>
      </c>
      <c r="H16">
        <v>226.42</v>
      </c>
      <c r="I16">
        <v>8194.98</v>
      </c>
      <c r="J16">
        <v>218.96</v>
      </c>
      <c r="K16">
        <v>6954.71</v>
      </c>
      <c r="L16">
        <v>-1</v>
      </c>
      <c r="M16">
        <v>0</v>
      </c>
    </row>
    <row r="17" spans="1:13">
      <c r="A17" t="s">
        <v>28</v>
      </c>
      <c r="B17">
        <v>221.93</v>
      </c>
      <c r="C17">
        <v>7009.18</v>
      </c>
      <c r="D17">
        <v>196.34</v>
      </c>
      <c r="E17">
        <v>7438.81</v>
      </c>
      <c r="F17">
        <v>250.3</v>
      </c>
      <c r="G17">
        <v>7807.61</v>
      </c>
      <c r="H17">
        <v>245.76</v>
      </c>
      <c r="I17">
        <v>8125.94</v>
      </c>
      <c r="J17">
        <v>248.6</v>
      </c>
      <c r="K17">
        <v>6911.78</v>
      </c>
      <c r="L17">
        <v>-1</v>
      </c>
      <c r="M17">
        <v>0</v>
      </c>
    </row>
    <row r="18" spans="1:13">
      <c r="A18" t="s">
        <v>29</v>
      </c>
      <c r="B18">
        <v>248.33</v>
      </c>
      <c r="C18">
        <v>7586.61</v>
      </c>
      <c r="D18">
        <v>198.39</v>
      </c>
      <c r="E18">
        <v>7439.18</v>
      </c>
      <c r="F18">
        <v>-1</v>
      </c>
      <c r="G18">
        <v>0</v>
      </c>
      <c r="H18">
        <v>223.24</v>
      </c>
      <c r="I18">
        <v>8134.11</v>
      </c>
      <c r="J18">
        <v>-1</v>
      </c>
      <c r="K18">
        <v>0</v>
      </c>
      <c r="L18">
        <v>222.85</v>
      </c>
      <c r="M18">
        <v>7281.29</v>
      </c>
    </row>
    <row r="19" spans="1:13">
      <c r="A19" t="s">
        <v>30</v>
      </c>
      <c r="B19">
        <v>250.15</v>
      </c>
      <c r="C19">
        <v>7341.99</v>
      </c>
      <c r="D19">
        <v>199.9</v>
      </c>
      <c r="E19">
        <v>7290.09</v>
      </c>
      <c r="F19">
        <v>268</v>
      </c>
      <c r="G19">
        <v>8013.91</v>
      </c>
      <c r="H19">
        <v>232.6</v>
      </c>
      <c r="I19">
        <v>8018.11</v>
      </c>
      <c r="J19">
        <v>262.95</v>
      </c>
      <c r="K19">
        <v>7203.66</v>
      </c>
      <c r="L19">
        <v>-1</v>
      </c>
      <c r="M19">
        <v>0</v>
      </c>
    </row>
    <row r="20" spans="1:13">
      <c r="A20" t="s">
        <v>31</v>
      </c>
      <c r="B20">
        <v>218.27</v>
      </c>
      <c r="C20">
        <v>7144.89</v>
      </c>
      <c r="D20">
        <v>200.35</v>
      </c>
      <c r="E20">
        <v>7641.22</v>
      </c>
      <c r="F20">
        <v>220.22</v>
      </c>
      <c r="G20">
        <v>8102</v>
      </c>
      <c r="H20">
        <v>233.43</v>
      </c>
      <c r="I20">
        <v>8260.03</v>
      </c>
      <c r="J20">
        <v>218.36</v>
      </c>
      <c r="K20">
        <v>7130.65</v>
      </c>
      <c r="L20">
        <v>-1</v>
      </c>
      <c r="M20">
        <v>0</v>
      </c>
    </row>
    <row r="21" spans="1:13">
      <c r="A21" t="s">
        <v>32</v>
      </c>
      <c r="B21">
        <v>215.83</v>
      </c>
      <c r="C21">
        <v>6864.72</v>
      </c>
      <c r="D21">
        <v>197.2</v>
      </c>
      <c r="E21">
        <v>7280.43</v>
      </c>
      <c r="F21">
        <v>220.95</v>
      </c>
      <c r="G21">
        <v>7915.54</v>
      </c>
      <c r="H21">
        <v>216.62</v>
      </c>
      <c r="I21">
        <v>7990.92</v>
      </c>
      <c r="J21">
        <v>218.18</v>
      </c>
      <c r="K21">
        <v>6863.02</v>
      </c>
      <c r="L21">
        <v>-1</v>
      </c>
      <c r="M21">
        <v>528.35</v>
      </c>
    </row>
    <row r="22" spans="1:13">
      <c r="A22" t="s">
        <v>33</v>
      </c>
      <c r="B22">
        <v>251.61</v>
      </c>
      <c r="C22">
        <v>7332.73</v>
      </c>
      <c r="D22">
        <v>196.39</v>
      </c>
      <c r="E22">
        <v>7330.28</v>
      </c>
      <c r="F22">
        <v>268.9</v>
      </c>
      <c r="G22">
        <v>8072.95</v>
      </c>
      <c r="H22">
        <v>220.33</v>
      </c>
      <c r="I22">
        <v>7966.97</v>
      </c>
      <c r="J22">
        <v>-1</v>
      </c>
      <c r="K22">
        <v>432.95</v>
      </c>
      <c r="L22">
        <v>-1</v>
      </c>
      <c r="M22">
        <v>581.67</v>
      </c>
    </row>
    <row r="23" spans="1:13">
      <c r="A23" t="s">
        <v>34</v>
      </c>
      <c r="B23">
        <v>219.45</v>
      </c>
      <c r="C23">
        <v>7181.34</v>
      </c>
      <c r="D23">
        <v>197.81</v>
      </c>
      <c r="E23">
        <v>7401.79</v>
      </c>
      <c r="F23">
        <v>235.44</v>
      </c>
      <c r="G23">
        <v>8078.94</v>
      </c>
      <c r="H23">
        <v>-1</v>
      </c>
      <c r="I23">
        <v>7508.47</v>
      </c>
      <c r="J23">
        <v>234.87</v>
      </c>
      <c r="K23">
        <v>7158.3</v>
      </c>
      <c r="L23">
        <v>-1</v>
      </c>
      <c r="M23">
        <v>0</v>
      </c>
    </row>
    <row r="24" spans="1:13">
      <c r="A24" t="s">
        <v>35</v>
      </c>
      <c r="B24">
        <v>250.81</v>
      </c>
      <c r="C24">
        <v>6982.81</v>
      </c>
      <c r="D24">
        <v>195.02</v>
      </c>
      <c r="E24">
        <v>7058.11</v>
      </c>
      <c r="F24">
        <v>259.12</v>
      </c>
      <c r="G24">
        <v>7898.71</v>
      </c>
      <c r="H24">
        <v>215.43</v>
      </c>
      <c r="I24">
        <v>7695.96</v>
      </c>
      <c r="J24">
        <v>263.15</v>
      </c>
      <c r="K24">
        <v>6958.74</v>
      </c>
      <c r="L24">
        <v>-1</v>
      </c>
      <c r="M24">
        <v>0</v>
      </c>
    </row>
    <row r="25" spans="1:13">
      <c r="A25" t="s">
        <v>36</v>
      </c>
      <c r="B25">
        <v>251.61</v>
      </c>
      <c r="C25">
        <v>7303.57</v>
      </c>
      <c r="D25">
        <v>200.29</v>
      </c>
      <c r="E25">
        <v>7754.02</v>
      </c>
      <c r="F25">
        <v>261.07</v>
      </c>
      <c r="G25">
        <v>8276.35</v>
      </c>
      <c r="H25">
        <v>231.57</v>
      </c>
      <c r="I25">
        <v>8500.44</v>
      </c>
      <c r="J25">
        <v>256.1</v>
      </c>
      <c r="K25">
        <v>7254.48</v>
      </c>
      <c r="L25">
        <v>-1</v>
      </c>
      <c r="M25">
        <v>444.69</v>
      </c>
    </row>
    <row r="26" spans="1:13">
      <c r="A26" t="s">
        <v>37</v>
      </c>
      <c r="B26">
        <v>214.2</v>
      </c>
      <c r="C26">
        <v>7164.48</v>
      </c>
      <c r="D26">
        <v>196.03</v>
      </c>
      <c r="E26">
        <v>7344.88</v>
      </c>
      <c r="F26">
        <v>216.35</v>
      </c>
      <c r="G26">
        <v>8219.57</v>
      </c>
      <c r="H26">
        <v>223.9</v>
      </c>
      <c r="I26">
        <v>8153.01</v>
      </c>
      <c r="J26">
        <v>214.41</v>
      </c>
      <c r="K26">
        <v>7164.48</v>
      </c>
      <c r="L26">
        <v>207.5</v>
      </c>
      <c r="M26">
        <v>7185.26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234.4916</v>
      </c>
      <c r="B29" s="4">
        <f>IFERROR(AVERAGEIF($D$2:$D$26,"&lt;&gt; -1"),0)</f>
        <v>197.9584</v>
      </c>
      <c r="C29" s="4">
        <f>IFERROR(AVERAGEIF($F$2:$F$26,"&lt;&gt; -1"),0)</f>
        <v>245.971666666667</v>
      </c>
      <c r="D29" s="4">
        <f>IFERROR(AVERAGEIF($H$2:$H$26,"&lt;&gt; -1"),0)</f>
        <v>232.600416666667</v>
      </c>
      <c r="E29" s="4">
        <f>IFERROR(AVERAGEIF($J$2:$J$26,"&lt;&gt; -1"),0)</f>
        <v>238.1475</v>
      </c>
      <c r="F29" s="4">
        <f>IFERROR(AVERAGEIF($L$2:$L$26,"&lt;&gt; -1"),0)</f>
        <v>215.175</v>
      </c>
      <c r="G29" s="4">
        <f>IFERROR(AVERAGEIFS($C$2:$C$26,$B$2:$B$26,"&lt;&gt; -1"),0)</f>
        <v>7172.7548</v>
      </c>
      <c r="H29" s="4">
        <f>IFERROR(AVERAGEIFS($E$2:$E$26,$D$2:$D$26,"&lt;&gt; -1"),0)</f>
        <v>7424.6152</v>
      </c>
      <c r="I29" s="4">
        <f>IFERROR(AVERAGEIFS($G$2:$G$26,$F$2:$F$26,"&lt;&gt; -1"),0)</f>
        <v>8027.68666666667</v>
      </c>
      <c r="J29" s="4">
        <f>IFERROR(AVERAGEIFS($I$2:$I$26,$H$2:$H$26,"&lt;&gt; -1"),0)</f>
        <v>8102.88708333333</v>
      </c>
      <c r="K29" s="4">
        <f>IFERROR(AVERAGEIFS($K$2:$K$26,$J$2:$J$26,"&lt;&gt; -1"),0)</f>
        <v>7069.815</v>
      </c>
      <c r="L29" s="4">
        <f>IFERROR(AVERAGEIFS($M$2:$M$26,$L$2:$L$26,"&lt;&gt; -1"),0)</f>
        <v>7233.275</v>
      </c>
      <c r="M29" s="4">
        <f>IFERROR(_xlfn.MAXIFS($B$2:$B$26,$B$2:$B$26,"&lt;&gt; -1"),0)</f>
        <v>254.65</v>
      </c>
      <c r="N29" s="4">
        <f>IFERROR(_xlfn.MAXIFS($D$2:$D$26,$D$2:$D$26,"&lt;&gt;-1"),0)</f>
        <v>205.89</v>
      </c>
      <c r="O29" s="4">
        <f>IFERROR(_xlfn.MAXIFS($F$2:$F$26,$F$2:$F$26,"&lt;&gt; -1"),0)</f>
        <v>285.28</v>
      </c>
      <c r="P29" s="4">
        <f>IFERROR(_xlfn.MAXIFS($H$2:$H$26,$H$2:$H$26,"&lt;&gt; -1"),0)</f>
        <v>277.99</v>
      </c>
      <c r="Q29" s="4">
        <f>IFERROR(_xlfn.MAXIFS($J$2:$J$26,$J$2:$J$26,"&lt;&gt; -1"),0)</f>
        <v>274.74</v>
      </c>
      <c r="R29" s="4">
        <f>IFERROR(_xlfn.MAXIFS($L$2:$L$26,$L$2:$L$26,"&lt;&gt; -1"),0)</f>
        <v>222.85</v>
      </c>
      <c r="S29" s="4">
        <f>IFERROR(_xlfn.MINIFS($B$2:$B$26,$B$2:$B$26,"&lt;&gt; -1"),0)</f>
        <v>214.2</v>
      </c>
      <c r="T29" s="4">
        <f>IFERROR(_xlfn.MINIFS($D$2:$D$26,$D$2:$D$26,"&lt;&gt;-1"),0)</f>
        <v>191.22</v>
      </c>
      <c r="U29" s="4">
        <f>IFERROR(_xlfn.MINIFS($F$2:$F$26,$F$2:$F$26,"&lt;&gt; -1"),0)</f>
        <v>216.35</v>
      </c>
      <c r="V29" s="4">
        <f>IFERROR(_xlfn.MINIFS($H$2:$H$26,$H$2:$H$26,"&lt;&gt; -1"),0)</f>
        <v>215.43</v>
      </c>
      <c r="W29" s="4">
        <f>IFERROR(_xlfn.MINIFS($J$2:$J$26,$J$2:$J$26,"&lt;&gt; -1"),0)</f>
        <v>214.41</v>
      </c>
      <c r="X29" s="4">
        <f>IFERROR(_xlfn.MINIFS($L$2:$L$26,$L$2:$L$26,"&lt;&gt; -1"),0)</f>
        <v>207.5</v>
      </c>
      <c r="Y29" s="4">
        <f>IFERROR(_xlfn.MAXIFS($C$2:$C$26,$B$2:$B$26,"&lt;&gt; -1"),0)</f>
        <v>7586.61</v>
      </c>
      <c r="Z29" s="4">
        <f>IFERROR(_xlfn.MAXIFS($E$2:$E$26,$D$2:$D$26,"&lt;&gt; -1"),0)</f>
        <v>7821.73</v>
      </c>
      <c r="AA29" s="4">
        <f>IFERROR(_xlfn.MAXIFS($G$2:$G$26,$F$2:$F$26,"&lt;&gt; -1"),0)</f>
        <v>8381.02</v>
      </c>
      <c r="AB29" s="4">
        <f>IFERROR(_xlfn.MAXIFS($I$2:$I$26,$H$2:$H$26,"&lt;&gt; -1"),0)</f>
        <v>8500.44</v>
      </c>
      <c r="AC29" s="4">
        <f>IFERROR(_xlfn.MAXIFS($K$2:$K$26,$J$2:$J$26,"&lt;&gt; -1"),0)</f>
        <v>7328.44</v>
      </c>
      <c r="AD29" s="4">
        <f>IFERROR(_xlfn.MAXIFS($M$2:$M$26,$L$2:$L$26,"&lt;&gt; -1"),0)</f>
        <v>7281.29</v>
      </c>
      <c r="AE29" s="4">
        <f>IFERROR(_xlfn.MINIFS($C$2:$C$26,$B$2:$B$26,"&lt;&gt; -1"),0)</f>
        <v>6648.3</v>
      </c>
      <c r="AF29" s="4">
        <f>IFERROR(_xlfn.MINIFS($E$2:$E$26,$D$2:$D$26,"&lt;&gt; -1"),0)</f>
        <v>7058.11</v>
      </c>
      <c r="AG29" s="4">
        <f>IFERROR(_xlfn.MINIFS($G$2:$G$26,$F$2:$F$26,"&lt;&gt; -1"),0)</f>
        <v>7629.7</v>
      </c>
      <c r="AH29" s="4">
        <f>IFERROR(_xlfn.MINIFS($I$2:$I$26,$H$2:$H$26,"&lt;&gt; -1"),0)</f>
        <v>7695.96</v>
      </c>
      <c r="AI29" s="4">
        <f>IFERROR(_xlfn.MINIFS($K$2:$K$26,$J$2:$J$26,"&lt;&gt; -1"),0)</f>
        <v>6642.89</v>
      </c>
      <c r="AJ29" s="4">
        <f>IFERROR(_xlfn.MINIFS($M$2:$M$26,$L$2:$L$26,"&lt;&gt; -1"),0)</f>
        <v>7185.26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0.96</v>
      </c>
      <c r="AN29" s="4">
        <f>(COUNTIFS($H$2:$H26,"&gt;0.0",$H$2:$H$26,"&lt;300.0"))/25</f>
        <v>0.96</v>
      </c>
      <c r="AO29" s="4">
        <f>(COUNTIFS($J$2:$J$26,"&gt;0.0",$J$2:$J$26,"&lt;300.0"))/25</f>
        <v>0.8</v>
      </c>
      <c r="AP29" s="4">
        <f>(COUNTIFS($L$2:$L$26,"&gt;0.0",$L$2:$L$26,"&lt;300.0"))/25</f>
        <v>0.08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G14" sqref="G14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243.2508</v>
      </c>
      <c r="B2">
        <v>133.1816</v>
      </c>
      <c r="C2">
        <v>246.7792</v>
      </c>
      <c r="D2">
        <v>145.3312</v>
      </c>
      <c r="E2">
        <v>244.7428</v>
      </c>
      <c r="F2">
        <v>139.2568</v>
      </c>
      <c r="G2">
        <v>7045.0972</v>
      </c>
      <c r="H2">
        <v>7146.6844</v>
      </c>
      <c r="I2">
        <v>8017.8272</v>
      </c>
      <c r="J2">
        <v>8056.5804</v>
      </c>
      <c r="K2">
        <v>7033.7956</v>
      </c>
      <c r="L2">
        <v>7082.1864</v>
      </c>
      <c r="M2">
        <v>251</v>
      </c>
      <c r="N2">
        <v>137.58</v>
      </c>
      <c r="O2">
        <v>256.17</v>
      </c>
      <c r="P2">
        <v>152.63</v>
      </c>
      <c r="Q2">
        <v>253.66</v>
      </c>
      <c r="R2">
        <v>154.31</v>
      </c>
      <c r="S2">
        <v>218.49</v>
      </c>
      <c r="T2">
        <v>128.5</v>
      </c>
      <c r="U2">
        <v>227.09</v>
      </c>
      <c r="V2">
        <v>135.11</v>
      </c>
      <c r="W2">
        <v>221.55</v>
      </c>
      <c r="X2">
        <v>131.47</v>
      </c>
      <c r="Y2">
        <v>7373.03</v>
      </c>
      <c r="Z2">
        <v>7356.78</v>
      </c>
      <c r="AA2">
        <v>8422.16</v>
      </c>
      <c r="AB2">
        <v>8273.64</v>
      </c>
      <c r="AC2">
        <v>7380.51</v>
      </c>
      <c r="AD2">
        <v>7292.8</v>
      </c>
      <c r="AE2">
        <v>6732.12</v>
      </c>
      <c r="AF2">
        <v>6923</v>
      </c>
      <c r="AG2">
        <v>7692.9</v>
      </c>
      <c r="AH2">
        <v>7802.41</v>
      </c>
      <c r="AI2">
        <v>6729.84</v>
      </c>
      <c r="AJ2">
        <v>6861.46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>
      <c r="A3">
        <v>264.8936</v>
      </c>
      <c r="B3">
        <v>152.7708</v>
      </c>
      <c r="C3">
        <v>271.2616</v>
      </c>
      <c r="D3">
        <v>170.6324</v>
      </c>
      <c r="E3">
        <v>267.8796</v>
      </c>
      <c r="F3">
        <v>168.9625</v>
      </c>
      <c r="G3">
        <v>7070.068</v>
      </c>
      <c r="H3">
        <v>7252.4436</v>
      </c>
      <c r="I3">
        <v>8020.3696</v>
      </c>
      <c r="J3">
        <v>8047.7944</v>
      </c>
      <c r="K3">
        <v>7038.0968</v>
      </c>
      <c r="L3">
        <v>7071.970625</v>
      </c>
      <c r="M3">
        <v>388.66</v>
      </c>
      <c r="N3">
        <v>222.69</v>
      </c>
      <c r="O3">
        <v>393.81</v>
      </c>
      <c r="P3">
        <v>260.12</v>
      </c>
      <c r="Q3">
        <v>389.54</v>
      </c>
      <c r="R3">
        <v>217.95</v>
      </c>
      <c r="S3">
        <v>215.84</v>
      </c>
      <c r="T3">
        <v>140.14</v>
      </c>
      <c r="U3">
        <v>223.63</v>
      </c>
      <c r="V3">
        <v>148.45</v>
      </c>
      <c r="W3">
        <v>218.05</v>
      </c>
      <c r="X3">
        <v>146.54</v>
      </c>
      <c r="Y3">
        <v>7523.98</v>
      </c>
      <c r="Z3">
        <v>7739.55</v>
      </c>
      <c r="AA3">
        <v>8472.44</v>
      </c>
      <c r="AB3">
        <v>8504.09</v>
      </c>
      <c r="AC3">
        <v>7410.58</v>
      </c>
      <c r="AD3">
        <v>7254.94</v>
      </c>
      <c r="AE3">
        <v>6708.69</v>
      </c>
      <c r="AF3">
        <v>6812.33</v>
      </c>
      <c r="AG3">
        <v>7657.97</v>
      </c>
      <c r="AH3">
        <v>7689.39</v>
      </c>
      <c r="AI3">
        <v>6715.19</v>
      </c>
      <c r="AJ3">
        <v>6795.42</v>
      </c>
      <c r="AK3">
        <v>0.88</v>
      </c>
      <c r="AL3">
        <v>1</v>
      </c>
      <c r="AM3">
        <v>0.88</v>
      </c>
      <c r="AN3">
        <v>1</v>
      </c>
      <c r="AO3">
        <v>0.88</v>
      </c>
      <c r="AP3">
        <v>0.64</v>
      </c>
    </row>
    <row r="4" spans="1:42">
      <c r="A4">
        <v>275.8116</v>
      </c>
      <c r="B4">
        <v>159.4092</v>
      </c>
      <c r="C4">
        <v>354.595</v>
      </c>
      <c r="D4">
        <v>184.7436</v>
      </c>
      <c r="E4">
        <v>0</v>
      </c>
      <c r="F4">
        <v>197.056666666667</v>
      </c>
      <c r="G4">
        <v>7421.8256</v>
      </c>
      <c r="H4">
        <v>7311.6412</v>
      </c>
      <c r="I4">
        <v>8424.08</v>
      </c>
      <c r="J4">
        <v>8044.9368</v>
      </c>
      <c r="K4">
        <v>0</v>
      </c>
      <c r="L4">
        <v>7083.17</v>
      </c>
      <c r="M4">
        <v>282.07</v>
      </c>
      <c r="N4">
        <v>165.24</v>
      </c>
      <c r="O4">
        <v>371.73</v>
      </c>
      <c r="P4">
        <v>247.74</v>
      </c>
      <c r="Q4">
        <v>0</v>
      </c>
      <c r="R4">
        <v>249.72</v>
      </c>
      <c r="S4">
        <v>267.49</v>
      </c>
      <c r="T4">
        <v>155.12</v>
      </c>
      <c r="U4">
        <v>337.46</v>
      </c>
      <c r="V4">
        <v>170.41</v>
      </c>
      <c r="W4">
        <v>0</v>
      </c>
      <c r="X4">
        <v>165.37</v>
      </c>
      <c r="Y4">
        <v>7805</v>
      </c>
      <c r="Z4">
        <v>7705.13</v>
      </c>
      <c r="AA4">
        <v>8509.18</v>
      </c>
      <c r="AB4">
        <v>8400.75</v>
      </c>
      <c r="AC4">
        <v>0</v>
      </c>
      <c r="AD4">
        <v>7364.2</v>
      </c>
      <c r="AE4">
        <v>6996.79</v>
      </c>
      <c r="AF4">
        <v>6863.14</v>
      </c>
      <c r="AG4">
        <v>8338.98</v>
      </c>
      <c r="AH4">
        <v>7584.78</v>
      </c>
      <c r="AI4">
        <v>0</v>
      </c>
      <c r="AJ4">
        <v>6763.5</v>
      </c>
      <c r="AK4">
        <v>1</v>
      </c>
      <c r="AL4">
        <v>1</v>
      </c>
      <c r="AM4">
        <v>0</v>
      </c>
      <c r="AN4">
        <v>1</v>
      </c>
      <c r="AO4">
        <v>0</v>
      </c>
      <c r="AP4">
        <v>0.24</v>
      </c>
    </row>
    <row r="5" spans="1:42">
      <c r="A5">
        <v>279.2452</v>
      </c>
      <c r="B5">
        <v>171.3108</v>
      </c>
      <c r="C5">
        <v>0</v>
      </c>
      <c r="D5">
        <v>193.5388</v>
      </c>
      <c r="E5">
        <v>0</v>
      </c>
      <c r="F5">
        <v>187.790909090909</v>
      </c>
      <c r="G5">
        <v>7595.0884</v>
      </c>
      <c r="H5">
        <v>7274.1432</v>
      </c>
      <c r="I5">
        <v>0</v>
      </c>
      <c r="J5">
        <v>8064.6412</v>
      </c>
      <c r="K5">
        <v>0</v>
      </c>
      <c r="L5">
        <v>7091.66181818182</v>
      </c>
      <c r="M5">
        <v>286.04</v>
      </c>
      <c r="N5">
        <v>176.42</v>
      </c>
      <c r="O5">
        <v>0</v>
      </c>
      <c r="P5">
        <v>259.72</v>
      </c>
      <c r="Q5">
        <v>0</v>
      </c>
      <c r="R5">
        <v>236.38</v>
      </c>
      <c r="S5">
        <v>272.94</v>
      </c>
      <c r="T5">
        <v>165.93</v>
      </c>
      <c r="U5">
        <v>0</v>
      </c>
      <c r="V5">
        <v>176.99</v>
      </c>
      <c r="W5">
        <v>0</v>
      </c>
      <c r="X5">
        <v>173.91</v>
      </c>
      <c r="Y5">
        <v>7871.82</v>
      </c>
      <c r="Z5">
        <v>7592.77</v>
      </c>
      <c r="AA5">
        <v>0</v>
      </c>
      <c r="AB5">
        <v>8337.1</v>
      </c>
      <c r="AC5">
        <v>0</v>
      </c>
      <c r="AD5">
        <v>7258.15</v>
      </c>
      <c r="AE5">
        <v>7326.87</v>
      </c>
      <c r="AF5">
        <v>6939.25</v>
      </c>
      <c r="AG5">
        <v>0</v>
      </c>
      <c r="AH5">
        <v>7726.63</v>
      </c>
      <c r="AI5">
        <v>0</v>
      </c>
      <c r="AJ5">
        <v>6838.86</v>
      </c>
      <c r="AK5">
        <v>1</v>
      </c>
      <c r="AL5">
        <v>1</v>
      </c>
      <c r="AM5">
        <v>0</v>
      </c>
      <c r="AN5">
        <v>1</v>
      </c>
      <c r="AO5">
        <v>0</v>
      </c>
      <c r="AP5">
        <v>0.44</v>
      </c>
    </row>
    <row r="6" spans="1:42">
      <c r="A6">
        <v>283.5032</v>
      </c>
      <c r="B6">
        <v>184.6628</v>
      </c>
      <c r="C6">
        <v>0</v>
      </c>
      <c r="D6">
        <v>205.338260869565</v>
      </c>
      <c r="E6">
        <v>0</v>
      </c>
      <c r="F6">
        <v>199.735</v>
      </c>
      <c r="G6">
        <v>7537.2404</v>
      </c>
      <c r="H6">
        <v>7337.8932</v>
      </c>
      <c r="I6">
        <v>0</v>
      </c>
      <c r="J6">
        <v>8103.31217391304</v>
      </c>
      <c r="K6">
        <v>0</v>
      </c>
      <c r="L6">
        <v>7169.80083333333</v>
      </c>
      <c r="M6">
        <v>290.49</v>
      </c>
      <c r="N6">
        <v>190.77</v>
      </c>
      <c r="O6">
        <v>0</v>
      </c>
      <c r="P6">
        <v>249.8</v>
      </c>
      <c r="Q6">
        <v>0</v>
      </c>
      <c r="R6">
        <v>251.33</v>
      </c>
      <c r="S6">
        <v>276.75</v>
      </c>
      <c r="T6">
        <v>178.71</v>
      </c>
      <c r="U6">
        <v>0</v>
      </c>
      <c r="V6">
        <v>185.14</v>
      </c>
      <c r="W6">
        <v>0</v>
      </c>
      <c r="X6">
        <v>183.17</v>
      </c>
      <c r="Y6">
        <v>7935.86</v>
      </c>
      <c r="Z6">
        <v>7723.99</v>
      </c>
      <c r="AA6">
        <v>0</v>
      </c>
      <c r="AB6">
        <v>8444.08</v>
      </c>
      <c r="AC6">
        <v>0</v>
      </c>
      <c r="AD6">
        <v>7493.19</v>
      </c>
      <c r="AE6">
        <v>7194.11</v>
      </c>
      <c r="AF6">
        <v>6840.27</v>
      </c>
      <c r="AG6">
        <v>0</v>
      </c>
      <c r="AH6">
        <v>7791.23</v>
      </c>
      <c r="AI6">
        <v>0</v>
      </c>
      <c r="AJ6">
        <v>6840.27</v>
      </c>
      <c r="AK6">
        <v>1</v>
      </c>
      <c r="AL6">
        <v>1</v>
      </c>
      <c r="AM6">
        <v>0</v>
      </c>
      <c r="AN6">
        <v>0.92</v>
      </c>
      <c r="AO6">
        <v>0</v>
      </c>
      <c r="AP6">
        <v>0.48</v>
      </c>
    </row>
    <row r="7" spans="1:42">
      <c r="A7">
        <v>234.4916</v>
      </c>
      <c r="B7">
        <v>197.9584</v>
      </c>
      <c r="C7">
        <v>245.971666666667</v>
      </c>
      <c r="D7">
        <v>232.600416666667</v>
      </c>
      <c r="E7">
        <v>238.1475</v>
      </c>
      <c r="F7">
        <v>215.175</v>
      </c>
      <c r="G7">
        <v>7172.7548</v>
      </c>
      <c r="H7">
        <v>7424.6152</v>
      </c>
      <c r="I7">
        <v>8027.68666666667</v>
      </c>
      <c r="J7">
        <v>8102.88708333333</v>
      </c>
      <c r="K7">
        <v>7069.815</v>
      </c>
      <c r="L7">
        <v>7233.275</v>
      </c>
      <c r="M7">
        <v>254.65</v>
      </c>
      <c r="N7">
        <v>205.89</v>
      </c>
      <c r="O7">
        <v>285.28</v>
      </c>
      <c r="P7">
        <v>277.99</v>
      </c>
      <c r="Q7">
        <v>274.74</v>
      </c>
      <c r="R7">
        <v>222.85</v>
      </c>
      <c r="S7">
        <v>214.2</v>
      </c>
      <c r="T7">
        <v>191.22</v>
      </c>
      <c r="U7">
        <v>216.35</v>
      </c>
      <c r="V7">
        <v>215.43</v>
      </c>
      <c r="W7">
        <v>214.41</v>
      </c>
      <c r="X7">
        <v>207.5</v>
      </c>
      <c r="Y7">
        <v>7586.61</v>
      </c>
      <c r="Z7">
        <v>7821.73</v>
      </c>
      <c r="AA7">
        <v>8381.02</v>
      </c>
      <c r="AB7">
        <v>8500.44</v>
      </c>
      <c r="AC7">
        <v>7328.44</v>
      </c>
      <c r="AD7">
        <v>7281.29</v>
      </c>
      <c r="AE7">
        <v>6648.3</v>
      </c>
      <c r="AF7">
        <v>7058.11</v>
      </c>
      <c r="AG7">
        <v>7629.7</v>
      </c>
      <c r="AH7">
        <v>7695.96</v>
      </c>
      <c r="AI7">
        <v>6642.89</v>
      </c>
      <c r="AJ7">
        <v>7185.26</v>
      </c>
      <c r="AK7">
        <v>1</v>
      </c>
      <c r="AL7">
        <v>1</v>
      </c>
      <c r="AM7">
        <v>0.96</v>
      </c>
      <c r="AN7">
        <v>0.96</v>
      </c>
      <c r="AO7">
        <v>0.8</v>
      </c>
      <c r="AP7">
        <v>0.08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2024-09-28T03:19:00Z</dcterms:created>
  <dcterms:modified xsi:type="dcterms:W3CDTF">2024-09-28T14:30:20Z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C22995D9D8EF4832A2418863D6276C88_12</vt:lpwstr>
  </property>
  <property fmtid="{D5CDD505-2E9C-101B-9397-08002B2CF9AE}" pid="3" name="KSOProductBuildVer">
    <vt:lpwstr>2052-12.1.0.17827</vt:lpwstr>
  </property>
</Properties>
</file>