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<sst xmlns="http://schemas.openxmlformats.org/spreadsheetml/2006/main" count="522" uniqueCount="80">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</sst>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C29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203.27</v>
      </c>
      <c r="C2">
        <v>8511.64</v>
      </c>
      <c r="D2">
        <v>92.46</v>
      </c>
      <c r="E2">
        <v>8713.37</v>
      </c>
      <c r="F2">
        <v>205.6</v>
      </c>
      <c r="G2">
        <v>9728.24</v>
      </c>
      <c r="H2">
        <v>-1</v>
      </c>
      <c r="I2">
        <v>5475.26</v>
      </c>
      <c r="J2">
        <v>203.64</v>
      </c>
      <c r="K2">
        <v>8536.35</v>
      </c>
      <c r="L2">
        <v>-1</v>
      </c>
      <c r="M2">
        <v>0</v>
      </c>
    </row>
    <row r="3" spans="1:13">
      <c r="A3" t="s">
        <v>14</v>
      </c>
      <c r="B3">
        <v>207.79</v>
      </c>
      <c r="C3">
        <v>8500.86</v>
      </c>
      <c r="D3">
        <v>94.52</v>
      </c>
      <c r="E3">
        <v>8599.22</v>
      </c>
      <c r="F3">
        <v>210.35</v>
      </c>
      <c r="G3">
        <v>9716.04</v>
      </c>
      <c r="H3">
        <v>101.38</v>
      </c>
      <c r="I3">
        <v>9632.86</v>
      </c>
      <c r="J3">
        <v>208.41</v>
      </c>
      <c r="K3">
        <v>8537.04</v>
      </c>
      <c r="L3">
        <v>98.78</v>
      </c>
      <c r="M3">
        <v>8494.08</v>
      </c>
    </row>
    <row r="4" spans="1:13">
      <c r="A4" t="s">
        <v>15</v>
      </c>
      <c r="B4">
        <v>165.81</v>
      </c>
      <c r="C4">
        <v>8240.61</v>
      </c>
      <c r="D4">
        <v>91.77</v>
      </c>
      <c r="E4">
        <v>8628.22</v>
      </c>
      <c r="F4">
        <v>166.81</v>
      </c>
      <c r="G4">
        <v>9447.03</v>
      </c>
      <c r="H4">
        <v>101.05</v>
      </c>
      <c r="I4">
        <v>9684.19</v>
      </c>
      <c r="J4">
        <v>165.73</v>
      </c>
      <c r="K4">
        <v>8241.43</v>
      </c>
      <c r="L4">
        <v>-1</v>
      </c>
      <c r="M4">
        <v>0</v>
      </c>
    </row>
    <row r="5" spans="1:13">
      <c r="A5" t="s">
        <v>16</v>
      </c>
      <c r="B5">
        <v>208.28</v>
      </c>
      <c r="C5">
        <v>8612.11</v>
      </c>
      <c r="D5">
        <v>93.57</v>
      </c>
      <c r="E5">
        <v>8838.18</v>
      </c>
      <c r="F5">
        <v>211.74</v>
      </c>
      <c r="G5">
        <v>9804.69</v>
      </c>
      <c r="H5">
        <v>100.56</v>
      </c>
      <c r="I5">
        <v>9816.78</v>
      </c>
      <c r="J5">
        <v>244.25</v>
      </c>
      <c r="K5">
        <v>8633.52</v>
      </c>
      <c r="L5">
        <v>101.06</v>
      </c>
      <c r="M5">
        <v>8662.55</v>
      </c>
    </row>
    <row r="6" spans="1:13">
      <c r="A6" t="s">
        <v>17</v>
      </c>
      <c r="B6">
        <v>202.09</v>
      </c>
      <c r="C6">
        <v>8379.48</v>
      </c>
      <c r="D6">
        <v>91.66</v>
      </c>
      <c r="E6">
        <v>8553.61</v>
      </c>
      <c r="F6">
        <v>203.95</v>
      </c>
      <c r="G6">
        <v>9568.76</v>
      </c>
      <c r="H6">
        <v>97.65</v>
      </c>
      <c r="I6">
        <v>9593.86</v>
      </c>
      <c r="J6">
        <v>202.43</v>
      </c>
      <c r="K6">
        <v>8410.83</v>
      </c>
      <c r="L6">
        <v>-1</v>
      </c>
      <c r="M6">
        <v>249.89</v>
      </c>
    </row>
    <row r="7" spans="1:13">
      <c r="A7" t="s">
        <v>18</v>
      </c>
      <c r="B7">
        <v>206.49</v>
      </c>
      <c r="C7">
        <v>8680.06</v>
      </c>
      <c r="D7">
        <v>96.15</v>
      </c>
      <c r="E7">
        <v>8660.88</v>
      </c>
      <c r="F7">
        <v>207.76</v>
      </c>
      <c r="G7">
        <v>9963.28</v>
      </c>
      <c r="H7">
        <v>102.2</v>
      </c>
      <c r="I7">
        <v>9800.73</v>
      </c>
      <c r="J7">
        <v>213.54</v>
      </c>
      <c r="K7">
        <v>8715.11</v>
      </c>
      <c r="L7">
        <v>98.24</v>
      </c>
      <c r="M7">
        <v>8692.29</v>
      </c>
    </row>
    <row r="8" spans="1:13">
      <c r="A8" t="s">
        <v>19</v>
      </c>
      <c r="B8">
        <v>210.19</v>
      </c>
      <c r="C8">
        <v>8850.73</v>
      </c>
      <c r="D8">
        <v>95.88</v>
      </c>
      <c r="E8">
        <v>8780.11</v>
      </c>
      <c r="F8">
        <v>212.53</v>
      </c>
      <c r="G8">
        <v>10115.22</v>
      </c>
      <c r="H8">
        <v>105.06</v>
      </c>
      <c r="I8">
        <v>9915.03</v>
      </c>
      <c r="J8">
        <v>283.45</v>
      </c>
      <c r="K8">
        <v>8902.41</v>
      </c>
      <c r="L8">
        <v>-1</v>
      </c>
      <c r="M8">
        <v>0</v>
      </c>
    </row>
    <row r="9" spans="1:13">
      <c r="A9" t="s">
        <v>20</v>
      </c>
      <c r="B9">
        <v>204.66</v>
      </c>
      <c r="C9">
        <v>8878.47</v>
      </c>
      <c r="D9">
        <v>94.74</v>
      </c>
      <c r="E9">
        <v>8731.33</v>
      </c>
      <c r="F9">
        <v>205.87</v>
      </c>
      <c r="G9">
        <v>10159.58</v>
      </c>
      <c r="H9">
        <v>102.14</v>
      </c>
      <c r="I9">
        <v>9910</v>
      </c>
      <c r="J9">
        <v>204.76</v>
      </c>
      <c r="K9">
        <v>8880.91</v>
      </c>
      <c r="L9">
        <v>96.26</v>
      </c>
      <c r="M9">
        <v>8683.23</v>
      </c>
    </row>
    <row r="10" spans="1:13">
      <c r="A10" t="s">
        <v>21</v>
      </c>
      <c r="B10">
        <v>164.82</v>
      </c>
      <c r="C10">
        <v>8374.56</v>
      </c>
      <c r="D10">
        <v>92.3</v>
      </c>
      <c r="E10">
        <v>8683.24</v>
      </c>
      <c r="F10">
        <v>167.29</v>
      </c>
      <c r="G10">
        <v>9630.93</v>
      </c>
      <c r="H10">
        <v>107.78</v>
      </c>
      <c r="I10">
        <v>9941.95</v>
      </c>
      <c r="J10">
        <v>165.28</v>
      </c>
      <c r="K10">
        <v>8398.91</v>
      </c>
      <c r="L10">
        <v>186.45</v>
      </c>
      <c r="M10">
        <v>8798.88</v>
      </c>
    </row>
    <row r="11" spans="1:13">
      <c r="A11" t="s">
        <v>22</v>
      </c>
      <c r="B11">
        <v>202.87</v>
      </c>
      <c r="C11">
        <v>8545.74</v>
      </c>
      <c r="D11">
        <v>93.33</v>
      </c>
      <c r="E11">
        <v>8641.65</v>
      </c>
      <c r="F11">
        <v>204.25</v>
      </c>
      <c r="G11">
        <v>9833.98</v>
      </c>
      <c r="H11">
        <v>-1</v>
      </c>
      <c r="I11">
        <v>3160.8</v>
      </c>
      <c r="J11">
        <v>203.03</v>
      </c>
      <c r="K11">
        <v>8582.3</v>
      </c>
      <c r="L11">
        <v>-1</v>
      </c>
      <c r="M11">
        <v>1731.55</v>
      </c>
    </row>
    <row r="12" spans="1:13">
      <c r="A12" t="s">
        <v>23</v>
      </c>
      <c r="B12">
        <v>205.41</v>
      </c>
      <c r="C12">
        <v>8470.26</v>
      </c>
      <c r="D12">
        <v>92.81</v>
      </c>
      <c r="E12">
        <v>8808.37</v>
      </c>
      <c r="F12">
        <v>208.12</v>
      </c>
      <c r="G12">
        <v>9655.62</v>
      </c>
      <c r="H12">
        <v>-1</v>
      </c>
      <c r="I12">
        <v>3871.12</v>
      </c>
      <c r="J12">
        <v>207.19</v>
      </c>
      <c r="K12">
        <v>8532.34</v>
      </c>
      <c r="L12">
        <v>-1</v>
      </c>
      <c r="M12">
        <v>1578.55</v>
      </c>
    </row>
    <row r="13" spans="1:13">
      <c r="A13" t="s">
        <v>24</v>
      </c>
      <c r="B13">
        <v>196.71</v>
      </c>
      <c r="C13">
        <v>8196.37</v>
      </c>
      <c r="D13">
        <v>88.54</v>
      </c>
      <c r="E13">
        <v>8171.24</v>
      </c>
      <c r="F13">
        <v>198.48</v>
      </c>
      <c r="G13">
        <v>9421.57</v>
      </c>
      <c r="H13">
        <v>91.4</v>
      </c>
      <c r="I13">
        <v>9293.36</v>
      </c>
      <c r="J13">
        <v>199.11</v>
      </c>
      <c r="K13">
        <v>8256.15</v>
      </c>
      <c r="L13">
        <v>89.03</v>
      </c>
      <c r="M13">
        <v>8160.61</v>
      </c>
    </row>
    <row r="14" spans="1:13">
      <c r="A14" t="s">
        <v>25</v>
      </c>
      <c r="B14">
        <v>209.58</v>
      </c>
      <c r="C14">
        <v>8653.25</v>
      </c>
      <c r="D14">
        <v>93.42</v>
      </c>
      <c r="E14">
        <v>8791.68</v>
      </c>
      <c r="F14">
        <v>-1</v>
      </c>
      <c r="G14">
        <v>6713.31</v>
      </c>
      <c r="H14">
        <v>-1</v>
      </c>
      <c r="I14">
        <v>8850.81</v>
      </c>
      <c r="J14">
        <v>-1</v>
      </c>
      <c r="K14">
        <v>1473.25</v>
      </c>
      <c r="L14">
        <v>-1</v>
      </c>
      <c r="M14">
        <v>1706</v>
      </c>
    </row>
    <row r="15" spans="1:13">
      <c r="A15" t="s">
        <v>26</v>
      </c>
      <c r="B15">
        <v>206.05</v>
      </c>
      <c r="C15">
        <v>8719.06</v>
      </c>
      <c r="D15">
        <v>91.75</v>
      </c>
      <c r="E15">
        <v>8681.05</v>
      </c>
      <c r="F15">
        <v>208.41</v>
      </c>
      <c r="G15">
        <v>9913.84</v>
      </c>
      <c r="H15">
        <v>106.38</v>
      </c>
      <c r="I15">
        <v>9745.12</v>
      </c>
      <c r="J15">
        <v>207.05</v>
      </c>
      <c r="K15">
        <v>8762.92</v>
      </c>
      <c r="L15">
        <v>-1</v>
      </c>
      <c r="M15">
        <v>5805</v>
      </c>
    </row>
    <row r="16" spans="1:13">
      <c r="A16" t="s">
        <v>27</v>
      </c>
      <c r="B16">
        <v>208.99</v>
      </c>
      <c r="C16">
        <v>8350.25</v>
      </c>
      <c r="D16">
        <v>91.85</v>
      </c>
      <c r="E16">
        <v>8573.96</v>
      </c>
      <c r="F16">
        <v>212</v>
      </c>
      <c r="G16">
        <v>9540.18</v>
      </c>
      <c r="H16">
        <v>102.19</v>
      </c>
      <c r="I16">
        <v>9721.93</v>
      </c>
      <c r="J16">
        <v>210.08</v>
      </c>
      <c r="K16">
        <v>8368.81</v>
      </c>
      <c r="L16">
        <v>119.36</v>
      </c>
      <c r="M16">
        <v>8517.23</v>
      </c>
    </row>
    <row r="17" spans="1:13">
      <c r="A17" t="s">
        <v>28</v>
      </c>
      <c r="B17">
        <v>210.91</v>
      </c>
      <c r="C17">
        <v>8864.54</v>
      </c>
      <c r="D17">
        <v>95.55</v>
      </c>
      <c r="E17">
        <v>9365.97</v>
      </c>
      <c r="F17">
        <v>218.52</v>
      </c>
      <c r="G17">
        <v>10146.6</v>
      </c>
      <c r="H17">
        <v>113.86</v>
      </c>
      <c r="I17">
        <v>10405.62</v>
      </c>
      <c r="J17">
        <v>-1</v>
      </c>
      <c r="K17">
        <v>1869.86</v>
      </c>
      <c r="L17">
        <v>-1</v>
      </c>
      <c r="M17">
        <v>3727.56</v>
      </c>
    </row>
    <row r="18" spans="1:13">
      <c r="A18" t="s">
        <v>29</v>
      </c>
      <c r="B18">
        <v>202.87</v>
      </c>
      <c r="C18">
        <v>8417.56</v>
      </c>
      <c r="D18">
        <v>91.33</v>
      </c>
      <c r="E18">
        <v>8658.71</v>
      </c>
      <c r="F18">
        <v>205.61</v>
      </c>
      <c r="G18">
        <v>9586.09</v>
      </c>
      <c r="H18">
        <v>99.6</v>
      </c>
      <c r="I18">
        <v>9793.46</v>
      </c>
      <c r="J18">
        <v>210.21</v>
      </c>
      <c r="K18">
        <v>8472.97</v>
      </c>
      <c r="L18">
        <v>-1</v>
      </c>
      <c r="M18">
        <v>0</v>
      </c>
    </row>
    <row r="19" spans="1:13">
      <c r="A19" t="s">
        <v>30</v>
      </c>
      <c r="B19">
        <v>204.45</v>
      </c>
      <c r="C19">
        <v>8666.81</v>
      </c>
      <c r="D19">
        <v>94.97</v>
      </c>
      <c r="E19">
        <v>8918.34</v>
      </c>
      <c r="F19">
        <v>205.76</v>
      </c>
      <c r="G19">
        <v>9961.07</v>
      </c>
      <c r="H19">
        <v>117.41</v>
      </c>
      <c r="I19">
        <v>10061.47</v>
      </c>
      <c r="J19">
        <v>204.52</v>
      </c>
      <c r="K19">
        <v>8693.47</v>
      </c>
      <c r="L19">
        <v>-1</v>
      </c>
      <c r="M19">
        <v>4480.54</v>
      </c>
    </row>
    <row r="20" spans="1:13">
      <c r="A20" t="s">
        <v>31</v>
      </c>
      <c r="B20">
        <v>167.48</v>
      </c>
      <c r="C20">
        <v>8443.63</v>
      </c>
      <c r="D20">
        <v>93.44</v>
      </c>
      <c r="E20">
        <v>8694.42</v>
      </c>
      <c r="F20">
        <v>168.57</v>
      </c>
      <c r="G20">
        <v>9708.98</v>
      </c>
      <c r="H20">
        <v>104.37</v>
      </c>
      <c r="I20">
        <v>9763.34</v>
      </c>
      <c r="J20">
        <v>167.51</v>
      </c>
      <c r="K20">
        <v>8463.6</v>
      </c>
      <c r="L20">
        <v>-1</v>
      </c>
      <c r="M20">
        <v>0</v>
      </c>
    </row>
    <row r="21" spans="1:13">
      <c r="A21" t="s">
        <v>32</v>
      </c>
      <c r="B21">
        <v>206.46</v>
      </c>
      <c r="C21">
        <v>8540.02</v>
      </c>
      <c r="D21">
        <v>93.49</v>
      </c>
      <c r="E21">
        <v>8802.13</v>
      </c>
      <c r="F21">
        <v>208.43</v>
      </c>
      <c r="G21">
        <v>9792.53</v>
      </c>
      <c r="H21">
        <v>101.9</v>
      </c>
      <c r="I21">
        <v>9862.14</v>
      </c>
      <c r="J21">
        <v>211.43</v>
      </c>
      <c r="K21">
        <v>8546.06</v>
      </c>
      <c r="L21">
        <v>124.6</v>
      </c>
      <c r="M21">
        <v>8777.72</v>
      </c>
    </row>
    <row r="22" spans="1:13">
      <c r="A22" t="s">
        <v>33</v>
      </c>
      <c r="B22">
        <v>174.46</v>
      </c>
      <c r="C22">
        <v>8625.83</v>
      </c>
      <c r="D22">
        <v>94.3</v>
      </c>
      <c r="E22">
        <v>8566.74</v>
      </c>
      <c r="F22">
        <v>182.96</v>
      </c>
      <c r="G22">
        <v>9845.26</v>
      </c>
      <c r="H22">
        <v>100.83</v>
      </c>
      <c r="I22">
        <v>9697.75</v>
      </c>
      <c r="J22">
        <v>235.07</v>
      </c>
      <c r="K22">
        <v>8683.18</v>
      </c>
      <c r="L22">
        <v>157.15</v>
      </c>
      <c r="M22">
        <v>8541.28</v>
      </c>
    </row>
    <row r="23" spans="1:13">
      <c r="A23" t="s">
        <v>34</v>
      </c>
      <c r="B23">
        <v>162.75</v>
      </c>
      <c r="C23">
        <v>8732.99</v>
      </c>
      <c r="D23">
        <v>91.95</v>
      </c>
      <c r="E23">
        <v>8803.1</v>
      </c>
      <c r="F23">
        <v>163.87</v>
      </c>
      <c r="G23">
        <v>9991.78</v>
      </c>
      <c r="H23">
        <v>103.57</v>
      </c>
      <c r="I23">
        <v>9901.6</v>
      </c>
      <c r="J23">
        <v>162.82</v>
      </c>
      <c r="K23">
        <v>8751.1</v>
      </c>
      <c r="L23">
        <v>102.47</v>
      </c>
      <c r="M23">
        <v>8797.12</v>
      </c>
    </row>
    <row r="24" spans="1:13">
      <c r="A24" t="s">
        <v>35</v>
      </c>
      <c r="B24">
        <v>173.39</v>
      </c>
      <c r="C24">
        <v>8368.94</v>
      </c>
      <c r="D24">
        <v>92.22</v>
      </c>
      <c r="E24">
        <v>8727.29</v>
      </c>
      <c r="F24">
        <v>175.67</v>
      </c>
      <c r="G24">
        <v>9573.86</v>
      </c>
      <c r="H24">
        <v>99.29</v>
      </c>
      <c r="I24">
        <v>9841.06</v>
      </c>
      <c r="J24">
        <v>174.26</v>
      </c>
      <c r="K24">
        <v>8372.93</v>
      </c>
      <c r="L24">
        <v>160.67</v>
      </c>
      <c r="M24">
        <v>8691.84</v>
      </c>
    </row>
    <row r="25" spans="1:13">
      <c r="A25" t="s">
        <v>36</v>
      </c>
      <c r="B25">
        <v>204.89</v>
      </c>
      <c r="C25">
        <v>8341.16</v>
      </c>
      <c r="D25">
        <v>90.92</v>
      </c>
      <c r="E25">
        <v>8486.15</v>
      </c>
      <c r="F25">
        <v>206.7</v>
      </c>
      <c r="G25">
        <v>9559.84</v>
      </c>
      <c r="H25">
        <v>97.04</v>
      </c>
      <c r="I25">
        <v>9525.53</v>
      </c>
      <c r="J25">
        <v>205.2</v>
      </c>
      <c r="K25">
        <v>8375.79</v>
      </c>
      <c r="L25">
        <v>112.92</v>
      </c>
      <c r="M25">
        <v>8436.27</v>
      </c>
    </row>
    <row r="26" spans="1:13">
      <c r="A26" t="s">
        <v>37</v>
      </c>
      <c r="B26">
        <v>203.94</v>
      </c>
      <c r="C26">
        <v>8640.75</v>
      </c>
      <c r="D26">
        <v>92.02</v>
      </c>
      <c r="E26">
        <v>8918.45</v>
      </c>
      <c r="F26">
        <v>205.28</v>
      </c>
      <c r="G26">
        <v>9858.11</v>
      </c>
      <c r="H26">
        <v>102.54</v>
      </c>
      <c r="I26">
        <v>9967.49</v>
      </c>
      <c r="J26">
        <v>206.3</v>
      </c>
      <c r="K26">
        <v>8682.39</v>
      </c>
      <c r="L26">
        <v>-1</v>
      </c>
      <c r="M26">
        <v>272.99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196.5844</v>
      </c>
      <c r="B29" s="4">
        <f>IFERROR(AVERAGEIF($D$2:$D$26,"&lt;&gt; -1"),0)</f>
        <v>92.9976</v>
      </c>
      <c r="C29" s="4">
        <f>IFERROR(AVERAGEIF($F$2:$F$26,"&lt;&gt; -1"),0)</f>
        <v>198.522083333333</v>
      </c>
      <c r="D29" s="4">
        <f>IFERROR(AVERAGEIF($H$2:$H$26,"&lt;&gt; -1"),0)</f>
        <v>102.771428571429</v>
      </c>
      <c r="E29" s="4">
        <f>IFERROR(AVERAGEIF($J$2:$J$26,"&lt;&gt; -1"),0)</f>
        <v>204.142173913044</v>
      </c>
      <c r="F29" s="4">
        <f>IFERROR(AVERAGEIF($L$2:$L$26,"&lt;&gt; -1"),0)</f>
        <v>120.5825</v>
      </c>
      <c r="G29" s="4">
        <f>IFERROR(AVERAGEIFS($C$2:$C$26,$B$2:$B$26,"&lt;&gt; -1"),0)</f>
        <v>8544.2272</v>
      </c>
      <c r="H29" s="4">
        <f>IFERROR(AVERAGEIFS($E$2:$E$26,$D$2:$D$26,"&lt;&gt; -1"),0)</f>
        <v>8711.8964</v>
      </c>
      <c r="I29" s="4">
        <f>IFERROR(AVERAGEIFS($G$2:$G$26,$F$2:$F$26,"&lt;&gt; -1"),0)</f>
        <v>9771.795</v>
      </c>
      <c r="J29" s="4">
        <f>IFERROR(AVERAGEIFS($I$2:$I$26,$H$2:$H$26,"&lt;&gt; -1"),0)</f>
        <v>9803.58428571428</v>
      </c>
      <c r="K29" s="4">
        <f>IFERROR(AVERAGEIFS($K$2:$K$26,$J$2:$J$26,"&lt;&gt; -1"),0)</f>
        <v>8556.54434782609</v>
      </c>
      <c r="L29" s="4">
        <f>IFERROR(AVERAGEIFS($M$2:$M$26,$L$2:$L$26,"&lt;&gt; -1"),0)</f>
        <v>8604.425</v>
      </c>
      <c r="M29" s="4">
        <f>IFERROR(_xlfn.MAXIFS($B$2:$B$26,$B$2:$B$26,"&lt;&gt; -1"),0)</f>
        <v>210.91</v>
      </c>
      <c r="N29" s="4">
        <f>IFERROR(_xlfn.MAXIFS($D$2:$D$26,$D$2:$D$26,"&lt;&gt;-1"),0)</f>
        <v>96.15</v>
      </c>
      <c r="O29" s="4">
        <f>IFERROR(_xlfn.MAXIFS($F$2:$F$26,$F$2:$F$26,"&lt;&gt; -1"),0)</f>
        <v>218.52</v>
      </c>
      <c r="P29" s="4">
        <f>IFERROR(_xlfn.MAXIFS($H$2:$H$26,$H$2:$H$26,"&lt;&gt; -1"),0)</f>
        <v>117.41</v>
      </c>
      <c r="Q29" s="4">
        <f>IFERROR(_xlfn.MAXIFS($J$2:$J$26,$J$2:$J$26,"&lt;&gt; -1"),0)</f>
        <v>283.45</v>
      </c>
      <c r="R29" s="4">
        <f>IFERROR(_xlfn.MAXIFS($L$2:$L$26,$L$2:$L$26,"&lt;&gt; -1"),0)</f>
        <v>186.45</v>
      </c>
      <c r="S29" s="4">
        <f>IFERROR(_xlfn.MINIFS($B$2:$B$26,$B$2:$B$26,"&lt;&gt; -1"),0)</f>
        <v>162.75</v>
      </c>
      <c r="T29" s="4">
        <f>IFERROR(_xlfn.MINIFS($D$2:$D$26,$D$2:$D$26,"&lt;&gt;-1"),0)</f>
        <v>88.54</v>
      </c>
      <c r="U29" s="4">
        <f>IFERROR(_xlfn.MINIFS($F$2:$F$26,$F$2:$F$26,"&lt;&gt; -1"),0)</f>
        <v>163.87</v>
      </c>
      <c r="V29" s="4">
        <f>IFERROR(_xlfn.MINIFS($H$2:$H$26,$H$2:$H$26,"&lt;&gt; -1"),0)</f>
        <v>91.4</v>
      </c>
      <c r="W29" s="4">
        <f>IFERROR(_xlfn.MINIFS($J$2:$J$26,$J$2:$J$26,"&lt;&gt; -1"),0)</f>
        <v>162.82</v>
      </c>
      <c r="X29" s="4">
        <f>IFERROR(_xlfn.MINIFS($L$2:$L$26,$L$2:$L$26,"&lt;&gt; -1"),0)</f>
        <v>89.03</v>
      </c>
      <c r="Y29" s="4">
        <f>IFERROR(_xlfn.MAXIFS($C$2:$C$26,$B$2:$B$26,"&lt;&gt; -1"),0)</f>
        <v>8878.47</v>
      </c>
      <c r="Z29" s="4">
        <f>IFERROR(_xlfn.MAXIFS($E$2:$E$26,$D$2:$D$26,"&lt;&gt; -1"),0)</f>
        <v>9365.97</v>
      </c>
      <c r="AA29" s="4">
        <f>IFERROR(_xlfn.MAXIFS($G$2:$G$26,$F$2:$F$26,"&lt;&gt; -1"),0)</f>
        <v>10159.58</v>
      </c>
      <c r="AB29" s="4">
        <f>IFERROR(_xlfn.MAXIFS($I$2:$I$26,$H$2:$H$26,"&lt;&gt; -1"),0)</f>
        <v>10405.62</v>
      </c>
      <c r="AC29" s="4">
        <f>IFERROR(_xlfn.MAXIFS($K$2:$K$26,$J$2:$J$26,"&lt;&gt; -1"),0)</f>
        <v>8902.41</v>
      </c>
      <c r="AD29" s="4">
        <f>IFERROR(_xlfn.MAXIFS($M$2:$M$26,$L$2:$L$26,"&lt;&gt; -1"),0)</f>
        <v>8798.88</v>
      </c>
      <c r="AE29" s="4">
        <f>IFERROR(_xlfn.MINIFS($C$2:$C$26,$B$2:$B$26,"&lt;&gt; -1"),0)</f>
        <v>8196.37</v>
      </c>
      <c r="AF29" s="4">
        <f>IFERROR(_xlfn.MINIFS($E$2:$E$26,$D$2:$D$26,"&lt;&gt; -1"),0)</f>
        <v>8171.24</v>
      </c>
      <c r="AG29" s="4">
        <f>IFERROR(_xlfn.MINIFS($G$2:$G$26,$F$2:$F$26,"&lt;&gt; -1"),0)</f>
        <v>9421.57</v>
      </c>
      <c r="AH29" s="4">
        <f>IFERROR(_xlfn.MINIFS($I$2:$I$26,$H$2:$H$26,"&lt;&gt; -1"),0)</f>
        <v>9293.36</v>
      </c>
      <c r="AI29" s="4">
        <f>IFERROR(_xlfn.MINIFS($K$2:$K$26,$J$2:$J$26,"&lt;&gt; -1"),0)</f>
        <v>8241.43</v>
      </c>
      <c r="AJ29" s="4">
        <f>IFERROR(_xlfn.MINIFS($M$2:$M$26,$L$2:$L$26,"&lt;&gt; -1"),0)</f>
        <v>8160.61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0.96</v>
      </c>
      <c r="AN29" s="4" t="e">
        <f>(COUNTIFS($H$2:$H25,"&gt;0.0",$H$2:$H$26,"&lt;300.0"))/25</f>
        <v>#VALUE!</v>
      </c>
      <c r="AO29" s="4">
        <f>(COUNTIFS($J$2:$J$26,"&gt;0.0",$J$2:$J$26,"&lt;300.0"))/25</f>
        <v>0.92</v>
      </c>
      <c r="AP29" s="4">
        <f>(COUNTIFS($L$2:$L$26,"&gt;0.0",$L$2:$L$26,"&lt;300.0"))/25</f>
        <v>0.48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210.07</v>
      </c>
      <c r="C2">
        <v>8691.44</v>
      </c>
      <c r="D2">
        <v>101.22</v>
      </c>
      <c r="E2">
        <v>8781.91</v>
      </c>
      <c r="F2">
        <v>-1</v>
      </c>
      <c r="G2">
        <v>1777.89</v>
      </c>
      <c r="H2">
        <v>183.79</v>
      </c>
      <c r="I2">
        <v>9852.31</v>
      </c>
      <c r="J2">
        <v>-1</v>
      </c>
      <c r="K2">
        <v>1591.85</v>
      </c>
      <c r="L2">
        <v>-1</v>
      </c>
      <c r="M2">
        <v>0</v>
      </c>
    </row>
    <row r="3" spans="1:13">
      <c r="A3" t="s">
        <v>14</v>
      </c>
      <c r="B3">
        <v>209.63</v>
      </c>
      <c r="C3">
        <v>8447.06</v>
      </c>
      <c r="D3">
        <v>102.6</v>
      </c>
      <c r="E3">
        <v>9002.63</v>
      </c>
      <c r="F3">
        <v>211.13</v>
      </c>
      <c r="G3">
        <v>9657.82</v>
      </c>
      <c r="H3">
        <v>126.77</v>
      </c>
      <c r="I3">
        <v>9707.44</v>
      </c>
      <c r="J3">
        <v>209.74</v>
      </c>
      <c r="K3">
        <v>8495.38</v>
      </c>
      <c r="L3">
        <v>-1</v>
      </c>
      <c r="M3">
        <v>372.01</v>
      </c>
    </row>
    <row r="4" spans="1:13">
      <c r="A4" t="s">
        <v>15</v>
      </c>
      <c r="B4">
        <v>211.53</v>
      </c>
      <c r="C4">
        <v>8482.82</v>
      </c>
      <c r="D4">
        <v>100.39</v>
      </c>
      <c r="E4">
        <v>8854.55</v>
      </c>
      <c r="F4">
        <v>217.88</v>
      </c>
      <c r="G4">
        <v>9490.86</v>
      </c>
      <c r="H4">
        <v>-1</v>
      </c>
      <c r="I4">
        <v>600.72</v>
      </c>
      <c r="J4">
        <v>238.41</v>
      </c>
      <c r="K4">
        <v>8401.51</v>
      </c>
      <c r="L4">
        <v>-1</v>
      </c>
      <c r="M4">
        <v>0</v>
      </c>
    </row>
    <row r="5" spans="1:13">
      <c r="A5" t="s">
        <v>16</v>
      </c>
      <c r="B5">
        <v>214.96</v>
      </c>
      <c r="C5">
        <v>8766.81</v>
      </c>
      <c r="D5">
        <v>102.08</v>
      </c>
      <c r="E5">
        <v>8962.33</v>
      </c>
      <c r="F5">
        <v>228.06</v>
      </c>
      <c r="G5">
        <v>9759.67</v>
      </c>
      <c r="H5">
        <v>159.46</v>
      </c>
      <c r="I5">
        <v>9914.65</v>
      </c>
      <c r="J5">
        <v>254.19</v>
      </c>
      <c r="K5">
        <v>8578.3</v>
      </c>
      <c r="L5">
        <v>-1</v>
      </c>
      <c r="M5">
        <v>0</v>
      </c>
    </row>
    <row r="6" spans="1:13">
      <c r="A6" t="s">
        <v>17</v>
      </c>
      <c r="B6">
        <v>207.7</v>
      </c>
      <c r="C6">
        <v>8268.81</v>
      </c>
      <c r="D6">
        <v>100.16</v>
      </c>
      <c r="E6">
        <v>8626.08</v>
      </c>
      <c r="F6">
        <v>210.4</v>
      </c>
      <c r="G6">
        <v>9429.28</v>
      </c>
      <c r="H6">
        <v>-1</v>
      </c>
      <c r="I6">
        <v>5306.36</v>
      </c>
      <c r="J6">
        <v>208.33</v>
      </c>
      <c r="K6">
        <v>8288.51</v>
      </c>
      <c r="L6">
        <v>-1</v>
      </c>
      <c r="M6">
        <v>0</v>
      </c>
    </row>
    <row r="7" spans="1:13">
      <c r="A7" t="s">
        <v>18</v>
      </c>
      <c r="B7">
        <v>211.49</v>
      </c>
      <c r="C7">
        <v>8647.32</v>
      </c>
      <c r="D7">
        <v>104.83</v>
      </c>
      <c r="E7">
        <v>9223.06</v>
      </c>
      <c r="F7">
        <v>213.42</v>
      </c>
      <c r="G7">
        <v>9901.3</v>
      </c>
      <c r="H7">
        <v>174.68</v>
      </c>
      <c r="I7">
        <v>10163.67</v>
      </c>
      <c r="J7">
        <v>220.61</v>
      </c>
      <c r="K7">
        <v>8696.78</v>
      </c>
      <c r="L7">
        <v>-1</v>
      </c>
      <c r="M7">
        <v>0</v>
      </c>
    </row>
    <row r="8" spans="1:13">
      <c r="A8" t="s">
        <v>19</v>
      </c>
      <c r="B8">
        <v>216.19</v>
      </c>
      <c r="C8">
        <v>8961.16</v>
      </c>
      <c r="D8">
        <v>104.17</v>
      </c>
      <c r="E8">
        <v>8702.05</v>
      </c>
      <c r="F8">
        <v>224.83</v>
      </c>
      <c r="G8">
        <v>10171.16</v>
      </c>
      <c r="H8">
        <v>114.2</v>
      </c>
      <c r="I8">
        <v>9808.91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211.77</v>
      </c>
      <c r="C9">
        <v>8725.24</v>
      </c>
      <c r="D9">
        <v>102.95</v>
      </c>
      <c r="E9">
        <v>9147.71</v>
      </c>
      <c r="F9">
        <v>214.06</v>
      </c>
      <c r="G9">
        <v>10026.64</v>
      </c>
      <c r="H9">
        <v>-1</v>
      </c>
      <c r="I9">
        <v>657.32</v>
      </c>
      <c r="J9">
        <v>212.46</v>
      </c>
      <c r="K9">
        <v>8770.62</v>
      </c>
      <c r="L9">
        <v>-1</v>
      </c>
      <c r="M9">
        <v>0</v>
      </c>
    </row>
    <row r="10" spans="1:13">
      <c r="A10" t="s">
        <v>21</v>
      </c>
      <c r="B10">
        <v>210.38</v>
      </c>
      <c r="C10">
        <v>8642.82</v>
      </c>
      <c r="D10">
        <v>101.99</v>
      </c>
      <c r="E10">
        <v>8748.81</v>
      </c>
      <c r="F10">
        <v>212.16</v>
      </c>
      <c r="G10">
        <v>9840.65</v>
      </c>
      <c r="H10">
        <v>127.8</v>
      </c>
      <c r="I10">
        <v>9613.57</v>
      </c>
      <c r="J10">
        <v>210.55</v>
      </c>
      <c r="K10">
        <v>8621.93</v>
      </c>
      <c r="L10">
        <v>-1</v>
      </c>
      <c r="M10">
        <v>0</v>
      </c>
    </row>
    <row r="11" spans="1:13">
      <c r="A11" t="s">
        <v>22</v>
      </c>
      <c r="B11">
        <v>211.6</v>
      </c>
      <c r="C11">
        <v>8507.8</v>
      </c>
      <c r="D11">
        <v>104.27</v>
      </c>
      <c r="E11">
        <v>9069.09</v>
      </c>
      <c r="F11">
        <v>212.89</v>
      </c>
      <c r="G11">
        <v>9755.67</v>
      </c>
      <c r="H11">
        <v>119.04</v>
      </c>
      <c r="I11">
        <v>9930.65</v>
      </c>
      <c r="J11">
        <v>211.68</v>
      </c>
      <c r="K11">
        <v>8528.99</v>
      </c>
      <c r="L11">
        <v>-1</v>
      </c>
      <c r="M11">
        <v>0</v>
      </c>
    </row>
    <row r="12" spans="1:13">
      <c r="A12" t="s">
        <v>23</v>
      </c>
      <c r="B12">
        <v>208.32</v>
      </c>
      <c r="C12">
        <v>8379.9</v>
      </c>
      <c r="D12">
        <v>99.45</v>
      </c>
      <c r="E12">
        <v>8581.07</v>
      </c>
      <c r="F12">
        <v>210.26</v>
      </c>
      <c r="G12">
        <v>9539.77</v>
      </c>
      <c r="H12">
        <v>-1</v>
      </c>
      <c r="I12">
        <v>613.79</v>
      </c>
      <c r="J12">
        <v>208.64</v>
      </c>
      <c r="K12">
        <v>8391.38</v>
      </c>
      <c r="L12">
        <v>-1</v>
      </c>
      <c r="M12">
        <v>0</v>
      </c>
    </row>
    <row r="13" spans="1:13">
      <c r="A13" t="s">
        <v>24</v>
      </c>
      <c r="B13">
        <v>211.89</v>
      </c>
      <c r="C13">
        <v>8181.08</v>
      </c>
      <c r="D13">
        <v>99.5</v>
      </c>
      <c r="E13">
        <v>8004.31</v>
      </c>
      <c r="F13">
        <v>215.51</v>
      </c>
      <c r="G13">
        <v>9405.8</v>
      </c>
      <c r="H13">
        <v>105.94</v>
      </c>
      <c r="I13">
        <v>9035.22</v>
      </c>
      <c r="J13">
        <v>212.66</v>
      </c>
      <c r="K13">
        <v>8247.89</v>
      </c>
      <c r="L13">
        <v>-1</v>
      </c>
      <c r="M13">
        <v>261.97</v>
      </c>
    </row>
    <row r="14" spans="1:13">
      <c r="A14" t="s">
        <v>25</v>
      </c>
      <c r="B14">
        <v>210.14</v>
      </c>
      <c r="C14">
        <v>8581.84</v>
      </c>
      <c r="D14">
        <v>103.04</v>
      </c>
      <c r="E14">
        <v>9272.02</v>
      </c>
      <c r="F14">
        <v>213.44</v>
      </c>
      <c r="G14">
        <v>9799.81</v>
      </c>
      <c r="H14">
        <v>138.29</v>
      </c>
      <c r="I14">
        <v>10037.45</v>
      </c>
      <c r="J14">
        <v>211.06</v>
      </c>
      <c r="K14">
        <v>8617.86</v>
      </c>
      <c r="L14">
        <v>-1</v>
      </c>
      <c r="M14">
        <v>0</v>
      </c>
    </row>
    <row r="15" spans="1:13">
      <c r="A15" t="s">
        <v>26</v>
      </c>
      <c r="B15">
        <v>209.05</v>
      </c>
      <c r="C15">
        <v>9083.63</v>
      </c>
      <c r="D15">
        <v>101.21</v>
      </c>
      <c r="E15">
        <v>9072.94</v>
      </c>
      <c r="F15">
        <v>214.47</v>
      </c>
      <c r="G15">
        <v>9986.08</v>
      </c>
      <c r="H15">
        <v>-1</v>
      </c>
      <c r="I15">
        <v>748.93</v>
      </c>
      <c r="J15">
        <v>216.83</v>
      </c>
      <c r="K15">
        <v>8909.6</v>
      </c>
      <c r="L15">
        <v>-1</v>
      </c>
      <c r="M15">
        <v>0</v>
      </c>
    </row>
    <row r="16" spans="1:13">
      <c r="A16" t="s">
        <v>27</v>
      </c>
      <c r="B16">
        <v>171.25</v>
      </c>
      <c r="C16">
        <v>8516.37</v>
      </c>
      <c r="D16">
        <v>101.62</v>
      </c>
      <c r="E16">
        <v>8796.17</v>
      </c>
      <c r="F16">
        <v>175.37</v>
      </c>
      <c r="G16">
        <v>9775.26</v>
      </c>
      <c r="H16">
        <v>-1</v>
      </c>
      <c r="I16">
        <v>0</v>
      </c>
      <c r="J16">
        <v>173.28</v>
      </c>
      <c r="K16">
        <v>8546.23</v>
      </c>
      <c r="L16">
        <v>-1</v>
      </c>
      <c r="M16">
        <v>0</v>
      </c>
    </row>
    <row r="17" spans="1:13">
      <c r="A17" t="s">
        <v>28</v>
      </c>
      <c r="B17">
        <v>213.93</v>
      </c>
      <c r="C17">
        <v>8918.76</v>
      </c>
      <c r="D17">
        <v>104.54</v>
      </c>
      <c r="E17">
        <v>8722.51</v>
      </c>
      <c r="F17">
        <v>216.92</v>
      </c>
      <c r="G17">
        <v>10097.73</v>
      </c>
      <c r="H17">
        <v>112.24</v>
      </c>
      <c r="I17">
        <v>9694.66</v>
      </c>
      <c r="J17">
        <v>221.25</v>
      </c>
      <c r="K17">
        <v>8849.75</v>
      </c>
      <c r="L17">
        <v>-1</v>
      </c>
      <c r="M17">
        <v>383.66</v>
      </c>
    </row>
    <row r="18" spans="1:13">
      <c r="A18" t="s">
        <v>29</v>
      </c>
      <c r="B18">
        <v>207.6</v>
      </c>
      <c r="C18">
        <v>8501.94</v>
      </c>
      <c r="D18">
        <v>101.54</v>
      </c>
      <c r="E18">
        <v>9075.72</v>
      </c>
      <c r="F18">
        <v>208.78</v>
      </c>
      <c r="G18">
        <v>9708.76</v>
      </c>
      <c r="H18">
        <v>186</v>
      </c>
      <c r="I18">
        <v>9866.07</v>
      </c>
      <c r="J18">
        <v>207.7</v>
      </c>
      <c r="K18">
        <v>8559.73</v>
      </c>
      <c r="L18">
        <v>-1</v>
      </c>
      <c r="M18">
        <v>0</v>
      </c>
    </row>
    <row r="19" spans="1:13">
      <c r="A19" t="s">
        <v>30</v>
      </c>
      <c r="B19">
        <v>212.82</v>
      </c>
      <c r="C19">
        <v>8733.88</v>
      </c>
      <c r="D19">
        <v>104.76</v>
      </c>
      <c r="E19">
        <v>9491.46</v>
      </c>
      <c r="F19">
        <v>215.19</v>
      </c>
      <c r="G19">
        <v>9963.76</v>
      </c>
      <c r="H19">
        <v>-1</v>
      </c>
      <c r="I19">
        <v>732.86</v>
      </c>
      <c r="J19">
        <v>-1</v>
      </c>
      <c r="K19">
        <v>2492.4</v>
      </c>
      <c r="L19">
        <v>-1</v>
      </c>
      <c r="M19">
        <v>0</v>
      </c>
    </row>
    <row r="20" spans="1:13">
      <c r="A20" t="s">
        <v>31</v>
      </c>
      <c r="B20">
        <v>175.98</v>
      </c>
      <c r="C20">
        <v>8675.06</v>
      </c>
      <c r="D20">
        <v>103.22</v>
      </c>
      <c r="E20">
        <v>9154.22</v>
      </c>
      <c r="F20">
        <v>183.2</v>
      </c>
      <c r="G20">
        <v>9823.86</v>
      </c>
      <c r="H20">
        <v>155.93</v>
      </c>
      <c r="I20">
        <v>9977.45</v>
      </c>
      <c r="J20">
        <v>223.42</v>
      </c>
      <c r="K20">
        <v>8604.56</v>
      </c>
      <c r="L20">
        <v>-1</v>
      </c>
      <c r="M20">
        <v>0</v>
      </c>
    </row>
    <row r="21" spans="1:13">
      <c r="A21" t="s">
        <v>32</v>
      </c>
      <c r="B21">
        <v>209.04</v>
      </c>
      <c r="C21">
        <v>8692.48</v>
      </c>
      <c r="D21">
        <v>104.04</v>
      </c>
      <c r="E21">
        <v>9301.66</v>
      </c>
      <c r="F21">
        <v>212.93</v>
      </c>
      <c r="G21">
        <v>9974.84</v>
      </c>
      <c r="H21">
        <v>-1</v>
      </c>
      <c r="I21">
        <v>694.89</v>
      </c>
      <c r="J21">
        <v>210.11</v>
      </c>
      <c r="K21">
        <v>8767.21</v>
      </c>
      <c r="L21">
        <v>-1</v>
      </c>
      <c r="M21">
        <v>0</v>
      </c>
    </row>
    <row r="22" spans="1:13">
      <c r="A22" t="s">
        <v>33</v>
      </c>
      <c r="B22">
        <v>171.26</v>
      </c>
      <c r="C22">
        <v>8521.86</v>
      </c>
      <c r="D22">
        <v>101.97</v>
      </c>
      <c r="E22">
        <v>8880.33</v>
      </c>
      <c r="F22">
        <v>173.67</v>
      </c>
      <c r="G22">
        <v>9770.84</v>
      </c>
      <c r="H22">
        <v>-1</v>
      </c>
      <c r="I22">
        <v>0</v>
      </c>
      <c r="J22">
        <v>-1</v>
      </c>
      <c r="K22">
        <v>1763.17</v>
      </c>
      <c r="L22">
        <v>-1</v>
      </c>
      <c r="M22">
        <v>0</v>
      </c>
    </row>
    <row r="23" spans="1:13">
      <c r="A23" t="s">
        <v>34</v>
      </c>
      <c r="B23">
        <v>196.69</v>
      </c>
      <c r="C23">
        <v>9098.77</v>
      </c>
      <c r="D23">
        <v>102.49</v>
      </c>
      <c r="E23">
        <v>9271.99</v>
      </c>
      <c r="F23">
        <v>205.47</v>
      </c>
      <c r="G23">
        <v>10057.17</v>
      </c>
      <c r="H23">
        <v>-1</v>
      </c>
      <c r="I23">
        <v>836.88</v>
      </c>
      <c r="J23">
        <v>-1</v>
      </c>
      <c r="K23">
        <v>247.65</v>
      </c>
      <c r="L23">
        <v>-1</v>
      </c>
      <c r="M23">
        <v>0</v>
      </c>
    </row>
    <row r="24" spans="1:13">
      <c r="A24" t="s">
        <v>35</v>
      </c>
      <c r="B24">
        <v>212.76</v>
      </c>
      <c r="C24">
        <v>8782.48</v>
      </c>
      <c r="D24">
        <v>102.04</v>
      </c>
      <c r="E24">
        <v>9213.32</v>
      </c>
      <c r="F24">
        <v>219.12</v>
      </c>
      <c r="G24">
        <v>9834.39</v>
      </c>
      <c r="H24">
        <v>180.66</v>
      </c>
      <c r="I24">
        <v>9835.62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217.06</v>
      </c>
      <c r="C25">
        <v>8547.36</v>
      </c>
      <c r="D25">
        <v>101.49</v>
      </c>
      <c r="E25">
        <v>9114.63</v>
      </c>
      <c r="F25">
        <v>223.61</v>
      </c>
      <c r="G25">
        <v>9720.36</v>
      </c>
      <c r="H25">
        <v>161.48</v>
      </c>
      <c r="I25">
        <v>9732.49</v>
      </c>
      <c r="J25">
        <v>-1</v>
      </c>
      <c r="K25">
        <v>222.34</v>
      </c>
      <c r="L25">
        <v>-1</v>
      </c>
      <c r="M25">
        <v>0</v>
      </c>
    </row>
    <row r="26" spans="1:13">
      <c r="A26" t="s">
        <v>37</v>
      </c>
      <c r="B26">
        <v>209.21</v>
      </c>
      <c r="C26">
        <v>8675.58</v>
      </c>
      <c r="D26">
        <v>101.25</v>
      </c>
      <c r="E26">
        <v>8843.77</v>
      </c>
      <c r="F26">
        <v>215.61</v>
      </c>
      <c r="G26">
        <v>9898.2</v>
      </c>
      <c r="H26">
        <v>117.9</v>
      </c>
      <c r="I26">
        <v>9865.64</v>
      </c>
      <c r="J26">
        <v>210.81</v>
      </c>
      <c r="K26">
        <v>8697.21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206.0928</v>
      </c>
      <c r="B29" s="4">
        <f>IFERROR(AVERAGEIF($D$2:$D$26,"&lt;&gt; -1"),0)</f>
        <v>102.2728</v>
      </c>
      <c r="C29" s="4">
        <f>IFERROR(AVERAGEIF($F$2:$F$26,"&lt;&gt; -1"),0)</f>
        <v>210.349166666667</v>
      </c>
      <c r="D29" s="4">
        <f>IFERROR(AVERAGEIF($H$2:$H$26,"&lt;&gt; -1"),0)</f>
        <v>144.278666666667</v>
      </c>
      <c r="E29" s="4">
        <f>IFERROR(AVERAGEIF($J$2:$J$26,"&lt;&gt; -1"),0)</f>
        <v>214.540555555556</v>
      </c>
      <c r="F29" s="4">
        <f>IFERROR(AVERAGEIF($L$2:$L$26,"&lt;&gt; -1"),0)</f>
        <v>0</v>
      </c>
      <c r="G29" s="4">
        <f>IFERROR(AVERAGEIFS($C$2:$C$26,$B$2:$B$26,"&lt;&gt; -1"),0)</f>
        <v>8641.2908</v>
      </c>
      <c r="H29" s="4">
        <f>IFERROR(AVERAGEIFS($E$2:$E$26,$D$2:$D$26,"&lt;&gt; -1"),0)</f>
        <v>8956.5736</v>
      </c>
      <c r="I29" s="4">
        <f>IFERROR(AVERAGEIFS($G$2:$G$26,$F$2:$F$26,"&lt;&gt; -1"),0)</f>
        <v>9807.90333333333</v>
      </c>
      <c r="J29" s="4">
        <f>IFERROR(AVERAGEIFS($I$2:$I$26,$H$2:$H$26,"&lt;&gt; -1"),0)</f>
        <v>9802.38666666667</v>
      </c>
      <c r="K29" s="4">
        <f>IFERROR(AVERAGEIFS($K$2:$K$26,$J$2:$J$26,"&lt;&gt; -1"),0)</f>
        <v>8587.41333333333</v>
      </c>
      <c r="L29" s="4">
        <f>IFERROR(AVERAGEIFS($M$2:$M$26,$L$2:$L$26,"&lt;&gt; -1"),0)</f>
        <v>0</v>
      </c>
      <c r="M29" s="4">
        <f>IFERROR(_xlfn.MAXIFS($B$2:$B$26,$B$2:$B$26,"&lt;&gt; -1"),0)</f>
        <v>217.06</v>
      </c>
      <c r="N29" s="4">
        <f>IFERROR(_xlfn.MAXIFS($D$2:$D$26,$D$2:$D$26,"&lt;&gt;-1"),0)</f>
        <v>104.83</v>
      </c>
      <c r="O29" s="4">
        <f>IFERROR(_xlfn.MAXIFS($F$2:$F$26,$F$2:$F$26,"&lt;&gt; -1"),0)</f>
        <v>228.06</v>
      </c>
      <c r="P29" s="4">
        <f>IFERROR(_xlfn.MAXIFS($H$2:$H$26,$H$2:$H$26,"&lt;&gt; -1"),0)</f>
        <v>186</v>
      </c>
      <c r="Q29" s="4">
        <f>IFERROR(_xlfn.MAXIFS($J$2:$J$26,$J$2:$J$26,"&lt;&gt; -1"),0)</f>
        <v>254.19</v>
      </c>
      <c r="R29" s="4">
        <f>IFERROR(_xlfn.MAXIFS($L$2:$L$26,$L$2:$L$26,"&lt;&gt; -1"),0)</f>
        <v>0</v>
      </c>
      <c r="S29" s="4">
        <f>IFERROR(_xlfn.MINIFS($B$2:$B$26,$B$2:$B$26,"&lt;&gt; -1"),0)</f>
        <v>171.25</v>
      </c>
      <c r="T29" s="4">
        <f>IFERROR(_xlfn.MINIFS($D$2:$D$26,$D$2:$D$26,"&lt;&gt;-1"),0)</f>
        <v>99.45</v>
      </c>
      <c r="U29" s="4">
        <f>IFERROR(_xlfn.MINIFS($F$2:$F$26,$F$2:$F$26,"&lt;&gt; -1"),0)</f>
        <v>173.67</v>
      </c>
      <c r="V29" s="4">
        <f>IFERROR(_xlfn.MINIFS($H$2:$H$26,$H$2:$H$26,"&lt;&gt; -1"),0)</f>
        <v>105.94</v>
      </c>
      <c r="W29" s="4">
        <f>IFERROR(_xlfn.MINIFS($J$2:$J$26,$J$2:$J$26,"&lt;&gt; -1"),0)</f>
        <v>173.28</v>
      </c>
      <c r="X29" s="4">
        <f>IFERROR(_xlfn.MINIFS($L$2:$L$26,$L$2:$L$26,"&lt;&gt; -1"),0)</f>
        <v>0</v>
      </c>
      <c r="Y29" s="4">
        <f>IFERROR(_xlfn.MAXIFS($C$2:$C$26,$B$2:$B$26,"&lt;&gt; -1"),0)</f>
        <v>9098.77</v>
      </c>
      <c r="Z29" s="4">
        <f>IFERROR(_xlfn.MAXIFS($E$2:$E$26,$D$2:$D$26,"&lt;&gt; -1"),0)</f>
        <v>9491.46</v>
      </c>
      <c r="AA29" s="4">
        <f>IFERROR(_xlfn.MAXIFS($G$2:$G$26,$F$2:$F$26,"&lt;&gt; -1"),0)</f>
        <v>10171.16</v>
      </c>
      <c r="AB29" s="4">
        <f>IFERROR(_xlfn.MAXIFS($I$2:$I$26,$H$2:$H$26,"&lt;&gt; -1"),0)</f>
        <v>10163.67</v>
      </c>
      <c r="AC29" s="4">
        <f>IFERROR(_xlfn.MAXIFS($K$2:$K$26,$J$2:$J$26,"&lt;&gt; -1"),0)</f>
        <v>8909.6</v>
      </c>
      <c r="AD29" s="4">
        <f>IFERROR(_xlfn.MAXIFS($M$2:$M$26,$L$2:$L$26,"&lt;&gt; -1"),0)</f>
        <v>0</v>
      </c>
      <c r="AE29" s="4">
        <f>IFERROR(_xlfn.MINIFS($C$2:$C$26,$B$2:$B$26,"&lt;&gt; -1"),0)</f>
        <v>8181.08</v>
      </c>
      <c r="AF29" s="4">
        <f>IFERROR(_xlfn.MINIFS($E$2:$E$26,$D$2:$D$26,"&lt;&gt; -1"),0)</f>
        <v>8004.31</v>
      </c>
      <c r="AG29" s="4">
        <f>IFERROR(_xlfn.MINIFS($G$2:$G$26,$F$2:$F$26,"&lt;&gt; -1"),0)</f>
        <v>9405.8</v>
      </c>
      <c r="AH29" s="4">
        <f>IFERROR(_xlfn.MINIFS($I$2:$I$26,$H$2:$H$26,"&lt;&gt; -1"),0)</f>
        <v>9035.22</v>
      </c>
      <c r="AI29" s="4">
        <f>IFERROR(_xlfn.MINIFS($K$2:$K$26,$J$2:$J$26,"&lt;&gt; -1"),0)</f>
        <v>8247.89</v>
      </c>
      <c r="AJ29" s="4">
        <f>IFERROR(_xlfn.MINIFS($M$2:$M$26,$L$2:$L$26,"&lt;&gt; -1"),0)</f>
        <v>0</v>
      </c>
      <c r="AK29" s="4">
        <f>(COUNTIFS($B$2:$B$26,"&gt;0.0",$B$2:$B$26,"&lt;300.0"))/25</f>
        <v>1</v>
      </c>
      <c r="AL29" s="4">
        <f>(COUNTIFS($D$2:$D$26,"&gt;0.0",$D$2:$D$26,"&lt;300.0"))/25</f>
        <v>1</v>
      </c>
      <c r="AM29" s="4">
        <f>(COUNTIFS($F$2:$F$26,"&gt;0.0",$F$2:$F$26,"&lt;300.0"))/25</f>
        <v>0.96</v>
      </c>
      <c r="AN29" s="4" t="e">
        <f>(COUNTIFS($H$2:$H25,"&gt;0.0",$H$2:$H$26,"&lt;300.0"))/25</f>
        <v>#VALUE!</v>
      </c>
      <c r="AO29" s="4">
        <f>(COUNTIFS($J$2:$J$26,"&gt;0.0",$J$2:$J$26,"&lt;300.0"))/25</f>
        <v>0.72</v>
      </c>
      <c r="AP29" s="4">
        <f>(COUNTIFS($L$2:$L$26,"&gt;0.0",$L$2:$L$26,"&lt;300.0"))/25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"/>
  <sheetViews>
    <sheetView workbookViewId="0">
      <selection activeCell="A30" sqref="$A30:$XFD3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224.42</v>
      </c>
      <c r="C2">
        <v>9140.47</v>
      </c>
      <c r="D2">
        <v>109.3</v>
      </c>
      <c r="E2">
        <v>8881.65</v>
      </c>
      <c r="F2">
        <v>-1</v>
      </c>
      <c r="G2">
        <v>0</v>
      </c>
      <c r="H2">
        <v>-1</v>
      </c>
      <c r="I2">
        <v>1536.08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219.04</v>
      </c>
      <c r="C3">
        <v>9227.65</v>
      </c>
      <c r="D3">
        <v>108.76</v>
      </c>
      <c r="E3">
        <v>8857.63</v>
      </c>
      <c r="F3">
        <v>-1</v>
      </c>
      <c r="G3">
        <v>0</v>
      </c>
      <c r="H3">
        <v>163.8</v>
      </c>
      <c r="I3">
        <v>9716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216.95</v>
      </c>
      <c r="C4">
        <v>9131.83</v>
      </c>
      <c r="D4">
        <v>108.09</v>
      </c>
      <c r="E4">
        <v>8595.59</v>
      </c>
      <c r="F4">
        <v>-1</v>
      </c>
      <c r="G4">
        <v>0</v>
      </c>
      <c r="H4">
        <v>-1</v>
      </c>
      <c r="I4">
        <v>635.29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-1</v>
      </c>
      <c r="C5">
        <v>1348.62</v>
      </c>
      <c r="D5">
        <v>109.94</v>
      </c>
      <c r="E5">
        <v>8426.82</v>
      </c>
      <c r="F5">
        <v>-1</v>
      </c>
      <c r="G5">
        <v>0</v>
      </c>
      <c r="H5">
        <v>119.7</v>
      </c>
      <c r="I5">
        <v>9395.84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227</v>
      </c>
      <c r="C6">
        <v>8863.11</v>
      </c>
      <c r="D6">
        <v>107.57</v>
      </c>
      <c r="E6">
        <v>8333.89</v>
      </c>
      <c r="F6">
        <v>-1</v>
      </c>
      <c r="G6">
        <v>0</v>
      </c>
      <c r="H6">
        <v>114.27</v>
      </c>
      <c r="I6">
        <v>9322.54</v>
      </c>
      <c r="J6">
        <v>-1</v>
      </c>
      <c r="K6">
        <v>0</v>
      </c>
      <c r="L6">
        <v>-1</v>
      </c>
      <c r="M6">
        <v>311.52</v>
      </c>
    </row>
    <row r="7" spans="1:13">
      <c r="A7" t="s">
        <v>18</v>
      </c>
      <c r="B7">
        <v>225.63</v>
      </c>
      <c r="C7">
        <v>9411.56</v>
      </c>
      <c r="D7">
        <v>113.65</v>
      </c>
      <c r="E7">
        <v>9050.11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228.98</v>
      </c>
      <c r="C8">
        <v>9361.8</v>
      </c>
      <c r="D8">
        <v>112.39</v>
      </c>
      <c r="E8">
        <v>9195</v>
      </c>
      <c r="F8">
        <v>-1</v>
      </c>
      <c r="G8">
        <v>0</v>
      </c>
      <c r="H8">
        <v>-1</v>
      </c>
      <c r="I8">
        <v>3819.69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228.23</v>
      </c>
      <c r="C9">
        <v>9099.73</v>
      </c>
      <c r="D9">
        <v>111.94</v>
      </c>
      <c r="E9">
        <v>8842.06</v>
      </c>
      <c r="F9">
        <v>-1</v>
      </c>
      <c r="G9">
        <v>0</v>
      </c>
      <c r="H9">
        <v>119.51</v>
      </c>
      <c r="I9">
        <v>9943.39</v>
      </c>
      <c r="J9">
        <v>-1</v>
      </c>
      <c r="K9">
        <v>0</v>
      </c>
      <c r="L9">
        <v>-1</v>
      </c>
      <c r="M9">
        <v>263.58</v>
      </c>
    </row>
    <row r="10" spans="1:13">
      <c r="A10" t="s">
        <v>21</v>
      </c>
      <c r="B10">
        <v>228.6</v>
      </c>
      <c r="C10">
        <v>9321.03</v>
      </c>
      <c r="D10">
        <v>110.22</v>
      </c>
      <c r="E10">
        <v>8851.99</v>
      </c>
      <c r="F10">
        <v>-1</v>
      </c>
      <c r="G10">
        <v>0</v>
      </c>
      <c r="H10">
        <v>146.79</v>
      </c>
      <c r="I10">
        <v>9757.82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217.56</v>
      </c>
      <c r="C11">
        <v>9687.72</v>
      </c>
      <c r="D11">
        <v>111.38</v>
      </c>
      <c r="E11">
        <v>9414.54</v>
      </c>
      <c r="F11">
        <v>-1</v>
      </c>
      <c r="G11">
        <v>0</v>
      </c>
      <c r="H11">
        <v>-1</v>
      </c>
      <c r="I11">
        <v>828.53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222.23</v>
      </c>
      <c r="C12">
        <v>8981.03</v>
      </c>
      <c r="D12">
        <v>108.06</v>
      </c>
      <c r="E12">
        <v>8572.02</v>
      </c>
      <c r="F12">
        <v>-1</v>
      </c>
      <c r="G12">
        <v>0</v>
      </c>
      <c r="H12">
        <v>114.54</v>
      </c>
      <c r="I12">
        <v>9593.15</v>
      </c>
      <c r="J12">
        <v>-1</v>
      </c>
      <c r="K12">
        <v>0</v>
      </c>
      <c r="L12">
        <v>-1</v>
      </c>
      <c r="M12">
        <v>376.28</v>
      </c>
    </row>
    <row r="13" spans="1:13">
      <c r="A13" t="s">
        <v>24</v>
      </c>
      <c r="B13">
        <v>224.72</v>
      </c>
      <c r="C13">
        <v>8861.38</v>
      </c>
      <c r="D13">
        <v>105.63</v>
      </c>
      <c r="E13">
        <v>8206.71</v>
      </c>
      <c r="F13">
        <v>-1</v>
      </c>
      <c r="G13">
        <v>0</v>
      </c>
      <c r="H13">
        <v>113.78</v>
      </c>
      <c r="I13">
        <v>9174.55</v>
      </c>
      <c r="J13">
        <v>-1</v>
      </c>
      <c r="K13">
        <v>0</v>
      </c>
      <c r="L13">
        <v>135.63</v>
      </c>
      <c r="M13">
        <v>8155.25</v>
      </c>
    </row>
    <row r="14" spans="1:13">
      <c r="A14" t="s">
        <v>25</v>
      </c>
      <c r="B14">
        <v>228.44</v>
      </c>
      <c r="C14">
        <v>9168.69</v>
      </c>
      <c r="D14">
        <v>112.25</v>
      </c>
      <c r="E14">
        <v>8692.58</v>
      </c>
      <c r="F14">
        <v>-1</v>
      </c>
      <c r="G14">
        <v>0</v>
      </c>
      <c r="H14">
        <v>122.6</v>
      </c>
      <c r="I14">
        <v>9590.01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227.24</v>
      </c>
      <c r="C15">
        <v>9017.19</v>
      </c>
      <c r="D15">
        <v>109.56</v>
      </c>
      <c r="E15">
        <v>8721.99</v>
      </c>
      <c r="F15">
        <v>-1</v>
      </c>
      <c r="G15">
        <v>0</v>
      </c>
      <c r="H15">
        <v>122.39</v>
      </c>
      <c r="I15">
        <v>9650.36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222.53</v>
      </c>
      <c r="C16">
        <v>8970.37</v>
      </c>
      <c r="D16">
        <v>110.89</v>
      </c>
      <c r="E16">
        <v>8894.24</v>
      </c>
      <c r="F16">
        <v>-1</v>
      </c>
      <c r="G16">
        <v>0</v>
      </c>
      <c r="H16">
        <v>-1</v>
      </c>
      <c r="I16">
        <v>1599.58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231.13</v>
      </c>
      <c r="C17">
        <v>9447.49</v>
      </c>
      <c r="D17">
        <v>114.2</v>
      </c>
      <c r="E17">
        <v>9057.88</v>
      </c>
      <c r="F17">
        <v>-1</v>
      </c>
      <c r="G17">
        <v>0</v>
      </c>
      <c r="H17">
        <v>-1</v>
      </c>
      <c r="I17">
        <v>6937.08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0</v>
      </c>
      <c r="D18">
        <v>109.97</v>
      </c>
      <c r="E18">
        <v>8603</v>
      </c>
      <c r="F18">
        <v>-1</v>
      </c>
      <c r="G18">
        <v>0</v>
      </c>
      <c r="H18">
        <v>116.19</v>
      </c>
      <c r="I18">
        <v>9752.36</v>
      </c>
      <c r="J18">
        <v>-1</v>
      </c>
      <c r="K18">
        <v>0</v>
      </c>
      <c r="L18">
        <v>-1</v>
      </c>
      <c r="M18">
        <v>356.76</v>
      </c>
    </row>
    <row r="19" spans="1:13">
      <c r="A19" t="s">
        <v>30</v>
      </c>
      <c r="B19">
        <v>230.82</v>
      </c>
      <c r="C19">
        <v>9336.14</v>
      </c>
      <c r="D19">
        <v>115.11</v>
      </c>
      <c r="E19">
        <v>9303.57</v>
      </c>
      <c r="F19">
        <v>-1</v>
      </c>
      <c r="G19">
        <v>0</v>
      </c>
      <c r="H19">
        <v>-1</v>
      </c>
      <c r="I19">
        <v>872.61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227.19</v>
      </c>
      <c r="C20">
        <v>9339.88</v>
      </c>
      <c r="D20">
        <v>110.66</v>
      </c>
      <c r="E20">
        <v>8851.83</v>
      </c>
      <c r="F20">
        <v>-1</v>
      </c>
      <c r="G20">
        <v>0</v>
      </c>
      <c r="H20">
        <v>122.56</v>
      </c>
      <c r="I20">
        <v>9741.92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226</v>
      </c>
      <c r="C21">
        <v>9356.26</v>
      </c>
      <c r="D21">
        <v>112.7</v>
      </c>
      <c r="E21">
        <v>8821.24</v>
      </c>
      <c r="F21">
        <v>-1</v>
      </c>
      <c r="G21">
        <v>0</v>
      </c>
      <c r="H21">
        <v>121.54</v>
      </c>
      <c r="I21">
        <v>9929.55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231.15</v>
      </c>
      <c r="C22">
        <v>9293.55</v>
      </c>
      <c r="D22">
        <v>113.98</v>
      </c>
      <c r="E22">
        <v>8949.53</v>
      </c>
      <c r="F22">
        <v>-1</v>
      </c>
      <c r="G22">
        <v>0</v>
      </c>
      <c r="H22">
        <v>157.16</v>
      </c>
      <c r="I22">
        <v>9963.54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230.26</v>
      </c>
      <c r="C23">
        <v>9804.87</v>
      </c>
      <c r="D23">
        <v>112.58</v>
      </c>
      <c r="E23">
        <v>9305.62</v>
      </c>
      <c r="F23">
        <v>-1</v>
      </c>
      <c r="G23">
        <v>0</v>
      </c>
      <c r="H23">
        <v>139.82</v>
      </c>
      <c r="I23">
        <v>10001.69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230.04</v>
      </c>
      <c r="C24">
        <v>9422.74</v>
      </c>
      <c r="D24">
        <v>111.79</v>
      </c>
      <c r="E24">
        <v>8840.68</v>
      </c>
      <c r="F24">
        <v>-1</v>
      </c>
      <c r="G24">
        <v>0</v>
      </c>
      <c r="H24">
        <v>-1</v>
      </c>
      <c r="I24">
        <v>711.43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228.16</v>
      </c>
      <c r="C25">
        <v>9512.37</v>
      </c>
      <c r="D25">
        <v>112.37</v>
      </c>
      <c r="E25">
        <v>9225.68</v>
      </c>
      <c r="F25">
        <v>-1</v>
      </c>
      <c r="G25">
        <v>0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229.45</v>
      </c>
      <c r="C26">
        <v>9151.81</v>
      </c>
      <c r="D26">
        <v>113.2</v>
      </c>
      <c r="E26">
        <v>8867.15</v>
      </c>
      <c r="F26">
        <v>-1</v>
      </c>
      <c r="G26">
        <v>0</v>
      </c>
      <c r="H26">
        <v>121.21</v>
      </c>
      <c r="I26">
        <v>9979.15</v>
      </c>
      <c r="J26">
        <v>-1</v>
      </c>
      <c r="K26">
        <v>0</v>
      </c>
      <c r="L26">
        <v>154.2</v>
      </c>
      <c r="M26">
        <v>8829.21</v>
      </c>
    </row>
    <row r="29" spans="1:42">
      <c r="A29" s="2" t="s">
        <v>38</v>
      </c>
      <c r="B29" s="2" t="s">
        <v>39</v>
      </c>
      <c r="C29" s="2" t="s">
        <v>40</v>
      </c>
      <c r="D29" s="3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3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 t="s">
        <v>52</v>
      </c>
      <c r="P29" s="3" t="s">
        <v>53</v>
      </c>
      <c r="Q29" s="2" t="s">
        <v>54</v>
      </c>
      <c r="R29" s="2" t="s">
        <v>55</v>
      </c>
      <c r="S29" s="2" t="s">
        <v>56</v>
      </c>
      <c r="T29" s="2" t="s">
        <v>57</v>
      </c>
      <c r="U29" s="2" t="s">
        <v>58</v>
      </c>
      <c r="V29" s="3" t="s">
        <v>59</v>
      </c>
      <c r="W29" s="2" t="s">
        <v>60</v>
      </c>
      <c r="X29" s="2" t="s">
        <v>61</v>
      </c>
      <c r="Y29" s="2" t="s">
        <v>62</v>
      </c>
      <c r="Z29" s="2" t="s">
        <v>63</v>
      </c>
      <c r="AA29" s="2" t="s">
        <v>64</v>
      </c>
      <c r="AB29" s="3" t="s">
        <v>65</v>
      </c>
      <c r="AC29" s="2" t="s">
        <v>66</v>
      </c>
      <c r="AD29" s="2" t="s">
        <v>67</v>
      </c>
      <c r="AE29" s="2" t="s">
        <v>68</v>
      </c>
      <c r="AF29" s="2" t="s">
        <v>69</v>
      </c>
      <c r="AG29" s="2" t="s">
        <v>70</v>
      </c>
      <c r="AH29" s="3" t="s">
        <v>71</v>
      </c>
      <c r="AI29" s="2" t="s">
        <v>72</v>
      </c>
      <c r="AJ29" s="2" t="s">
        <v>73</v>
      </c>
      <c r="AK29" s="2" t="s">
        <v>74</v>
      </c>
      <c r="AL29" s="2" t="s">
        <v>75</v>
      </c>
      <c r="AM29" s="2" t="s">
        <v>76</v>
      </c>
      <c r="AN29" s="3" t="s">
        <v>77</v>
      </c>
      <c r="AO29" s="2" t="s">
        <v>78</v>
      </c>
      <c r="AP29" s="2" t="s">
        <v>79</v>
      </c>
    </row>
    <row r="30" spans="1:42">
      <c r="A30" s="4">
        <f>IFERROR(AVERAGEIF($B$2:$B$26,"&lt;&gt; -1"),0)</f>
        <v>226.337826086957</v>
      </c>
      <c r="B30" s="4">
        <f>IFERROR(AVERAGEIF($D$2:$D$26,"&lt;&gt; -1"),0)</f>
        <v>111.0476</v>
      </c>
      <c r="C30" s="4">
        <f>IFERROR(AVERAGEIF($F$2:$F$26,"&lt;&gt; -1"),0)</f>
        <v>0</v>
      </c>
      <c r="D30" s="4">
        <f>IFERROR(AVERAGEIF($H$2:$H$26,"&lt;&gt; -1"),0)</f>
        <v>127.724</v>
      </c>
      <c r="E30" s="4">
        <f>IFERROR(AVERAGEIF($J$2:$J$26,"&lt;&gt; -1"),0)</f>
        <v>0</v>
      </c>
      <c r="F30" s="4">
        <f>IFERROR(AVERAGEIF($L$2:$L$26,"&lt;&gt; -1"),0)</f>
        <v>144.915</v>
      </c>
      <c r="G30" s="4">
        <f>IFERROR(AVERAGEIFS($C$2:$C$26,$B$2:$B$26,"&lt;&gt; -1"),0)</f>
        <v>9256.89869565217</v>
      </c>
      <c r="H30" s="4">
        <f>IFERROR(AVERAGEIFS($E$2:$E$26,$D$2:$D$26,"&lt;&gt; -1"),0)</f>
        <v>8854.52</v>
      </c>
      <c r="I30" s="4">
        <f>IFERROR(AVERAGEIFS($G$2:$G$26,$F$2:$F$26,"&lt;&gt; -1"),0)</f>
        <v>0</v>
      </c>
      <c r="J30" s="4">
        <f>IFERROR(AVERAGEIFS($I$2:$I$26,$H$2:$H$26,"&lt;&gt; -1"),0)</f>
        <v>9700.79133333333</v>
      </c>
      <c r="K30" s="4">
        <f>IFERROR(AVERAGEIFS($K$2:$K$26,$J$2:$J$26,"&lt;&gt; -1"),0)</f>
        <v>0</v>
      </c>
      <c r="L30" s="4">
        <f>IFERROR(AVERAGEIFS($M$2:$M$26,$L$2:$L$26,"&lt;&gt; -1"),0)</f>
        <v>8492.23</v>
      </c>
      <c r="M30" s="4">
        <f>IFERROR(_xlfn.MAXIFS($B$2:$B$26,$B$2:$B$26,"&lt;&gt; -1"),0)</f>
        <v>231.15</v>
      </c>
      <c r="N30" s="4">
        <f>IFERROR(_xlfn.MAXIFS($D$2:$D$26,$D$2:$D$26,"&lt;&gt;-1"),0)</f>
        <v>115.11</v>
      </c>
      <c r="O30" s="4">
        <f>IFERROR(_xlfn.MAXIFS($F$2:$F$26,$F$2:$F$26,"&lt;&gt; -1"),0)</f>
        <v>0</v>
      </c>
      <c r="P30" s="4">
        <f>IFERROR(_xlfn.MAXIFS($H$2:$H$26,$H$2:$H$26,"&lt;&gt; -1"),0)</f>
        <v>163.8</v>
      </c>
      <c r="Q30" s="4">
        <f>IFERROR(_xlfn.MAXIFS($J$2:$J$26,$J$2:$J$26,"&lt;&gt; -1"),0)</f>
        <v>0</v>
      </c>
      <c r="R30" s="4">
        <f>IFERROR(_xlfn.MAXIFS($L$2:$L$26,$L$2:$L$26,"&lt;&gt; -1"),0)</f>
        <v>154.2</v>
      </c>
      <c r="S30" s="4">
        <f>IFERROR(_xlfn.MINIFS($B$2:$B$26,$B$2:$B$26,"&lt;&gt; -1"),0)</f>
        <v>216.95</v>
      </c>
      <c r="T30" s="4">
        <f>IFERROR(_xlfn.MINIFS($D$2:$D$26,$D$2:$D$26,"&lt;&gt;-1"),0)</f>
        <v>105.63</v>
      </c>
      <c r="U30" s="4">
        <f>IFERROR(_xlfn.MINIFS($F$2:$F$26,$F$2:$F$26,"&lt;&gt; -1"),0)</f>
        <v>0</v>
      </c>
      <c r="V30" s="4">
        <f>IFERROR(_xlfn.MINIFS($H$2:$H$26,$H$2:$H$26,"&lt;&gt; -1"),0)</f>
        <v>113.78</v>
      </c>
      <c r="W30" s="4">
        <f>IFERROR(_xlfn.MINIFS($J$2:$J$26,$J$2:$J$26,"&lt;&gt; -1"),0)</f>
        <v>0</v>
      </c>
      <c r="X30" s="4">
        <f>IFERROR(_xlfn.MINIFS($L$2:$L$26,$L$2:$L$26,"&lt;&gt; -1"),0)</f>
        <v>135.63</v>
      </c>
      <c r="Y30" s="4">
        <f>IFERROR(_xlfn.MAXIFS($C$2:$C$26,$B$2:$B$26,"&lt;&gt; -1"),0)</f>
        <v>9804.87</v>
      </c>
      <c r="Z30" s="4">
        <f>IFERROR(_xlfn.MAXIFS($E$2:$E$26,$D$2:$D$26,"&lt;&gt; -1"),0)</f>
        <v>9414.54</v>
      </c>
      <c r="AA30" s="4">
        <f>IFERROR(_xlfn.MAXIFS($G$2:$G$26,$F$2:$F$26,"&lt;&gt; -1"),0)</f>
        <v>0</v>
      </c>
      <c r="AB30" s="4">
        <f>IFERROR(_xlfn.MAXIFS($I$2:$I$26,$H$2:$H$26,"&lt;&gt; -1"),0)</f>
        <v>10001.69</v>
      </c>
      <c r="AC30" s="4">
        <f>IFERROR(_xlfn.MAXIFS($K$2:$K$26,$J$2:$J$26,"&lt;&gt; -1"),0)</f>
        <v>0</v>
      </c>
      <c r="AD30" s="4">
        <f>IFERROR(_xlfn.MAXIFS($M$2:$M$26,$L$2:$L$26,"&lt;&gt; -1"),0)</f>
        <v>8829.21</v>
      </c>
      <c r="AE30" s="4">
        <f>IFERROR(_xlfn.MINIFS($C$2:$C$26,$B$2:$B$26,"&lt;&gt; -1"),0)</f>
        <v>8861.38</v>
      </c>
      <c r="AF30" s="4">
        <f>IFERROR(_xlfn.MINIFS($E$2:$E$26,$D$2:$D$26,"&lt;&gt; -1"),0)</f>
        <v>8206.71</v>
      </c>
      <c r="AG30" s="4">
        <f>IFERROR(_xlfn.MINIFS($G$2:$G$26,$F$2:$F$26,"&lt;&gt; -1"),0)</f>
        <v>0</v>
      </c>
      <c r="AH30" s="4">
        <f>IFERROR(_xlfn.MINIFS($I$2:$I$26,$H$2:$H$26,"&lt;&gt; -1"),0)</f>
        <v>9174.55</v>
      </c>
      <c r="AI30" s="4">
        <f>IFERROR(_xlfn.MINIFS($K$2:$K$26,$J$2:$J$26,"&lt;&gt; -1"),0)</f>
        <v>0</v>
      </c>
      <c r="AJ30" s="4">
        <f>IFERROR(_xlfn.MINIFS($M$2:$M$26,$L$2:$L$26,"&lt;&gt; -1"),0)</f>
        <v>8155.25</v>
      </c>
      <c r="AK30" s="4">
        <f>(COUNTIFS($B$2:$B$26,"&gt;0.0",$B$2:$B$26,"&lt;300.0"))/25</f>
        <v>0.92</v>
      </c>
      <c r="AL30" s="4">
        <f>(COUNTIFS($D$2:$D$26,"&gt;0.0",$D$2:$D$26,"&lt;300.0"))/25</f>
        <v>1</v>
      </c>
      <c r="AM30" s="4">
        <f>(COUNTIFS($F$2:$F$26,"&gt;0.0",$F$2:$F$26,"&lt;300.0"))/25</f>
        <v>0</v>
      </c>
      <c r="AN30" s="4">
        <f>(COUNTIFS($H$2:$H26,"&gt;0.0",$H$2:$H$26,"&lt;300.0"))/25</f>
        <v>0.6</v>
      </c>
      <c r="AO30" s="4">
        <f>(COUNTIFS($J$2:$J$26,"&gt;0.0",$J$2:$J$26,"&lt;300.0"))/25</f>
        <v>0</v>
      </c>
      <c r="AP30" s="4">
        <f>(COUNTIFS($L$2:$L$26,"&gt;0.0",$L$2:$L$26,"&lt;300.0"))/25</f>
        <v>0.08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"/>
  <sheetViews>
    <sheetView workbookViewId="0">
      <selection activeCell="A30" sqref="$A30:$XFD3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227.05</v>
      </c>
      <c r="C2">
        <v>9677.17</v>
      </c>
      <c r="D2">
        <v>119.15</v>
      </c>
      <c r="E2">
        <v>9191.06</v>
      </c>
      <c r="F2">
        <v>-1</v>
      </c>
      <c r="G2">
        <v>0</v>
      </c>
      <c r="H2">
        <v>-1</v>
      </c>
      <c r="I2">
        <v>4913.71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1772.3</v>
      </c>
      <c r="D3">
        <v>119.23</v>
      </c>
      <c r="E3">
        <v>8869.37</v>
      </c>
      <c r="F3">
        <v>-1</v>
      </c>
      <c r="G3">
        <v>0</v>
      </c>
      <c r="H3">
        <v>-1</v>
      </c>
      <c r="I3">
        <v>874.37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226.46</v>
      </c>
      <c r="C4">
        <v>9471.8</v>
      </c>
      <c r="D4">
        <v>117.81</v>
      </c>
      <c r="E4">
        <v>8914.25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225.35</v>
      </c>
      <c r="C5">
        <v>9752.17</v>
      </c>
      <c r="D5">
        <v>117.19</v>
      </c>
      <c r="E5">
        <v>9012.6</v>
      </c>
      <c r="F5">
        <v>-1</v>
      </c>
      <c r="G5">
        <v>0</v>
      </c>
      <c r="H5">
        <v>139.27</v>
      </c>
      <c r="I5">
        <v>9724.75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0</v>
      </c>
      <c r="D6">
        <v>115.35</v>
      </c>
      <c r="E6">
        <v>8620.91</v>
      </c>
      <c r="F6">
        <v>-1</v>
      </c>
      <c r="G6">
        <v>0</v>
      </c>
      <c r="H6">
        <v>143.1</v>
      </c>
      <c r="I6">
        <v>9715.6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231.26</v>
      </c>
      <c r="C7">
        <v>9782.44</v>
      </c>
      <c r="D7">
        <v>121.43</v>
      </c>
      <c r="E7">
        <v>9405.77</v>
      </c>
      <c r="F7">
        <v>-1</v>
      </c>
      <c r="G7">
        <v>0</v>
      </c>
      <c r="H7">
        <v>-1</v>
      </c>
      <c r="I7">
        <v>4093.64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0</v>
      </c>
      <c r="D8">
        <v>120.34</v>
      </c>
      <c r="E8">
        <v>9177.41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-1</v>
      </c>
      <c r="C9">
        <v>0</v>
      </c>
      <c r="D9">
        <v>118.29</v>
      </c>
      <c r="E9">
        <v>8819.1</v>
      </c>
      <c r="F9">
        <v>-1</v>
      </c>
      <c r="G9">
        <v>0</v>
      </c>
      <c r="H9">
        <v>189.04</v>
      </c>
      <c r="I9">
        <v>9689.83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223.19</v>
      </c>
      <c r="C10">
        <v>9579.99</v>
      </c>
      <c r="D10">
        <v>118.41</v>
      </c>
      <c r="E10">
        <v>9335.05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235.15</v>
      </c>
      <c r="C11">
        <v>9704.11</v>
      </c>
      <c r="D11">
        <v>122.01</v>
      </c>
      <c r="E11">
        <v>9467.07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228.64</v>
      </c>
      <c r="C12">
        <v>9282.11</v>
      </c>
      <c r="D12">
        <v>118.29</v>
      </c>
      <c r="E12">
        <v>9015.69</v>
      </c>
      <c r="F12">
        <v>-1</v>
      </c>
      <c r="G12">
        <v>0</v>
      </c>
      <c r="H12">
        <v>135.15</v>
      </c>
      <c r="I12">
        <v>9893.27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-1</v>
      </c>
      <c r="C13">
        <v>0</v>
      </c>
      <c r="D13">
        <v>117.88</v>
      </c>
      <c r="E13">
        <v>8756.13</v>
      </c>
      <c r="F13">
        <v>-1</v>
      </c>
      <c r="G13">
        <v>0</v>
      </c>
      <c r="H13">
        <v>147.44</v>
      </c>
      <c r="I13">
        <v>9367.83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232.55</v>
      </c>
      <c r="C14">
        <v>9368.39</v>
      </c>
      <c r="D14">
        <v>123.73</v>
      </c>
      <c r="E14">
        <v>9982.27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-1</v>
      </c>
      <c r="C15">
        <v>0</v>
      </c>
      <c r="D15">
        <v>121.75</v>
      </c>
      <c r="E15">
        <v>8573.03</v>
      </c>
      <c r="F15">
        <v>-1</v>
      </c>
      <c r="G15">
        <v>0</v>
      </c>
      <c r="H15">
        <v>130.03</v>
      </c>
      <c r="I15">
        <v>9595.45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223.73</v>
      </c>
      <c r="C16">
        <v>9421.85</v>
      </c>
      <c r="D16">
        <v>118.13</v>
      </c>
      <c r="E16">
        <v>8611.95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230.12</v>
      </c>
      <c r="C17">
        <v>9588.31</v>
      </c>
      <c r="D17">
        <v>123.11</v>
      </c>
      <c r="E17">
        <v>9063.42</v>
      </c>
      <c r="F17">
        <v>-1</v>
      </c>
      <c r="G17">
        <v>0</v>
      </c>
      <c r="H17">
        <v>-1</v>
      </c>
      <c r="I17">
        <v>4107.51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228.7</v>
      </c>
      <c r="C18">
        <v>9440.54</v>
      </c>
      <c r="D18">
        <v>117.58</v>
      </c>
      <c r="E18">
        <v>8593.23</v>
      </c>
      <c r="F18">
        <v>-1</v>
      </c>
      <c r="G18">
        <v>0</v>
      </c>
      <c r="H18">
        <v>124.56</v>
      </c>
      <c r="I18">
        <v>9518.65</v>
      </c>
      <c r="J18">
        <v>-1</v>
      </c>
      <c r="K18">
        <v>0</v>
      </c>
      <c r="L18">
        <v>-1</v>
      </c>
      <c r="M18">
        <v>5528.07</v>
      </c>
    </row>
    <row r="19" spans="1:13">
      <c r="A19" t="s">
        <v>30</v>
      </c>
      <c r="B19">
        <v>-1</v>
      </c>
      <c r="C19">
        <v>0</v>
      </c>
      <c r="D19">
        <v>120.97</v>
      </c>
      <c r="E19">
        <v>8873.42</v>
      </c>
      <c r="F19">
        <v>-1</v>
      </c>
      <c r="G19">
        <v>0</v>
      </c>
      <c r="H19">
        <v>163.44</v>
      </c>
      <c r="I19">
        <v>9901.34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224.9</v>
      </c>
      <c r="C20">
        <v>9747.67</v>
      </c>
      <c r="D20">
        <v>117.69</v>
      </c>
      <c r="E20">
        <v>8796.44</v>
      </c>
      <c r="F20">
        <v>-1</v>
      </c>
      <c r="G20">
        <v>0</v>
      </c>
      <c r="H20">
        <v>127.95</v>
      </c>
      <c r="I20">
        <v>9728.09</v>
      </c>
      <c r="J20">
        <v>-1</v>
      </c>
      <c r="K20">
        <v>0</v>
      </c>
      <c r="L20">
        <v>-1</v>
      </c>
      <c r="M20">
        <v>365.66</v>
      </c>
    </row>
    <row r="21" spans="1:13">
      <c r="A21" t="s">
        <v>32</v>
      </c>
      <c r="B21">
        <v>-1</v>
      </c>
      <c r="C21">
        <v>1714.4</v>
      </c>
      <c r="D21">
        <v>118.3</v>
      </c>
      <c r="E21">
        <v>8686.63</v>
      </c>
      <c r="F21">
        <v>-1</v>
      </c>
      <c r="G21">
        <v>0</v>
      </c>
      <c r="H21">
        <v>123.9</v>
      </c>
      <c r="I21">
        <v>9813.23</v>
      </c>
      <c r="J21">
        <v>-1</v>
      </c>
      <c r="K21">
        <v>0</v>
      </c>
      <c r="L21">
        <v>-1</v>
      </c>
      <c r="M21">
        <v>357.94</v>
      </c>
    </row>
    <row r="22" spans="1:13">
      <c r="A22" t="s">
        <v>33</v>
      </c>
      <c r="B22">
        <v>223.81</v>
      </c>
      <c r="C22">
        <v>9361.59</v>
      </c>
      <c r="D22">
        <v>118.85</v>
      </c>
      <c r="E22">
        <v>8925.44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226.37</v>
      </c>
      <c r="C23">
        <v>9685.75</v>
      </c>
      <c r="D23">
        <v>118.15</v>
      </c>
      <c r="E23">
        <v>9449.51</v>
      </c>
      <c r="F23">
        <v>-1</v>
      </c>
      <c r="G23">
        <v>0</v>
      </c>
      <c r="H23">
        <v>137.17</v>
      </c>
      <c r="I23">
        <v>10280.84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225.35</v>
      </c>
      <c r="C24">
        <v>9444.13</v>
      </c>
      <c r="D24">
        <v>117.7</v>
      </c>
      <c r="E24">
        <v>8505.86</v>
      </c>
      <c r="F24">
        <v>-1</v>
      </c>
      <c r="G24">
        <v>0</v>
      </c>
      <c r="H24">
        <v>122.08</v>
      </c>
      <c r="I24">
        <v>9674.39</v>
      </c>
      <c r="J24">
        <v>-1</v>
      </c>
      <c r="K24">
        <v>0</v>
      </c>
      <c r="L24">
        <v>120.66</v>
      </c>
      <c r="M24">
        <v>8511.47</v>
      </c>
    </row>
    <row r="25" spans="1:13">
      <c r="A25" t="s">
        <v>36</v>
      </c>
      <c r="B25">
        <v>229.89</v>
      </c>
      <c r="C25">
        <v>9514.43</v>
      </c>
      <c r="D25">
        <v>119.01</v>
      </c>
      <c r="E25">
        <v>9306.13</v>
      </c>
      <c r="F25">
        <v>-1</v>
      </c>
      <c r="G25">
        <v>0</v>
      </c>
      <c r="H25">
        <v>134.65</v>
      </c>
      <c r="I25">
        <v>10245.64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221.12</v>
      </c>
      <c r="C26">
        <v>9426.93</v>
      </c>
      <c r="D26">
        <v>116.46</v>
      </c>
      <c r="E26">
        <v>8402.38</v>
      </c>
      <c r="F26">
        <v>-1</v>
      </c>
      <c r="G26">
        <v>0</v>
      </c>
      <c r="H26">
        <v>139.05</v>
      </c>
      <c r="I26">
        <v>9569.6</v>
      </c>
      <c r="J26">
        <v>-1</v>
      </c>
      <c r="K26">
        <v>0</v>
      </c>
      <c r="L26">
        <v>-1</v>
      </c>
      <c r="M26">
        <v>4884.45</v>
      </c>
    </row>
    <row r="29" spans="1:42">
      <c r="A29" s="2" t="s">
        <v>38</v>
      </c>
      <c r="B29" s="2" t="s">
        <v>39</v>
      </c>
      <c r="C29" s="2" t="s">
        <v>40</v>
      </c>
      <c r="D29" s="3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3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 t="s">
        <v>52</v>
      </c>
      <c r="P29" s="3" t="s">
        <v>53</v>
      </c>
      <c r="Q29" s="2" t="s">
        <v>54</v>
      </c>
      <c r="R29" s="2" t="s">
        <v>55</v>
      </c>
      <c r="S29" s="2" t="s">
        <v>56</v>
      </c>
      <c r="T29" s="2" t="s">
        <v>57</v>
      </c>
      <c r="U29" s="2" t="s">
        <v>58</v>
      </c>
      <c r="V29" s="3" t="s">
        <v>59</v>
      </c>
      <c r="W29" s="2" t="s">
        <v>60</v>
      </c>
      <c r="X29" s="2" t="s">
        <v>61</v>
      </c>
      <c r="Y29" s="2" t="s">
        <v>62</v>
      </c>
      <c r="Z29" s="2" t="s">
        <v>63</v>
      </c>
      <c r="AA29" s="2" t="s">
        <v>64</v>
      </c>
      <c r="AB29" s="3" t="s">
        <v>65</v>
      </c>
      <c r="AC29" s="2" t="s">
        <v>66</v>
      </c>
      <c r="AD29" s="2" t="s">
        <v>67</v>
      </c>
      <c r="AE29" s="2" t="s">
        <v>68</v>
      </c>
      <c r="AF29" s="2" t="s">
        <v>69</v>
      </c>
      <c r="AG29" s="2" t="s">
        <v>70</v>
      </c>
      <c r="AH29" s="3" t="s">
        <v>71</v>
      </c>
      <c r="AI29" s="2" t="s">
        <v>72</v>
      </c>
      <c r="AJ29" s="2" t="s">
        <v>73</v>
      </c>
      <c r="AK29" s="2" t="s">
        <v>74</v>
      </c>
      <c r="AL29" s="2" t="s">
        <v>75</v>
      </c>
      <c r="AM29" s="2" t="s">
        <v>76</v>
      </c>
      <c r="AN29" s="3" t="s">
        <v>77</v>
      </c>
      <c r="AO29" s="2" t="s">
        <v>78</v>
      </c>
      <c r="AP29" s="2" t="s">
        <v>79</v>
      </c>
    </row>
    <row r="30" spans="1:42">
      <c r="A30" s="4">
        <f>IFERROR(AVERAGEIF($B$2:$B$26,"&lt;&gt; -1"),0)</f>
        <v>227.272941176471</v>
      </c>
      <c r="B30" s="4">
        <f>IFERROR(AVERAGEIF($D$2:$D$26,"&lt;&gt; -1"),0)</f>
        <v>119.0724</v>
      </c>
      <c r="C30" s="4">
        <f>IFERROR(AVERAGEIF($F$2:$F$26,"&lt;&gt; -1"),0)</f>
        <v>0</v>
      </c>
      <c r="D30" s="4">
        <f>IFERROR(AVERAGEIF($H$2:$H$26,"&lt;&gt; -1"),0)</f>
        <v>139.773571428571</v>
      </c>
      <c r="E30" s="4">
        <f>IFERROR(AVERAGEIF($J$2:$J$26,"&lt;&gt; -1"),0)</f>
        <v>0</v>
      </c>
      <c r="F30" s="4">
        <f>IFERROR(AVERAGEIF($L$2:$L$26,"&lt;&gt; -1"),0)</f>
        <v>120.66</v>
      </c>
      <c r="G30" s="4">
        <f>IFERROR(AVERAGEIFS($C$2:$C$26,$B$2:$B$26,"&lt;&gt; -1"),0)</f>
        <v>9544.08117647059</v>
      </c>
      <c r="H30" s="4">
        <f>IFERROR(AVERAGEIFS($E$2:$E$26,$D$2:$D$26,"&lt;&gt; -1"),0)</f>
        <v>8974.1648</v>
      </c>
      <c r="I30" s="4">
        <f>IFERROR(AVERAGEIFS($G$2:$G$26,$F$2:$F$26,"&lt;&gt; -1"),0)</f>
        <v>0</v>
      </c>
      <c r="J30" s="4">
        <f>IFERROR(AVERAGEIFS($I$2:$I$26,$H$2:$H$26,"&lt;&gt; -1"),0)</f>
        <v>9765.60785714286</v>
      </c>
      <c r="K30" s="4">
        <f>IFERROR(AVERAGEIFS($K$2:$K$26,$J$2:$J$26,"&lt;&gt; -1"),0)</f>
        <v>0</v>
      </c>
      <c r="L30" s="4">
        <f>IFERROR(AVERAGEIFS($M$2:$M$26,$L$2:$L$26,"&lt;&gt; -1"),0)</f>
        <v>8511.47</v>
      </c>
      <c r="M30" s="4">
        <f>IFERROR(_xlfn.MAXIFS($B$2:$B$26,$B$2:$B$26,"&lt;&gt; -1"),0)</f>
        <v>235.15</v>
      </c>
      <c r="N30" s="4">
        <f>IFERROR(_xlfn.MAXIFS($D$2:$D$26,$D$2:$D$26,"&lt;&gt;-1"),0)</f>
        <v>123.73</v>
      </c>
      <c r="O30" s="4">
        <f>IFERROR(_xlfn.MAXIFS($F$2:$F$26,$F$2:$F$26,"&lt;&gt; -1"),0)</f>
        <v>0</v>
      </c>
      <c r="P30" s="4">
        <f>IFERROR(_xlfn.MAXIFS($H$2:$H$26,$H$2:$H$26,"&lt;&gt; -1"),0)</f>
        <v>189.04</v>
      </c>
      <c r="Q30" s="4">
        <f>IFERROR(_xlfn.MAXIFS($J$2:$J$26,$J$2:$J$26,"&lt;&gt; -1"),0)</f>
        <v>0</v>
      </c>
      <c r="R30" s="4">
        <f>IFERROR(_xlfn.MAXIFS($L$2:$L$26,$L$2:$L$26,"&lt;&gt; -1"),0)</f>
        <v>120.66</v>
      </c>
      <c r="S30" s="4">
        <f>IFERROR(_xlfn.MINIFS($B$2:$B$26,$B$2:$B$26,"&lt;&gt; -1"),0)</f>
        <v>221.12</v>
      </c>
      <c r="T30" s="4">
        <f>IFERROR(_xlfn.MINIFS($D$2:$D$26,$D$2:$D$26,"&lt;&gt;-1"),0)</f>
        <v>115.35</v>
      </c>
      <c r="U30" s="4">
        <f>IFERROR(_xlfn.MINIFS($F$2:$F$26,$F$2:$F$26,"&lt;&gt; -1"),0)</f>
        <v>0</v>
      </c>
      <c r="V30" s="4">
        <f>IFERROR(_xlfn.MINIFS($H$2:$H$26,$H$2:$H$26,"&lt;&gt; -1"),0)</f>
        <v>122.08</v>
      </c>
      <c r="W30" s="4">
        <f>IFERROR(_xlfn.MINIFS($J$2:$J$26,$J$2:$J$26,"&lt;&gt; -1"),0)</f>
        <v>0</v>
      </c>
      <c r="X30" s="4">
        <f>IFERROR(_xlfn.MINIFS($L$2:$L$26,$L$2:$L$26,"&lt;&gt; -1"),0)</f>
        <v>120.66</v>
      </c>
      <c r="Y30" s="4">
        <f>IFERROR(_xlfn.MAXIFS($C$2:$C$26,$B$2:$B$26,"&lt;&gt; -1"),0)</f>
        <v>9782.44</v>
      </c>
      <c r="Z30" s="4">
        <f>IFERROR(_xlfn.MAXIFS($E$2:$E$26,$D$2:$D$26,"&lt;&gt; -1"),0)</f>
        <v>9982.27</v>
      </c>
      <c r="AA30" s="4">
        <f>IFERROR(_xlfn.MAXIFS($G$2:$G$26,$F$2:$F$26,"&lt;&gt; -1"),0)</f>
        <v>0</v>
      </c>
      <c r="AB30" s="4">
        <f>IFERROR(_xlfn.MAXIFS($I$2:$I$26,$H$2:$H$26,"&lt;&gt; -1"),0)</f>
        <v>10280.84</v>
      </c>
      <c r="AC30" s="4">
        <f>IFERROR(_xlfn.MAXIFS($K$2:$K$26,$J$2:$J$26,"&lt;&gt; -1"),0)</f>
        <v>0</v>
      </c>
      <c r="AD30" s="4">
        <f>IFERROR(_xlfn.MAXIFS($M$2:$M$26,$L$2:$L$26,"&lt;&gt; -1"),0)</f>
        <v>8511.47</v>
      </c>
      <c r="AE30" s="4">
        <f>IFERROR(_xlfn.MINIFS($C$2:$C$26,$B$2:$B$26,"&lt;&gt; -1"),0)</f>
        <v>9282.11</v>
      </c>
      <c r="AF30" s="4">
        <f>IFERROR(_xlfn.MINIFS($E$2:$E$26,$D$2:$D$26,"&lt;&gt; -1"),0)</f>
        <v>8402.38</v>
      </c>
      <c r="AG30" s="4">
        <f>IFERROR(_xlfn.MINIFS($G$2:$G$26,$F$2:$F$26,"&lt;&gt; -1"),0)</f>
        <v>0</v>
      </c>
      <c r="AH30" s="4">
        <f>IFERROR(_xlfn.MINIFS($I$2:$I$26,$H$2:$H$26,"&lt;&gt; -1"),0)</f>
        <v>9367.83</v>
      </c>
      <c r="AI30" s="4">
        <f>IFERROR(_xlfn.MINIFS($K$2:$K$26,$J$2:$J$26,"&lt;&gt; -1"),0)</f>
        <v>0</v>
      </c>
      <c r="AJ30" s="4">
        <f>IFERROR(_xlfn.MINIFS($M$2:$M$26,$L$2:$L$26,"&lt;&gt; -1"),0)</f>
        <v>8511.47</v>
      </c>
      <c r="AK30" s="4">
        <f>(COUNTIFS($B$2:$B$26,"&gt;0.0",$B$2:$B$26,"&lt;300.0"))/25</f>
        <v>0.68</v>
      </c>
      <c r="AL30" s="4">
        <f>(COUNTIFS($D$2:$D$26,"&gt;0.0",$D$2:$D$26,"&lt;300.0"))/25</f>
        <v>1</v>
      </c>
      <c r="AM30" s="4">
        <f>(COUNTIFS($F$2:$F$26,"&gt;0.0",$F$2:$F$26,"&lt;300.0"))/25</f>
        <v>0</v>
      </c>
      <c r="AN30" s="4">
        <f>(COUNTIFS($H$2:$H26,"&gt;0.0",$H$2:$H$26,"&lt;300.0"))/25</f>
        <v>0.56</v>
      </c>
      <c r="AO30" s="4">
        <f>(COUNTIFS($J$2:$J$26,"&gt;0.0",$J$2:$J$26,"&lt;300.0"))/25</f>
        <v>0</v>
      </c>
      <c r="AP30" s="4">
        <f>(COUNTIFS($L$2:$L$26,"&gt;0.0",$L$2:$L$26,"&lt;300.0"))/25</f>
        <v>0.04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"/>
  <sheetViews>
    <sheetView topLeftCell="S1" workbookViewId="0">
      <selection activeCell="S30" sqref="$A30:$XFD3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283.51</v>
      </c>
      <c r="C2">
        <v>9616.72</v>
      </c>
      <c r="D2">
        <v>125.7</v>
      </c>
      <c r="E2">
        <v>8913.97</v>
      </c>
      <c r="F2">
        <v>-1</v>
      </c>
      <c r="G2">
        <v>0</v>
      </c>
      <c r="H2">
        <v>139.27</v>
      </c>
      <c r="I2">
        <v>9752.7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223.21</v>
      </c>
      <c r="C3">
        <v>9610.67</v>
      </c>
      <c r="D3">
        <v>126.03</v>
      </c>
      <c r="E3">
        <v>8739</v>
      </c>
      <c r="F3">
        <v>-1</v>
      </c>
      <c r="G3">
        <v>0</v>
      </c>
      <c r="H3">
        <v>134.52</v>
      </c>
      <c r="I3">
        <v>9833.08</v>
      </c>
      <c r="J3">
        <v>-1</v>
      </c>
      <c r="K3">
        <v>0</v>
      </c>
      <c r="L3">
        <v>-1</v>
      </c>
      <c r="M3">
        <v>344.15</v>
      </c>
    </row>
    <row r="4" spans="1:13">
      <c r="A4" t="s">
        <v>15</v>
      </c>
      <c r="B4">
        <v>-1</v>
      </c>
      <c r="C4">
        <v>4547.67</v>
      </c>
      <c r="D4">
        <v>126.72</v>
      </c>
      <c r="E4">
        <v>9236.47</v>
      </c>
      <c r="F4">
        <v>-1</v>
      </c>
      <c r="G4">
        <v>0</v>
      </c>
      <c r="H4">
        <v>-1</v>
      </c>
      <c r="I4">
        <v>782.97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224.87</v>
      </c>
      <c r="C5">
        <v>9489.69</v>
      </c>
      <c r="D5">
        <v>126.02</v>
      </c>
      <c r="E5">
        <v>9121.41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2225.59</v>
      </c>
      <c r="D6">
        <v>122.8</v>
      </c>
      <c r="E6">
        <v>8799.14</v>
      </c>
      <c r="F6">
        <v>-1</v>
      </c>
      <c r="G6">
        <v>0</v>
      </c>
      <c r="H6">
        <v>142</v>
      </c>
      <c r="I6">
        <v>9716.01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229</v>
      </c>
      <c r="C7">
        <v>9954.17</v>
      </c>
      <c r="D7">
        <v>128.9</v>
      </c>
      <c r="E7">
        <v>9268.67</v>
      </c>
      <c r="F7">
        <v>-1</v>
      </c>
      <c r="G7">
        <v>0</v>
      </c>
      <c r="H7">
        <v>-1</v>
      </c>
      <c r="I7">
        <v>9650.78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0</v>
      </c>
      <c r="D8">
        <v>127.57</v>
      </c>
      <c r="E8">
        <v>9205.96</v>
      </c>
      <c r="F8">
        <v>-1</v>
      </c>
      <c r="G8">
        <v>0</v>
      </c>
      <c r="H8">
        <v>-1</v>
      </c>
      <c r="I8">
        <v>7477.31</v>
      </c>
      <c r="J8">
        <v>-1</v>
      </c>
      <c r="K8">
        <v>0</v>
      </c>
      <c r="L8">
        <v>-1</v>
      </c>
      <c r="M8">
        <v>308.14</v>
      </c>
    </row>
    <row r="9" spans="1:13">
      <c r="A9" t="s">
        <v>20</v>
      </c>
      <c r="B9">
        <v>220.17</v>
      </c>
      <c r="C9">
        <v>9130.07</v>
      </c>
      <c r="D9">
        <v>123.24</v>
      </c>
      <c r="E9">
        <v>8523.19</v>
      </c>
      <c r="F9">
        <v>-1</v>
      </c>
      <c r="G9">
        <v>0</v>
      </c>
      <c r="H9">
        <v>127.42</v>
      </c>
      <c r="I9">
        <v>9614.55</v>
      </c>
      <c r="J9">
        <v>-1</v>
      </c>
      <c r="K9">
        <v>0</v>
      </c>
      <c r="L9">
        <v>132.02</v>
      </c>
      <c r="M9">
        <v>8501.47</v>
      </c>
    </row>
    <row r="10" spans="1:13">
      <c r="A10" t="s">
        <v>21</v>
      </c>
      <c r="B10">
        <v>-1</v>
      </c>
      <c r="C10">
        <v>4540.54</v>
      </c>
      <c r="D10">
        <v>125.44</v>
      </c>
      <c r="E10">
        <v>9081.6</v>
      </c>
      <c r="F10">
        <v>-1</v>
      </c>
      <c r="G10">
        <v>0</v>
      </c>
      <c r="H10">
        <v>161.56</v>
      </c>
      <c r="I10">
        <v>9826.16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0</v>
      </c>
      <c r="D11">
        <v>126.83</v>
      </c>
      <c r="E11">
        <v>9142.31</v>
      </c>
      <c r="F11">
        <v>-1</v>
      </c>
      <c r="G11">
        <v>0</v>
      </c>
      <c r="H11">
        <v>144.88</v>
      </c>
      <c r="I11">
        <v>9936.1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229.91</v>
      </c>
      <c r="C12">
        <v>9757.44</v>
      </c>
      <c r="D12">
        <v>123.7</v>
      </c>
      <c r="E12">
        <v>8948.96</v>
      </c>
      <c r="F12">
        <v>-1</v>
      </c>
      <c r="G12">
        <v>0</v>
      </c>
      <c r="H12">
        <v>147.8</v>
      </c>
      <c r="I12">
        <v>9898.08</v>
      </c>
      <c r="J12">
        <v>-1</v>
      </c>
      <c r="K12">
        <v>0</v>
      </c>
      <c r="L12">
        <v>-1</v>
      </c>
      <c r="M12">
        <v>363.05</v>
      </c>
    </row>
    <row r="13" spans="1:13">
      <c r="A13" t="s">
        <v>24</v>
      </c>
      <c r="B13">
        <v>304.55</v>
      </c>
      <c r="C13">
        <v>9349.08</v>
      </c>
      <c r="D13">
        <v>122.46</v>
      </c>
      <c r="E13">
        <v>8749.82</v>
      </c>
      <c r="F13">
        <v>-1</v>
      </c>
      <c r="G13">
        <v>0</v>
      </c>
      <c r="H13">
        <v>140.78</v>
      </c>
      <c r="I13">
        <v>9388.99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0</v>
      </c>
      <c r="D14">
        <v>131.33</v>
      </c>
      <c r="E14">
        <v>9790.28</v>
      </c>
      <c r="F14">
        <v>-1</v>
      </c>
      <c r="G14">
        <v>0</v>
      </c>
      <c r="H14">
        <v>184.57</v>
      </c>
      <c r="I14">
        <v>10304.98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226.04</v>
      </c>
      <c r="C15">
        <v>9560.76</v>
      </c>
      <c r="D15">
        <v>130.32</v>
      </c>
      <c r="E15">
        <v>9355.16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221.77</v>
      </c>
      <c r="C16">
        <v>9253.47</v>
      </c>
      <c r="D16">
        <v>122.93</v>
      </c>
      <c r="E16">
        <v>8633.69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0</v>
      </c>
      <c r="D17">
        <v>129.15</v>
      </c>
      <c r="E17">
        <v>9047.52</v>
      </c>
      <c r="F17">
        <v>-1</v>
      </c>
      <c r="G17">
        <v>0</v>
      </c>
      <c r="H17">
        <v>-1</v>
      </c>
      <c r="I17">
        <v>724.79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221.38</v>
      </c>
      <c r="C18">
        <v>9195.87</v>
      </c>
      <c r="D18">
        <v>125.04</v>
      </c>
      <c r="E18">
        <v>8971.58</v>
      </c>
      <c r="F18">
        <v>-1</v>
      </c>
      <c r="G18">
        <v>0</v>
      </c>
      <c r="H18">
        <v>191.59</v>
      </c>
      <c r="I18">
        <v>9831.06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229.85</v>
      </c>
      <c r="C19">
        <v>9514.5</v>
      </c>
      <c r="D19">
        <v>129.41</v>
      </c>
      <c r="E19">
        <v>9143.16</v>
      </c>
      <c r="F19">
        <v>-1</v>
      </c>
      <c r="G19">
        <v>0</v>
      </c>
      <c r="H19">
        <v>168.72</v>
      </c>
      <c r="I19">
        <v>10175.69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221.69</v>
      </c>
      <c r="C20">
        <v>9514.72</v>
      </c>
      <c r="D20">
        <v>126.87</v>
      </c>
      <c r="E20">
        <v>9027.94</v>
      </c>
      <c r="F20">
        <v>-1</v>
      </c>
      <c r="G20">
        <v>0</v>
      </c>
      <c r="H20">
        <v>-1</v>
      </c>
      <c r="I20">
        <v>911.24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228.03</v>
      </c>
      <c r="C21">
        <v>9653.99</v>
      </c>
      <c r="D21">
        <v>130.03</v>
      </c>
      <c r="E21">
        <v>9143.56</v>
      </c>
      <c r="F21">
        <v>-1</v>
      </c>
      <c r="G21">
        <v>0</v>
      </c>
      <c r="H21">
        <v>138.59</v>
      </c>
      <c r="I21">
        <v>10028.92</v>
      </c>
      <c r="J21">
        <v>-1</v>
      </c>
      <c r="K21">
        <v>0</v>
      </c>
      <c r="L21">
        <v>-1</v>
      </c>
      <c r="M21">
        <v>280.11</v>
      </c>
    </row>
    <row r="22" spans="1:13">
      <c r="A22" t="s">
        <v>33</v>
      </c>
      <c r="B22">
        <v>-1</v>
      </c>
      <c r="C22">
        <v>6302.74</v>
      </c>
      <c r="D22">
        <v>130.06</v>
      </c>
      <c r="E22">
        <v>9092.25</v>
      </c>
      <c r="F22">
        <v>-1</v>
      </c>
      <c r="G22">
        <v>0</v>
      </c>
      <c r="H22">
        <v>173.37</v>
      </c>
      <c r="I22">
        <v>9931.82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225.09</v>
      </c>
      <c r="C23">
        <v>9944.81</v>
      </c>
      <c r="D23">
        <v>126.46</v>
      </c>
      <c r="E23">
        <v>9056.11</v>
      </c>
      <c r="F23">
        <v>-1</v>
      </c>
      <c r="G23">
        <v>0</v>
      </c>
      <c r="H23">
        <v>141.2</v>
      </c>
      <c r="I23">
        <v>9678.38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221.36</v>
      </c>
      <c r="C24">
        <v>9635.43</v>
      </c>
      <c r="D24">
        <v>125.67</v>
      </c>
      <c r="E24">
        <v>8654.57</v>
      </c>
      <c r="F24">
        <v>-1</v>
      </c>
      <c r="G24">
        <v>0</v>
      </c>
      <c r="H24">
        <v>152.73</v>
      </c>
      <c r="I24">
        <v>9602.45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229.33</v>
      </c>
      <c r="C25">
        <v>9509.37</v>
      </c>
      <c r="D25">
        <v>127.98</v>
      </c>
      <c r="E25">
        <v>8946.88</v>
      </c>
      <c r="F25">
        <v>-1</v>
      </c>
      <c r="G25">
        <v>0</v>
      </c>
      <c r="H25">
        <v>134.45</v>
      </c>
      <c r="I25">
        <v>9891.07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-1</v>
      </c>
      <c r="C26">
        <v>6492.51</v>
      </c>
      <c r="D26">
        <v>125.03</v>
      </c>
      <c r="E26">
        <v>9204.19</v>
      </c>
      <c r="F26">
        <v>-1</v>
      </c>
      <c r="G26">
        <v>0</v>
      </c>
      <c r="H26">
        <v>-1</v>
      </c>
      <c r="I26">
        <v>0</v>
      </c>
      <c r="J26">
        <v>-1</v>
      </c>
      <c r="K26">
        <v>0</v>
      </c>
      <c r="L26">
        <v>-1</v>
      </c>
      <c r="M26">
        <v>0</v>
      </c>
    </row>
    <row r="29" spans="1:42">
      <c r="A29" s="2" t="s">
        <v>38</v>
      </c>
      <c r="B29" s="2" t="s">
        <v>39</v>
      </c>
      <c r="C29" s="2" t="s">
        <v>40</v>
      </c>
      <c r="D29" s="3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3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 t="s">
        <v>52</v>
      </c>
      <c r="P29" s="3" t="s">
        <v>53</v>
      </c>
      <c r="Q29" s="2" t="s">
        <v>54</v>
      </c>
      <c r="R29" s="2" t="s">
        <v>55</v>
      </c>
      <c r="S29" s="2" t="s">
        <v>56</v>
      </c>
      <c r="T29" s="2" t="s">
        <v>57</v>
      </c>
      <c r="U29" s="2" t="s">
        <v>58</v>
      </c>
      <c r="V29" s="3" t="s">
        <v>59</v>
      </c>
      <c r="W29" s="2" t="s">
        <v>60</v>
      </c>
      <c r="X29" s="2" t="s">
        <v>61</v>
      </c>
      <c r="Y29" s="2" t="s">
        <v>62</v>
      </c>
      <c r="Z29" s="2" t="s">
        <v>63</v>
      </c>
      <c r="AA29" s="2" t="s">
        <v>64</v>
      </c>
      <c r="AB29" s="3" t="s">
        <v>65</v>
      </c>
      <c r="AC29" s="2" t="s">
        <v>66</v>
      </c>
      <c r="AD29" s="2" t="s">
        <v>67</v>
      </c>
      <c r="AE29" s="2" t="s">
        <v>68</v>
      </c>
      <c r="AF29" s="2" t="s">
        <v>69</v>
      </c>
      <c r="AG29" s="2" t="s">
        <v>70</v>
      </c>
      <c r="AH29" s="3" t="s">
        <v>71</v>
      </c>
      <c r="AI29" s="2" t="s">
        <v>72</v>
      </c>
      <c r="AJ29" s="2" t="s">
        <v>73</v>
      </c>
      <c r="AK29" s="2" t="s">
        <v>74</v>
      </c>
      <c r="AL29" s="2" t="s">
        <v>75</v>
      </c>
      <c r="AM29" s="2" t="s">
        <v>76</v>
      </c>
      <c r="AN29" s="3" t="s">
        <v>77</v>
      </c>
      <c r="AO29" s="2" t="s">
        <v>78</v>
      </c>
      <c r="AP29" s="2" t="s">
        <v>79</v>
      </c>
    </row>
    <row r="30" spans="1:42">
      <c r="A30" s="4">
        <f>IFERROR(AVERAGEIF($B$2:$B$26,"&lt;&gt; -1"),0)</f>
        <v>233.735</v>
      </c>
      <c r="B30" s="4">
        <f>IFERROR(AVERAGEIF($D$2:$D$26,"&lt;&gt; -1"),0)</f>
        <v>126.6276</v>
      </c>
      <c r="C30" s="4">
        <f>IFERROR(AVERAGEIF($F$2:$F$26,"&lt;&gt; -1"),0)</f>
        <v>0</v>
      </c>
      <c r="D30" s="4">
        <f>IFERROR(AVERAGEIF($H$2:$H$26,"&lt;&gt; -1"),0)</f>
        <v>151.465625</v>
      </c>
      <c r="E30" s="4">
        <f>IFERROR(AVERAGEIF($J$2:$J$26,"&lt;&gt; -1"),0)</f>
        <v>0</v>
      </c>
      <c r="F30" s="4">
        <f>IFERROR(AVERAGEIF($L$2:$L$26,"&lt;&gt; -1"),0)</f>
        <v>132.02</v>
      </c>
      <c r="G30" s="4">
        <f>IFERROR(AVERAGEIFS($C$2:$C$26,$B$2:$B$26,"&lt;&gt; -1"),0)</f>
        <v>9543.1725</v>
      </c>
      <c r="H30" s="4">
        <f>IFERROR(AVERAGEIFS($E$2:$E$26,$D$2:$D$26,"&lt;&gt; -1"),0)</f>
        <v>9031.8956</v>
      </c>
      <c r="I30" s="4">
        <f>IFERROR(AVERAGEIFS($G$2:$G$26,$F$2:$F$26,"&lt;&gt; -1"),0)</f>
        <v>0</v>
      </c>
      <c r="J30" s="4">
        <f>IFERROR(AVERAGEIFS($I$2:$I$26,$H$2:$H$26,"&lt;&gt; -1"),0)</f>
        <v>9838.1275</v>
      </c>
      <c r="K30" s="4">
        <f>IFERROR(AVERAGEIFS($K$2:$K$26,$J$2:$J$26,"&lt;&gt; -1"),0)</f>
        <v>0</v>
      </c>
      <c r="L30" s="4">
        <f>IFERROR(AVERAGEIFS($M$2:$M$26,$L$2:$L$26,"&lt;&gt; -1"),0)</f>
        <v>8501.47</v>
      </c>
      <c r="M30" s="4">
        <f>IFERROR(_xlfn.MAXIFS($B$2:$B$26,$B$2:$B$26,"&lt;&gt; -1"),0)</f>
        <v>304.55</v>
      </c>
      <c r="N30" s="4">
        <f>IFERROR(_xlfn.MAXIFS($D$2:$D$26,$D$2:$D$26,"&lt;&gt;-1"),0)</f>
        <v>131.33</v>
      </c>
      <c r="O30" s="4">
        <f>IFERROR(_xlfn.MAXIFS($F$2:$F$26,$F$2:$F$26,"&lt;&gt; -1"),0)</f>
        <v>0</v>
      </c>
      <c r="P30" s="4">
        <f>IFERROR(_xlfn.MAXIFS($H$2:$H$26,$H$2:$H$26,"&lt;&gt; -1"),0)</f>
        <v>191.59</v>
      </c>
      <c r="Q30" s="4">
        <f>IFERROR(_xlfn.MAXIFS($J$2:$J$26,$J$2:$J$26,"&lt;&gt; -1"),0)</f>
        <v>0</v>
      </c>
      <c r="R30" s="4">
        <f>IFERROR(_xlfn.MAXIFS($L$2:$L$26,$L$2:$L$26,"&lt;&gt; -1"),0)</f>
        <v>132.02</v>
      </c>
      <c r="S30" s="4">
        <f>IFERROR(_xlfn.MINIFS($B$2:$B$26,$B$2:$B$26,"&lt;&gt; -1"),0)</f>
        <v>220.17</v>
      </c>
      <c r="T30" s="4">
        <f>IFERROR(_xlfn.MINIFS($D$2:$D$26,$D$2:$D$26,"&lt;&gt;-1"),0)</f>
        <v>122.46</v>
      </c>
      <c r="U30" s="4">
        <f>IFERROR(_xlfn.MINIFS($F$2:$F$26,$F$2:$F$26,"&lt;&gt; -1"),0)</f>
        <v>0</v>
      </c>
      <c r="V30" s="4">
        <f>IFERROR(_xlfn.MINIFS($H$2:$H$26,$H$2:$H$26,"&lt;&gt; -1"),0)</f>
        <v>127.42</v>
      </c>
      <c r="W30" s="4">
        <f>IFERROR(_xlfn.MINIFS($J$2:$J$26,$J$2:$J$26,"&lt;&gt; -1"),0)</f>
        <v>0</v>
      </c>
      <c r="X30" s="4">
        <f>IFERROR(_xlfn.MINIFS($L$2:$L$26,$L$2:$L$26,"&lt;&gt; -1"),0)</f>
        <v>132.02</v>
      </c>
      <c r="Y30" s="4">
        <f>IFERROR(_xlfn.MAXIFS($C$2:$C$26,$B$2:$B$26,"&lt;&gt; -1"),0)</f>
        <v>9954.17</v>
      </c>
      <c r="Z30" s="4">
        <f>IFERROR(_xlfn.MAXIFS($E$2:$E$26,$D$2:$D$26,"&lt;&gt; -1"),0)</f>
        <v>9790.28</v>
      </c>
      <c r="AA30" s="4">
        <f>IFERROR(_xlfn.MAXIFS($G$2:$G$26,$F$2:$F$26,"&lt;&gt; -1"),0)</f>
        <v>0</v>
      </c>
      <c r="AB30" s="4">
        <f>IFERROR(_xlfn.MAXIFS($I$2:$I$26,$H$2:$H$26,"&lt;&gt; -1"),0)</f>
        <v>10304.98</v>
      </c>
      <c r="AC30" s="4">
        <f>IFERROR(_xlfn.MAXIFS($K$2:$K$26,$J$2:$J$26,"&lt;&gt; -1"),0)</f>
        <v>0</v>
      </c>
      <c r="AD30" s="4">
        <f>IFERROR(_xlfn.MAXIFS($M$2:$M$26,$L$2:$L$26,"&lt;&gt; -1"),0)</f>
        <v>8501.47</v>
      </c>
      <c r="AE30" s="4">
        <f>IFERROR(_xlfn.MINIFS($C$2:$C$26,$B$2:$B$26,"&lt;&gt; -1"),0)</f>
        <v>9130.07</v>
      </c>
      <c r="AF30" s="4">
        <f>IFERROR(_xlfn.MINIFS($E$2:$E$26,$D$2:$D$26,"&lt;&gt; -1"),0)</f>
        <v>8523.19</v>
      </c>
      <c r="AG30" s="4">
        <f>IFERROR(_xlfn.MINIFS($G$2:$G$26,$F$2:$F$26,"&lt;&gt; -1"),0)</f>
        <v>0</v>
      </c>
      <c r="AH30" s="4">
        <f>IFERROR(_xlfn.MINIFS($I$2:$I$26,$H$2:$H$26,"&lt;&gt; -1"),0)</f>
        <v>9388.99</v>
      </c>
      <c r="AI30" s="4">
        <f>IFERROR(_xlfn.MINIFS($K$2:$K$26,$J$2:$J$26,"&lt;&gt; -1"),0)</f>
        <v>0</v>
      </c>
      <c r="AJ30" s="4">
        <f>IFERROR(_xlfn.MINIFS($M$2:$M$26,$L$2:$L$26,"&lt;&gt; -1"),0)</f>
        <v>8501.47</v>
      </c>
      <c r="AK30" s="4">
        <f>(COUNTIFS($B$2:$B$26,"&gt;0.0",$B$2:$B$26,"&lt;300.0"))/25</f>
        <v>0.6</v>
      </c>
      <c r="AL30" s="4">
        <f>(COUNTIFS($D$2:$D$26,"&gt;0.0",$D$2:$D$26,"&lt;300.0"))/25</f>
        <v>1</v>
      </c>
      <c r="AM30" s="4">
        <f>(COUNTIFS($F$2:$F$26,"&gt;0.0",$F$2:$F$26,"&lt;300.0"))/25</f>
        <v>0</v>
      </c>
      <c r="AN30" s="4">
        <f>(COUNTIFS($H$2:$H26,"&gt;0.0",$H$2:$H$26,"&lt;300.0"))/25</f>
        <v>0.64</v>
      </c>
      <c r="AO30" s="4">
        <f>(COUNTIFS($J$2:$J$26,"&gt;0.0",$J$2:$J$26,"&lt;300.0"))/25</f>
        <v>0</v>
      </c>
      <c r="AP30" s="4">
        <f>(COUNTIFS($L$2:$L$26,"&gt;0.0",$L$2:$L$26,"&lt;300.0"))/25</f>
        <v>0.04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"/>
  <sheetViews>
    <sheetView workbookViewId="0">
      <selection activeCell="A30" sqref="$A30:$XFD3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159.61</v>
      </c>
      <c r="C2">
        <v>8685.78</v>
      </c>
      <c r="D2">
        <v>138.26</v>
      </c>
      <c r="E2">
        <v>9617.51</v>
      </c>
      <c r="F2">
        <v>167.81</v>
      </c>
      <c r="G2">
        <v>9832.41</v>
      </c>
      <c r="H2">
        <v>-1</v>
      </c>
      <c r="I2">
        <v>0</v>
      </c>
      <c r="J2">
        <v>162.86</v>
      </c>
      <c r="K2">
        <v>8615.36</v>
      </c>
      <c r="L2">
        <v>-1</v>
      </c>
      <c r="M2">
        <v>0</v>
      </c>
    </row>
    <row r="3" spans="1:13">
      <c r="A3" t="s">
        <v>14</v>
      </c>
      <c r="B3">
        <v>157.93</v>
      </c>
      <c r="C3">
        <v>8767.18</v>
      </c>
      <c r="D3">
        <v>137.37</v>
      </c>
      <c r="E3">
        <v>9601.69</v>
      </c>
      <c r="F3">
        <v>167.47</v>
      </c>
      <c r="G3">
        <v>9717.05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188.25</v>
      </c>
      <c r="C4">
        <v>8414.58</v>
      </c>
      <c r="D4">
        <v>137.07</v>
      </c>
      <c r="E4">
        <v>9318.95</v>
      </c>
      <c r="F4">
        <v>196.26</v>
      </c>
      <c r="G4">
        <v>9531.47</v>
      </c>
      <c r="H4">
        <v>-1</v>
      </c>
      <c r="I4">
        <v>737.03</v>
      </c>
      <c r="J4">
        <v>274.49</v>
      </c>
      <c r="K4">
        <v>8471.8</v>
      </c>
      <c r="L4">
        <v>-1</v>
      </c>
      <c r="M4">
        <v>0</v>
      </c>
    </row>
    <row r="5" spans="1:13">
      <c r="A5" t="s">
        <v>16</v>
      </c>
      <c r="B5">
        <v>189.58</v>
      </c>
      <c r="C5">
        <v>8610.57</v>
      </c>
      <c r="D5">
        <v>135.07</v>
      </c>
      <c r="E5">
        <v>9342.75</v>
      </c>
      <c r="F5">
        <v>197.19</v>
      </c>
      <c r="G5">
        <v>9745.26</v>
      </c>
      <c r="H5">
        <v>-1</v>
      </c>
      <c r="I5">
        <v>0</v>
      </c>
      <c r="J5">
        <v>205.75</v>
      </c>
      <c r="K5">
        <v>8616.99</v>
      </c>
      <c r="L5">
        <v>-1</v>
      </c>
      <c r="M5">
        <v>0</v>
      </c>
    </row>
    <row r="6" spans="1:13">
      <c r="A6" t="s">
        <v>17</v>
      </c>
      <c r="B6">
        <v>150.93</v>
      </c>
      <c r="C6">
        <v>8329</v>
      </c>
      <c r="D6">
        <v>133.05</v>
      </c>
      <c r="E6">
        <v>8815.54</v>
      </c>
      <c r="F6">
        <v>152.07</v>
      </c>
      <c r="G6">
        <v>9572.85</v>
      </c>
      <c r="H6">
        <v>152.42</v>
      </c>
      <c r="I6">
        <v>9743.49</v>
      </c>
      <c r="J6">
        <v>151.02</v>
      </c>
      <c r="K6">
        <v>8344.56</v>
      </c>
      <c r="L6">
        <v>-1</v>
      </c>
      <c r="M6">
        <v>0</v>
      </c>
    </row>
    <row r="7" spans="1:13">
      <c r="A7" t="s">
        <v>18</v>
      </c>
      <c r="B7">
        <v>159.18</v>
      </c>
      <c r="C7">
        <v>8876.9</v>
      </c>
      <c r="D7">
        <v>140.2</v>
      </c>
      <c r="E7">
        <v>9315.8</v>
      </c>
      <c r="F7">
        <v>162.86</v>
      </c>
      <c r="G7">
        <v>10093.15</v>
      </c>
      <c r="H7">
        <v>161</v>
      </c>
      <c r="I7">
        <v>10215.11</v>
      </c>
      <c r="J7">
        <v>160.37</v>
      </c>
      <c r="K7">
        <v>8837.01</v>
      </c>
      <c r="L7">
        <v>-1</v>
      </c>
      <c r="M7">
        <v>0</v>
      </c>
    </row>
    <row r="8" spans="1:13">
      <c r="A8" t="s">
        <v>19</v>
      </c>
      <c r="B8">
        <v>189.27</v>
      </c>
      <c r="C8">
        <v>8798.72</v>
      </c>
      <c r="D8">
        <v>138.99</v>
      </c>
      <c r="E8">
        <v>9083.45</v>
      </c>
      <c r="F8">
        <v>196.01</v>
      </c>
      <c r="G8">
        <v>9863.3</v>
      </c>
      <c r="H8">
        <v>-1</v>
      </c>
      <c r="I8">
        <v>0</v>
      </c>
      <c r="J8">
        <v>214.27</v>
      </c>
      <c r="K8">
        <v>8773.83</v>
      </c>
      <c r="L8">
        <v>-1</v>
      </c>
      <c r="M8">
        <v>0</v>
      </c>
    </row>
    <row r="9" spans="1:13">
      <c r="A9" t="s">
        <v>20</v>
      </c>
      <c r="B9">
        <v>185.04</v>
      </c>
      <c r="C9">
        <v>8761.16</v>
      </c>
      <c r="D9">
        <v>133.49</v>
      </c>
      <c r="E9">
        <v>8931.77</v>
      </c>
      <c r="F9">
        <v>-1</v>
      </c>
      <c r="G9">
        <v>1421.7</v>
      </c>
      <c r="H9">
        <v>-1</v>
      </c>
      <c r="I9">
        <v>1793.4</v>
      </c>
      <c r="J9">
        <v>-1</v>
      </c>
      <c r="K9">
        <v>4198.6</v>
      </c>
      <c r="L9">
        <v>-1</v>
      </c>
      <c r="M9">
        <v>0</v>
      </c>
    </row>
    <row r="10" spans="1:13">
      <c r="A10" t="s">
        <v>21</v>
      </c>
      <c r="B10">
        <v>190.75</v>
      </c>
      <c r="C10">
        <v>8894.41</v>
      </c>
      <c r="D10">
        <v>135.86</v>
      </c>
      <c r="E10">
        <v>9730.63</v>
      </c>
      <c r="F10">
        <v>195.22</v>
      </c>
      <c r="G10">
        <v>9984.39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184.17</v>
      </c>
      <c r="C11">
        <v>9117.42</v>
      </c>
      <c r="D11">
        <v>136.01</v>
      </c>
      <c r="E11">
        <v>9260.22</v>
      </c>
      <c r="F11">
        <v>-1</v>
      </c>
      <c r="G11">
        <v>733.47</v>
      </c>
      <c r="H11">
        <v>203.82</v>
      </c>
      <c r="I11">
        <v>9830.49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151.15</v>
      </c>
      <c r="C12">
        <v>8365.56</v>
      </c>
      <c r="D12">
        <v>133.01</v>
      </c>
      <c r="E12">
        <v>8414.48</v>
      </c>
      <c r="F12">
        <v>152.29</v>
      </c>
      <c r="G12">
        <v>9575.18</v>
      </c>
      <c r="H12">
        <v>-1</v>
      </c>
      <c r="I12">
        <v>1888.94</v>
      </c>
      <c r="J12">
        <v>151.24</v>
      </c>
      <c r="K12">
        <v>8393.89</v>
      </c>
      <c r="L12">
        <v>-1</v>
      </c>
      <c r="M12">
        <v>0</v>
      </c>
    </row>
    <row r="13" spans="1:13">
      <c r="A13" t="s">
        <v>24</v>
      </c>
      <c r="B13">
        <v>165.08</v>
      </c>
      <c r="C13">
        <v>8473.65</v>
      </c>
      <c r="D13">
        <v>135.71</v>
      </c>
      <c r="E13">
        <v>8827.3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187.22</v>
      </c>
      <c r="C14">
        <v>9988.98</v>
      </c>
      <c r="D14">
        <v>138.5</v>
      </c>
      <c r="E14">
        <v>9273.46</v>
      </c>
      <c r="F14">
        <v>-1</v>
      </c>
      <c r="G14">
        <v>0</v>
      </c>
      <c r="H14">
        <v>-1</v>
      </c>
      <c r="I14">
        <v>975.12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156.68</v>
      </c>
      <c r="C15">
        <v>8923.86</v>
      </c>
      <c r="D15">
        <v>138.79</v>
      </c>
      <c r="E15">
        <v>9528.1</v>
      </c>
      <c r="F15">
        <v>159.75</v>
      </c>
      <c r="G15">
        <v>10113.99</v>
      </c>
      <c r="H15">
        <v>-1</v>
      </c>
      <c r="I15">
        <v>6559.78</v>
      </c>
      <c r="J15">
        <v>157.23</v>
      </c>
      <c r="K15">
        <v>8934.46</v>
      </c>
      <c r="L15">
        <v>-1</v>
      </c>
      <c r="M15">
        <v>0</v>
      </c>
    </row>
    <row r="16" spans="1:13">
      <c r="A16" t="s">
        <v>27</v>
      </c>
      <c r="B16">
        <v>180.93</v>
      </c>
      <c r="C16">
        <v>9397.49</v>
      </c>
      <c r="D16">
        <v>132.76</v>
      </c>
      <c r="E16">
        <v>8739.59</v>
      </c>
      <c r="F16">
        <v>-1</v>
      </c>
      <c r="G16">
        <v>0</v>
      </c>
      <c r="H16">
        <v>-1</v>
      </c>
      <c r="I16">
        <v>4431.82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189.7</v>
      </c>
      <c r="C17">
        <v>8871.12</v>
      </c>
      <c r="D17">
        <v>138.95</v>
      </c>
      <c r="E17">
        <v>9232.73</v>
      </c>
      <c r="F17">
        <v>201.31</v>
      </c>
      <c r="G17">
        <v>10022.68</v>
      </c>
      <c r="H17">
        <v>174.81</v>
      </c>
      <c r="I17">
        <v>10171.57</v>
      </c>
      <c r="J17">
        <v>239.53</v>
      </c>
      <c r="K17">
        <v>8856.37</v>
      </c>
      <c r="L17">
        <v>-1</v>
      </c>
      <c r="M17">
        <v>0</v>
      </c>
    </row>
    <row r="18" spans="1:13">
      <c r="A18" t="s">
        <v>29</v>
      </c>
      <c r="B18">
        <v>156.63</v>
      </c>
      <c r="C18">
        <v>8448.06</v>
      </c>
      <c r="D18">
        <v>135.5</v>
      </c>
      <c r="E18">
        <v>9438.91</v>
      </c>
      <c r="F18">
        <v>168.95</v>
      </c>
      <c r="G18">
        <v>9450.23</v>
      </c>
      <c r="H18">
        <v>-1</v>
      </c>
      <c r="I18">
        <v>0</v>
      </c>
      <c r="J18">
        <v>175.43</v>
      </c>
      <c r="K18">
        <v>8347.92</v>
      </c>
      <c r="L18">
        <v>-1</v>
      </c>
      <c r="M18">
        <v>0</v>
      </c>
    </row>
    <row r="19" spans="1:13">
      <c r="A19" t="s">
        <v>30</v>
      </c>
      <c r="B19">
        <v>155.98</v>
      </c>
      <c r="C19">
        <v>8588.15</v>
      </c>
      <c r="D19">
        <v>137.77</v>
      </c>
      <c r="E19">
        <v>8893.63</v>
      </c>
      <c r="F19">
        <v>157.06</v>
      </c>
      <c r="G19">
        <v>9854.79</v>
      </c>
      <c r="H19">
        <v>161.76</v>
      </c>
      <c r="I19">
        <v>9757.73</v>
      </c>
      <c r="J19">
        <v>155.99</v>
      </c>
      <c r="K19">
        <v>8604.88</v>
      </c>
      <c r="L19">
        <v>-1</v>
      </c>
      <c r="M19">
        <v>0</v>
      </c>
    </row>
    <row r="20" spans="1:13">
      <c r="A20" t="s">
        <v>31</v>
      </c>
      <c r="B20">
        <v>185.78</v>
      </c>
      <c r="C20">
        <v>8858.94</v>
      </c>
      <c r="D20">
        <v>134.94</v>
      </c>
      <c r="E20">
        <v>9280.74</v>
      </c>
      <c r="F20">
        <v>196.09</v>
      </c>
      <c r="G20">
        <v>9851.59</v>
      </c>
      <c r="H20">
        <v>-1</v>
      </c>
      <c r="I20">
        <v>977.05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157.93</v>
      </c>
      <c r="C21">
        <v>8865.83</v>
      </c>
      <c r="D21">
        <v>138.91</v>
      </c>
      <c r="E21">
        <v>9317.21</v>
      </c>
      <c r="F21">
        <v>160.23</v>
      </c>
      <c r="G21">
        <v>10106.03</v>
      </c>
      <c r="H21">
        <v>-1</v>
      </c>
      <c r="I21">
        <v>5618.75</v>
      </c>
      <c r="J21">
        <v>158.37</v>
      </c>
      <c r="K21">
        <v>8842.52</v>
      </c>
      <c r="L21">
        <v>-1</v>
      </c>
      <c r="M21">
        <v>0</v>
      </c>
    </row>
    <row r="22" spans="1:13">
      <c r="A22" t="s">
        <v>33</v>
      </c>
      <c r="B22">
        <v>154.4</v>
      </c>
      <c r="C22">
        <v>8558.51</v>
      </c>
      <c r="D22">
        <v>137.38</v>
      </c>
      <c r="E22">
        <v>8859.14</v>
      </c>
      <c r="F22">
        <v>155.56</v>
      </c>
      <c r="G22">
        <v>9803.57</v>
      </c>
      <c r="H22">
        <v>-1</v>
      </c>
      <c r="I22">
        <v>0</v>
      </c>
      <c r="J22">
        <v>154.52</v>
      </c>
      <c r="K22">
        <v>8576.03</v>
      </c>
      <c r="L22">
        <v>-1</v>
      </c>
      <c r="M22">
        <v>0</v>
      </c>
    </row>
    <row r="23" spans="1:13">
      <c r="A23" t="s">
        <v>34</v>
      </c>
      <c r="B23">
        <v>153.66</v>
      </c>
      <c r="C23">
        <v>8788.29</v>
      </c>
      <c r="D23">
        <v>135.64</v>
      </c>
      <c r="E23">
        <v>8993.75</v>
      </c>
      <c r="F23">
        <v>154.76</v>
      </c>
      <c r="G23">
        <v>10088.77</v>
      </c>
      <c r="H23">
        <v>-1</v>
      </c>
      <c r="I23">
        <v>888.95</v>
      </c>
      <c r="J23">
        <v>153.69</v>
      </c>
      <c r="K23">
        <v>8810.64</v>
      </c>
      <c r="L23">
        <v>-1</v>
      </c>
      <c r="M23">
        <v>0</v>
      </c>
    </row>
    <row r="24" spans="1:13">
      <c r="A24" t="s">
        <v>35</v>
      </c>
      <c r="B24">
        <v>153.58</v>
      </c>
      <c r="C24">
        <v>8493.91</v>
      </c>
      <c r="D24">
        <v>136.41</v>
      </c>
      <c r="E24">
        <v>9029.79</v>
      </c>
      <c r="F24">
        <v>154.7</v>
      </c>
      <c r="G24">
        <v>9735.36</v>
      </c>
      <c r="H24">
        <v>-1</v>
      </c>
      <c r="I24">
        <v>804.38</v>
      </c>
      <c r="J24">
        <v>153.69</v>
      </c>
      <c r="K24">
        <v>8521.37</v>
      </c>
      <c r="L24">
        <v>-1</v>
      </c>
      <c r="M24">
        <v>0</v>
      </c>
    </row>
    <row r="25" spans="1:13">
      <c r="A25" t="s">
        <v>36</v>
      </c>
      <c r="B25">
        <v>187.9</v>
      </c>
      <c r="C25">
        <v>8716.97</v>
      </c>
      <c r="D25">
        <v>137.47</v>
      </c>
      <c r="E25">
        <v>9575.15</v>
      </c>
      <c r="F25">
        <v>196.18</v>
      </c>
      <c r="G25">
        <v>9755.49</v>
      </c>
      <c r="H25">
        <v>-1</v>
      </c>
      <c r="I25">
        <v>0</v>
      </c>
      <c r="J25">
        <v>-1</v>
      </c>
      <c r="K25">
        <v>222.75</v>
      </c>
      <c r="L25">
        <v>-1</v>
      </c>
      <c r="M25">
        <v>0</v>
      </c>
    </row>
    <row r="26" spans="1:13">
      <c r="A26" t="s">
        <v>37</v>
      </c>
      <c r="B26">
        <v>155.04</v>
      </c>
      <c r="C26">
        <v>8364.06</v>
      </c>
      <c r="D26">
        <v>137.06</v>
      </c>
      <c r="E26">
        <v>8528.42</v>
      </c>
      <c r="F26">
        <v>156.2</v>
      </c>
      <c r="G26">
        <v>9637.69</v>
      </c>
      <c r="H26">
        <v>182.99</v>
      </c>
      <c r="I26">
        <v>9503.14</v>
      </c>
      <c r="J26">
        <v>155.12</v>
      </c>
      <c r="K26">
        <v>8384.49</v>
      </c>
      <c r="L26">
        <v>-1</v>
      </c>
      <c r="M26">
        <v>0</v>
      </c>
    </row>
    <row r="29" spans="1:42">
      <c r="A29" s="2" t="s">
        <v>38</v>
      </c>
      <c r="B29" s="2" t="s">
        <v>39</v>
      </c>
      <c r="C29" s="2" t="s">
        <v>40</v>
      </c>
      <c r="D29" s="3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3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 t="s">
        <v>52</v>
      </c>
      <c r="P29" s="3" t="s">
        <v>53</v>
      </c>
      <c r="Q29" s="2" t="s">
        <v>54</v>
      </c>
      <c r="R29" s="2" t="s">
        <v>55</v>
      </c>
      <c r="S29" s="2" t="s">
        <v>56</v>
      </c>
      <c r="T29" s="2" t="s">
        <v>57</v>
      </c>
      <c r="U29" s="2" t="s">
        <v>58</v>
      </c>
      <c r="V29" s="3" t="s">
        <v>59</v>
      </c>
      <c r="W29" s="2" t="s">
        <v>60</v>
      </c>
      <c r="X29" s="2" t="s">
        <v>61</v>
      </c>
      <c r="Y29" s="2" t="s">
        <v>62</v>
      </c>
      <c r="Z29" s="2" t="s">
        <v>63</v>
      </c>
      <c r="AA29" s="2" t="s">
        <v>64</v>
      </c>
      <c r="AB29" s="3" t="s">
        <v>65</v>
      </c>
      <c r="AC29" s="2" t="s">
        <v>66</v>
      </c>
      <c r="AD29" s="2" t="s">
        <v>67</v>
      </c>
      <c r="AE29" s="2" t="s">
        <v>68</v>
      </c>
      <c r="AF29" s="2" t="s">
        <v>69</v>
      </c>
      <c r="AG29" s="2" t="s">
        <v>70</v>
      </c>
      <c r="AH29" s="3" t="s">
        <v>71</v>
      </c>
      <c r="AI29" s="2" t="s">
        <v>72</v>
      </c>
      <c r="AJ29" s="2" t="s">
        <v>73</v>
      </c>
      <c r="AK29" s="2" t="s">
        <v>74</v>
      </c>
      <c r="AL29" s="2" t="s">
        <v>75</v>
      </c>
      <c r="AM29" s="2" t="s">
        <v>76</v>
      </c>
      <c r="AN29" s="3" t="s">
        <v>77</v>
      </c>
      <c r="AO29" s="2" t="s">
        <v>78</v>
      </c>
      <c r="AP29" s="2" t="s">
        <v>79</v>
      </c>
    </row>
    <row r="30" spans="1:42">
      <c r="A30" s="4">
        <f>IFERROR(AVERAGEIF($B$2:$B$26,"&lt;&gt; -1"),0)</f>
        <v>169.8548</v>
      </c>
      <c r="B30" s="4">
        <f>IFERROR(AVERAGEIF($D$2:$D$26,"&lt;&gt; -1"),0)</f>
        <v>136.5668</v>
      </c>
      <c r="C30" s="4">
        <f>IFERROR(AVERAGEIF($F$2:$F$26,"&lt;&gt; -1"),0)</f>
        <v>172.3985</v>
      </c>
      <c r="D30" s="4">
        <f>IFERROR(AVERAGEIF($H$2:$H$26,"&lt;&gt; -1"),0)</f>
        <v>172.8</v>
      </c>
      <c r="E30" s="4">
        <f>IFERROR(AVERAGEIF($J$2:$J$26,"&lt;&gt; -1"),0)</f>
        <v>176.473125</v>
      </c>
      <c r="F30" s="4">
        <f>IFERROR(AVERAGEIF($L$2:$L$26,"&lt;&gt; -1"),0)</f>
        <v>0</v>
      </c>
      <c r="G30" s="4">
        <f>IFERROR(AVERAGEIFS($C$2:$C$26,$B$2:$B$26,"&lt;&gt; -1"),0)</f>
        <v>8758.364</v>
      </c>
      <c r="H30" s="4">
        <f>IFERROR(AVERAGEIFS($E$2:$E$26,$D$2:$D$26,"&lt;&gt; -1"),0)</f>
        <v>9158.0284</v>
      </c>
      <c r="I30" s="4">
        <f>IFERROR(AVERAGEIFS($G$2:$G$26,$F$2:$F$26,"&lt;&gt; -1"),0)</f>
        <v>9816.7625</v>
      </c>
      <c r="J30" s="4">
        <f>IFERROR(AVERAGEIFS($I$2:$I$26,$H$2:$H$26,"&lt;&gt; -1"),0)</f>
        <v>9870.255</v>
      </c>
      <c r="K30" s="4">
        <f>IFERROR(AVERAGEIFS($K$2:$K$26,$J$2:$J$26,"&lt;&gt; -1"),0)</f>
        <v>8620.7575</v>
      </c>
      <c r="L30" s="4">
        <f>IFERROR(AVERAGEIFS($M$2:$M$26,$L$2:$L$26,"&lt;&gt; -1"),0)</f>
        <v>0</v>
      </c>
      <c r="M30" s="4">
        <f>IFERROR(_xlfn.MAXIFS($B$2:$B$26,$B$2:$B$26,"&lt;&gt; -1"),0)</f>
        <v>190.75</v>
      </c>
      <c r="N30" s="4">
        <f>IFERROR(_xlfn.MAXIFS($D$2:$D$26,$D$2:$D$26,"&lt;&gt;-1"),0)</f>
        <v>140.2</v>
      </c>
      <c r="O30" s="4">
        <f>IFERROR(_xlfn.MAXIFS($F$2:$F$26,$F$2:$F$26,"&lt;&gt; -1"),0)</f>
        <v>201.31</v>
      </c>
      <c r="P30" s="4">
        <f>IFERROR(_xlfn.MAXIFS($H$2:$H$26,$H$2:$H$26,"&lt;&gt; -1"),0)</f>
        <v>203.82</v>
      </c>
      <c r="Q30" s="4">
        <f>IFERROR(_xlfn.MAXIFS($J$2:$J$26,$J$2:$J$26,"&lt;&gt; -1"),0)</f>
        <v>274.49</v>
      </c>
      <c r="R30" s="4">
        <f>IFERROR(_xlfn.MAXIFS($L$2:$L$26,$L$2:$L$26,"&lt;&gt; -1"),0)</f>
        <v>0</v>
      </c>
      <c r="S30" s="4">
        <f>IFERROR(_xlfn.MINIFS($B$2:$B$26,$B$2:$B$26,"&lt;&gt; -1"),0)</f>
        <v>150.93</v>
      </c>
      <c r="T30" s="4">
        <f>IFERROR(_xlfn.MINIFS($D$2:$D$26,$D$2:$D$26,"&lt;&gt;-1"),0)</f>
        <v>132.76</v>
      </c>
      <c r="U30" s="4">
        <f>IFERROR(_xlfn.MINIFS($F$2:$F$26,$F$2:$F$26,"&lt;&gt; -1"),0)</f>
        <v>152.07</v>
      </c>
      <c r="V30" s="4">
        <f>IFERROR(_xlfn.MINIFS($H$2:$H$26,$H$2:$H$26,"&lt;&gt; -1"),0)</f>
        <v>152.42</v>
      </c>
      <c r="W30" s="4">
        <f>IFERROR(_xlfn.MINIFS($J$2:$J$26,$J$2:$J$26,"&lt;&gt; -1"),0)</f>
        <v>151.02</v>
      </c>
      <c r="X30" s="4">
        <f>IFERROR(_xlfn.MINIFS($L$2:$L$26,$L$2:$L$26,"&lt;&gt; -1"),0)</f>
        <v>0</v>
      </c>
      <c r="Y30" s="4">
        <f>IFERROR(_xlfn.MAXIFS($C$2:$C$26,$B$2:$B$26,"&lt;&gt; -1"),0)</f>
        <v>9988.98</v>
      </c>
      <c r="Z30" s="4">
        <f>IFERROR(_xlfn.MAXIFS($E$2:$E$26,$D$2:$D$26,"&lt;&gt; -1"),0)</f>
        <v>9730.63</v>
      </c>
      <c r="AA30" s="4">
        <f>IFERROR(_xlfn.MAXIFS($G$2:$G$26,$F$2:$F$26,"&lt;&gt; -1"),0)</f>
        <v>10113.99</v>
      </c>
      <c r="AB30" s="4">
        <f>IFERROR(_xlfn.MAXIFS($I$2:$I$26,$H$2:$H$26,"&lt;&gt; -1"),0)</f>
        <v>10215.11</v>
      </c>
      <c r="AC30" s="4">
        <f>IFERROR(_xlfn.MAXIFS($K$2:$K$26,$J$2:$J$26,"&lt;&gt; -1"),0)</f>
        <v>8934.46</v>
      </c>
      <c r="AD30" s="4">
        <f>IFERROR(_xlfn.MAXIFS($M$2:$M$26,$L$2:$L$26,"&lt;&gt; -1"),0)</f>
        <v>0</v>
      </c>
      <c r="AE30" s="4">
        <f>IFERROR(_xlfn.MINIFS($C$2:$C$26,$B$2:$B$26,"&lt;&gt; -1"),0)</f>
        <v>8329</v>
      </c>
      <c r="AF30" s="4">
        <f>IFERROR(_xlfn.MINIFS($E$2:$E$26,$D$2:$D$26,"&lt;&gt; -1"),0)</f>
        <v>8414.48</v>
      </c>
      <c r="AG30" s="4">
        <f>IFERROR(_xlfn.MINIFS($G$2:$G$26,$F$2:$F$26,"&lt;&gt; -1"),0)</f>
        <v>9450.23</v>
      </c>
      <c r="AH30" s="4">
        <f>IFERROR(_xlfn.MINIFS($I$2:$I$26,$H$2:$H$26,"&lt;&gt; -1"),0)</f>
        <v>9503.14</v>
      </c>
      <c r="AI30" s="4">
        <f>IFERROR(_xlfn.MINIFS($K$2:$K$26,$J$2:$J$26,"&lt;&gt; -1"),0)</f>
        <v>8344.56</v>
      </c>
      <c r="AJ30" s="4">
        <f>IFERROR(_xlfn.MINIFS($M$2:$M$26,$L$2:$L$26,"&lt;&gt; -1"),0)</f>
        <v>0</v>
      </c>
      <c r="AK30" s="4">
        <f>(COUNTIFS($B$2:$B$26,"&gt;0.0",$B$2:$B$26,"&lt;300.0"))/25</f>
        <v>1</v>
      </c>
      <c r="AL30" s="4">
        <f>(COUNTIFS($D$2:$D$26,"&gt;0.0",$D$2:$D$26,"&lt;300.0"))/25</f>
        <v>1</v>
      </c>
      <c r="AM30" s="4">
        <f>(COUNTIFS($F$2:$F$26,"&gt;0.0",$F$2:$F$26,"&lt;300.0"))/25</f>
        <v>0.8</v>
      </c>
      <c r="AN30" s="4">
        <f>(COUNTIFS($H$2:$H26,"&gt;0.0",$H$2:$H$26,"&lt;300.0"))/25</f>
        <v>0.24</v>
      </c>
      <c r="AO30" s="4">
        <f>(COUNTIFS($J$2:$J$26,"&gt;0.0",$J$2:$J$26,"&lt;300.0"))/25</f>
        <v>0.64</v>
      </c>
      <c r="AP30" s="4">
        <f>(COUNTIFS($L$2:$L$26,"&gt;0.0",$L$2:$L$26,"&lt;300.0"))/25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G15" sqref="G15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196.5844</v>
      </c>
      <c r="B2">
        <v>92.9976</v>
      </c>
      <c r="C2">
        <v>198.522083333333</v>
      </c>
      <c r="D2">
        <v>102.771428571429</v>
      </c>
      <c r="E2">
        <v>204.142173913044</v>
      </c>
      <c r="F2">
        <v>120.5825</v>
      </c>
      <c r="G2">
        <v>8544.2272</v>
      </c>
      <c r="H2">
        <v>8711.8964</v>
      </c>
      <c r="I2">
        <v>9771.795</v>
      </c>
      <c r="J2">
        <v>9803.58428571428</v>
      </c>
      <c r="K2">
        <v>8556.54434782609</v>
      </c>
      <c r="L2">
        <v>8604.425</v>
      </c>
      <c r="M2">
        <v>210.91</v>
      </c>
      <c r="N2">
        <v>96.15</v>
      </c>
      <c r="O2">
        <v>218.52</v>
      </c>
      <c r="P2">
        <v>117.41</v>
      </c>
      <c r="Q2">
        <v>283.45</v>
      </c>
      <c r="R2">
        <v>186.45</v>
      </c>
      <c r="S2">
        <v>162.75</v>
      </c>
      <c r="T2">
        <v>88.54</v>
      </c>
      <c r="U2">
        <v>163.87</v>
      </c>
      <c r="V2">
        <v>91.4</v>
      </c>
      <c r="W2">
        <v>162.82</v>
      </c>
      <c r="X2">
        <v>89.03</v>
      </c>
      <c r="Y2">
        <v>8878.47</v>
      </c>
      <c r="Z2">
        <v>9365.97</v>
      </c>
      <c r="AA2">
        <v>10159.58</v>
      </c>
      <c r="AB2">
        <v>10405.62</v>
      </c>
      <c r="AC2">
        <v>8902.41</v>
      </c>
      <c r="AD2">
        <v>8798.88</v>
      </c>
      <c r="AE2">
        <v>8196.37</v>
      </c>
      <c r="AF2">
        <v>8171.24</v>
      </c>
      <c r="AG2">
        <v>9421.57</v>
      </c>
      <c r="AH2">
        <v>9293.36</v>
      </c>
      <c r="AI2">
        <v>8241.43</v>
      </c>
      <c r="AJ2">
        <v>8160.61</v>
      </c>
      <c r="AK2">
        <v>1</v>
      </c>
      <c r="AL2">
        <v>1</v>
      </c>
      <c r="AM2">
        <v>0.96</v>
      </c>
      <c r="AN2" t="e">
        <v>#VALUE!</v>
      </c>
      <c r="AO2">
        <v>0.92</v>
      </c>
      <c r="AP2">
        <v>0.48</v>
      </c>
    </row>
    <row r="3" spans="1:42">
      <c r="A3">
        <v>206.0928</v>
      </c>
      <c r="B3">
        <v>102.2728</v>
      </c>
      <c r="C3">
        <v>210.349166666667</v>
      </c>
      <c r="D3">
        <v>144.278666666667</v>
      </c>
      <c r="E3">
        <v>214.540555555556</v>
      </c>
      <c r="F3">
        <v>0</v>
      </c>
      <c r="G3">
        <v>8641.2908</v>
      </c>
      <c r="H3">
        <v>8956.5736</v>
      </c>
      <c r="I3">
        <v>9807.90333333333</v>
      </c>
      <c r="J3">
        <v>9802.38666666667</v>
      </c>
      <c r="K3">
        <v>8587.41333333333</v>
      </c>
      <c r="L3">
        <v>0</v>
      </c>
      <c r="M3">
        <v>217.06</v>
      </c>
      <c r="N3">
        <v>104.83</v>
      </c>
      <c r="O3">
        <v>228.06</v>
      </c>
      <c r="P3">
        <v>186</v>
      </c>
      <c r="Q3">
        <v>254.19</v>
      </c>
      <c r="R3">
        <v>0</v>
      </c>
      <c r="S3">
        <v>171.25</v>
      </c>
      <c r="T3">
        <v>99.45</v>
      </c>
      <c r="U3">
        <v>173.67</v>
      </c>
      <c r="V3">
        <v>105.94</v>
      </c>
      <c r="W3">
        <v>173.28</v>
      </c>
      <c r="X3">
        <v>0</v>
      </c>
      <c r="Y3">
        <v>9098.77</v>
      </c>
      <c r="Z3">
        <v>9491.46</v>
      </c>
      <c r="AA3">
        <v>10171.16</v>
      </c>
      <c r="AB3">
        <v>10163.67</v>
      </c>
      <c r="AC3">
        <v>8909.6</v>
      </c>
      <c r="AD3">
        <v>0</v>
      </c>
      <c r="AE3">
        <v>8181.08</v>
      </c>
      <c r="AF3">
        <v>8004.31</v>
      </c>
      <c r="AG3">
        <v>9405.8</v>
      </c>
      <c r="AH3">
        <v>9035.22</v>
      </c>
      <c r="AI3">
        <v>8247.89</v>
      </c>
      <c r="AJ3">
        <v>0</v>
      </c>
      <c r="AK3">
        <v>1</v>
      </c>
      <c r="AL3">
        <v>1</v>
      </c>
      <c r="AM3">
        <v>0.96</v>
      </c>
      <c r="AN3" t="e">
        <v>#VALUE!</v>
      </c>
      <c r="AO3">
        <v>0.72</v>
      </c>
      <c r="AP3">
        <v>0</v>
      </c>
    </row>
    <row r="4" spans="1:42">
      <c r="A4">
        <v>226.337826086957</v>
      </c>
      <c r="B4">
        <v>111.0476</v>
      </c>
      <c r="C4">
        <v>0</v>
      </c>
      <c r="D4">
        <v>127.724</v>
      </c>
      <c r="E4">
        <v>0</v>
      </c>
      <c r="F4">
        <v>144.915</v>
      </c>
      <c r="G4">
        <v>9256.89869565217</v>
      </c>
      <c r="H4">
        <v>8854.52</v>
      </c>
      <c r="I4">
        <v>0</v>
      </c>
      <c r="J4">
        <v>9700.79133333333</v>
      </c>
      <c r="K4">
        <v>0</v>
      </c>
      <c r="L4">
        <v>8492.23</v>
      </c>
      <c r="M4">
        <v>231.15</v>
      </c>
      <c r="N4">
        <v>115.11</v>
      </c>
      <c r="O4">
        <v>0</v>
      </c>
      <c r="P4">
        <v>163.8</v>
      </c>
      <c r="Q4">
        <v>0</v>
      </c>
      <c r="R4">
        <v>154.2</v>
      </c>
      <c r="S4">
        <v>216.95</v>
      </c>
      <c r="T4">
        <v>105.63</v>
      </c>
      <c r="U4">
        <v>0</v>
      </c>
      <c r="V4">
        <v>113.78</v>
      </c>
      <c r="W4">
        <v>0</v>
      </c>
      <c r="X4">
        <v>135.63</v>
      </c>
      <c r="Y4">
        <v>9804.87</v>
      </c>
      <c r="Z4">
        <v>9414.54</v>
      </c>
      <c r="AA4">
        <v>0</v>
      </c>
      <c r="AB4">
        <v>10001.69</v>
      </c>
      <c r="AC4">
        <v>0</v>
      </c>
      <c r="AD4">
        <v>8829.21</v>
      </c>
      <c r="AE4">
        <v>8861.38</v>
      </c>
      <c r="AF4">
        <v>8206.71</v>
      </c>
      <c r="AG4">
        <v>0</v>
      </c>
      <c r="AH4">
        <v>9174.55</v>
      </c>
      <c r="AI4">
        <v>0</v>
      </c>
      <c r="AJ4">
        <v>8155.25</v>
      </c>
      <c r="AK4">
        <v>0.92</v>
      </c>
      <c r="AL4">
        <v>1</v>
      </c>
      <c r="AM4">
        <v>0</v>
      </c>
      <c r="AN4">
        <v>0.6</v>
      </c>
      <c r="AO4">
        <v>0</v>
      </c>
      <c r="AP4">
        <v>0.08</v>
      </c>
    </row>
    <row r="5" spans="1:42">
      <c r="A5">
        <v>227.272941176471</v>
      </c>
      <c r="B5">
        <v>119.0724</v>
      </c>
      <c r="C5">
        <v>0</v>
      </c>
      <c r="D5">
        <v>139.773571428571</v>
      </c>
      <c r="E5">
        <v>0</v>
      </c>
      <c r="F5">
        <v>120.66</v>
      </c>
      <c r="G5">
        <v>9544.08117647059</v>
      </c>
      <c r="H5">
        <v>8974.1648</v>
      </c>
      <c r="I5">
        <v>0</v>
      </c>
      <c r="J5">
        <v>9765.60785714286</v>
      </c>
      <c r="K5">
        <v>0</v>
      </c>
      <c r="L5">
        <v>8511.47</v>
      </c>
      <c r="M5">
        <v>235.15</v>
      </c>
      <c r="N5">
        <v>123.73</v>
      </c>
      <c r="O5">
        <v>0</v>
      </c>
      <c r="P5">
        <v>189.04</v>
      </c>
      <c r="Q5">
        <v>0</v>
      </c>
      <c r="R5">
        <v>120.66</v>
      </c>
      <c r="S5">
        <v>221.12</v>
      </c>
      <c r="T5">
        <v>115.35</v>
      </c>
      <c r="U5">
        <v>0</v>
      </c>
      <c r="V5">
        <v>122.08</v>
      </c>
      <c r="W5">
        <v>0</v>
      </c>
      <c r="X5">
        <v>120.66</v>
      </c>
      <c r="Y5">
        <v>9782.44</v>
      </c>
      <c r="Z5">
        <v>9982.27</v>
      </c>
      <c r="AA5">
        <v>0</v>
      </c>
      <c r="AB5">
        <v>10280.84</v>
      </c>
      <c r="AC5">
        <v>0</v>
      </c>
      <c r="AD5">
        <v>8511.47</v>
      </c>
      <c r="AE5">
        <v>9282.11</v>
      </c>
      <c r="AF5">
        <v>8402.38</v>
      </c>
      <c r="AG5">
        <v>0</v>
      </c>
      <c r="AH5">
        <v>9367.83</v>
      </c>
      <c r="AI5">
        <v>0</v>
      </c>
      <c r="AJ5">
        <v>8511.47</v>
      </c>
      <c r="AK5">
        <v>0.68</v>
      </c>
      <c r="AL5">
        <v>1</v>
      </c>
      <c r="AM5">
        <v>0</v>
      </c>
      <c r="AN5">
        <v>0.56</v>
      </c>
      <c r="AO5">
        <v>0</v>
      </c>
      <c r="AP5">
        <v>0.04</v>
      </c>
    </row>
    <row r="6" spans="1:42">
      <c r="A6">
        <v>233.735</v>
      </c>
      <c r="B6">
        <v>126.6276</v>
      </c>
      <c r="C6">
        <v>0</v>
      </c>
      <c r="D6">
        <v>151.465625</v>
      </c>
      <c r="E6">
        <v>0</v>
      </c>
      <c r="F6">
        <v>132.02</v>
      </c>
      <c r="G6">
        <v>9543.1725</v>
      </c>
      <c r="H6">
        <v>9031.8956</v>
      </c>
      <c r="I6">
        <v>0</v>
      </c>
      <c r="J6">
        <v>9838.1275</v>
      </c>
      <c r="K6">
        <v>0</v>
      </c>
      <c r="L6">
        <v>8501.47</v>
      </c>
      <c r="M6">
        <v>304.55</v>
      </c>
      <c r="N6">
        <v>131.33</v>
      </c>
      <c r="O6">
        <v>0</v>
      </c>
      <c r="P6">
        <v>191.59</v>
      </c>
      <c r="Q6">
        <v>0</v>
      </c>
      <c r="R6">
        <v>132.02</v>
      </c>
      <c r="S6">
        <v>220.17</v>
      </c>
      <c r="T6">
        <v>122.46</v>
      </c>
      <c r="U6">
        <v>0</v>
      </c>
      <c r="V6">
        <v>127.42</v>
      </c>
      <c r="W6">
        <v>0</v>
      </c>
      <c r="X6">
        <v>132.02</v>
      </c>
      <c r="Y6">
        <v>9954.17</v>
      </c>
      <c r="Z6">
        <v>9790.28</v>
      </c>
      <c r="AA6">
        <v>0</v>
      </c>
      <c r="AB6">
        <v>10304.98</v>
      </c>
      <c r="AC6">
        <v>0</v>
      </c>
      <c r="AD6">
        <v>8501.47</v>
      </c>
      <c r="AE6">
        <v>9130.07</v>
      </c>
      <c r="AF6">
        <v>8523.19</v>
      </c>
      <c r="AG6">
        <v>0</v>
      </c>
      <c r="AH6">
        <v>9388.99</v>
      </c>
      <c r="AI6">
        <v>0</v>
      </c>
      <c r="AJ6">
        <v>8501.47</v>
      </c>
      <c r="AK6">
        <v>0.6</v>
      </c>
      <c r="AL6">
        <v>1</v>
      </c>
      <c r="AM6">
        <v>0</v>
      </c>
      <c r="AN6">
        <v>0.64</v>
      </c>
      <c r="AO6">
        <v>0</v>
      </c>
      <c r="AP6">
        <v>0.04</v>
      </c>
    </row>
    <row r="7" spans="1:42">
      <c r="A7">
        <v>169.8548</v>
      </c>
      <c r="B7">
        <v>136.5668</v>
      </c>
      <c r="C7">
        <v>172.3985</v>
      </c>
      <c r="D7">
        <v>172.8</v>
      </c>
      <c r="E7">
        <v>176.473125</v>
      </c>
      <c r="F7">
        <v>0</v>
      </c>
      <c r="G7">
        <v>8758.364</v>
      </c>
      <c r="H7">
        <v>9158.0284</v>
      </c>
      <c r="I7">
        <v>9816.7625</v>
      </c>
      <c r="J7">
        <v>9870.255</v>
      </c>
      <c r="K7">
        <v>8620.7575</v>
      </c>
      <c r="L7">
        <v>0</v>
      </c>
      <c r="M7">
        <v>190.75</v>
      </c>
      <c r="N7">
        <v>140.2</v>
      </c>
      <c r="O7">
        <v>201.31</v>
      </c>
      <c r="P7">
        <v>203.82</v>
      </c>
      <c r="Q7">
        <v>274.49</v>
      </c>
      <c r="R7">
        <v>0</v>
      </c>
      <c r="S7">
        <v>150.93</v>
      </c>
      <c r="T7">
        <v>132.76</v>
      </c>
      <c r="U7">
        <v>152.07</v>
      </c>
      <c r="V7">
        <v>152.42</v>
      </c>
      <c r="W7">
        <v>151.02</v>
      </c>
      <c r="X7">
        <v>0</v>
      </c>
      <c r="Y7">
        <v>9988.98</v>
      </c>
      <c r="Z7">
        <v>9730.63</v>
      </c>
      <c r="AA7">
        <v>10113.99</v>
      </c>
      <c r="AB7">
        <v>10215.11</v>
      </c>
      <c r="AC7">
        <v>8934.46</v>
      </c>
      <c r="AD7">
        <v>0</v>
      </c>
      <c r="AE7">
        <v>8329</v>
      </c>
      <c r="AF7">
        <v>8414.48</v>
      </c>
      <c r="AG7">
        <v>9450.23</v>
      </c>
      <c r="AH7">
        <v>9503.14</v>
      </c>
      <c r="AI7">
        <v>8344.56</v>
      </c>
      <c r="AJ7">
        <v>0</v>
      </c>
      <c r="AK7">
        <v>1</v>
      </c>
      <c r="AL7">
        <v>1</v>
      </c>
      <c r="AM7">
        <v>0.8</v>
      </c>
      <c r="AN7">
        <v>0.24</v>
      </c>
      <c r="AO7">
        <v>0.64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2024-09-28T23:52:00Z</dcterms:created>
  <dcterms:modified xsi:type="dcterms:W3CDTF">2024-09-29T01:16:39Z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EE4B1D3BAAAE413F9A5E3A00C991BA64_12</vt:lpwstr>
  </property>
  <property fmtid="{D5CDD505-2E9C-101B-9397-08002B2CF9AE}" pid="3" name="KSOProductBuildVer">
    <vt:lpwstr>2052-12.1.0.17827</vt:lpwstr>
  </property>
</Properties>
</file>