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firstSheet="2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<sst xmlns="http://schemas.openxmlformats.org/spreadsheetml/2006/main" count="522" uniqueCount="80">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</sst>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</numFmts>
  <fonts count="23">
    <font>
      <sz val="12"/>
      <name val="宋体"/>
      <charset val="134"/>
    </font>
    <font>
      <b/>
      <sz val="12"/>
      <name val="Times New Roman"/>
      <charset val="0"/>
    </font>
    <font>
      <b/>
      <sz val="14"/>
      <name val="Times New Roman"/>
      <charset val="0"/>
    </font>
    <font>
      <sz val="12"/>
      <name val="Times New Roman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/>
    <xf numFmtId="178" fontId="4" fillId="2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zoomScale="85" zoomScaleNormal="85" topLeftCell="R1" workbookViewId="0">
      <selection activeCell="V28" sqref="A28:AP29"/>
    </sheetView>
  </sheetViews>
  <sheetFormatPr defaultColWidth="9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4466.09</v>
      </c>
      <c r="C2">
        <v>64684.99</v>
      </c>
      <c r="D2">
        <v>4360.15</v>
      </c>
      <c r="E2">
        <v>64567.2</v>
      </c>
      <c r="F2" s="10">
        <v>-1</v>
      </c>
      <c r="G2" s="10">
        <v>0</v>
      </c>
      <c r="H2" s="10">
        <v>-1</v>
      </c>
      <c r="I2" s="10">
        <v>0</v>
      </c>
      <c r="J2" s="10">
        <v>4516.81</v>
      </c>
      <c r="K2" s="10">
        <v>64731.82</v>
      </c>
      <c r="L2" s="10">
        <v>-1</v>
      </c>
      <c r="M2" s="10">
        <v>0</v>
      </c>
    </row>
    <row r="3" spans="1:13">
      <c r="A3" t="s">
        <v>14</v>
      </c>
      <c r="B3">
        <v>4502.75</v>
      </c>
      <c r="C3">
        <v>63187.18</v>
      </c>
      <c r="D3">
        <v>4398.44</v>
      </c>
      <c r="E3">
        <v>65274.47</v>
      </c>
      <c r="F3" s="10">
        <v>-1</v>
      </c>
      <c r="G3" s="10">
        <v>0</v>
      </c>
      <c r="H3" s="10">
        <v>-1</v>
      </c>
      <c r="I3" s="10">
        <v>0</v>
      </c>
      <c r="J3" s="10">
        <v>-1</v>
      </c>
      <c r="K3" s="10">
        <v>0</v>
      </c>
      <c r="L3" s="10">
        <v>-1</v>
      </c>
      <c r="M3" s="10">
        <v>0</v>
      </c>
    </row>
    <row r="4" spans="1:13">
      <c r="A4" t="s">
        <v>15</v>
      </c>
      <c r="B4">
        <v>4832.87</v>
      </c>
      <c r="C4">
        <v>63548.04</v>
      </c>
      <c r="D4">
        <v>4721.41</v>
      </c>
      <c r="E4">
        <v>63545.27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-1</v>
      </c>
      <c r="M4" s="10">
        <v>0</v>
      </c>
    </row>
    <row r="5" spans="1:13">
      <c r="A5" t="s">
        <v>16</v>
      </c>
      <c r="B5">
        <v>4672.06</v>
      </c>
      <c r="C5">
        <v>65394.14</v>
      </c>
      <c r="D5">
        <v>4568.55</v>
      </c>
      <c r="E5">
        <v>67315.15</v>
      </c>
      <c r="F5" s="10">
        <v>-1</v>
      </c>
      <c r="G5" s="10">
        <v>0</v>
      </c>
      <c r="H5" s="10">
        <v>-1</v>
      </c>
      <c r="I5" s="10">
        <v>0</v>
      </c>
      <c r="J5" s="10">
        <v>4702.9</v>
      </c>
      <c r="K5" s="10">
        <v>65423.96</v>
      </c>
      <c r="L5" s="10">
        <v>-1</v>
      </c>
      <c r="M5" s="10">
        <v>0</v>
      </c>
    </row>
    <row r="6" spans="1:13">
      <c r="A6" t="s">
        <v>17</v>
      </c>
      <c r="B6">
        <v>4531.84</v>
      </c>
      <c r="C6">
        <v>63469.13</v>
      </c>
      <c r="D6">
        <v>4425.46</v>
      </c>
      <c r="E6">
        <v>63835.67</v>
      </c>
      <c r="F6" s="10">
        <v>-1</v>
      </c>
      <c r="G6" s="10">
        <v>0</v>
      </c>
      <c r="H6" s="10">
        <v>-1</v>
      </c>
      <c r="I6" s="10">
        <v>0</v>
      </c>
      <c r="J6" s="10">
        <v>4561.66</v>
      </c>
      <c r="K6" s="10">
        <v>63482.52</v>
      </c>
      <c r="L6" s="10">
        <v>-1</v>
      </c>
      <c r="M6" s="10">
        <v>0</v>
      </c>
    </row>
    <row r="7" spans="1:13">
      <c r="A7" t="s">
        <v>18</v>
      </c>
      <c r="B7">
        <v>4634.51</v>
      </c>
      <c r="C7">
        <v>66095.29</v>
      </c>
      <c r="D7">
        <v>4531.34</v>
      </c>
      <c r="E7">
        <v>66355.22</v>
      </c>
      <c r="F7" s="10">
        <v>-1</v>
      </c>
      <c r="G7" s="10">
        <v>0</v>
      </c>
      <c r="H7" s="10">
        <v>-1</v>
      </c>
      <c r="I7" s="10">
        <v>0</v>
      </c>
      <c r="J7" s="10">
        <v>4663.49</v>
      </c>
      <c r="K7" s="10">
        <v>66124.19</v>
      </c>
      <c r="L7" s="10">
        <v>-1</v>
      </c>
      <c r="M7" s="10">
        <v>0</v>
      </c>
    </row>
    <row r="8" spans="1:13">
      <c r="A8" t="s">
        <v>19</v>
      </c>
      <c r="B8">
        <v>4562.84</v>
      </c>
      <c r="C8">
        <v>66139.86</v>
      </c>
      <c r="D8">
        <v>4456.73</v>
      </c>
      <c r="E8">
        <v>67423.83</v>
      </c>
      <c r="F8" s="10">
        <v>-1</v>
      </c>
      <c r="G8" s="10">
        <v>0</v>
      </c>
      <c r="H8" s="10">
        <v>-1</v>
      </c>
      <c r="I8" s="10">
        <v>0</v>
      </c>
      <c r="J8" s="10">
        <v>4592.85</v>
      </c>
      <c r="K8" s="10">
        <v>66154.17</v>
      </c>
      <c r="L8" s="10">
        <v>-1</v>
      </c>
      <c r="M8" s="10">
        <v>0</v>
      </c>
    </row>
    <row r="9" spans="1:13">
      <c r="A9" t="s">
        <v>20</v>
      </c>
      <c r="B9">
        <v>4533.29</v>
      </c>
      <c r="C9">
        <v>64147.05</v>
      </c>
      <c r="D9">
        <v>4430.12</v>
      </c>
      <c r="E9">
        <v>66872.97</v>
      </c>
      <c r="F9" s="10">
        <v>-1</v>
      </c>
      <c r="G9" s="10">
        <v>0</v>
      </c>
      <c r="H9" s="10">
        <v>-1</v>
      </c>
      <c r="I9" s="10">
        <v>0</v>
      </c>
      <c r="J9" s="10">
        <v>4562.24</v>
      </c>
      <c r="K9" s="10">
        <v>64164.72</v>
      </c>
      <c r="L9" s="10">
        <v>-1</v>
      </c>
      <c r="M9" s="10">
        <v>0</v>
      </c>
    </row>
    <row r="10" spans="1:13">
      <c r="A10" t="s">
        <v>21</v>
      </c>
      <c r="B10">
        <v>4627.43</v>
      </c>
      <c r="C10">
        <v>65350.16</v>
      </c>
      <c r="D10">
        <v>4523.49</v>
      </c>
      <c r="E10">
        <v>66656.45</v>
      </c>
      <c r="F10" s="10">
        <v>-1</v>
      </c>
      <c r="G10" s="10">
        <v>0</v>
      </c>
      <c r="H10" s="10">
        <v>-1</v>
      </c>
      <c r="I10" s="10">
        <v>0</v>
      </c>
      <c r="J10" s="10">
        <v>4658.47</v>
      </c>
      <c r="K10" s="10">
        <v>65370.89</v>
      </c>
      <c r="L10" s="10">
        <v>-1</v>
      </c>
      <c r="M10" s="10">
        <v>0</v>
      </c>
    </row>
    <row r="11" spans="1:13">
      <c r="A11" t="s">
        <v>22</v>
      </c>
      <c r="B11">
        <v>4727.39</v>
      </c>
      <c r="C11">
        <v>66799.44</v>
      </c>
      <c r="D11">
        <v>4622.44</v>
      </c>
      <c r="E11">
        <v>68166.79</v>
      </c>
      <c r="F11" s="10">
        <v>-1</v>
      </c>
      <c r="G11" s="10">
        <v>0</v>
      </c>
      <c r="H11" s="10">
        <v>-1</v>
      </c>
      <c r="I11" s="10">
        <v>0</v>
      </c>
      <c r="J11" s="10">
        <v>4756.83</v>
      </c>
      <c r="K11" s="10">
        <v>66827.86</v>
      </c>
      <c r="L11" s="10">
        <v>-1</v>
      </c>
      <c r="M11" s="10">
        <v>0</v>
      </c>
    </row>
    <row r="12" spans="1:13">
      <c r="A12" t="s">
        <v>23</v>
      </c>
      <c r="B12">
        <v>4511.15</v>
      </c>
      <c r="C12">
        <v>62191.2</v>
      </c>
      <c r="D12">
        <v>4406.02</v>
      </c>
      <c r="E12">
        <v>63751.56</v>
      </c>
      <c r="F12" s="10">
        <v>-1</v>
      </c>
      <c r="G12" s="10">
        <v>0</v>
      </c>
      <c r="H12" s="10">
        <v>-1</v>
      </c>
      <c r="I12" s="10">
        <v>0</v>
      </c>
      <c r="J12" s="10">
        <v>-1</v>
      </c>
      <c r="K12" s="10">
        <v>0</v>
      </c>
      <c r="L12" s="10">
        <v>-1</v>
      </c>
      <c r="M12" s="10">
        <v>0</v>
      </c>
    </row>
    <row r="13" spans="1:13">
      <c r="A13" t="s">
        <v>24</v>
      </c>
      <c r="B13">
        <v>4638.56</v>
      </c>
      <c r="C13">
        <v>65180.19</v>
      </c>
      <c r="D13">
        <v>4534.03</v>
      </c>
      <c r="E13">
        <v>65682.66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4605.89</v>
      </c>
      <c r="C14">
        <v>65414.02</v>
      </c>
      <c r="D14">
        <v>4499.09</v>
      </c>
      <c r="E14">
        <v>63967.77</v>
      </c>
      <c r="F14" s="10">
        <v>-1</v>
      </c>
      <c r="G14" s="10">
        <v>0</v>
      </c>
      <c r="H14" s="10">
        <v>-1</v>
      </c>
      <c r="I14" s="10">
        <v>0</v>
      </c>
      <c r="J14" s="10">
        <v>4635.91</v>
      </c>
      <c r="K14" s="10">
        <v>65429.16</v>
      </c>
      <c r="L14" s="10">
        <v>-1</v>
      </c>
      <c r="M14" s="10">
        <v>0</v>
      </c>
    </row>
    <row r="15" spans="1:13">
      <c r="A15" t="s">
        <v>26</v>
      </c>
      <c r="B15">
        <v>4607.89</v>
      </c>
      <c r="C15">
        <v>64573.46</v>
      </c>
      <c r="D15">
        <v>4503.95</v>
      </c>
      <c r="E15">
        <v>65850.66</v>
      </c>
      <c r="F15" s="10">
        <v>-1</v>
      </c>
      <c r="G15" s="10">
        <v>0</v>
      </c>
      <c r="H15" s="10">
        <v>-1</v>
      </c>
      <c r="I15" s="10">
        <v>0</v>
      </c>
      <c r="J15" s="10">
        <v>4640.16</v>
      </c>
      <c r="K15" s="10">
        <v>64593.54</v>
      </c>
      <c r="L15" s="10">
        <v>-1</v>
      </c>
      <c r="M15" s="10">
        <v>0</v>
      </c>
    </row>
    <row r="16" spans="1:13">
      <c r="A16" t="s">
        <v>27</v>
      </c>
      <c r="B16">
        <v>4531.77</v>
      </c>
      <c r="C16">
        <v>64183.06</v>
      </c>
      <c r="D16">
        <v>4427.38</v>
      </c>
      <c r="E16">
        <v>65597.97</v>
      </c>
      <c r="F16" s="10">
        <v>-1</v>
      </c>
      <c r="G16" s="10">
        <v>0</v>
      </c>
      <c r="H16" s="10">
        <v>-1</v>
      </c>
      <c r="I16" s="10">
        <v>0</v>
      </c>
      <c r="J16" s="10">
        <v>-1</v>
      </c>
      <c r="K16" s="10">
        <v>0</v>
      </c>
      <c r="L16" s="10">
        <v>-1</v>
      </c>
      <c r="M16" s="10">
        <v>0</v>
      </c>
    </row>
    <row r="17" spans="1:13">
      <c r="A17" t="s">
        <v>28</v>
      </c>
      <c r="B17">
        <v>4498.92</v>
      </c>
      <c r="C17">
        <v>63570.36</v>
      </c>
      <c r="D17">
        <v>4397.76</v>
      </c>
      <c r="E17">
        <v>66982.96</v>
      </c>
      <c r="F17" s="10">
        <v>-1</v>
      </c>
      <c r="G17" s="10">
        <v>0</v>
      </c>
      <c r="H17" s="10">
        <v>-1</v>
      </c>
      <c r="I17" s="10">
        <v>0</v>
      </c>
      <c r="J17" s="10">
        <v>4531.29</v>
      </c>
      <c r="K17" s="10">
        <v>63595.16</v>
      </c>
      <c r="L17" s="10">
        <v>-1</v>
      </c>
      <c r="M17" s="10">
        <v>0</v>
      </c>
    </row>
    <row r="18" spans="1:13">
      <c r="A18" t="s">
        <v>29</v>
      </c>
      <c r="B18">
        <v>4372.55</v>
      </c>
      <c r="C18">
        <v>63310.04</v>
      </c>
      <c r="D18">
        <v>4268.71</v>
      </c>
      <c r="E18">
        <v>63785.61</v>
      </c>
      <c r="F18" s="10">
        <v>-1</v>
      </c>
      <c r="G18" s="10">
        <v>0</v>
      </c>
      <c r="H18" s="10">
        <v>-1</v>
      </c>
      <c r="I18" s="10">
        <v>0</v>
      </c>
      <c r="J18" s="10">
        <v>-1</v>
      </c>
      <c r="K18" s="10">
        <v>0</v>
      </c>
      <c r="L18" s="10">
        <v>-1</v>
      </c>
      <c r="M18" s="10">
        <v>0</v>
      </c>
    </row>
    <row r="19" spans="1:13">
      <c r="A19" t="s">
        <v>30</v>
      </c>
      <c r="B19">
        <v>4638.3</v>
      </c>
      <c r="C19">
        <v>65690.64</v>
      </c>
      <c r="D19">
        <v>4535.37</v>
      </c>
      <c r="E19">
        <v>68050.9</v>
      </c>
      <c r="F19" s="10">
        <v>-1</v>
      </c>
      <c r="G19" s="10">
        <v>0</v>
      </c>
      <c r="H19" s="10">
        <v>-1</v>
      </c>
      <c r="I19" s="10">
        <v>0</v>
      </c>
      <c r="J19" s="10">
        <v>4668.72</v>
      </c>
      <c r="K19" s="10">
        <v>65718.65</v>
      </c>
      <c r="L19" s="10">
        <v>-1</v>
      </c>
      <c r="M19" s="10">
        <v>0</v>
      </c>
    </row>
    <row r="20" spans="1:13">
      <c r="A20" t="s">
        <v>31</v>
      </c>
      <c r="B20">
        <v>4403.59</v>
      </c>
      <c r="C20">
        <v>62828.17</v>
      </c>
      <c r="D20">
        <v>4299.58</v>
      </c>
      <c r="E20">
        <v>62896.09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4544.61</v>
      </c>
      <c r="C21">
        <v>63531.48</v>
      </c>
      <c r="D21">
        <v>4441.48</v>
      </c>
      <c r="E21">
        <v>65811.22</v>
      </c>
      <c r="F21" s="10">
        <v>-1</v>
      </c>
      <c r="G21" s="10">
        <v>0</v>
      </c>
      <c r="H21" s="10">
        <v>-1</v>
      </c>
      <c r="I21" s="10">
        <v>0</v>
      </c>
      <c r="J21" s="10">
        <v>-1</v>
      </c>
      <c r="K21" s="10">
        <v>0</v>
      </c>
      <c r="L21" s="10">
        <v>-1</v>
      </c>
      <c r="M21" s="10">
        <v>0</v>
      </c>
    </row>
    <row r="22" spans="1:13">
      <c r="A22" t="s">
        <v>33</v>
      </c>
      <c r="B22">
        <v>4478.98</v>
      </c>
      <c r="C22">
        <v>62688.47</v>
      </c>
      <c r="D22">
        <v>4377.28</v>
      </c>
      <c r="E22">
        <v>63786.16</v>
      </c>
      <c r="F22" s="10">
        <v>-1</v>
      </c>
      <c r="G22" s="10">
        <v>0</v>
      </c>
      <c r="H22" s="10">
        <v>-1</v>
      </c>
      <c r="I22" s="10">
        <v>0</v>
      </c>
      <c r="J22" s="10">
        <v>4511.56</v>
      </c>
      <c r="K22" s="10">
        <v>62718.74</v>
      </c>
      <c r="L22" s="10">
        <v>-1</v>
      </c>
      <c r="M22" s="10">
        <v>0</v>
      </c>
    </row>
    <row r="23" spans="1:13">
      <c r="A23" t="s">
        <v>34</v>
      </c>
      <c r="B23">
        <v>4561.53</v>
      </c>
      <c r="C23">
        <v>63497.47</v>
      </c>
      <c r="D23">
        <v>4455.84</v>
      </c>
      <c r="E23">
        <v>65360.85</v>
      </c>
      <c r="F23" s="10">
        <v>-1</v>
      </c>
      <c r="G23" s="10">
        <v>0</v>
      </c>
      <c r="H23" s="10">
        <v>-1</v>
      </c>
      <c r="I23" s="10">
        <v>0</v>
      </c>
      <c r="J23" s="10">
        <v>4590.85</v>
      </c>
      <c r="K23" s="10">
        <v>63524.47</v>
      </c>
      <c r="L23" s="10">
        <v>-1</v>
      </c>
      <c r="M23" s="10">
        <v>0</v>
      </c>
    </row>
    <row r="24" spans="1:13">
      <c r="A24" t="s">
        <v>35</v>
      </c>
      <c r="B24">
        <v>4545.07</v>
      </c>
      <c r="C24">
        <v>63223.29</v>
      </c>
      <c r="D24">
        <v>4443.93</v>
      </c>
      <c r="E24">
        <v>65857.64</v>
      </c>
      <c r="F24" s="10">
        <v>-1</v>
      </c>
      <c r="G24" s="10">
        <v>0</v>
      </c>
      <c r="H24" s="10">
        <v>-1</v>
      </c>
      <c r="I24" s="10">
        <v>0</v>
      </c>
      <c r="J24" s="10">
        <v>4576.91</v>
      </c>
      <c r="K24" s="10">
        <v>63239.99</v>
      </c>
      <c r="L24" s="10">
        <v>-1</v>
      </c>
      <c r="M24" s="10">
        <v>0</v>
      </c>
    </row>
    <row r="25" spans="1:13">
      <c r="A25" t="s">
        <v>36</v>
      </c>
      <c r="B25">
        <v>4558.17</v>
      </c>
      <c r="C25">
        <v>64299.24</v>
      </c>
      <c r="D25">
        <v>4456.64</v>
      </c>
      <c r="E25">
        <v>65444.99</v>
      </c>
      <c r="F25" s="10">
        <v>-1</v>
      </c>
      <c r="G25" s="10">
        <v>0</v>
      </c>
      <c r="H25" s="10">
        <v>-1</v>
      </c>
      <c r="I25" s="10">
        <v>0</v>
      </c>
      <c r="J25" s="10">
        <v>4610.65</v>
      </c>
      <c r="K25" s="10">
        <v>64339.12</v>
      </c>
      <c r="L25" s="10">
        <v>-1</v>
      </c>
      <c r="M25" s="10">
        <v>0</v>
      </c>
    </row>
    <row r="26" spans="1:13">
      <c r="A26" t="s">
        <v>37</v>
      </c>
      <c r="B26">
        <v>4522.36</v>
      </c>
      <c r="C26">
        <v>64615.37</v>
      </c>
      <c r="D26">
        <v>4417.62</v>
      </c>
      <c r="E26">
        <v>66221.08</v>
      </c>
      <c r="F26" s="10">
        <v>-1</v>
      </c>
      <c r="G26" s="10">
        <v>0</v>
      </c>
      <c r="H26" s="10">
        <v>-1</v>
      </c>
      <c r="I26" s="10">
        <v>0</v>
      </c>
      <c r="J26" s="10">
        <v>4552.82</v>
      </c>
      <c r="K26" s="10">
        <v>64633.19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4564.4164</v>
      </c>
      <c r="B29" s="13">
        <f>IFERROR(AVERAGEIF($D$2:$D$26,"&lt;&gt; -1"),0)</f>
        <v>4460.1124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4607.88941176471</v>
      </c>
      <c r="F29" s="13">
        <f>IFERROR(AVERAGEIF($L$2:$L$26,"&lt;&gt; -1"),0)</f>
        <v>0</v>
      </c>
      <c r="G29" s="13">
        <f>IFERROR(AVERAGEIFS($C$2:$C$26,$B$2:$B$26,"&lt;&gt; -1"),0)</f>
        <v>64304.4696</v>
      </c>
      <c r="H29" s="13">
        <f>IFERROR(AVERAGEIFS($E$2:$E$26,$D$2:$D$26,"&lt;&gt; -1"),0)</f>
        <v>65562.4456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64710.1264705882</v>
      </c>
      <c r="L29" s="13">
        <f>IFERROR(AVERAGEIFS($M$2:$M$26,$L$2:$L$26,"&lt;&gt; -1"),0)</f>
        <v>0</v>
      </c>
      <c r="M29" s="13">
        <f>IFERROR(_xlfn.MAXIFS($B$2:$B$26,$B$2:$B$26,"&lt;&gt; -1"),0)</f>
        <v>4832.87</v>
      </c>
      <c r="N29" s="13">
        <f>IFERROR(_xlfn.MAXIFS($D$2:$D$26,$D$2:$D$26,"&lt;&gt;-1"),0)</f>
        <v>4721.41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4756.83</v>
      </c>
      <c r="R29" s="13">
        <f>IFERROR(_xlfn.MAXIFS($L$2:$L$26,$L$2:$L$26,"&lt;&gt; -1"),0)</f>
        <v>0</v>
      </c>
      <c r="S29" s="13">
        <f>IFERROR(_xlfn.MINIFS($B$2:$B$26,$B$2:$B$26,"&lt;&gt; -1"),0)</f>
        <v>4372.55</v>
      </c>
      <c r="T29" s="13">
        <f>IFERROR(_xlfn.MINIFS($D$2:$D$26,$D$2:$D$26,"&lt;&gt;-1"),0)</f>
        <v>4268.71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4511.56</v>
      </c>
      <c r="X29" s="13">
        <f>IFERROR(_xlfn.MINIFS($L$2:$L$26,$L$2:$L$26,"&lt;&gt; -1"),0)</f>
        <v>0</v>
      </c>
      <c r="Y29" s="13">
        <f>IFERROR(_xlfn.MAXIFS($C$2:$C$26,$B$2:$B$26,"&lt;&gt; -1"),0)</f>
        <v>66799.44</v>
      </c>
      <c r="Z29" s="13">
        <f>IFERROR(_xlfn.MAXIFS($E$2:$E$26,$D$2:$D$26,"&lt;&gt; -1"),0)</f>
        <v>68166.79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66827.86</v>
      </c>
      <c r="AD29" s="13">
        <f>IFERROR(_xlfn.MAXIFS($M$2:$M$26,$L$2:$L$26,"&lt;&gt; -1"),0)</f>
        <v>0</v>
      </c>
      <c r="AE29" s="13">
        <f>IFERROR(_xlfn.MINIFS($C$2:$C$26,$B$2:$B$26,"&lt;&gt; -1"),0)</f>
        <v>62191.2</v>
      </c>
      <c r="AF29" s="13">
        <f>IFERROR(_xlfn.MINIFS($E$2:$E$26,$D$2:$D$26,"&lt;&gt; -1"),0)</f>
        <v>62896.09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62718.74</v>
      </c>
      <c r="AJ29" s="13">
        <f>IFERROR(_xlfn.MINIFS($M$2:$M$26,$L$2:$L$26,"&lt;&gt; -1"),0)</f>
        <v>0</v>
      </c>
      <c r="AK29" s="13">
        <f>(COUNTIFS($B$2:$B$26,"&gt;0.0",$B$2:$B$26,"&lt;6000.0"))/25</f>
        <v>1</v>
      </c>
      <c r="AL29" s="13">
        <f>(COUNTIFS($D$2:$D$26,"&gt;0.0",$D$2:$D$26,"&lt;6000.0"))/25</f>
        <v>1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0.68</v>
      </c>
      <c r="AP29" s="13">
        <f>(COUNTIFS($L$2:$L$26,"&gt;0.0",$L$2:$L$26,"&lt;6000.0"))/25</f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zoomScale="85" zoomScaleNormal="85" workbookViewId="0">
      <selection activeCell="A29" sqref="$A29:$XFD29"/>
    </sheetView>
  </sheetViews>
  <sheetFormatPr defaultColWidth="9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4783.55</v>
      </c>
      <c r="C2">
        <v>64339.42</v>
      </c>
      <c r="D2">
        <v>4725.93</v>
      </c>
      <c r="E2">
        <v>62295.3</v>
      </c>
      <c r="F2" s="10">
        <v>-1</v>
      </c>
      <c r="G2" s="10">
        <v>0</v>
      </c>
      <c r="H2" s="10">
        <v>-1</v>
      </c>
      <c r="I2" s="10">
        <v>0</v>
      </c>
      <c r="J2" s="10">
        <v>-1</v>
      </c>
      <c r="K2" s="10">
        <v>0</v>
      </c>
      <c r="L2" s="10">
        <v>-1</v>
      </c>
      <c r="M2" s="10">
        <v>0</v>
      </c>
    </row>
    <row r="3" spans="1:13">
      <c r="A3" t="s">
        <v>14</v>
      </c>
      <c r="B3">
        <v>4862.52</v>
      </c>
      <c r="C3">
        <v>63192.15</v>
      </c>
      <c r="D3">
        <v>4764.01</v>
      </c>
      <c r="E3">
        <v>64951.64</v>
      </c>
      <c r="F3" s="10">
        <v>-1</v>
      </c>
      <c r="G3" s="10">
        <v>0</v>
      </c>
      <c r="H3" s="10">
        <v>-1</v>
      </c>
      <c r="I3" s="10">
        <v>0</v>
      </c>
      <c r="J3" s="10">
        <v>4912.98</v>
      </c>
      <c r="K3" s="10">
        <v>63206.48</v>
      </c>
      <c r="L3" s="10">
        <v>-1</v>
      </c>
      <c r="M3" s="10">
        <v>0</v>
      </c>
    </row>
    <row r="4" spans="1:13">
      <c r="A4" t="s">
        <v>15</v>
      </c>
      <c r="B4">
        <v>4781.7</v>
      </c>
      <c r="C4">
        <v>64016.96</v>
      </c>
      <c r="D4">
        <v>4676.06</v>
      </c>
      <c r="E4">
        <v>62089.83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-1</v>
      </c>
      <c r="M4" s="10">
        <v>0</v>
      </c>
    </row>
    <row r="5" spans="1:13">
      <c r="A5" t="s">
        <v>16</v>
      </c>
      <c r="B5">
        <v>4953.46</v>
      </c>
      <c r="C5">
        <v>65555.1</v>
      </c>
      <c r="D5">
        <v>4856.25</v>
      </c>
      <c r="E5">
        <v>67815.51</v>
      </c>
      <c r="F5" s="10">
        <v>-1</v>
      </c>
      <c r="G5" s="10">
        <v>0</v>
      </c>
      <c r="H5" s="10">
        <v>-1</v>
      </c>
      <c r="I5" s="10">
        <v>0</v>
      </c>
      <c r="J5" s="10">
        <v>5004.97</v>
      </c>
      <c r="K5" s="10">
        <v>65581.41</v>
      </c>
      <c r="L5" s="10">
        <v>-1</v>
      </c>
      <c r="M5" s="10">
        <v>0</v>
      </c>
    </row>
    <row r="6" spans="1:13">
      <c r="A6" t="s">
        <v>17</v>
      </c>
      <c r="B6">
        <v>4757.97</v>
      </c>
      <c r="C6">
        <v>63869.18</v>
      </c>
      <c r="D6">
        <v>4661.93</v>
      </c>
      <c r="E6">
        <v>66145.95</v>
      </c>
      <c r="F6" s="10">
        <v>-1</v>
      </c>
      <c r="G6" s="10">
        <v>0</v>
      </c>
      <c r="H6" s="10">
        <v>-1</v>
      </c>
      <c r="I6" s="10">
        <v>0</v>
      </c>
      <c r="J6" s="10">
        <v>4815.29</v>
      </c>
      <c r="K6" s="10">
        <v>63912.64</v>
      </c>
      <c r="L6" s="10">
        <v>-1</v>
      </c>
      <c r="M6" s="10">
        <v>0</v>
      </c>
    </row>
    <row r="7" spans="1:13">
      <c r="A7" t="s">
        <v>18</v>
      </c>
      <c r="B7">
        <v>5117.8</v>
      </c>
      <c r="C7">
        <v>66052.53</v>
      </c>
      <c r="D7">
        <v>5016.8</v>
      </c>
      <c r="E7">
        <v>65582.24</v>
      </c>
      <c r="F7" s="10">
        <v>-1</v>
      </c>
      <c r="G7" s="10">
        <v>0</v>
      </c>
      <c r="H7" s="10">
        <v>-1</v>
      </c>
      <c r="I7" s="10">
        <v>0</v>
      </c>
      <c r="J7" s="10">
        <v>-1</v>
      </c>
      <c r="K7" s="10">
        <v>0</v>
      </c>
      <c r="L7" s="10">
        <v>-1</v>
      </c>
      <c r="M7" s="10">
        <v>0</v>
      </c>
    </row>
    <row r="8" spans="1:13">
      <c r="A8" t="s">
        <v>19</v>
      </c>
      <c r="B8">
        <v>4885.79</v>
      </c>
      <c r="C8">
        <v>66415.7</v>
      </c>
      <c r="D8">
        <v>4783.52</v>
      </c>
      <c r="E8">
        <v>67389.54</v>
      </c>
      <c r="F8" s="10">
        <v>-1</v>
      </c>
      <c r="G8" s="10">
        <v>0</v>
      </c>
      <c r="H8" s="10">
        <v>-1</v>
      </c>
      <c r="I8" s="10">
        <v>0</v>
      </c>
      <c r="J8" s="10">
        <v>-1</v>
      </c>
      <c r="K8" s="10">
        <v>0</v>
      </c>
      <c r="L8" s="10">
        <v>-1</v>
      </c>
      <c r="M8" s="10">
        <v>0</v>
      </c>
    </row>
    <row r="9" spans="1:13">
      <c r="A9" t="s">
        <v>20</v>
      </c>
      <c r="B9">
        <v>4882.99</v>
      </c>
      <c r="C9">
        <v>64585.43</v>
      </c>
      <c r="D9">
        <v>4785.24</v>
      </c>
      <c r="E9">
        <v>64073.65</v>
      </c>
      <c r="F9" s="10">
        <v>-1</v>
      </c>
      <c r="G9" s="10">
        <v>0</v>
      </c>
      <c r="H9" s="10">
        <v>-1</v>
      </c>
      <c r="I9" s="10">
        <v>0</v>
      </c>
      <c r="J9" s="10">
        <v>-1</v>
      </c>
      <c r="K9" s="10">
        <v>0</v>
      </c>
      <c r="L9" s="10">
        <v>-1</v>
      </c>
      <c r="M9" s="10">
        <v>0</v>
      </c>
    </row>
    <row r="10" spans="1:13">
      <c r="A10" t="s">
        <v>21</v>
      </c>
      <c r="B10">
        <v>4879.49</v>
      </c>
      <c r="C10">
        <v>65307.47</v>
      </c>
      <c r="D10">
        <v>4781.6</v>
      </c>
      <c r="E10">
        <v>65822.74</v>
      </c>
      <c r="F10" s="10">
        <v>-1</v>
      </c>
      <c r="G10" s="10">
        <v>0</v>
      </c>
      <c r="H10" s="10">
        <v>-1</v>
      </c>
      <c r="I10" s="10">
        <v>0</v>
      </c>
      <c r="J10" s="10">
        <v>-1</v>
      </c>
      <c r="K10" s="10">
        <v>0</v>
      </c>
      <c r="L10" s="10">
        <v>-1</v>
      </c>
      <c r="M10" s="10">
        <v>0</v>
      </c>
    </row>
    <row r="11" spans="1:13">
      <c r="A11" t="s">
        <v>22</v>
      </c>
      <c r="B11">
        <v>5060.54</v>
      </c>
      <c r="C11">
        <v>65645.31</v>
      </c>
      <c r="D11">
        <v>4958.45</v>
      </c>
      <c r="E11">
        <v>67596.48</v>
      </c>
      <c r="F11" s="10">
        <v>-1</v>
      </c>
      <c r="G11" s="10">
        <v>0</v>
      </c>
      <c r="H11" s="10">
        <v>-1</v>
      </c>
      <c r="I11" s="10">
        <v>0</v>
      </c>
      <c r="J11" s="10">
        <v>-1</v>
      </c>
      <c r="K11" s="10">
        <v>0</v>
      </c>
      <c r="L11" s="10">
        <v>-1</v>
      </c>
      <c r="M11" s="10">
        <v>0</v>
      </c>
    </row>
    <row r="12" spans="1:13">
      <c r="A12" t="s">
        <v>23</v>
      </c>
      <c r="B12">
        <v>4858.48</v>
      </c>
      <c r="C12">
        <v>61435.17</v>
      </c>
      <c r="D12">
        <v>4755.07</v>
      </c>
      <c r="E12">
        <v>62601.32</v>
      </c>
      <c r="F12" s="10">
        <v>-1</v>
      </c>
      <c r="G12" s="10">
        <v>0</v>
      </c>
      <c r="H12" s="10">
        <v>-1</v>
      </c>
      <c r="I12" s="10">
        <v>0</v>
      </c>
      <c r="J12" s="10">
        <v>-1</v>
      </c>
      <c r="K12" s="10">
        <v>0</v>
      </c>
      <c r="L12" s="10">
        <v>-1</v>
      </c>
      <c r="M12" s="10">
        <v>0</v>
      </c>
    </row>
    <row r="13" spans="1:13">
      <c r="A13" t="s">
        <v>24</v>
      </c>
      <c r="B13">
        <v>5028.09</v>
      </c>
      <c r="C13">
        <v>64631.15</v>
      </c>
      <c r="D13">
        <v>4929.21</v>
      </c>
      <c r="E13">
        <v>67880.88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4999.72</v>
      </c>
      <c r="C14">
        <v>64915.94</v>
      </c>
      <c r="D14">
        <v>4890.08</v>
      </c>
      <c r="E14">
        <v>65929.05</v>
      </c>
      <c r="F14" s="10">
        <v>-1</v>
      </c>
      <c r="G14" s="10">
        <v>0</v>
      </c>
      <c r="H14" s="10">
        <v>-1</v>
      </c>
      <c r="I14" s="10">
        <v>0</v>
      </c>
      <c r="J14" s="10">
        <v>-1</v>
      </c>
      <c r="K14" s="10">
        <v>0</v>
      </c>
      <c r="L14" s="10">
        <v>-1</v>
      </c>
      <c r="M14" s="10">
        <v>0</v>
      </c>
    </row>
    <row r="15" spans="1:13">
      <c r="A15" t="s">
        <v>26</v>
      </c>
      <c r="B15">
        <v>5002.88</v>
      </c>
      <c r="C15">
        <v>64338.11</v>
      </c>
      <c r="D15">
        <v>4901.66</v>
      </c>
      <c r="E15">
        <v>65732.19</v>
      </c>
      <c r="F15" s="10">
        <v>-1</v>
      </c>
      <c r="G15" s="10">
        <v>0</v>
      </c>
      <c r="H15" s="10">
        <v>-1</v>
      </c>
      <c r="I15" s="10">
        <v>0</v>
      </c>
      <c r="J15" s="10">
        <v>-1</v>
      </c>
      <c r="K15" s="10">
        <v>0</v>
      </c>
      <c r="L15" s="10">
        <v>-1</v>
      </c>
      <c r="M15" s="10">
        <v>0</v>
      </c>
    </row>
    <row r="16" spans="1:13">
      <c r="A16" t="s">
        <v>27</v>
      </c>
      <c r="B16">
        <v>4881.32</v>
      </c>
      <c r="C16">
        <v>64387.21</v>
      </c>
      <c r="D16">
        <v>4785.35</v>
      </c>
      <c r="E16">
        <v>64756.94</v>
      </c>
      <c r="F16" s="10">
        <v>-1</v>
      </c>
      <c r="G16" s="10">
        <v>0</v>
      </c>
      <c r="H16" s="10">
        <v>-1</v>
      </c>
      <c r="I16" s="10">
        <v>0</v>
      </c>
      <c r="J16" s="10">
        <v>-1</v>
      </c>
      <c r="K16" s="10">
        <v>0</v>
      </c>
      <c r="L16" s="10">
        <v>-1</v>
      </c>
      <c r="M16" s="10">
        <v>0</v>
      </c>
    </row>
    <row r="17" spans="1:13">
      <c r="A17" t="s">
        <v>28</v>
      </c>
      <c r="B17">
        <v>4834.25</v>
      </c>
      <c r="C17">
        <v>63778.17</v>
      </c>
      <c r="D17">
        <v>4730.2</v>
      </c>
      <c r="E17">
        <v>65403.05</v>
      </c>
      <c r="F17" s="10">
        <v>-1</v>
      </c>
      <c r="G17" s="10">
        <v>0</v>
      </c>
      <c r="H17" s="10">
        <v>-1</v>
      </c>
      <c r="I17" s="10">
        <v>0</v>
      </c>
      <c r="J17" s="10">
        <v>4890.11</v>
      </c>
      <c r="K17" s="10">
        <v>63863.99</v>
      </c>
      <c r="L17" s="10">
        <v>-1</v>
      </c>
      <c r="M17" s="10">
        <v>0</v>
      </c>
    </row>
    <row r="18" spans="1:13">
      <c r="A18" t="s">
        <v>29</v>
      </c>
      <c r="B18">
        <v>4814.23</v>
      </c>
      <c r="C18">
        <v>64129.55</v>
      </c>
      <c r="D18">
        <v>4713.77</v>
      </c>
      <c r="E18">
        <v>65458.97</v>
      </c>
      <c r="F18" s="10">
        <v>-1</v>
      </c>
      <c r="G18" s="10">
        <v>0</v>
      </c>
      <c r="H18" s="10">
        <v>-1</v>
      </c>
      <c r="I18" s="10">
        <v>0</v>
      </c>
      <c r="J18" s="10">
        <v>4863.06</v>
      </c>
      <c r="K18" s="10">
        <v>64134.74</v>
      </c>
      <c r="L18" s="10">
        <v>-1</v>
      </c>
      <c r="M18" s="10">
        <v>0</v>
      </c>
    </row>
    <row r="19" spans="1:13">
      <c r="A19" t="s">
        <v>30</v>
      </c>
      <c r="B19">
        <v>5066.65</v>
      </c>
      <c r="C19">
        <v>65310.75</v>
      </c>
      <c r="D19">
        <v>4963.3</v>
      </c>
      <c r="E19">
        <v>69458.85</v>
      </c>
      <c r="F19" s="10">
        <v>-1</v>
      </c>
      <c r="G19" s="10">
        <v>0</v>
      </c>
      <c r="H19" s="10">
        <v>-1</v>
      </c>
      <c r="I19" s="10">
        <v>0</v>
      </c>
      <c r="J19" s="10">
        <v>5115.52</v>
      </c>
      <c r="K19" s="10">
        <v>65356.64</v>
      </c>
      <c r="L19" s="10">
        <v>-1</v>
      </c>
      <c r="M19" s="10">
        <v>0</v>
      </c>
    </row>
    <row r="20" spans="1:13">
      <c r="A20" t="s">
        <v>31</v>
      </c>
      <c r="B20">
        <v>4778.85</v>
      </c>
      <c r="C20">
        <v>63919.33</v>
      </c>
      <c r="D20">
        <v>4673.2</v>
      </c>
      <c r="E20">
        <v>61630.01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4778.85</v>
      </c>
      <c r="C21">
        <v>63429.94</v>
      </c>
      <c r="D21">
        <v>4673.2</v>
      </c>
      <c r="E21">
        <v>62471.08</v>
      </c>
      <c r="F21" s="10">
        <v>-1</v>
      </c>
      <c r="G21" s="10">
        <v>0</v>
      </c>
      <c r="H21" s="10">
        <v>-1</v>
      </c>
      <c r="I21" s="10">
        <v>0</v>
      </c>
      <c r="J21" s="10">
        <v>4890.11</v>
      </c>
      <c r="K21" s="10">
        <v>63446.25</v>
      </c>
      <c r="L21" s="10">
        <v>-1</v>
      </c>
      <c r="M21" s="10">
        <v>0</v>
      </c>
    </row>
    <row r="22" spans="1:13">
      <c r="A22" t="s">
        <v>33</v>
      </c>
      <c r="B22">
        <v>4802.67</v>
      </c>
      <c r="C22">
        <v>63408.06</v>
      </c>
      <c r="D22">
        <v>4701.08</v>
      </c>
      <c r="E22">
        <v>63553.92</v>
      </c>
      <c r="F22" s="10">
        <v>-1</v>
      </c>
      <c r="G22" s="10">
        <v>0</v>
      </c>
      <c r="H22" s="10">
        <v>-1</v>
      </c>
      <c r="I22" s="10">
        <v>0</v>
      </c>
      <c r="J22" s="10">
        <v>-1</v>
      </c>
      <c r="K22" s="10">
        <v>0</v>
      </c>
      <c r="L22" s="10">
        <v>-1</v>
      </c>
      <c r="M22" s="10">
        <v>0</v>
      </c>
    </row>
    <row r="23" spans="1:13">
      <c r="A23" t="s">
        <v>34</v>
      </c>
      <c r="B23">
        <v>4759.06</v>
      </c>
      <c r="C23">
        <v>64326.56</v>
      </c>
      <c r="D23">
        <v>4661.9</v>
      </c>
      <c r="E23">
        <v>66506.7</v>
      </c>
      <c r="F23" s="10">
        <v>-1</v>
      </c>
      <c r="G23" s="10">
        <v>0</v>
      </c>
      <c r="H23" s="10">
        <v>-1</v>
      </c>
      <c r="I23" s="10">
        <v>0</v>
      </c>
      <c r="J23" s="10">
        <v>-1</v>
      </c>
      <c r="K23" s="10">
        <v>0</v>
      </c>
      <c r="L23" s="10">
        <v>-1</v>
      </c>
      <c r="M23" s="10">
        <v>0</v>
      </c>
    </row>
    <row r="24" spans="1:13">
      <c r="A24" t="s">
        <v>35</v>
      </c>
      <c r="B24">
        <v>4703.57</v>
      </c>
      <c r="C24">
        <v>63497.1</v>
      </c>
      <c r="D24">
        <v>4607.2</v>
      </c>
      <c r="E24">
        <v>65751.29</v>
      </c>
      <c r="F24" s="10">
        <v>-1</v>
      </c>
      <c r="G24" s="10">
        <v>0</v>
      </c>
      <c r="H24" s="10">
        <v>-1</v>
      </c>
      <c r="I24" s="10">
        <v>0</v>
      </c>
      <c r="J24" s="10">
        <v>4734</v>
      </c>
      <c r="K24" s="10">
        <v>63509.55</v>
      </c>
      <c r="L24" s="10">
        <v>-1</v>
      </c>
      <c r="M24" s="10">
        <v>0</v>
      </c>
    </row>
    <row r="25" spans="1:13">
      <c r="A25" t="s">
        <v>36</v>
      </c>
      <c r="B25">
        <v>4841.23</v>
      </c>
      <c r="C25">
        <v>65174.18</v>
      </c>
      <c r="D25">
        <v>4747.43</v>
      </c>
      <c r="E25">
        <v>67434.14</v>
      </c>
      <c r="F25" s="10">
        <v>-1</v>
      </c>
      <c r="G25" s="10">
        <v>0</v>
      </c>
      <c r="H25" s="10">
        <v>-1</v>
      </c>
      <c r="I25" s="10">
        <v>0</v>
      </c>
      <c r="J25" s="10">
        <v>4871.24</v>
      </c>
      <c r="K25" s="10">
        <v>65207.97</v>
      </c>
      <c r="L25" s="10">
        <v>-1</v>
      </c>
      <c r="M25" s="10">
        <v>0</v>
      </c>
    </row>
    <row r="26" spans="1:13">
      <c r="A26" t="s">
        <v>37</v>
      </c>
      <c r="B26">
        <v>4710.48</v>
      </c>
      <c r="C26">
        <v>64132.73</v>
      </c>
      <c r="D26">
        <v>4616.96</v>
      </c>
      <c r="E26">
        <v>64071.37</v>
      </c>
      <c r="F26" s="10">
        <v>-1</v>
      </c>
      <c r="G26" s="10">
        <v>0</v>
      </c>
      <c r="H26" s="10">
        <v>-1</v>
      </c>
      <c r="I26" s="10">
        <v>0</v>
      </c>
      <c r="J26" s="10">
        <v>-1</v>
      </c>
      <c r="K26" s="10">
        <v>0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4873.0456</v>
      </c>
      <c r="B29" s="13">
        <f>IFERROR(AVERAGEIF($D$2:$D$26,"&lt;&gt; -1"),0)</f>
        <v>4774.376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4899.69777777778</v>
      </c>
      <c r="F29" s="13">
        <f>IFERROR(AVERAGEIF($L$2:$L$26,"&lt;&gt; -1"),0)</f>
        <v>0</v>
      </c>
      <c r="G29" s="13">
        <f>IFERROR(AVERAGEIFS($C$2:$C$26,$B$2:$B$26,"&lt;&gt; -1"),0)</f>
        <v>64391.728</v>
      </c>
      <c r="H29" s="13">
        <f>IFERROR(AVERAGEIFS($E$2:$E$26,$D$2:$D$26,"&lt;&gt; -1"),0)</f>
        <v>65296.1056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64246.63</v>
      </c>
      <c r="L29" s="13">
        <f>IFERROR(AVERAGEIFS($M$2:$M$26,$L$2:$L$26,"&lt;&gt; -1"),0)</f>
        <v>0</v>
      </c>
      <c r="M29" s="13">
        <f>IFERROR(_xlfn.MAXIFS($B$2:$B$26,$B$2:$B$26,"&lt;&gt; -1"),0)</f>
        <v>5117.8</v>
      </c>
      <c r="N29" s="13">
        <f>IFERROR(_xlfn.MAXIFS($D$2:$D$26,$D$2:$D$26,"&lt;&gt;-1"),0)</f>
        <v>5016.8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5115.52</v>
      </c>
      <c r="R29" s="13">
        <f>IFERROR(_xlfn.MAXIFS($L$2:$L$26,$L$2:$L$26,"&lt;&gt; -1"),0)</f>
        <v>0</v>
      </c>
      <c r="S29" s="13">
        <f>IFERROR(_xlfn.MINIFS($B$2:$B$26,$B$2:$B$26,"&lt;&gt; -1"),0)</f>
        <v>4703.57</v>
      </c>
      <c r="T29" s="13">
        <f>IFERROR(_xlfn.MINIFS($D$2:$D$26,$D$2:$D$26,"&lt;&gt;-1"),0)</f>
        <v>4607.2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4734</v>
      </c>
      <c r="X29" s="13">
        <f>IFERROR(_xlfn.MINIFS($L$2:$L$26,$L$2:$L$26,"&lt;&gt; -1"),0)</f>
        <v>0</v>
      </c>
      <c r="Y29" s="13">
        <f>IFERROR(_xlfn.MAXIFS($C$2:$C$26,$B$2:$B$26,"&lt;&gt; -1"),0)</f>
        <v>66415.7</v>
      </c>
      <c r="Z29" s="13">
        <f>IFERROR(_xlfn.MAXIFS($E$2:$E$26,$D$2:$D$26,"&lt;&gt; -1"),0)</f>
        <v>69458.85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65581.41</v>
      </c>
      <c r="AD29" s="13">
        <f>IFERROR(_xlfn.MAXIFS($M$2:$M$26,$L$2:$L$26,"&lt;&gt; -1"),0)</f>
        <v>0</v>
      </c>
      <c r="AE29" s="13">
        <f>IFERROR(_xlfn.MINIFS($C$2:$C$26,$B$2:$B$26,"&lt;&gt; -1"),0)</f>
        <v>61435.17</v>
      </c>
      <c r="AF29" s="13">
        <f>IFERROR(_xlfn.MINIFS($E$2:$E$26,$D$2:$D$26,"&lt;&gt; -1"),0)</f>
        <v>61630.01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63206.48</v>
      </c>
      <c r="AJ29" s="13">
        <f>IFERROR(_xlfn.MINIFS($M$2:$M$26,$L$2:$L$26,"&lt;&gt; -1"),0)</f>
        <v>0</v>
      </c>
      <c r="AK29" s="13">
        <f>(COUNTIFS($B$2:$B$26,"&gt;0.0",$B$2:$B$26,"&lt;6000.0"))/25</f>
        <v>1</v>
      </c>
      <c r="AL29" s="13">
        <f>(COUNTIFS($D$2:$D$26,"&gt;0.0",$D$2:$D$26,"&lt;6000.0"))/25</f>
        <v>1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0.36</v>
      </c>
      <c r="AP29" s="13">
        <f>(COUNTIFS($L$2:$L$26,"&gt;0.0",$L$2:$L$26,"&lt;6000.0"))/25</f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zoomScale="85" zoomScaleNormal="85" workbookViewId="0">
      <selection activeCell="A29" sqref="$A29:$XFD29"/>
    </sheetView>
  </sheetViews>
  <sheetFormatPr defaultColWidth="9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5024.63</v>
      </c>
      <c r="C2">
        <v>64992.42</v>
      </c>
      <c r="D2">
        <v>4907.47</v>
      </c>
      <c r="E2">
        <v>63710.02</v>
      </c>
      <c r="F2" s="10">
        <v>-1</v>
      </c>
      <c r="G2" s="10">
        <v>0</v>
      </c>
      <c r="H2" s="10">
        <v>-1</v>
      </c>
      <c r="I2" s="10">
        <v>0</v>
      </c>
      <c r="J2" s="10">
        <v>-1</v>
      </c>
      <c r="K2" s="10">
        <v>0</v>
      </c>
      <c r="L2" s="10">
        <v>-1</v>
      </c>
      <c r="M2" s="10">
        <v>0</v>
      </c>
    </row>
    <row r="3" spans="1:13">
      <c r="A3" t="s">
        <v>14</v>
      </c>
      <c r="B3">
        <v>5012.26</v>
      </c>
      <c r="C3">
        <v>64271.21</v>
      </c>
      <c r="D3">
        <v>4897.2</v>
      </c>
      <c r="E3">
        <v>65307.67</v>
      </c>
      <c r="F3" s="10">
        <v>-1</v>
      </c>
      <c r="G3" s="10">
        <v>0</v>
      </c>
      <c r="H3" s="10">
        <v>-1</v>
      </c>
      <c r="I3" s="10">
        <v>0</v>
      </c>
      <c r="J3" s="10">
        <v>-1</v>
      </c>
      <c r="K3" s="10">
        <v>0</v>
      </c>
      <c r="L3" s="10">
        <v>-1</v>
      </c>
      <c r="M3" s="10">
        <v>0</v>
      </c>
    </row>
    <row r="4" spans="1:13">
      <c r="A4" t="s">
        <v>15</v>
      </c>
      <c r="B4">
        <v>4900.25</v>
      </c>
      <c r="C4">
        <v>62793.12</v>
      </c>
      <c r="D4">
        <v>4781.53</v>
      </c>
      <c r="E4">
        <v>63124.43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4809.6</v>
      </c>
      <c r="M4" s="10">
        <v>63155.37</v>
      </c>
    </row>
    <row r="5" spans="1:13">
      <c r="A5" t="s">
        <v>16</v>
      </c>
      <c r="B5">
        <v>5145.1</v>
      </c>
      <c r="C5">
        <v>65767.13</v>
      </c>
      <c r="D5">
        <v>5032.59</v>
      </c>
      <c r="E5">
        <v>68135.63</v>
      </c>
      <c r="F5" s="10">
        <v>-1</v>
      </c>
      <c r="G5" s="10">
        <v>0</v>
      </c>
      <c r="H5" s="10">
        <v>-1</v>
      </c>
      <c r="I5" s="10">
        <v>0</v>
      </c>
      <c r="J5" s="10">
        <v>-1</v>
      </c>
      <c r="K5" s="10">
        <v>0</v>
      </c>
      <c r="L5" s="10">
        <v>-1</v>
      </c>
      <c r="M5" s="10">
        <v>0</v>
      </c>
    </row>
    <row r="6" spans="1:13">
      <c r="A6" t="s">
        <v>17</v>
      </c>
      <c r="B6">
        <v>4998.38</v>
      </c>
      <c r="C6">
        <v>63940.47</v>
      </c>
      <c r="D6">
        <v>4885.58</v>
      </c>
      <c r="E6">
        <v>65897.81</v>
      </c>
      <c r="F6" s="10">
        <v>-1</v>
      </c>
      <c r="G6" s="10">
        <v>0</v>
      </c>
      <c r="H6" s="10">
        <v>-1</v>
      </c>
      <c r="I6" s="10">
        <v>0</v>
      </c>
      <c r="J6" s="10">
        <v>-1</v>
      </c>
      <c r="K6" s="10">
        <v>0</v>
      </c>
      <c r="L6" s="10">
        <v>-1</v>
      </c>
      <c r="M6" s="10">
        <v>0</v>
      </c>
    </row>
    <row r="7" spans="1:13">
      <c r="A7" t="s">
        <v>18</v>
      </c>
      <c r="B7">
        <v>4999.6</v>
      </c>
      <c r="C7">
        <v>66281.39</v>
      </c>
      <c r="D7">
        <v>4884.89</v>
      </c>
      <c r="E7">
        <v>67664.91</v>
      </c>
      <c r="F7" s="10">
        <v>-1</v>
      </c>
      <c r="G7" s="10">
        <v>0</v>
      </c>
      <c r="H7" s="10">
        <v>-1</v>
      </c>
      <c r="I7" s="10">
        <v>0</v>
      </c>
      <c r="J7" s="10">
        <v>-1</v>
      </c>
      <c r="K7" s="10">
        <v>0</v>
      </c>
      <c r="L7" s="10">
        <v>4912.51</v>
      </c>
      <c r="M7" s="10">
        <v>67697.33</v>
      </c>
    </row>
    <row r="8" spans="1:13">
      <c r="A8" t="s">
        <v>19</v>
      </c>
      <c r="B8">
        <v>4986.88</v>
      </c>
      <c r="C8">
        <v>66163.91</v>
      </c>
      <c r="D8">
        <v>4872.11</v>
      </c>
      <c r="E8">
        <v>65807.12</v>
      </c>
      <c r="F8" s="10">
        <v>-1</v>
      </c>
      <c r="G8" s="10">
        <v>0</v>
      </c>
      <c r="H8" s="10">
        <v>-1</v>
      </c>
      <c r="I8" s="10">
        <v>0</v>
      </c>
      <c r="J8" s="10">
        <v>-1</v>
      </c>
      <c r="K8" s="10">
        <v>0</v>
      </c>
      <c r="L8" s="10">
        <v>-1</v>
      </c>
      <c r="M8" s="10">
        <v>0</v>
      </c>
    </row>
    <row r="9" spans="1:13">
      <c r="A9" t="s">
        <v>20</v>
      </c>
      <c r="B9">
        <v>4914.97</v>
      </c>
      <c r="C9">
        <v>65480.4</v>
      </c>
      <c r="D9">
        <v>4801.89</v>
      </c>
      <c r="E9">
        <v>63331.11</v>
      </c>
      <c r="F9" s="10">
        <v>-1</v>
      </c>
      <c r="G9" s="10">
        <v>0</v>
      </c>
      <c r="H9" s="10">
        <v>-1</v>
      </c>
      <c r="I9" s="10">
        <v>0</v>
      </c>
      <c r="J9" s="10">
        <v>-1</v>
      </c>
      <c r="K9" s="10">
        <v>0</v>
      </c>
      <c r="L9" s="10">
        <v>-1</v>
      </c>
      <c r="M9" s="10">
        <v>0</v>
      </c>
    </row>
    <row r="10" spans="1:13">
      <c r="A10" t="s">
        <v>21</v>
      </c>
      <c r="B10">
        <v>4941.58</v>
      </c>
      <c r="C10">
        <v>64325.17</v>
      </c>
      <c r="D10">
        <v>4835.69</v>
      </c>
      <c r="E10">
        <v>68715.77</v>
      </c>
      <c r="F10" s="10">
        <v>-1</v>
      </c>
      <c r="G10" s="10">
        <v>0</v>
      </c>
      <c r="H10" s="10">
        <v>-1</v>
      </c>
      <c r="I10" s="10">
        <v>0</v>
      </c>
      <c r="J10" s="10">
        <v>-1</v>
      </c>
      <c r="K10" s="10">
        <v>0</v>
      </c>
      <c r="L10" s="10">
        <v>-1</v>
      </c>
      <c r="M10" s="10">
        <v>0</v>
      </c>
    </row>
    <row r="11" spans="1:13">
      <c r="A11" t="s">
        <v>22</v>
      </c>
      <c r="B11">
        <v>5034.04</v>
      </c>
      <c r="C11">
        <v>65784.86</v>
      </c>
      <c r="D11">
        <v>4922.03</v>
      </c>
      <c r="E11">
        <v>66736.42</v>
      </c>
      <c r="F11" s="10">
        <v>-1</v>
      </c>
      <c r="G11" s="10">
        <v>0</v>
      </c>
      <c r="H11" s="10">
        <v>-1</v>
      </c>
      <c r="I11" s="10">
        <v>0</v>
      </c>
      <c r="J11" s="10">
        <v>-1</v>
      </c>
      <c r="K11" s="10">
        <v>0</v>
      </c>
      <c r="L11" s="10">
        <v>-1</v>
      </c>
      <c r="M11" s="10">
        <v>0</v>
      </c>
    </row>
    <row r="12" spans="1:13">
      <c r="A12" t="s">
        <v>23</v>
      </c>
      <c r="B12">
        <v>4820.11</v>
      </c>
      <c r="C12">
        <v>63414.43</v>
      </c>
      <c r="D12">
        <v>4709.46</v>
      </c>
      <c r="E12">
        <v>62807.52</v>
      </c>
      <c r="F12" s="10">
        <v>-1</v>
      </c>
      <c r="G12" s="10">
        <v>0</v>
      </c>
      <c r="H12" s="10">
        <v>-1</v>
      </c>
      <c r="I12" s="10">
        <v>0</v>
      </c>
      <c r="J12" s="10">
        <v>-1</v>
      </c>
      <c r="K12" s="10">
        <v>0</v>
      </c>
      <c r="L12" s="10">
        <v>-1</v>
      </c>
      <c r="M12" s="10">
        <v>0</v>
      </c>
    </row>
    <row r="13" spans="1:13">
      <c r="A13" t="s">
        <v>24</v>
      </c>
      <c r="B13">
        <v>4969.08</v>
      </c>
      <c r="C13">
        <v>65111.33</v>
      </c>
      <c r="D13">
        <v>4858.6</v>
      </c>
      <c r="E13">
        <v>66435.77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4892.27</v>
      </c>
      <c r="C14">
        <v>62584.09</v>
      </c>
      <c r="D14">
        <v>4782.71</v>
      </c>
      <c r="E14">
        <v>66219.69</v>
      </c>
      <c r="F14" s="10">
        <v>-1</v>
      </c>
      <c r="G14" s="10">
        <v>0</v>
      </c>
      <c r="H14" s="10">
        <v>-1</v>
      </c>
      <c r="I14" s="10">
        <v>0</v>
      </c>
      <c r="J14" s="10">
        <v>-1</v>
      </c>
      <c r="K14" s="10">
        <v>0</v>
      </c>
      <c r="L14" s="10">
        <v>-1</v>
      </c>
      <c r="M14" s="10">
        <v>0</v>
      </c>
    </row>
    <row r="15" spans="1:13">
      <c r="A15" t="s">
        <v>26</v>
      </c>
      <c r="B15">
        <v>4903.26</v>
      </c>
      <c r="C15">
        <v>64919.2</v>
      </c>
      <c r="D15">
        <v>4791.63</v>
      </c>
      <c r="E15">
        <v>66075.8</v>
      </c>
      <c r="F15" s="10">
        <v>-1</v>
      </c>
      <c r="G15" s="10">
        <v>0</v>
      </c>
      <c r="H15" s="10">
        <v>-1</v>
      </c>
      <c r="I15" s="10">
        <v>0</v>
      </c>
      <c r="J15" s="10">
        <v>-1</v>
      </c>
      <c r="K15" s="10">
        <v>0</v>
      </c>
      <c r="L15" s="10">
        <v>-1</v>
      </c>
      <c r="M15" s="10">
        <v>0</v>
      </c>
    </row>
    <row r="16" spans="1:13">
      <c r="A16" t="s">
        <v>27</v>
      </c>
      <c r="B16">
        <v>4931.37</v>
      </c>
      <c r="C16">
        <v>64148.09</v>
      </c>
      <c r="D16">
        <v>4818.46</v>
      </c>
      <c r="E16">
        <v>67028.91</v>
      </c>
      <c r="F16" s="10">
        <v>-1</v>
      </c>
      <c r="G16" s="10">
        <v>0</v>
      </c>
      <c r="H16" s="10">
        <v>-1</v>
      </c>
      <c r="I16" s="10">
        <v>0</v>
      </c>
      <c r="J16" s="10">
        <v>-1</v>
      </c>
      <c r="K16" s="10">
        <v>0</v>
      </c>
      <c r="L16" s="10">
        <v>-1</v>
      </c>
      <c r="M16" s="10">
        <v>0</v>
      </c>
    </row>
    <row r="17" spans="1:13">
      <c r="A17" t="s">
        <v>28</v>
      </c>
      <c r="B17">
        <v>5061.82</v>
      </c>
      <c r="C17">
        <v>63781.09</v>
      </c>
      <c r="D17">
        <v>4943.31</v>
      </c>
      <c r="E17">
        <v>65083.19</v>
      </c>
      <c r="F17" s="10">
        <v>-1</v>
      </c>
      <c r="G17" s="10">
        <v>0</v>
      </c>
      <c r="H17" s="10">
        <v>-1</v>
      </c>
      <c r="I17" s="10">
        <v>0</v>
      </c>
      <c r="J17" s="10">
        <v>-1</v>
      </c>
      <c r="K17" s="10">
        <v>0</v>
      </c>
      <c r="L17" s="10">
        <v>-1</v>
      </c>
      <c r="M17" s="10">
        <v>0</v>
      </c>
    </row>
    <row r="18" spans="1:13">
      <c r="A18" t="s">
        <v>29</v>
      </c>
      <c r="B18">
        <v>5048.76</v>
      </c>
      <c r="C18">
        <v>63858.08</v>
      </c>
      <c r="D18">
        <v>4930.8</v>
      </c>
      <c r="E18">
        <v>65038.15</v>
      </c>
      <c r="F18" s="10">
        <v>-1</v>
      </c>
      <c r="G18" s="10">
        <v>0</v>
      </c>
      <c r="H18" s="10">
        <v>-1</v>
      </c>
      <c r="I18" s="10">
        <v>0</v>
      </c>
      <c r="J18" s="10">
        <v>-1</v>
      </c>
      <c r="K18" s="10">
        <v>0</v>
      </c>
      <c r="L18" s="10">
        <v>-1</v>
      </c>
      <c r="M18" s="10">
        <v>0</v>
      </c>
    </row>
    <row r="19" spans="1:13">
      <c r="A19" t="s">
        <v>30</v>
      </c>
      <c r="B19">
        <v>5275.16</v>
      </c>
      <c r="C19">
        <v>67261.66</v>
      </c>
      <c r="D19">
        <v>5150.13</v>
      </c>
      <c r="E19">
        <v>67606.5</v>
      </c>
      <c r="F19" s="10">
        <v>-1</v>
      </c>
      <c r="G19" s="10">
        <v>0</v>
      </c>
      <c r="H19" s="10">
        <v>-1</v>
      </c>
      <c r="I19" s="10">
        <v>0</v>
      </c>
      <c r="J19" s="10">
        <v>-1</v>
      </c>
      <c r="K19" s="10">
        <v>0</v>
      </c>
      <c r="L19" s="10">
        <v>-1</v>
      </c>
      <c r="M19" s="10">
        <v>0</v>
      </c>
    </row>
    <row r="20" spans="1:13">
      <c r="A20" t="s">
        <v>31</v>
      </c>
      <c r="B20">
        <v>4959.44</v>
      </c>
      <c r="C20">
        <v>63467.68</v>
      </c>
      <c r="D20">
        <v>4839.96</v>
      </c>
      <c r="E20">
        <v>61717.05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5064.49</v>
      </c>
      <c r="C21">
        <v>63270.2</v>
      </c>
      <c r="D21">
        <v>4950.79</v>
      </c>
      <c r="E21">
        <v>66062.31</v>
      </c>
      <c r="F21" s="10">
        <v>-1</v>
      </c>
      <c r="G21" s="10">
        <v>0</v>
      </c>
      <c r="H21" s="10">
        <v>-1</v>
      </c>
      <c r="I21" s="10">
        <v>0</v>
      </c>
      <c r="J21" s="10">
        <v>-1</v>
      </c>
      <c r="K21" s="10">
        <v>0</v>
      </c>
      <c r="L21" s="10">
        <v>-1</v>
      </c>
      <c r="M21" s="10">
        <v>0</v>
      </c>
    </row>
    <row r="22" spans="1:13">
      <c r="A22" t="s">
        <v>33</v>
      </c>
      <c r="B22">
        <v>4987.94</v>
      </c>
      <c r="C22">
        <v>64444.47</v>
      </c>
      <c r="D22">
        <v>4871.54</v>
      </c>
      <c r="E22">
        <v>66177.16</v>
      </c>
      <c r="F22" s="10">
        <v>-1</v>
      </c>
      <c r="G22" s="10">
        <v>0</v>
      </c>
      <c r="H22" s="10">
        <v>-1</v>
      </c>
      <c r="I22" s="10">
        <v>0</v>
      </c>
      <c r="J22" s="10">
        <v>-1</v>
      </c>
      <c r="K22" s="10">
        <v>0</v>
      </c>
      <c r="L22" s="10">
        <v>-1</v>
      </c>
      <c r="M22" s="10">
        <v>0</v>
      </c>
    </row>
    <row r="23" spans="1:13">
      <c r="A23" t="s">
        <v>34</v>
      </c>
      <c r="B23">
        <v>5103.07</v>
      </c>
      <c r="C23">
        <v>64727.58</v>
      </c>
      <c r="D23">
        <v>4983.72</v>
      </c>
      <c r="E23">
        <v>66835.31</v>
      </c>
      <c r="F23" s="10">
        <v>-1</v>
      </c>
      <c r="G23" s="10">
        <v>0</v>
      </c>
      <c r="H23" s="10">
        <v>-1</v>
      </c>
      <c r="I23" s="10">
        <v>0</v>
      </c>
      <c r="J23" s="10">
        <v>-1</v>
      </c>
      <c r="K23" s="10">
        <v>0</v>
      </c>
      <c r="L23" s="10">
        <v>-1</v>
      </c>
      <c r="M23" s="10">
        <v>0</v>
      </c>
    </row>
    <row r="24" spans="1:13">
      <c r="A24" t="s">
        <v>35</v>
      </c>
      <c r="B24">
        <v>4840.08</v>
      </c>
      <c r="C24">
        <v>64510.36</v>
      </c>
      <c r="D24">
        <v>4737.3</v>
      </c>
      <c r="E24">
        <v>66604.8</v>
      </c>
      <c r="F24" s="10">
        <v>-1</v>
      </c>
      <c r="G24" s="10">
        <v>0</v>
      </c>
      <c r="H24" s="10">
        <v>-1</v>
      </c>
      <c r="I24" s="10">
        <v>0</v>
      </c>
      <c r="J24" s="10">
        <v>-1</v>
      </c>
      <c r="K24" s="10">
        <v>0</v>
      </c>
      <c r="L24" s="10">
        <v>-1</v>
      </c>
      <c r="M24" s="10">
        <v>0</v>
      </c>
    </row>
    <row r="25" spans="1:13">
      <c r="A25" t="s">
        <v>36</v>
      </c>
      <c r="B25">
        <v>5180.22</v>
      </c>
      <c r="C25">
        <v>65446.08</v>
      </c>
      <c r="D25">
        <v>5065.65</v>
      </c>
      <c r="E25">
        <v>67922.23</v>
      </c>
      <c r="F25" s="10">
        <v>-1</v>
      </c>
      <c r="G25" s="10">
        <v>0</v>
      </c>
      <c r="H25" s="10">
        <v>-1</v>
      </c>
      <c r="I25" s="10">
        <v>0</v>
      </c>
      <c r="J25" s="10">
        <v>-1</v>
      </c>
      <c r="K25" s="10">
        <v>0</v>
      </c>
      <c r="L25" s="10">
        <v>-1</v>
      </c>
      <c r="M25" s="10">
        <v>0</v>
      </c>
    </row>
    <row r="26" spans="1:13">
      <c r="A26" t="s">
        <v>37</v>
      </c>
      <c r="B26">
        <v>5218.45</v>
      </c>
      <c r="C26">
        <v>64374.06</v>
      </c>
      <c r="D26">
        <v>5096.62</v>
      </c>
      <c r="E26">
        <v>66629.26</v>
      </c>
      <c r="F26" s="10">
        <v>-1</v>
      </c>
      <c r="G26" s="10">
        <v>0</v>
      </c>
      <c r="H26" s="10">
        <v>-1</v>
      </c>
      <c r="I26" s="10">
        <v>0</v>
      </c>
      <c r="J26" s="10">
        <v>-1</v>
      </c>
      <c r="K26" s="10">
        <v>0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5008.5284</v>
      </c>
      <c r="B29" s="13">
        <f>IFERROR(AVERAGEIF($D$2:$D$26,"&lt;&gt; -1"),0)</f>
        <v>4894.0664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0</v>
      </c>
      <c r="F29" s="13">
        <f>IFERROR(AVERAGEIF($L$2:$L$26,"&lt;&gt; -1"),0)</f>
        <v>4861.055</v>
      </c>
      <c r="G29" s="13">
        <f>IFERROR(AVERAGEIFS($C$2:$C$26,$B$2:$B$26,"&lt;&gt; -1"),0)</f>
        <v>64604.7392</v>
      </c>
      <c r="H29" s="13">
        <f>IFERROR(AVERAGEIFS($E$2:$E$26,$D$2:$D$26,"&lt;&gt; -1"),0)</f>
        <v>65866.9816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0</v>
      </c>
      <c r="L29" s="13">
        <f>IFERROR(AVERAGEIFS($M$2:$M$26,$L$2:$L$26,"&lt;&gt; -1"),0)</f>
        <v>65426.35</v>
      </c>
      <c r="M29" s="13">
        <f>IFERROR(_xlfn.MAXIFS($B$2:$B$26,$B$2:$B$26,"&lt;&gt; -1"),0)</f>
        <v>5275.16</v>
      </c>
      <c r="N29" s="13">
        <f>IFERROR(_xlfn.MAXIFS($D$2:$D$26,$D$2:$D$26,"&lt;&gt;-1"),0)</f>
        <v>5150.13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0</v>
      </c>
      <c r="R29" s="13">
        <f>IFERROR(_xlfn.MAXIFS($L$2:$L$26,$L$2:$L$26,"&lt;&gt; -1"),0)</f>
        <v>4912.51</v>
      </c>
      <c r="S29" s="13">
        <f>IFERROR(_xlfn.MINIFS($B$2:$B$26,$B$2:$B$26,"&lt;&gt; -1"),0)</f>
        <v>4820.11</v>
      </c>
      <c r="T29" s="13">
        <f>IFERROR(_xlfn.MINIFS($D$2:$D$26,$D$2:$D$26,"&lt;&gt;-1"),0)</f>
        <v>4709.46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0</v>
      </c>
      <c r="X29" s="13">
        <f>IFERROR(_xlfn.MINIFS($L$2:$L$26,$L$2:$L$26,"&lt;&gt; -1"),0)</f>
        <v>4809.6</v>
      </c>
      <c r="Y29" s="13">
        <f>IFERROR(_xlfn.MAXIFS($C$2:$C$26,$B$2:$B$26,"&lt;&gt; -1"),0)</f>
        <v>67261.66</v>
      </c>
      <c r="Z29" s="13">
        <f>IFERROR(_xlfn.MAXIFS($E$2:$E$26,$D$2:$D$26,"&lt;&gt; -1"),0)</f>
        <v>68715.77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0</v>
      </c>
      <c r="AD29" s="13">
        <f>IFERROR(_xlfn.MAXIFS($M$2:$M$26,$L$2:$L$26,"&lt;&gt; -1"),0)</f>
        <v>67697.33</v>
      </c>
      <c r="AE29" s="13">
        <f>IFERROR(_xlfn.MINIFS($C$2:$C$26,$B$2:$B$26,"&lt;&gt; -1"),0)</f>
        <v>62584.09</v>
      </c>
      <c r="AF29" s="13">
        <f>IFERROR(_xlfn.MINIFS($E$2:$E$26,$D$2:$D$26,"&lt;&gt; -1"),0)</f>
        <v>61717.05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0</v>
      </c>
      <c r="AJ29" s="13">
        <f>IFERROR(_xlfn.MINIFS($M$2:$M$26,$L$2:$L$26,"&lt;&gt; -1"),0)</f>
        <v>63155.37</v>
      </c>
      <c r="AK29" s="13">
        <f>(COUNTIFS($B$2:$B$26,"&gt;0.0",$B$2:$B$26,"&lt;6000.0"))/25</f>
        <v>1</v>
      </c>
      <c r="AL29" s="13">
        <f>(COUNTIFS($D$2:$D$26,"&gt;0.0",$D$2:$D$26,"&lt;6000.0"))/25</f>
        <v>1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</v>
      </c>
      <c r="AP29" s="13">
        <f>(COUNTIFS($L$2:$L$26,"&gt;0.0",$L$2:$L$26,"&lt;6000.0"))/25</f>
        <v>0.08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8.66666666666667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5506.48</v>
      </c>
      <c r="C2">
        <v>65204.96</v>
      </c>
      <c r="D2">
        <v>5401.7</v>
      </c>
      <c r="E2">
        <v>65897.3</v>
      </c>
      <c r="F2" s="10">
        <v>-1</v>
      </c>
      <c r="G2" s="10">
        <v>0</v>
      </c>
      <c r="H2" s="10">
        <v>-1</v>
      </c>
      <c r="I2" s="10">
        <v>0</v>
      </c>
      <c r="J2" s="10">
        <v>-1</v>
      </c>
      <c r="K2" s="10">
        <v>0</v>
      </c>
      <c r="L2" s="10">
        <v>-1</v>
      </c>
      <c r="M2" s="10">
        <v>0</v>
      </c>
    </row>
    <row r="3" spans="1:13">
      <c r="A3" t="s">
        <v>14</v>
      </c>
      <c r="B3">
        <v>5527.48</v>
      </c>
      <c r="C3">
        <v>63730.58</v>
      </c>
      <c r="D3">
        <v>5420.18</v>
      </c>
      <c r="E3">
        <v>63035.1</v>
      </c>
      <c r="F3" s="10">
        <v>-1</v>
      </c>
      <c r="G3" s="10">
        <v>0</v>
      </c>
      <c r="H3" s="10">
        <v>-1</v>
      </c>
      <c r="I3" s="10">
        <v>0</v>
      </c>
      <c r="J3" s="10">
        <v>-1</v>
      </c>
      <c r="K3" s="10">
        <v>0</v>
      </c>
      <c r="L3" s="10">
        <v>-1</v>
      </c>
      <c r="M3" s="10">
        <v>0</v>
      </c>
    </row>
    <row r="4" spans="1:13">
      <c r="A4" t="s">
        <v>15</v>
      </c>
      <c r="B4">
        <v>5460.76</v>
      </c>
      <c r="C4">
        <v>62866.94</v>
      </c>
      <c r="D4">
        <v>5353.23</v>
      </c>
      <c r="E4">
        <v>62430.54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-1</v>
      </c>
      <c r="M4" s="10">
        <v>0</v>
      </c>
    </row>
    <row r="5" spans="1:13">
      <c r="A5" t="s">
        <v>16</v>
      </c>
      <c r="B5">
        <v>5676.17</v>
      </c>
      <c r="C5">
        <v>66187.06</v>
      </c>
      <c r="D5">
        <v>5573.98</v>
      </c>
      <c r="E5">
        <v>68544.06</v>
      </c>
      <c r="F5" s="10">
        <v>-1</v>
      </c>
      <c r="G5" s="10">
        <v>0</v>
      </c>
      <c r="H5" s="10">
        <v>-1</v>
      </c>
      <c r="I5" s="10">
        <v>0</v>
      </c>
      <c r="J5" s="10">
        <v>-1</v>
      </c>
      <c r="K5" s="10">
        <v>0</v>
      </c>
      <c r="L5" s="10">
        <v>-1</v>
      </c>
      <c r="M5" s="10">
        <v>0</v>
      </c>
    </row>
    <row r="6" spans="1:13">
      <c r="A6" t="s">
        <v>17</v>
      </c>
      <c r="B6">
        <v>5543.07</v>
      </c>
      <c r="C6">
        <v>64044.17</v>
      </c>
      <c r="D6">
        <v>5432.03</v>
      </c>
      <c r="E6">
        <v>63758.84</v>
      </c>
      <c r="F6" s="10">
        <v>-1</v>
      </c>
      <c r="G6" s="10">
        <v>0</v>
      </c>
      <c r="H6" s="10">
        <v>-1</v>
      </c>
      <c r="I6" s="10">
        <v>0</v>
      </c>
      <c r="J6" s="10">
        <v>-1</v>
      </c>
      <c r="K6" s="10">
        <v>0</v>
      </c>
      <c r="L6" s="10">
        <v>-1</v>
      </c>
      <c r="M6" s="10">
        <v>0</v>
      </c>
    </row>
    <row r="7" spans="1:13">
      <c r="A7" t="s">
        <v>18</v>
      </c>
      <c r="B7">
        <v>5643.88</v>
      </c>
      <c r="C7">
        <v>65397.09</v>
      </c>
      <c r="D7">
        <v>5535.3</v>
      </c>
      <c r="E7">
        <v>64673.78</v>
      </c>
      <c r="F7" s="10">
        <v>-1</v>
      </c>
      <c r="G7" s="10">
        <v>0</v>
      </c>
      <c r="H7" s="10">
        <v>-1</v>
      </c>
      <c r="I7" s="10">
        <v>0</v>
      </c>
      <c r="J7" s="10">
        <v>-1</v>
      </c>
      <c r="K7" s="10">
        <v>0</v>
      </c>
      <c r="L7" s="10">
        <v>-1</v>
      </c>
      <c r="M7" s="10">
        <v>0</v>
      </c>
    </row>
    <row r="8" spans="1:13">
      <c r="A8" t="s">
        <v>19</v>
      </c>
      <c r="B8">
        <v>5638.55</v>
      </c>
      <c r="C8">
        <v>66361.81</v>
      </c>
      <c r="D8">
        <v>5531.49</v>
      </c>
      <c r="E8">
        <v>65941.9</v>
      </c>
      <c r="F8" s="10">
        <v>-1</v>
      </c>
      <c r="G8" s="10">
        <v>0</v>
      </c>
      <c r="H8" s="10">
        <v>-1</v>
      </c>
      <c r="I8" s="10">
        <v>0</v>
      </c>
      <c r="J8" s="10">
        <v>-1</v>
      </c>
      <c r="K8" s="10">
        <v>0</v>
      </c>
      <c r="L8" s="10">
        <v>-1</v>
      </c>
      <c r="M8" s="10">
        <v>0</v>
      </c>
    </row>
    <row r="9" spans="1:13">
      <c r="A9" t="s">
        <v>20</v>
      </c>
      <c r="B9">
        <v>5593.91</v>
      </c>
      <c r="C9">
        <v>63991.17</v>
      </c>
      <c r="D9">
        <v>5482.07</v>
      </c>
      <c r="E9">
        <v>65831.5</v>
      </c>
      <c r="F9" s="10">
        <v>-1</v>
      </c>
      <c r="G9" s="10">
        <v>0</v>
      </c>
      <c r="H9" s="10">
        <v>-1</v>
      </c>
      <c r="I9" s="10">
        <v>0</v>
      </c>
      <c r="J9" s="10">
        <v>-1</v>
      </c>
      <c r="K9" s="10">
        <v>0</v>
      </c>
      <c r="L9" s="10">
        <v>-1</v>
      </c>
      <c r="M9" s="10">
        <v>0</v>
      </c>
    </row>
    <row r="10" spans="1:13">
      <c r="A10" t="s">
        <v>21</v>
      </c>
      <c r="B10">
        <v>5671.02</v>
      </c>
      <c r="C10">
        <v>64231.18</v>
      </c>
      <c r="D10">
        <v>5563.89</v>
      </c>
      <c r="E10">
        <v>66212.11</v>
      </c>
      <c r="F10" s="10">
        <v>-1</v>
      </c>
      <c r="G10" s="10">
        <v>0</v>
      </c>
      <c r="H10" s="10">
        <v>-1</v>
      </c>
      <c r="I10" s="10">
        <v>0</v>
      </c>
      <c r="J10" s="10">
        <v>-1</v>
      </c>
      <c r="K10" s="10">
        <v>0</v>
      </c>
      <c r="L10" s="10">
        <v>-1</v>
      </c>
      <c r="M10" s="10">
        <v>0</v>
      </c>
    </row>
    <row r="11" spans="1:13">
      <c r="A11" t="s">
        <v>22</v>
      </c>
      <c r="B11">
        <v>5697.88</v>
      </c>
      <c r="C11">
        <v>64977.37</v>
      </c>
      <c r="D11">
        <v>5594.9</v>
      </c>
      <c r="E11">
        <v>65024.07</v>
      </c>
      <c r="F11" s="10">
        <v>-1</v>
      </c>
      <c r="G11" s="10">
        <v>0</v>
      </c>
      <c r="H11" s="10">
        <v>-1</v>
      </c>
      <c r="I11" s="10">
        <v>0</v>
      </c>
      <c r="J11" s="10">
        <v>-1</v>
      </c>
      <c r="K11" s="10">
        <v>0</v>
      </c>
      <c r="L11" s="10">
        <v>-1</v>
      </c>
      <c r="M11" s="10">
        <v>0</v>
      </c>
    </row>
    <row r="12" spans="1:13">
      <c r="A12" t="s">
        <v>23</v>
      </c>
      <c r="B12">
        <v>5498.07</v>
      </c>
      <c r="C12">
        <v>62215.69</v>
      </c>
      <c r="D12">
        <v>5392.66</v>
      </c>
      <c r="E12">
        <v>62615.44</v>
      </c>
      <c r="F12" s="10">
        <v>-1</v>
      </c>
      <c r="G12" s="10">
        <v>0</v>
      </c>
      <c r="H12" s="10">
        <v>-1</v>
      </c>
      <c r="I12" s="10">
        <v>0</v>
      </c>
      <c r="J12" s="10">
        <v>-1</v>
      </c>
      <c r="K12" s="10">
        <v>0</v>
      </c>
      <c r="L12" s="10">
        <v>-1</v>
      </c>
      <c r="M12" s="10">
        <v>0</v>
      </c>
    </row>
    <row r="13" spans="1:13">
      <c r="A13" t="s">
        <v>24</v>
      </c>
      <c r="B13">
        <v>5604.8</v>
      </c>
      <c r="C13">
        <v>63237.06</v>
      </c>
      <c r="D13">
        <v>5498.35</v>
      </c>
      <c r="E13">
        <v>65003.46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5449.34</v>
      </c>
      <c r="C14">
        <v>64089.67</v>
      </c>
      <c r="D14">
        <v>5348.56</v>
      </c>
      <c r="E14">
        <v>66357.63</v>
      </c>
      <c r="F14" s="10">
        <v>-1</v>
      </c>
      <c r="G14" s="10">
        <v>0</v>
      </c>
      <c r="H14" s="10">
        <v>-1</v>
      </c>
      <c r="I14" s="10">
        <v>0</v>
      </c>
      <c r="J14" s="10">
        <v>-1</v>
      </c>
      <c r="K14" s="10">
        <v>0</v>
      </c>
      <c r="L14" s="10">
        <v>-1</v>
      </c>
      <c r="M14" s="10">
        <v>0</v>
      </c>
    </row>
    <row r="15" spans="1:13">
      <c r="A15" t="s">
        <v>26</v>
      </c>
      <c r="B15">
        <v>5402.4</v>
      </c>
      <c r="C15">
        <v>65385.1</v>
      </c>
      <c r="D15">
        <v>5299.33</v>
      </c>
      <c r="E15">
        <v>65788.76</v>
      </c>
      <c r="F15" s="10">
        <v>-1</v>
      </c>
      <c r="G15" s="10">
        <v>0</v>
      </c>
      <c r="H15" s="10">
        <v>-1</v>
      </c>
      <c r="I15" s="10">
        <v>0</v>
      </c>
      <c r="J15" s="10">
        <v>-1</v>
      </c>
      <c r="K15" s="10">
        <v>0</v>
      </c>
      <c r="L15" s="10">
        <v>-1</v>
      </c>
      <c r="M15" s="10">
        <v>0</v>
      </c>
    </row>
    <row r="16" spans="1:13">
      <c r="A16" t="s">
        <v>27</v>
      </c>
      <c r="B16">
        <v>5412.11</v>
      </c>
      <c r="C16">
        <v>65578.95</v>
      </c>
      <c r="D16">
        <v>5309.81</v>
      </c>
      <c r="E16">
        <v>64177.47</v>
      </c>
      <c r="F16" s="10">
        <v>-1</v>
      </c>
      <c r="G16" s="10">
        <v>0</v>
      </c>
      <c r="H16" s="10">
        <v>-1</v>
      </c>
      <c r="I16" s="10">
        <v>0</v>
      </c>
      <c r="J16" s="10">
        <v>-1</v>
      </c>
      <c r="K16" s="10">
        <v>0</v>
      </c>
      <c r="L16" s="10">
        <v>-1</v>
      </c>
      <c r="M16" s="10">
        <v>0</v>
      </c>
    </row>
    <row r="17" spans="1:13">
      <c r="A17" t="s">
        <v>28</v>
      </c>
      <c r="B17">
        <v>5336.45</v>
      </c>
      <c r="C17">
        <v>62707.08</v>
      </c>
      <c r="D17">
        <v>5235.12</v>
      </c>
      <c r="E17">
        <v>64970.9</v>
      </c>
      <c r="F17" s="10">
        <v>-1</v>
      </c>
      <c r="G17" s="10">
        <v>0</v>
      </c>
      <c r="H17" s="10">
        <v>-1</v>
      </c>
      <c r="I17" s="10">
        <v>0</v>
      </c>
      <c r="J17" s="10">
        <v>-1</v>
      </c>
      <c r="K17" s="10">
        <v>0</v>
      </c>
      <c r="L17" s="10">
        <v>-1</v>
      </c>
      <c r="M17" s="10">
        <v>0</v>
      </c>
    </row>
    <row r="18" spans="1:13">
      <c r="A18" t="s">
        <v>29</v>
      </c>
      <c r="B18">
        <v>5364.48</v>
      </c>
      <c r="C18">
        <v>64330.28</v>
      </c>
      <c r="D18">
        <v>5254.96</v>
      </c>
      <c r="E18">
        <v>65375.05</v>
      </c>
      <c r="F18" s="10">
        <v>-1</v>
      </c>
      <c r="G18" s="10">
        <v>0</v>
      </c>
      <c r="H18" s="10">
        <v>-1</v>
      </c>
      <c r="I18" s="10">
        <v>0</v>
      </c>
      <c r="J18" s="10">
        <v>-1</v>
      </c>
      <c r="K18" s="10">
        <v>0</v>
      </c>
      <c r="L18" s="10">
        <v>-1</v>
      </c>
      <c r="M18" s="10">
        <v>0</v>
      </c>
    </row>
    <row r="19" spans="1:13">
      <c r="A19" t="s">
        <v>30</v>
      </c>
      <c r="B19">
        <v>5792.37</v>
      </c>
      <c r="C19">
        <v>66416.77</v>
      </c>
      <c r="D19">
        <v>5682.94</v>
      </c>
      <c r="E19">
        <v>65663.83</v>
      </c>
      <c r="F19" s="10">
        <v>-1</v>
      </c>
      <c r="G19" s="10">
        <v>0</v>
      </c>
      <c r="H19" s="10">
        <v>-1</v>
      </c>
      <c r="I19" s="10">
        <v>0</v>
      </c>
      <c r="J19" s="10">
        <v>-1</v>
      </c>
      <c r="K19" s="10">
        <v>0</v>
      </c>
      <c r="L19" s="10">
        <v>-1</v>
      </c>
      <c r="M19" s="10">
        <v>0</v>
      </c>
    </row>
    <row r="20" spans="1:13">
      <c r="A20" t="s">
        <v>31</v>
      </c>
      <c r="B20">
        <v>5465.27</v>
      </c>
      <c r="C20">
        <v>64643.6</v>
      </c>
      <c r="D20">
        <v>5357.81</v>
      </c>
      <c r="E20">
        <v>61960.78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7279.75</v>
      </c>
      <c r="C21">
        <v>63181.95</v>
      </c>
      <c r="D21">
        <v>7116.2</v>
      </c>
      <c r="E21">
        <v>63495.42</v>
      </c>
      <c r="F21" s="10">
        <v>-1</v>
      </c>
      <c r="G21" s="10">
        <v>0</v>
      </c>
      <c r="H21" s="10">
        <v>-1</v>
      </c>
      <c r="I21" s="10">
        <v>0</v>
      </c>
      <c r="J21" s="10">
        <v>-1</v>
      </c>
      <c r="K21" s="10">
        <v>0</v>
      </c>
      <c r="L21" s="10">
        <v>-1</v>
      </c>
      <c r="M21" s="10">
        <v>0</v>
      </c>
    </row>
    <row r="22" spans="1:13">
      <c r="A22" t="s">
        <v>33</v>
      </c>
      <c r="B22">
        <v>7650.98</v>
      </c>
      <c r="C22">
        <v>64307.19</v>
      </c>
      <c r="D22">
        <v>7496.49</v>
      </c>
      <c r="E22">
        <v>64668.81</v>
      </c>
      <c r="F22" s="10">
        <v>-1</v>
      </c>
      <c r="G22" s="10">
        <v>0</v>
      </c>
      <c r="H22" s="10">
        <v>-1</v>
      </c>
      <c r="I22" s="10">
        <v>0</v>
      </c>
      <c r="J22" s="10">
        <v>-1</v>
      </c>
      <c r="K22" s="10">
        <v>0</v>
      </c>
      <c r="L22" s="10">
        <v>-1</v>
      </c>
      <c r="M22" s="10">
        <v>0</v>
      </c>
    </row>
    <row r="23" spans="1:13">
      <c r="A23" t="s">
        <v>34</v>
      </c>
      <c r="B23">
        <v>7752.36</v>
      </c>
      <c r="C23">
        <v>64557.27</v>
      </c>
      <c r="D23">
        <v>7608.02</v>
      </c>
      <c r="E23">
        <v>67817.73</v>
      </c>
      <c r="F23" s="10">
        <v>-1</v>
      </c>
      <c r="G23" s="10">
        <v>0</v>
      </c>
      <c r="H23" s="10">
        <v>-1</v>
      </c>
      <c r="I23" s="10">
        <v>0</v>
      </c>
      <c r="J23" s="10">
        <v>-1</v>
      </c>
      <c r="K23" s="10">
        <v>0</v>
      </c>
      <c r="L23" s="10">
        <v>-1</v>
      </c>
      <c r="M23" s="10">
        <v>0</v>
      </c>
    </row>
    <row r="24" spans="1:13">
      <c r="A24" t="s">
        <v>35</v>
      </c>
      <c r="B24">
        <v>7913.48</v>
      </c>
      <c r="C24">
        <v>64479.05</v>
      </c>
      <c r="D24">
        <v>7759</v>
      </c>
      <c r="E24">
        <v>66333.7</v>
      </c>
      <c r="F24" s="10">
        <v>-1</v>
      </c>
      <c r="G24" s="10">
        <v>0</v>
      </c>
      <c r="H24" s="10">
        <v>-1</v>
      </c>
      <c r="I24" s="10">
        <v>0</v>
      </c>
      <c r="J24" s="10">
        <v>-1</v>
      </c>
      <c r="K24" s="10">
        <v>0</v>
      </c>
      <c r="L24" s="10">
        <v>-1</v>
      </c>
      <c r="M24" s="10">
        <v>0</v>
      </c>
    </row>
    <row r="25" spans="1:13">
      <c r="A25" t="s">
        <v>36</v>
      </c>
      <c r="B25">
        <v>8429.03</v>
      </c>
      <c r="C25">
        <v>63599.7</v>
      </c>
      <c r="D25">
        <v>8246.66</v>
      </c>
      <c r="E25">
        <v>64758.38</v>
      </c>
      <c r="F25" s="10">
        <v>-1</v>
      </c>
      <c r="G25" s="10">
        <v>0</v>
      </c>
      <c r="H25" s="10">
        <v>-1</v>
      </c>
      <c r="I25" s="10">
        <v>0</v>
      </c>
      <c r="J25" s="10">
        <v>-1</v>
      </c>
      <c r="K25" s="10">
        <v>0</v>
      </c>
      <c r="L25" s="10">
        <v>-1</v>
      </c>
      <c r="M25" s="10">
        <v>0</v>
      </c>
    </row>
    <row r="26" spans="1:13">
      <c r="A26" t="s">
        <v>37</v>
      </c>
      <c r="B26">
        <v>6953.36</v>
      </c>
      <c r="C26">
        <v>63993.42</v>
      </c>
      <c r="D26">
        <v>6858.98</v>
      </c>
      <c r="E26">
        <v>65827.1</v>
      </c>
      <c r="F26" s="10">
        <v>-1</v>
      </c>
      <c r="G26" s="10">
        <v>0</v>
      </c>
      <c r="H26" s="10">
        <v>-1</v>
      </c>
      <c r="I26" s="10">
        <v>0</v>
      </c>
      <c r="J26" s="10">
        <v>-1</v>
      </c>
      <c r="K26" s="10">
        <v>0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6050.538</v>
      </c>
      <c r="B29" s="13">
        <f>IFERROR(AVERAGEIF($D$2:$D$26,"&lt;&gt; -1"),0)</f>
        <v>5934.1464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0</v>
      </c>
      <c r="F29" s="13">
        <f>IFERROR(AVERAGEIF($L$2:$L$26,"&lt;&gt; -1"),0)</f>
        <v>0</v>
      </c>
      <c r="G29" s="13">
        <f>IFERROR(AVERAGEIFS($C$2:$C$26,$B$2:$B$26,"&lt;&gt; -1"),0)</f>
        <v>64388.6044</v>
      </c>
      <c r="H29" s="13">
        <f>IFERROR(AVERAGEIFS($E$2:$E$26,$D$2:$D$26,"&lt;&gt; -1"),0)</f>
        <v>65046.5464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0</v>
      </c>
      <c r="L29" s="13">
        <f>IFERROR(AVERAGEIFS($M$2:$M$26,$L$2:$L$26,"&lt;&gt; -1"),0)</f>
        <v>0</v>
      </c>
      <c r="M29" s="13">
        <f>IFERROR(_xlfn.MAXIFS($B$2:$B$26,$B$2:$B$26,"&lt;&gt; -1"),0)</f>
        <v>8429.03</v>
      </c>
      <c r="N29" s="13">
        <f>IFERROR(_xlfn.MAXIFS($D$2:$D$26,$D$2:$D$26,"&lt;&gt;-1"),0)</f>
        <v>8246.66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0</v>
      </c>
      <c r="R29" s="13">
        <f>IFERROR(_xlfn.MAXIFS($L$2:$L$26,$L$2:$L$26,"&lt;&gt; -1"),0)</f>
        <v>0</v>
      </c>
      <c r="S29" s="13">
        <f>IFERROR(_xlfn.MINIFS($B$2:$B$26,$B$2:$B$26,"&lt;&gt; -1"),0)</f>
        <v>5336.45</v>
      </c>
      <c r="T29" s="13">
        <f>IFERROR(_xlfn.MINIFS($D$2:$D$26,$D$2:$D$26,"&lt;&gt;-1"),0)</f>
        <v>5235.12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0</v>
      </c>
      <c r="X29" s="13">
        <f>IFERROR(_xlfn.MINIFS($L$2:$L$26,$L$2:$L$26,"&lt;&gt; -1"),0)</f>
        <v>0</v>
      </c>
      <c r="Y29" s="13">
        <f>IFERROR(_xlfn.MAXIFS($C$2:$C$26,$B$2:$B$26,"&lt;&gt; -1"),0)</f>
        <v>66416.77</v>
      </c>
      <c r="Z29" s="13">
        <f>IFERROR(_xlfn.MAXIFS($E$2:$E$26,$D$2:$D$26,"&lt;&gt; -1"),0)</f>
        <v>68544.06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0</v>
      </c>
      <c r="AD29" s="13">
        <f>IFERROR(_xlfn.MAXIFS($M$2:$M$26,$L$2:$L$26,"&lt;&gt; -1"),0)</f>
        <v>0</v>
      </c>
      <c r="AE29" s="13">
        <f>IFERROR(_xlfn.MINIFS($C$2:$C$26,$B$2:$B$26,"&lt;&gt; -1"),0)</f>
        <v>62215.69</v>
      </c>
      <c r="AF29" s="13">
        <f>IFERROR(_xlfn.MINIFS($E$2:$E$26,$D$2:$D$26,"&lt;&gt; -1"),0)</f>
        <v>61960.78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0</v>
      </c>
      <c r="AJ29" s="13">
        <f>IFERROR(_xlfn.MINIFS($M$2:$M$26,$L$2:$L$26,"&lt;&gt; -1"),0)</f>
        <v>0</v>
      </c>
      <c r="AK29" s="13">
        <f>(COUNTIFS($B$2:$B$26,"&gt;0.0",$B$2:$B$26,"&lt;6000.0"))/25</f>
        <v>0.76</v>
      </c>
      <c r="AL29" s="13">
        <f>(COUNTIFS($D$2:$D$26,"&gt;0.0",$D$2:$D$26,"&lt;6000.0"))/25</f>
        <v>0.76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</v>
      </c>
      <c r="AP29" s="13">
        <f>(COUNTIFS($L$2:$L$26,"&gt;0.0",$L$2:$L$26,"&lt;6000.0"))/25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zoomScale="70" zoomScaleNormal="70" workbookViewId="0">
      <selection activeCell="A29" sqref="$A29:$XFD29"/>
    </sheetView>
  </sheetViews>
  <sheetFormatPr defaultColWidth="8.66666666666667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5333.81</v>
      </c>
      <c r="C2">
        <v>64564.06</v>
      </c>
      <c r="D2">
        <v>5233.79</v>
      </c>
      <c r="E2">
        <v>62385.29</v>
      </c>
      <c r="F2" s="10">
        <v>-1</v>
      </c>
      <c r="G2" s="10">
        <v>0</v>
      </c>
      <c r="H2" s="10">
        <v>-1</v>
      </c>
      <c r="I2" s="10">
        <v>0</v>
      </c>
      <c r="J2" s="10">
        <v>-1</v>
      </c>
      <c r="K2" s="10">
        <v>0</v>
      </c>
      <c r="L2" s="10">
        <v>-1</v>
      </c>
      <c r="M2" s="10">
        <v>0</v>
      </c>
    </row>
    <row r="3" spans="1:13">
      <c r="A3" t="s">
        <v>14</v>
      </c>
      <c r="B3">
        <v>5518.34</v>
      </c>
      <c r="C3">
        <v>63741.61</v>
      </c>
      <c r="D3">
        <v>5429.28</v>
      </c>
      <c r="E3">
        <v>66280.6</v>
      </c>
      <c r="F3" s="10">
        <v>-1</v>
      </c>
      <c r="G3" s="10">
        <v>0</v>
      </c>
      <c r="H3" s="10">
        <v>-1</v>
      </c>
      <c r="I3" s="10">
        <v>0</v>
      </c>
      <c r="J3" s="10">
        <v>-1</v>
      </c>
      <c r="K3" s="10">
        <v>0</v>
      </c>
      <c r="L3" s="10">
        <v>-1</v>
      </c>
      <c r="M3" s="10">
        <v>0</v>
      </c>
    </row>
    <row r="4" spans="1:13">
      <c r="A4" t="s">
        <v>15</v>
      </c>
      <c r="B4">
        <v>5310.95</v>
      </c>
      <c r="C4">
        <v>63235.02</v>
      </c>
      <c r="D4">
        <v>5215.51</v>
      </c>
      <c r="E4">
        <v>63402.59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-1</v>
      </c>
      <c r="M4" s="10">
        <v>0</v>
      </c>
    </row>
    <row r="5" spans="1:13">
      <c r="A5" t="s">
        <v>16</v>
      </c>
      <c r="B5">
        <v>5588.23</v>
      </c>
      <c r="C5">
        <v>65170.54</v>
      </c>
      <c r="D5">
        <v>5490.87</v>
      </c>
      <c r="E5">
        <v>65001.84</v>
      </c>
      <c r="F5" s="10">
        <v>-1</v>
      </c>
      <c r="G5" s="10">
        <v>0</v>
      </c>
      <c r="H5" s="10">
        <v>-1</v>
      </c>
      <c r="I5" s="10">
        <v>0</v>
      </c>
      <c r="J5" s="10">
        <v>-1</v>
      </c>
      <c r="K5" s="10">
        <v>0</v>
      </c>
      <c r="L5" s="10">
        <v>-1</v>
      </c>
      <c r="M5" s="10">
        <v>0</v>
      </c>
    </row>
    <row r="6" spans="1:13">
      <c r="A6" t="s">
        <v>17</v>
      </c>
      <c r="B6">
        <v>5589.35</v>
      </c>
      <c r="C6">
        <v>63388.05</v>
      </c>
      <c r="D6">
        <v>5491.92</v>
      </c>
      <c r="E6">
        <v>62896.18</v>
      </c>
      <c r="F6" s="10">
        <v>-1</v>
      </c>
      <c r="G6" s="10">
        <v>0</v>
      </c>
      <c r="H6" s="10">
        <v>-1</v>
      </c>
      <c r="I6" s="10">
        <v>0</v>
      </c>
      <c r="J6" s="10">
        <v>-1</v>
      </c>
      <c r="K6" s="10">
        <v>0</v>
      </c>
      <c r="L6" s="10">
        <v>-1</v>
      </c>
      <c r="M6" s="10">
        <v>0</v>
      </c>
    </row>
    <row r="7" spans="1:13">
      <c r="A7" t="s">
        <v>18</v>
      </c>
      <c r="B7">
        <v>5583.64</v>
      </c>
      <c r="C7">
        <v>65172.98</v>
      </c>
      <c r="D7">
        <v>5490.2</v>
      </c>
      <c r="E7">
        <v>66730.59</v>
      </c>
      <c r="F7" s="10">
        <v>-1</v>
      </c>
      <c r="G7" s="10">
        <v>0</v>
      </c>
      <c r="H7" s="10">
        <v>-1</v>
      </c>
      <c r="I7" s="10">
        <v>0</v>
      </c>
      <c r="J7" s="10">
        <v>-1</v>
      </c>
      <c r="K7" s="10">
        <v>0</v>
      </c>
      <c r="L7" s="10">
        <v>-1</v>
      </c>
      <c r="M7" s="10">
        <v>0</v>
      </c>
    </row>
    <row r="8" spans="1:13">
      <c r="A8" t="s">
        <v>19</v>
      </c>
      <c r="B8">
        <v>5582.49</v>
      </c>
      <c r="C8">
        <v>66041.85</v>
      </c>
      <c r="D8">
        <v>5481.5</v>
      </c>
      <c r="E8">
        <v>65177.94</v>
      </c>
      <c r="F8" s="10">
        <v>-1</v>
      </c>
      <c r="G8" s="10">
        <v>0</v>
      </c>
      <c r="H8" s="10">
        <v>-1</v>
      </c>
      <c r="I8" s="10">
        <v>0</v>
      </c>
      <c r="J8" s="10">
        <v>-1</v>
      </c>
      <c r="K8" s="10">
        <v>0</v>
      </c>
      <c r="L8" s="10">
        <v>-1</v>
      </c>
      <c r="M8" s="10">
        <v>0</v>
      </c>
    </row>
    <row r="9" spans="1:13">
      <c r="A9" t="s">
        <v>20</v>
      </c>
      <c r="B9">
        <v>5507.28</v>
      </c>
      <c r="C9">
        <v>63455.33</v>
      </c>
      <c r="D9">
        <v>5416.81</v>
      </c>
      <c r="E9">
        <v>63653.69</v>
      </c>
      <c r="F9" s="10">
        <v>-1</v>
      </c>
      <c r="G9" s="10">
        <v>0</v>
      </c>
      <c r="H9" s="10">
        <v>-1</v>
      </c>
      <c r="I9" s="10">
        <v>0</v>
      </c>
      <c r="J9" s="10">
        <v>-1</v>
      </c>
      <c r="K9" s="10">
        <v>0</v>
      </c>
      <c r="L9" s="10">
        <v>-1</v>
      </c>
      <c r="M9" s="10">
        <v>0</v>
      </c>
    </row>
    <row r="10" spans="1:13">
      <c r="A10" t="s">
        <v>21</v>
      </c>
      <c r="B10">
        <v>5605.91</v>
      </c>
      <c r="C10">
        <v>63125.6</v>
      </c>
      <c r="D10">
        <v>5515.84</v>
      </c>
      <c r="E10">
        <v>66397.35</v>
      </c>
      <c r="F10" s="10">
        <v>-1</v>
      </c>
      <c r="G10" s="10">
        <v>0</v>
      </c>
      <c r="H10" s="10">
        <v>-1</v>
      </c>
      <c r="I10" s="10">
        <v>0</v>
      </c>
      <c r="J10" s="10">
        <v>-1</v>
      </c>
      <c r="K10" s="10">
        <v>0</v>
      </c>
      <c r="L10" s="10">
        <v>-1</v>
      </c>
      <c r="M10" s="10">
        <v>0</v>
      </c>
    </row>
    <row r="11" spans="1:13">
      <c r="A11" t="s">
        <v>22</v>
      </c>
      <c r="B11">
        <v>5652.5</v>
      </c>
      <c r="C11">
        <v>65253.29</v>
      </c>
      <c r="D11">
        <v>5555.98</v>
      </c>
      <c r="E11">
        <v>65420.9</v>
      </c>
      <c r="F11" s="10">
        <v>-1</v>
      </c>
      <c r="G11" s="10">
        <v>0</v>
      </c>
      <c r="H11" s="10">
        <v>-1</v>
      </c>
      <c r="I11" s="10">
        <v>0</v>
      </c>
      <c r="J11" s="10">
        <v>-1</v>
      </c>
      <c r="K11" s="10">
        <v>0</v>
      </c>
      <c r="L11" s="10">
        <v>-1</v>
      </c>
      <c r="M11" s="10">
        <v>0</v>
      </c>
    </row>
    <row r="12" spans="1:13">
      <c r="A12" t="s">
        <v>23</v>
      </c>
      <c r="B12">
        <v>5454.09</v>
      </c>
      <c r="C12">
        <v>65106.58</v>
      </c>
      <c r="D12">
        <v>5360.02</v>
      </c>
      <c r="E12">
        <v>62139.44</v>
      </c>
      <c r="F12" s="10">
        <v>-1</v>
      </c>
      <c r="G12" s="10">
        <v>0</v>
      </c>
      <c r="H12" s="10">
        <v>-1</v>
      </c>
      <c r="I12" s="10">
        <v>0</v>
      </c>
      <c r="J12" s="10">
        <v>-1</v>
      </c>
      <c r="K12" s="10">
        <v>0</v>
      </c>
      <c r="L12" s="10">
        <v>-1</v>
      </c>
      <c r="M12" s="10">
        <v>0</v>
      </c>
    </row>
    <row r="13" spans="1:13">
      <c r="A13" t="s">
        <v>24</v>
      </c>
      <c r="B13">
        <v>5542.99</v>
      </c>
      <c r="C13">
        <v>64196.92</v>
      </c>
      <c r="D13">
        <v>5447.79</v>
      </c>
      <c r="E13">
        <v>62944.64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5482.14</v>
      </c>
      <c r="C14">
        <v>64704.31</v>
      </c>
      <c r="D14">
        <v>5382.57</v>
      </c>
      <c r="E14">
        <v>64464.21</v>
      </c>
      <c r="F14" s="10">
        <v>-1</v>
      </c>
      <c r="G14" s="10">
        <v>0</v>
      </c>
      <c r="H14" s="10">
        <v>-1</v>
      </c>
      <c r="I14" s="10">
        <v>0</v>
      </c>
      <c r="J14" s="10">
        <v>-1</v>
      </c>
      <c r="K14" s="10">
        <v>0</v>
      </c>
      <c r="L14" s="10">
        <v>-1</v>
      </c>
      <c r="M14" s="10">
        <v>0</v>
      </c>
    </row>
    <row r="15" spans="1:13">
      <c r="A15" t="s">
        <v>26</v>
      </c>
      <c r="B15">
        <v>5484.2</v>
      </c>
      <c r="C15">
        <v>64750.57</v>
      </c>
      <c r="D15">
        <v>5390.14</v>
      </c>
      <c r="E15">
        <v>63589.15</v>
      </c>
      <c r="F15" s="10">
        <v>-1</v>
      </c>
      <c r="G15" s="10">
        <v>0</v>
      </c>
      <c r="H15" s="10">
        <v>-1</v>
      </c>
      <c r="I15" s="10">
        <v>0</v>
      </c>
      <c r="J15" s="10">
        <v>-1</v>
      </c>
      <c r="K15" s="10">
        <v>0</v>
      </c>
      <c r="L15" s="10">
        <v>-1</v>
      </c>
      <c r="M15" s="10">
        <v>0</v>
      </c>
    </row>
    <row r="16" spans="1:13">
      <c r="A16" t="s">
        <v>27</v>
      </c>
      <c r="B16">
        <v>5341.04</v>
      </c>
      <c r="C16">
        <v>66124.89</v>
      </c>
      <c r="D16">
        <v>5251.29</v>
      </c>
      <c r="E16">
        <v>64502.88</v>
      </c>
      <c r="F16" s="10">
        <v>-1</v>
      </c>
      <c r="G16" s="10">
        <v>0</v>
      </c>
      <c r="H16" s="10">
        <v>-1</v>
      </c>
      <c r="I16" s="10">
        <v>0</v>
      </c>
      <c r="J16" s="10">
        <v>-1</v>
      </c>
      <c r="K16" s="10">
        <v>0</v>
      </c>
      <c r="L16" s="10">
        <v>-1</v>
      </c>
      <c r="M16" s="10">
        <v>0</v>
      </c>
    </row>
    <row r="17" spans="1:13">
      <c r="A17" t="s">
        <v>28</v>
      </c>
      <c r="B17">
        <v>5307.73</v>
      </c>
      <c r="C17">
        <v>63419.97</v>
      </c>
      <c r="D17">
        <v>5218.29</v>
      </c>
      <c r="E17">
        <v>65588.32</v>
      </c>
      <c r="F17" s="10">
        <v>-1</v>
      </c>
      <c r="G17" s="10">
        <v>0</v>
      </c>
      <c r="H17" s="10">
        <v>-1</v>
      </c>
      <c r="I17" s="10">
        <v>0</v>
      </c>
      <c r="J17" s="10">
        <v>-1</v>
      </c>
      <c r="K17" s="10">
        <v>0</v>
      </c>
      <c r="L17" s="10">
        <v>-1</v>
      </c>
      <c r="M17" s="10">
        <v>0</v>
      </c>
    </row>
    <row r="18" spans="1:13">
      <c r="A18" t="s">
        <v>29</v>
      </c>
      <c r="B18">
        <v>5298.02</v>
      </c>
      <c r="C18">
        <v>64822.31</v>
      </c>
      <c r="D18">
        <v>5204.91</v>
      </c>
      <c r="E18">
        <v>64762.51</v>
      </c>
      <c r="F18" s="10">
        <v>-1</v>
      </c>
      <c r="G18" s="10">
        <v>0</v>
      </c>
      <c r="H18" s="10">
        <v>-1</v>
      </c>
      <c r="I18" s="10">
        <v>0</v>
      </c>
      <c r="J18" s="10">
        <v>-1</v>
      </c>
      <c r="K18" s="10">
        <v>0</v>
      </c>
      <c r="L18" s="10">
        <v>-1</v>
      </c>
      <c r="M18" s="10">
        <v>0</v>
      </c>
    </row>
    <row r="19" spans="1:13">
      <c r="A19" t="s">
        <v>30</v>
      </c>
      <c r="B19">
        <v>5484.61</v>
      </c>
      <c r="C19">
        <v>65452.53</v>
      </c>
      <c r="D19">
        <v>5398.01</v>
      </c>
      <c r="E19">
        <v>64871.98</v>
      </c>
      <c r="F19" s="10">
        <v>-1</v>
      </c>
      <c r="G19" s="10">
        <v>0</v>
      </c>
      <c r="H19" s="10">
        <v>-1</v>
      </c>
      <c r="I19" s="10">
        <v>0</v>
      </c>
      <c r="J19" s="10">
        <v>-1</v>
      </c>
      <c r="K19" s="10">
        <v>0</v>
      </c>
      <c r="L19" s="10">
        <v>-1</v>
      </c>
      <c r="M19" s="10">
        <v>0</v>
      </c>
    </row>
    <row r="20" spans="1:13">
      <c r="A20" t="s">
        <v>31</v>
      </c>
      <c r="B20">
        <v>5388.57</v>
      </c>
      <c r="C20">
        <v>62262.3</v>
      </c>
      <c r="D20">
        <v>5291.51</v>
      </c>
      <c r="E20">
        <v>64165.13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5483.86</v>
      </c>
      <c r="C21">
        <v>64545.21</v>
      </c>
      <c r="D21">
        <v>5387.58</v>
      </c>
      <c r="E21">
        <v>63272.98</v>
      </c>
      <c r="F21" s="10">
        <v>-1</v>
      </c>
      <c r="G21" s="10">
        <v>0</v>
      </c>
      <c r="H21" s="10">
        <v>-1</v>
      </c>
      <c r="I21" s="10">
        <v>0</v>
      </c>
      <c r="J21" s="10">
        <v>-1</v>
      </c>
      <c r="K21" s="10">
        <v>0</v>
      </c>
      <c r="L21" s="10">
        <v>-1</v>
      </c>
      <c r="M21" s="10">
        <v>0</v>
      </c>
    </row>
    <row r="22" spans="1:13">
      <c r="A22" t="s">
        <v>33</v>
      </c>
      <c r="B22">
        <v>5820.21</v>
      </c>
      <c r="C22">
        <v>64314.93</v>
      </c>
      <c r="D22">
        <v>5687.26</v>
      </c>
      <c r="E22">
        <v>62360.79</v>
      </c>
      <c r="F22" s="10">
        <v>-1</v>
      </c>
      <c r="G22" s="10">
        <v>0</v>
      </c>
      <c r="H22" s="10">
        <v>-1</v>
      </c>
      <c r="I22" s="10">
        <v>0</v>
      </c>
      <c r="J22" s="10">
        <v>-1</v>
      </c>
      <c r="K22" s="10">
        <v>0</v>
      </c>
      <c r="L22" s="10">
        <v>-1</v>
      </c>
      <c r="M22" s="10">
        <v>0</v>
      </c>
    </row>
    <row r="23" spans="1:13">
      <c r="A23" t="s">
        <v>34</v>
      </c>
      <c r="B23">
        <v>7846.72</v>
      </c>
      <c r="C23">
        <v>66827.1</v>
      </c>
      <c r="D23">
        <v>7725.31</v>
      </c>
      <c r="E23">
        <v>64452.24</v>
      </c>
      <c r="F23" s="10">
        <v>-1</v>
      </c>
      <c r="G23" s="10">
        <v>0</v>
      </c>
      <c r="H23" s="10">
        <v>-1</v>
      </c>
      <c r="I23" s="10">
        <v>0</v>
      </c>
      <c r="J23" s="10">
        <v>-1</v>
      </c>
      <c r="K23" s="10">
        <v>0</v>
      </c>
      <c r="L23" s="10">
        <v>-1</v>
      </c>
      <c r="M23" s="10">
        <v>0</v>
      </c>
    </row>
    <row r="24" spans="1:13">
      <c r="A24" t="s">
        <v>35</v>
      </c>
      <c r="B24">
        <v>7718.82</v>
      </c>
      <c r="C24">
        <v>65442.23</v>
      </c>
      <c r="D24">
        <v>7580.3</v>
      </c>
      <c r="E24">
        <v>63489.66</v>
      </c>
      <c r="F24" s="10">
        <v>-1</v>
      </c>
      <c r="G24" s="10">
        <v>0</v>
      </c>
      <c r="H24" s="10">
        <v>-1</v>
      </c>
      <c r="I24" s="10">
        <v>0</v>
      </c>
      <c r="J24" s="10">
        <v>-1</v>
      </c>
      <c r="K24" s="10">
        <v>0</v>
      </c>
      <c r="L24" s="10">
        <v>-1</v>
      </c>
      <c r="M24" s="10">
        <v>0</v>
      </c>
    </row>
    <row r="25" spans="1:13">
      <c r="A25" t="s">
        <v>36</v>
      </c>
      <c r="B25">
        <v>7928.62</v>
      </c>
      <c r="C25">
        <v>66365.59</v>
      </c>
      <c r="D25">
        <v>7771.45</v>
      </c>
      <c r="E25">
        <v>63307.45</v>
      </c>
      <c r="F25" s="10">
        <v>-1</v>
      </c>
      <c r="G25" s="10">
        <v>0</v>
      </c>
      <c r="H25" s="10">
        <v>-1</v>
      </c>
      <c r="I25" s="10">
        <v>0</v>
      </c>
      <c r="J25" s="10">
        <v>-1</v>
      </c>
      <c r="K25" s="10">
        <v>0</v>
      </c>
      <c r="L25" s="10">
        <v>-1</v>
      </c>
      <c r="M25" s="10">
        <v>0</v>
      </c>
    </row>
    <row r="26" spans="1:13">
      <c r="A26" t="s">
        <v>37</v>
      </c>
      <c r="B26">
        <v>7821.35</v>
      </c>
      <c r="C26">
        <v>63745.98</v>
      </c>
      <c r="D26">
        <v>7663.38</v>
      </c>
      <c r="E26">
        <v>64447.37</v>
      </c>
      <c r="F26" s="10">
        <v>-1</v>
      </c>
      <c r="G26" s="10">
        <v>0</v>
      </c>
      <c r="H26" s="10">
        <v>-1</v>
      </c>
      <c r="I26" s="10">
        <v>0</v>
      </c>
      <c r="J26" s="10">
        <v>-1</v>
      </c>
      <c r="K26" s="10">
        <v>0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5867.0188</v>
      </c>
      <c r="B29" s="13">
        <f>IFERROR(AVERAGEIF($D$2:$D$26,"&lt;&gt; -1"),0)</f>
        <v>5763.2604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0</v>
      </c>
      <c r="F29" s="13">
        <f>IFERROR(AVERAGEIF($L$2:$L$26,"&lt;&gt; -1"),0)</f>
        <v>0</v>
      </c>
      <c r="G29" s="13">
        <f>IFERROR(AVERAGEIFS($C$2:$C$26,$B$2:$B$26,"&lt;&gt; -1"),0)</f>
        <v>64609.19</v>
      </c>
      <c r="H29" s="13">
        <f>IFERROR(AVERAGEIFS($E$2:$E$26,$D$2:$D$26,"&lt;&gt; -1"),0)</f>
        <v>64228.2288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0</v>
      </c>
      <c r="L29" s="13">
        <f>IFERROR(AVERAGEIFS($M$2:$M$26,$L$2:$L$26,"&lt;&gt; -1"),0)</f>
        <v>0</v>
      </c>
      <c r="M29" s="13">
        <f>IFERROR(_xlfn.MAXIFS($B$2:$B$26,$B$2:$B$26,"&lt;&gt; -1"),0)</f>
        <v>7928.62</v>
      </c>
      <c r="N29" s="13">
        <f>IFERROR(_xlfn.MAXIFS($D$2:$D$26,$D$2:$D$26,"&lt;&gt;-1"),0)</f>
        <v>7771.45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0</v>
      </c>
      <c r="R29" s="13">
        <f>IFERROR(_xlfn.MAXIFS($L$2:$L$26,$L$2:$L$26,"&lt;&gt; -1"),0)</f>
        <v>0</v>
      </c>
      <c r="S29" s="13">
        <f>IFERROR(_xlfn.MINIFS($B$2:$B$26,$B$2:$B$26,"&lt;&gt; -1"),0)</f>
        <v>5298.02</v>
      </c>
      <c r="T29" s="13">
        <f>IFERROR(_xlfn.MINIFS($D$2:$D$26,$D$2:$D$26,"&lt;&gt;-1"),0)</f>
        <v>5204.91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0</v>
      </c>
      <c r="X29" s="13">
        <f>IFERROR(_xlfn.MINIFS($L$2:$L$26,$L$2:$L$26,"&lt;&gt; -1"),0)</f>
        <v>0</v>
      </c>
      <c r="Y29" s="13">
        <f>IFERROR(_xlfn.MAXIFS($C$2:$C$26,$B$2:$B$26,"&lt;&gt; -1"),0)</f>
        <v>66827.1</v>
      </c>
      <c r="Z29" s="13">
        <f>IFERROR(_xlfn.MAXIFS($E$2:$E$26,$D$2:$D$26,"&lt;&gt; -1"),0)</f>
        <v>66730.59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0</v>
      </c>
      <c r="AD29" s="13">
        <f>IFERROR(_xlfn.MAXIFS($M$2:$M$26,$L$2:$L$26,"&lt;&gt; -1"),0)</f>
        <v>0</v>
      </c>
      <c r="AE29" s="13">
        <f>IFERROR(_xlfn.MINIFS($C$2:$C$26,$B$2:$B$26,"&lt;&gt; -1"),0)</f>
        <v>62262.3</v>
      </c>
      <c r="AF29" s="13">
        <f>IFERROR(_xlfn.MINIFS($E$2:$E$26,$D$2:$D$26,"&lt;&gt; -1"),0)</f>
        <v>62139.44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0</v>
      </c>
      <c r="AJ29" s="13">
        <f>IFERROR(_xlfn.MINIFS($M$2:$M$26,$L$2:$L$26,"&lt;&gt; -1"),0)</f>
        <v>0</v>
      </c>
      <c r="AK29" s="13">
        <f>(COUNTIFS($B$2:$B$26,"&gt;0.0",$B$2:$B$26,"&lt;6000.0"))/25</f>
        <v>0.84</v>
      </c>
      <c r="AL29" s="13">
        <f>(COUNTIFS($D$2:$D$26,"&gt;0.0",$D$2:$D$26,"&lt;6000.0"))/25</f>
        <v>0.84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</v>
      </c>
      <c r="AP29" s="13">
        <f>(COUNTIFS($L$2:$L$26,"&gt;0.0",$L$2:$L$26,"&lt;6000.0"))/25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8.66666666666667" defaultRowHeight="15"/>
  <cols>
    <col min="3" max="4" width="9.4166666666666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5583.9</v>
      </c>
      <c r="C2">
        <v>64257.66</v>
      </c>
      <c r="D2">
        <v>5568.12</v>
      </c>
      <c r="E2">
        <v>63856.34</v>
      </c>
      <c r="F2" s="10">
        <v>-1</v>
      </c>
      <c r="G2" s="10">
        <v>0</v>
      </c>
      <c r="H2" s="10">
        <v>-1</v>
      </c>
      <c r="I2" s="10">
        <v>0</v>
      </c>
      <c r="J2" s="10">
        <v>-1</v>
      </c>
      <c r="K2" s="10">
        <v>0</v>
      </c>
      <c r="L2" s="10">
        <v>-1</v>
      </c>
      <c r="M2" s="10">
        <v>0</v>
      </c>
    </row>
    <row r="3" spans="1:13">
      <c r="A3" t="s">
        <v>14</v>
      </c>
      <c r="B3">
        <v>5834.8</v>
      </c>
      <c r="C3">
        <v>63975.7</v>
      </c>
      <c r="D3">
        <v>5790.49</v>
      </c>
      <c r="E3">
        <v>63980.94</v>
      </c>
      <c r="F3" s="10">
        <v>-1</v>
      </c>
      <c r="G3" s="10">
        <v>0</v>
      </c>
      <c r="H3" s="10">
        <v>-1</v>
      </c>
      <c r="I3" s="10">
        <v>0</v>
      </c>
      <c r="J3" s="10">
        <v>-1</v>
      </c>
      <c r="K3" s="10">
        <v>0</v>
      </c>
      <c r="L3" s="10">
        <v>-1</v>
      </c>
      <c r="M3" s="10">
        <v>0</v>
      </c>
    </row>
    <row r="4" spans="1:13">
      <c r="A4" t="s">
        <v>15</v>
      </c>
      <c r="B4">
        <v>5613.9</v>
      </c>
      <c r="C4">
        <v>62874.39</v>
      </c>
      <c r="D4">
        <v>5581.37</v>
      </c>
      <c r="E4">
        <v>62600.73</v>
      </c>
      <c r="F4" s="10">
        <v>-1</v>
      </c>
      <c r="G4" s="10">
        <v>0</v>
      </c>
      <c r="H4" s="10">
        <v>-1</v>
      </c>
      <c r="I4" s="10">
        <v>0</v>
      </c>
      <c r="J4" s="10">
        <v>-1</v>
      </c>
      <c r="K4" s="10">
        <v>0</v>
      </c>
      <c r="L4" s="10">
        <v>-1</v>
      </c>
      <c r="M4" s="10">
        <v>0</v>
      </c>
    </row>
    <row r="5" spans="1:13">
      <c r="A5" t="s">
        <v>16</v>
      </c>
      <c r="B5">
        <v>5898.23</v>
      </c>
      <c r="C5">
        <v>65756.35</v>
      </c>
      <c r="D5">
        <v>5854.52</v>
      </c>
      <c r="E5">
        <v>67353.85</v>
      </c>
      <c r="F5" s="10">
        <v>-1</v>
      </c>
      <c r="G5" s="10">
        <v>0</v>
      </c>
      <c r="H5" s="10">
        <v>-1</v>
      </c>
      <c r="I5" s="10">
        <v>0</v>
      </c>
      <c r="J5" s="10">
        <v>-1</v>
      </c>
      <c r="K5" s="10">
        <v>0</v>
      </c>
      <c r="L5" s="10">
        <v>-1</v>
      </c>
      <c r="M5" s="10">
        <v>0</v>
      </c>
    </row>
    <row r="6" spans="1:13">
      <c r="A6" t="s">
        <v>17</v>
      </c>
      <c r="B6">
        <v>5758.86</v>
      </c>
      <c r="C6">
        <v>63947.27</v>
      </c>
      <c r="D6">
        <v>5719.99</v>
      </c>
      <c r="E6">
        <v>63219.01</v>
      </c>
      <c r="F6" s="10">
        <v>-1</v>
      </c>
      <c r="G6" s="10">
        <v>0</v>
      </c>
      <c r="H6" s="10">
        <v>-1</v>
      </c>
      <c r="I6" s="10">
        <v>0</v>
      </c>
      <c r="J6" s="10">
        <v>-1</v>
      </c>
      <c r="K6" s="10">
        <v>0</v>
      </c>
      <c r="L6" s="10">
        <v>-1</v>
      </c>
      <c r="M6" s="10">
        <v>0</v>
      </c>
    </row>
    <row r="7" spans="1:13">
      <c r="A7" t="s">
        <v>18</v>
      </c>
      <c r="B7">
        <v>5899.11</v>
      </c>
      <c r="C7">
        <v>67766.82</v>
      </c>
      <c r="D7">
        <v>5861.89</v>
      </c>
      <c r="E7">
        <v>65581.4</v>
      </c>
      <c r="F7" s="10">
        <v>-1</v>
      </c>
      <c r="G7" s="10">
        <v>0</v>
      </c>
      <c r="H7" s="10">
        <v>-1</v>
      </c>
      <c r="I7" s="10">
        <v>0</v>
      </c>
      <c r="J7" s="10">
        <v>-1</v>
      </c>
      <c r="K7" s="10">
        <v>0</v>
      </c>
      <c r="L7" s="10">
        <v>-1</v>
      </c>
      <c r="M7" s="10">
        <v>0</v>
      </c>
    </row>
    <row r="8" spans="1:13">
      <c r="A8" t="s">
        <v>19</v>
      </c>
      <c r="B8">
        <v>5845.01</v>
      </c>
      <c r="C8">
        <v>65099.97</v>
      </c>
      <c r="D8">
        <v>5801.05</v>
      </c>
      <c r="E8">
        <v>65611.04</v>
      </c>
      <c r="F8" s="10">
        <v>-1</v>
      </c>
      <c r="G8" s="10">
        <v>0</v>
      </c>
      <c r="H8" s="10">
        <v>-1</v>
      </c>
      <c r="I8" s="10">
        <v>0</v>
      </c>
      <c r="J8" s="10">
        <v>-1</v>
      </c>
      <c r="K8" s="10">
        <v>0</v>
      </c>
      <c r="L8" s="10">
        <v>-1</v>
      </c>
      <c r="M8" s="10">
        <v>0</v>
      </c>
    </row>
    <row r="9" spans="1:13">
      <c r="A9" t="s">
        <v>20</v>
      </c>
      <c r="B9">
        <v>5821.57</v>
      </c>
      <c r="C9">
        <v>65097.76</v>
      </c>
      <c r="D9">
        <v>5823.07</v>
      </c>
      <c r="E9">
        <v>64279.94</v>
      </c>
      <c r="F9" s="10">
        <v>-1</v>
      </c>
      <c r="G9" s="10">
        <v>0</v>
      </c>
      <c r="H9" s="10">
        <v>-1</v>
      </c>
      <c r="I9" s="10">
        <v>0</v>
      </c>
      <c r="J9" s="10">
        <v>-1</v>
      </c>
      <c r="K9" s="10">
        <v>0</v>
      </c>
      <c r="L9" s="10">
        <v>-1</v>
      </c>
      <c r="M9" s="10">
        <v>0</v>
      </c>
    </row>
    <row r="10" spans="1:13">
      <c r="A10" t="s">
        <v>21</v>
      </c>
      <c r="B10">
        <v>5906.97</v>
      </c>
      <c r="C10">
        <v>65576.8</v>
      </c>
      <c r="D10">
        <v>5872.69</v>
      </c>
      <c r="E10">
        <v>64140.92</v>
      </c>
      <c r="F10" s="10">
        <v>-1</v>
      </c>
      <c r="G10" s="10">
        <v>0</v>
      </c>
      <c r="H10" s="10">
        <v>-1</v>
      </c>
      <c r="I10" s="10">
        <v>0</v>
      </c>
      <c r="J10" s="10">
        <v>-1</v>
      </c>
      <c r="K10" s="10">
        <v>0</v>
      </c>
      <c r="L10" s="10">
        <v>-1</v>
      </c>
      <c r="M10" s="10">
        <v>0</v>
      </c>
    </row>
    <row r="11" spans="1:13">
      <c r="A11" t="s">
        <v>22</v>
      </c>
      <c r="B11">
        <v>5958.14</v>
      </c>
      <c r="C11">
        <v>64981.52</v>
      </c>
      <c r="D11">
        <v>5914.94</v>
      </c>
      <c r="E11">
        <v>64374.39</v>
      </c>
      <c r="F11" s="10">
        <v>-1</v>
      </c>
      <c r="G11" s="10">
        <v>0</v>
      </c>
      <c r="H11" s="10">
        <v>-1</v>
      </c>
      <c r="I11" s="10">
        <v>0</v>
      </c>
      <c r="J11" s="10">
        <v>-1</v>
      </c>
      <c r="K11" s="10">
        <v>0</v>
      </c>
      <c r="L11" s="10">
        <v>-1</v>
      </c>
      <c r="M11" s="10">
        <v>0</v>
      </c>
    </row>
    <row r="12" spans="1:13">
      <c r="A12" t="s">
        <v>23</v>
      </c>
      <c r="B12">
        <v>5701.01</v>
      </c>
      <c r="C12">
        <v>62636.98</v>
      </c>
      <c r="D12">
        <v>5695.56</v>
      </c>
      <c r="E12">
        <v>61057.8</v>
      </c>
      <c r="F12" s="10">
        <v>-1</v>
      </c>
      <c r="G12" s="10">
        <v>0</v>
      </c>
      <c r="H12" s="10">
        <v>-1</v>
      </c>
      <c r="I12" s="10">
        <v>0</v>
      </c>
      <c r="J12" s="10">
        <v>5729.27</v>
      </c>
      <c r="K12" s="10">
        <v>61079.53</v>
      </c>
      <c r="L12" s="10">
        <v>-1</v>
      </c>
      <c r="M12" s="10">
        <v>0</v>
      </c>
    </row>
    <row r="13" spans="1:13">
      <c r="A13" t="s">
        <v>24</v>
      </c>
      <c r="B13">
        <v>5859.5</v>
      </c>
      <c r="C13">
        <v>66502.02</v>
      </c>
      <c r="D13">
        <v>5835.42</v>
      </c>
      <c r="E13">
        <v>65736.72</v>
      </c>
      <c r="F13" s="10">
        <v>-1</v>
      </c>
      <c r="G13" s="10">
        <v>0</v>
      </c>
      <c r="H13" s="10">
        <v>-1</v>
      </c>
      <c r="I13" s="10">
        <v>0</v>
      </c>
      <c r="J13" s="10">
        <v>-1</v>
      </c>
      <c r="K13" s="10">
        <v>0</v>
      </c>
      <c r="L13" s="10">
        <v>-1</v>
      </c>
      <c r="M13" s="10">
        <v>0</v>
      </c>
    </row>
    <row r="14" spans="1:13">
      <c r="A14" t="s">
        <v>25</v>
      </c>
      <c r="B14">
        <v>5739.57</v>
      </c>
      <c r="C14">
        <v>64314.83</v>
      </c>
      <c r="D14">
        <v>5733.57</v>
      </c>
      <c r="E14">
        <v>63161.8</v>
      </c>
      <c r="F14" s="10">
        <v>-1</v>
      </c>
      <c r="G14" s="10">
        <v>0</v>
      </c>
      <c r="H14" s="10">
        <v>-1</v>
      </c>
      <c r="I14" s="10">
        <v>0</v>
      </c>
      <c r="J14" s="10">
        <v>5766.55</v>
      </c>
      <c r="K14" s="10">
        <v>63181.77</v>
      </c>
      <c r="L14" s="10">
        <v>-1</v>
      </c>
      <c r="M14" s="10">
        <v>0</v>
      </c>
    </row>
    <row r="15" spans="1:13">
      <c r="A15" t="s">
        <v>26</v>
      </c>
      <c r="B15">
        <v>5630.52</v>
      </c>
      <c r="C15">
        <v>64422.86</v>
      </c>
      <c r="D15">
        <v>5597.13</v>
      </c>
      <c r="E15">
        <v>64577.01</v>
      </c>
      <c r="F15" s="10">
        <v>-1</v>
      </c>
      <c r="G15" s="10">
        <v>0</v>
      </c>
      <c r="H15" s="10">
        <v>-1</v>
      </c>
      <c r="I15" s="10">
        <v>0</v>
      </c>
      <c r="J15" s="10">
        <v>-1</v>
      </c>
      <c r="K15" s="10">
        <v>0</v>
      </c>
      <c r="L15" s="10">
        <v>-1</v>
      </c>
      <c r="M15" s="10">
        <v>0</v>
      </c>
    </row>
    <row r="16" spans="1:13">
      <c r="A16" t="s">
        <v>27</v>
      </c>
      <c r="B16">
        <v>5638.3</v>
      </c>
      <c r="C16">
        <v>65113.89</v>
      </c>
      <c r="D16">
        <v>5634.63</v>
      </c>
      <c r="E16">
        <v>66667.06</v>
      </c>
      <c r="F16" s="10">
        <v>-1</v>
      </c>
      <c r="G16" s="10">
        <v>0</v>
      </c>
      <c r="H16" s="10">
        <v>-1</v>
      </c>
      <c r="I16" s="10">
        <v>0</v>
      </c>
      <c r="J16" s="10">
        <v>5667.26</v>
      </c>
      <c r="K16" s="10">
        <v>65141.71</v>
      </c>
      <c r="L16" s="10">
        <v>-1</v>
      </c>
      <c r="M16" s="10">
        <v>0</v>
      </c>
    </row>
    <row r="17" spans="1:13">
      <c r="A17" t="s">
        <v>28</v>
      </c>
      <c r="B17">
        <v>5584.29</v>
      </c>
      <c r="C17">
        <v>62331.31</v>
      </c>
      <c r="D17">
        <v>5578.03</v>
      </c>
      <c r="E17">
        <v>66896.04</v>
      </c>
      <c r="F17" s="10">
        <v>-1</v>
      </c>
      <c r="G17" s="10">
        <v>0</v>
      </c>
      <c r="H17" s="10">
        <v>-1</v>
      </c>
      <c r="I17" s="10">
        <v>0</v>
      </c>
      <c r="J17" s="10">
        <v>-1</v>
      </c>
      <c r="K17" s="10">
        <v>0</v>
      </c>
      <c r="L17" s="10">
        <v>-1</v>
      </c>
      <c r="M17" s="10">
        <v>0</v>
      </c>
    </row>
    <row r="18" spans="1:13">
      <c r="A18" t="s">
        <v>29</v>
      </c>
      <c r="B18">
        <v>5565.98</v>
      </c>
      <c r="C18">
        <v>65275.88</v>
      </c>
      <c r="D18">
        <v>5547.99</v>
      </c>
      <c r="E18">
        <v>64962.91</v>
      </c>
      <c r="F18" s="10">
        <v>-1</v>
      </c>
      <c r="G18" s="10">
        <v>0</v>
      </c>
      <c r="H18" s="10">
        <v>-1</v>
      </c>
      <c r="I18" s="10">
        <v>0</v>
      </c>
      <c r="J18" s="10">
        <v>-1</v>
      </c>
      <c r="K18" s="10">
        <v>0</v>
      </c>
      <c r="L18" s="10">
        <v>-1</v>
      </c>
      <c r="M18" s="10">
        <v>0</v>
      </c>
    </row>
    <row r="19" spans="1:13">
      <c r="A19" t="s">
        <v>30</v>
      </c>
      <c r="B19">
        <v>5883.79</v>
      </c>
      <c r="C19">
        <v>65491.46</v>
      </c>
      <c r="D19">
        <v>5842.58</v>
      </c>
      <c r="E19">
        <v>65228.91</v>
      </c>
      <c r="F19" s="10">
        <v>-1</v>
      </c>
      <c r="G19" s="10">
        <v>0</v>
      </c>
      <c r="H19" s="10">
        <v>-1</v>
      </c>
      <c r="I19" s="10">
        <v>0</v>
      </c>
      <c r="J19" s="10">
        <v>-1</v>
      </c>
      <c r="K19" s="10">
        <v>0</v>
      </c>
      <c r="L19" s="10">
        <v>-1</v>
      </c>
      <c r="M19" s="10">
        <v>0</v>
      </c>
    </row>
    <row r="20" spans="1:13">
      <c r="A20" t="s">
        <v>31</v>
      </c>
      <c r="B20">
        <v>5703.71</v>
      </c>
      <c r="C20">
        <v>64834.47</v>
      </c>
      <c r="D20">
        <v>5695.49</v>
      </c>
      <c r="E20">
        <v>64528.88</v>
      </c>
      <c r="F20" s="10">
        <v>-1</v>
      </c>
      <c r="G20" s="10">
        <v>0</v>
      </c>
      <c r="H20" s="10">
        <v>-1</v>
      </c>
      <c r="I20" s="10">
        <v>0</v>
      </c>
      <c r="J20" s="10">
        <v>-1</v>
      </c>
      <c r="K20" s="10">
        <v>0</v>
      </c>
      <c r="L20" s="10">
        <v>-1</v>
      </c>
      <c r="M20" s="10">
        <v>0</v>
      </c>
    </row>
    <row r="21" spans="1:13">
      <c r="A21" t="s">
        <v>32</v>
      </c>
      <c r="B21">
        <v>6041.44</v>
      </c>
      <c r="C21">
        <v>62580.94</v>
      </c>
      <c r="D21">
        <v>6022.88</v>
      </c>
      <c r="E21">
        <v>62124.33</v>
      </c>
      <c r="F21" s="10">
        <v>-1</v>
      </c>
      <c r="G21" s="10">
        <v>0</v>
      </c>
      <c r="H21" s="10">
        <v>-1</v>
      </c>
      <c r="I21" s="10">
        <v>0</v>
      </c>
      <c r="J21" s="10">
        <v>6080.17</v>
      </c>
      <c r="K21" s="10">
        <v>62603.84</v>
      </c>
      <c r="L21" s="10">
        <v>-1</v>
      </c>
      <c r="M21" s="10">
        <v>0</v>
      </c>
    </row>
    <row r="22" spans="1:13">
      <c r="A22" t="s">
        <v>33</v>
      </c>
      <c r="B22">
        <v>8035.49</v>
      </c>
      <c r="C22">
        <v>65346.01</v>
      </c>
      <c r="D22">
        <v>7969.71</v>
      </c>
      <c r="E22">
        <v>63965.45</v>
      </c>
      <c r="F22" s="10">
        <v>-1</v>
      </c>
      <c r="G22" s="10">
        <v>0</v>
      </c>
      <c r="H22" s="10">
        <v>-1</v>
      </c>
      <c r="I22" s="10">
        <v>0</v>
      </c>
      <c r="J22" s="10">
        <v>-1</v>
      </c>
      <c r="K22" s="10">
        <v>0</v>
      </c>
      <c r="L22" s="10">
        <v>-1</v>
      </c>
      <c r="M22" s="10">
        <v>0</v>
      </c>
    </row>
    <row r="23" spans="1:13">
      <c r="A23" t="s">
        <v>34</v>
      </c>
      <c r="B23">
        <v>8215.54</v>
      </c>
      <c r="C23">
        <v>64722.11</v>
      </c>
      <c r="D23">
        <v>8159.56</v>
      </c>
      <c r="E23">
        <v>65880.2</v>
      </c>
      <c r="F23" s="10">
        <v>-1</v>
      </c>
      <c r="G23" s="10">
        <v>0</v>
      </c>
      <c r="H23" s="10">
        <v>-1</v>
      </c>
      <c r="I23" s="10">
        <v>0</v>
      </c>
      <c r="J23" s="10">
        <v>-1</v>
      </c>
      <c r="K23" s="10">
        <v>0</v>
      </c>
      <c r="L23" s="10">
        <v>-1</v>
      </c>
      <c r="M23" s="10">
        <v>0</v>
      </c>
    </row>
    <row r="24" spans="1:13">
      <c r="A24" t="s">
        <v>35</v>
      </c>
      <c r="B24">
        <v>8159.35</v>
      </c>
      <c r="C24">
        <v>65211.98</v>
      </c>
      <c r="D24">
        <v>8103.85</v>
      </c>
      <c r="E24">
        <v>63168.74</v>
      </c>
      <c r="F24" s="10">
        <v>-1</v>
      </c>
      <c r="G24" s="10">
        <v>0</v>
      </c>
      <c r="H24" s="10">
        <v>-1</v>
      </c>
      <c r="I24" s="10">
        <v>0</v>
      </c>
      <c r="J24" s="10">
        <v>-1</v>
      </c>
      <c r="K24" s="10">
        <v>0</v>
      </c>
      <c r="L24" s="10">
        <v>-1</v>
      </c>
      <c r="M24" s="10">
        <v>0</v>
      </c>
    </row>
    <row r="25" spans="1:13">
      <c r="A25" t="s">
        <v>36</v>
      </c>
      <c r="B25">
        <v>8408.78</v>
      </c>
      <c r="C25">
        <v>66436.29</v>
      </c>
      <c r="D25">
        <v>8387.79</v>
      </c>
      <c r="E25">
        <v>64531.05</v>
      </c>
      <c r="F25" s="10">
        <v>-1</v>
      </c>
      <c r="G25" s="10">
        <v>0</v>
      </c>
      <c r="H25" s="10">
        <v>-1</v>
      </c>
      <c r="I25" s="10">
        <v>0</v>
      </c>
      <c r="J25" s="10">
        <v>-1</v>
      </c>
      <c r="K25" s="10">
        <v>0</v>
      </c>
      <c r="L25" s="10">
        <v>-1</v>
      </c>
      <c r="M25" s="10">
        <v>0</v>
      </c>
    </row>
    <row r="26" spans="1:13">
      <c r="A26" t="s">
        <v>37</v>
      </c>
      <c r="B26">
        <v>8931.66</v>
      </c>
      <c r="C26">
        <v>64445.49</v>
      </c>
      <c r="D26">
        <v>8892.8</v>
      </c>
      <c r="E26">
        <v>62881.11</v>
      </c>
      <c r="F26" s="10">
        <v>-1</v>
      </c>
      <c r="G26" s="10">
        <v>0</v>
      </c>
      <c r="H26" s="10">
        <v>-1</v>
      </c>
      <c r="I26" s="10">
        <v>0</v>
      </c>
      <c r="J26" s="10">
        <v>-1</v>
      </c>
      <c r="K26" s="10">
        <v>0</v>
      </c>
      <c r="L26" s="10">
        <v>-1</v>
      </c>
      <c r="M26" s="10">
        <v>0</v>
      </c>
    </row>
    <row r="28" spans="1:42">
      <c r="A28" s="11" t="s">
        <v>38</v>
      </c>
      <c r="B28" s="11" t="s">
        <v>39</v>
      </c>
      <c r="C28" s="11" t="s">
        <v>40</v>
      </c>
      <c r="D28" s="12" t="s">
        <v>41</v>
      </c>
      <c r="E28" s="11" t="s">
        <v>42</v>
      </c>
      <c r="F28" s="11" t="s">
        <v>43</v>
      </c>
      <c r="G28" s="11" t="s">
        <v>44</v>
      </c>
      <c r="H28" s="11" t="s">
        <v>45</v>
      </c>
      <c r="I28" s="11" t="s">
        <v>46</v>
      </c>
      <c r="J28" s="12" t="s">
        <v>47</v>
      </c>
      <c r="K28" s="11" t="s">
        <v>48</v>
      </c>
      <c r="L28" s="11" t="s">
        <v>49</v>
      </c>
      <c r="M28" s="11" t="s">
        <v>50</v>
      </c>
      <c r="N28" s="11" t="s">
        <v>51</v>
      </c>
      <c r="O28" s="11" t="s">
        <v>52</v>
      </c>
      <c r="P28" s="12" t="s">
        <v>53</v>
      </c>
      <c r="Q28" s="11" t="s">
        <v>54</v>
      </c>
      <c r="R28" s="11" t="s">
        <v>55</v>
      </c>
      <c r="S28" s="11" t="s">
        <v>56</v>
      </c>
      <c r="T28" s="11" t="s">
        <v>57</v>
      </c>
      <c r="U28" s="11" t="s">
        <v>58</v>
      </c>
      <c r="V28" s="12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64</v>
      </c>
      <c r="AB28" s="12" t="s">
        <v>65</v>
      </c>
      <c r="AC28" s="11" t="s">
        <v>66</v>
      </c>
      <c r="AD28" s="11" t="s">
        <v>67</v>
      </c>
      <c r="AE28" s="11" t="s">
        <v>68</v>
      </c>
      <c r="AF28" s="11" t="s">
        <v>69</v>
      </c>
      <c r="AG28" s="11" t="s">
        <v>70</v>
      </c>
      <c r="AH28" s="12" t="s">
        <v>71</v>
      </c>
      <c r="AI28" s="11" t="s">
        <v>72</v>
      </c>
      <c r="AJ28" s="11" t="s">
        <v>73</v>
      </c>
      <c r="AK28" s="11" t="s">
        <v>74</v>
      </c>
      <c r="AL28" s="11" t="s">
        <v>75</v>
      </c>
      <c r="AM28" s="11" t="s">
        <v>76</v>
      </c>
      <c r="AN28" s="12" t="s">
        <v>77</v>
      </c>
      <c r="AO28" s="11" t="s">
        <v>78</v>
      </c>
      <c r="AP28" s="11" t="s">
        <v>79</v>
      </c>
    </row>
    <row r="29" spans="1:42">
      <c r="A29" s="13">
        <f>IFERROR(AVERAGEIF($B$2:$B$26,"&lt;&gt; -1"),0)</f>
        <v>6288.7768</v>
      </c>
      <c r="B29" s="13">
        <f>IFERROR(AVERAGEIF($D$2:$D$26,"&lt;&gt; -1"),0)</f>
        <v>6259.4048</v>
      </c>
      <c r="C29" s="13">
        <f>IFERROR(AVERAGEIF($F$2:$F$26,"&lt;&gt; -1"),0)</f>
        <v>0</v>
      </c>
      <c r="D29" s="13">
        <f>IFERROR(AVERAGEIF($H$2:$H$26,"&lt;&gt; -1"),0)</f>
        <v>0</v>
      </c>
      <c r="E29" s="13">
        <f>IFERROR(AVERAGEIF($J$2:$J$26,"&lt;&gt; -1"),0)</f>
        <v>5810.8125</v>
      </c>
      <c r="F29" s="13">
        <f>IFERROR(AVERAGEIF($L$2:$L$26,"&lt;&gt; -1"),0)</f>
        <v>0</v>
      </c>
      <c r="G29" s="13">
        <f>IFERROR(AVERAGEIFS($C$2:$C$26,$B$2:$B$26,"&lt;&gt; -1"),0)</f>
        <v>64760.0304</v>
      </c>
      <c r="H29" s="13">
        <f>IFERROR(AVERAGEIFS($E$2:$E$26,$D$2:$D$26,"&lt;&gt; -1"),0)</f>
        <v>64414.6628</v>
      </c>
      <c r="I29" s="13">
        <f>IFERROR(AVERAGEIFS($G$2:$G$26,$F$2:$F$26,"&lt;&gt; -1"),0)</f>
        <v>0</v>
      </c>
      <c r="J29" s="13">
        <f>IFERROR(AVERAGEIFS($I$2:$I$26,$H$2:$H$26,"&lt;&gt; -1"),0)</f>
        <v>0</v>
      </c>
      <c r="K29" s="13">
        <f>IFERROR(AVERAGEIFS($K$2:$K$26,$J$2:$J$26,"&lt;&gt; -1"),0)</f>
        <v>63001.7125</v>
      </c>
      <c r="L29" s="13">
        <f>IFERROR(AVERAGEIFS($M$2:$M$26,$L$2:$L$26,"&lt;&gt; -1"),0)</f>
        <v>0</v>
      </c>
      <c r="M29" s="13">
        <f>IFERROR(_xlfn.MAXIFS($B$2:$B$26,$B$2:$B$26,"&lt;&gt; -1"),0)</f>
        <v>8931.66</v>
      </c>
      <c r="N29" s="13">
        <f>IFERROR(_xlfn.MAXIFS($D$2:$D$26,$D$2:$D$26,"&lt;&gt;-1"),0)</f>
        <v>8892.8</v>
      </c>
      <c r="O29" s="13">
        <f>IFERROR(_xlfn.MAXIFS($F$2:$F$26,$F$2:$F$26,"&lt;&gt; -1"),0)</f>
        <v>0</v>
      </c>
      <c r="P29" s="13">
        <f>IFERROR(_xlfn.MAXIFS($H$2:$H$26,$H$2:$H$26,"&lt;&gt; -1"),0)</f>
        <v>0</v>
      </c>
      <c r="Q29" s="13">
        <f>IFERROR(_xlfn.MAXIFS($J$2:$J$26,$J$2:$J$26,"&lt;&gt; -1"),0)</f>
        <v>6080.17</v>
      </c>
      <c r="R29" s="13">
        <f>IFERROR(_xlfn.MAXIFS($L$2:$L$26,$L$2:$L$26,"&lt;&gt; -1"),0)</f>
        <v>0</v>
      </c>
      <c r="S29" s="13">
        <f>IFERROR(_xlfn.MINIFS($B$2:$B$26,$B$2:$B$26,"&lt;&gt; -1"),0)</f>
        <v>5565.98</v>
      </c>
      <c r="T29" s="13">
        <f>IFERROR(_xlfn.MINIFS($D$2:$D$26,$D$2:$D$26,"&lt;&gt;-1"),0)</f>
        <v>5547.99</v>
      </c>
      <c r="U29" s="13">
        <f>IFERROR(_xlfn.MINIFS($F$2:$F$26,$F$2:$F$26,"&lt;&gt; -1"),0)</f>
        <v>0</v>
      </c>
      <c r="V29" s="13">
        <f>IFERROR(_xlfn.MINIFS($H$2:$H$26,$H$2:$H$26,"&lt;&gt; -1"),0)</f>
        <v>0</v>
      </c>
      <c r="W29" s="13">
        <f>IFERROR(_xlfn.MINIFS($J$2:$J$26,$J$2:$J$26,"&lt;&gt; -1"),0)</f>
        <v>5667.26</v>
      </c>
      <c r="X29" s="13">
        <f>IFERROR(_xlfn.MINIFS($L$2:$L$26,$L$2:$L$26,"&lt;&gt; -1"),0)</f>
        <v>0</v>
      </c>
      <c r="Y29" s="13">
        <f>IFERROR(_xlfn.MAXIFS($C$2:$C$26,$B$2:$B$26,"&lt;&gt; -1"),0)</f>
        <v>67766.82</v>
      </c>
      <c r="Z29" s="13">
        <f>IFERROR(_xlfn.MAXIFS($E$2:$E$26,$D$2:$D$26,"&lt;&gt; -1"),0)</f>
        <v>67353.85</v>
      </c>
      <c r="AA29" s="13">
        <f>IFERROR(_xlfn.MAXIFS($G$2:$G$26,$F$2:$F$26,"&lt;&gt; -1"),0)</f>
        <v>0</v>
      </c>
      <c r="AB29" s="13">
        <f>IFERROR(_xlfn.MAXIFS($I$2:$I$26,$H$2:$H$26,"&lt;&gt; -1"),0)</f>
        <v>0</v>
      </c>
      <c r="AC29" s="13">
        <f>IFERROR(_xlfn.MAXIFS($K$2:$K$26,$J$2:$J$26,"&lt;&gt; -1"),0)</f>
        <v>65141.71</v>
      </c>
      <c r="AD29" s="13">
        <f>IFERROR(_xlfn.MAXIFS($M$2:$M$26,$L$2:$L$26,"&lt;&gt; -1"),0)</f>
        <v>0</v>
      </c>
      <c r="AE29" s="13">
        <f>IFERROR(_xlfn.MINIFS($C$2:$C$26,$B$2:$B$26,"&lt;&gt; -1"),0)</f>
        <v>62331.31</v>
      </c>
      <c r="AF29" s="13">
        <f>IFERROR(_xlfn.MINIFS($E$2:$E$26,$D$2:$D$26,"&lt;&gt; -1"),0)</f>
        <v>61057.8</v>
      </c>
      <c r="AG29" s="13">
        <f>IFERROR(_xlfn.MINIFS($G$2:$G$26,$F$2:$F$26,"&lt;&gt; -1"),0)</f>
        <v>0</v>
      </c>
      <c r="AH29" s="13">
        <f>IFERROR(_xlfn.MINIFS($I$2:$I$26,$H$2:$H$26,"&lt;&gt; -1"),0)</f>
        <v>0</v>
      </c>
      <c r="AI29" s="13">
        <f>IFERROR(_xlfn.MINIFS($K$2:$K$26,$J$2:$J$26,"&lt;&gt; -1"),0)</f>
        <v>61079.53</v>
      </c>
      <c r="AJ29" s="13">
        <f>IFERROR(_xlfn.MINIFS($M$2:$M$26,$L$2:$L$26,"&lt;&gt; -1"),0)</f>
        <v>0</v>
      </c>
      <c r="AK29" s="13">
        <f>(COUNTIFS($B$2:$B$26,"&gt;0.0",$B$2:$B$26,"&lt;6000.0"))/25</f>
        <v>0.76</v>
      </c>
      <c r="AL29" s="13">
        <f>(COUNTIFS($D$2:$D$26,"&gt;0.0",$D$2:$D$26,"&lt;6000.0"))/25</f>
        <v>0.76</v>
      </c>
      <c r="AM29" s="13">
        <f>(COUNTIFS($F$2:$F$26,"&gt;0.0",$F$2:$F$26,"&lt;6000.0"))/25</f>
        <v>0</v>
      </c>
      <c r="AN29" s="13">
        <f>(COUNTIFS($H$2:$H26,"&gt;0.0",$H$2:$H$26,"&lt;6000.0"))/25</f>
        <v>0</v>
      </c>
      <c r="AO29" s="13">
        <f>(COUNTIFS($J$2:$J$26,"&gt;0.0",$J$2:$J$26,"&lt;6000.0"))/25</f>
        <v>0.12</v>
      </c>
      <c r="AP29" s="13">
        <f>(COUNTIFS($L$2:$L$26,"&gt;0.0",$L$2:$L$26,"&lt;6000.0"))/25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"/>
  <sheetViews>
    <sheetView tabSelected="1" zoomScale="85" zoomScaleNormal="85" workbookViewId="0">
      <selection activeCell="G27" sqref="G27"/>
    </sheetView>
  </sheetViews>
  <sheetFormatPr defaultColWidth="8.66666666666667" defaultRowHeight="15"/>
  <cols>
    <col min="1" max="1" width="17.6666666666667" customWidth="1"/>
    <col min="2" max="2" width="17.3333333333333" customWidth="1"/>
    <col min="3" max="3" width="18.1666666666667" customWidth="1"/>
    <col min="4" max="4" width="16.9166666666667" customWidth="1"/>
    <col min="5" max="5" width="17.75" customWidth="1"/>
    <col min="6" max="6" width="17.3333333333333" customWidth="1"/>
    <col min="7" max="7" width="18.1666666666667" customWidth="1"/>
    <col min="8" max="8" width="16.9166666666667" customWidth="1"/>
    <col min="9" max="9" width="17.75" customWidth="1"/>
    <col min="10" max="10" width="17.3333333333333" customWidth="1"/>
    <col min="11" max="11" width="18.1666666666667" customWidth="1"/>
    <col min="12" max="12" width="16.9166666666667" customWidth="1"/>
    <col min="13" max="13" width="17.75" customWidth="1"/>
  </cols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4564.4164</v>
      </c>
      <c r="B2">
        <v>4460.1124</v>
      </c>
      <c r="C2">
        <v>0</v>
      </c>
      <c r="D2">
        <v>0</v>
      </c>
      <c r="E2">
        <v>4607.88941176471</v>
      </c>
      <c r="F2">
        <v>0</v>
      </c>
      <c r="G2">
        <v>64304.4696</v>
      </c>
      <c r="H2">
        <v>65562.4456</v>
      </c>
      <c r="I2">
        <v>0</v>
      </c>
      <c r="J2">
        <v>0</v>
      </c>
      <c r="K2">
        <v>64710.1264705882</v>
      </c>
      <c r="L2">
        <v>0</v>
      </c>
      <c r="M2">
        <v>4832.87</v>
      </c>
      <c r="N2">
        <v>4721.41</v>
      </c>
      <c r="O2">
        <v>0</v>
      </c>
      <c r="P2">
        <v>0</v>
      </c>
      <c r="Q2">
        <v>4756.83</v>
      </c>
      <c r="R2">
        <v>0</v>
      </c>
      <c r="S2">
        <v>4372.55</v>
      </c>
      <c r="T2">
        <v>4268.71</v>
      </c>
      <c r="U2">
        <v>0</v>
      </c>
      <c r="V2">
        <v>0</v>
      </c>
      <c r="W2">
        <v>4511.56</v>
      </c>
      <c r="X2">
        <v>0</v>
      </c>
      <c r="Y2">
        <v>66799.44</v>
      </c>
      <c r="Z2">
        <v>68166.79</v>
      </c>
      <c r="AA2">
        <v>0</v>
      </c>
      <c r="AB2">
        <v>0</v>
      </c>
      <c r="AC2">
        <v>66827.86</v>
      </c>
      <c r="AD2">
        <v>0</v>
      </c>
      <c r="AE2">
        <v>62191.2</v>
      </c>
      <c r="AF2">
        <v>62896.09</v>
      </c>
      <c r="AG2">
        <v>0</v>
      </c>
      <c r="AH2">
        <v>0</v>
      </c>
      <c r="AI2">
        <v>62718.74</v>
      </c>
      <c r="AJ2">
        <v>0</v>
      </c>
      <c r="AK2">
        <v>1</v>
      </c>
      <c r="AL2">
        <v>1</v>
      </c>
      <c r="AM2">
        <v>0</v>
      </c>
      <c r="AN2">
        <v>0</v>
      </c>
      <c r="AO2">
        <v>0.68</v>
      </c>
      <c r="AP2">
        <v>0</v>
      </c>
    </row>
    <row r="3" spans="1:42">
      <c r="A3">
        <v>4873.0456</v>
      </c>
      <c r="B3">
        <v>4774.376</v>
      </c>
      <c r="C3">
        <v>0</v>
      </c>
      <c r="D3">
        <v>0</v>
      </c>
      <c r="E3">
        <v>4899.69777777778</v>
      </c>
      <c r="F3">
        <v>0</v>
      </c>
      <c r="G3">
        <v>64391.728</v>
      </c>
      <c r="H3">
        <v>65296.1056</v>
      </c>
      <c r="I3">
        <v>0</v>
      </c>
      <c r="J3">
        <v>0</v>
      </c>
      <c r="K3">
        <v>64246.63</v>
      </c>
      <c r="L3">
        <v>0</v>
      </c>
      <c r="M3">
        <v>5117.8</v>
      </c>
      <c r="N3">
        <v>5016.8</v>
      </c>
      <c r="O3">
        <v>0</v>
      </c>
      <c r="P3">
        <v>0</v>
      </c>
      <c r="Q3">
        <v>5115.52</v>
      </c>
      <c r="R3">
        <v>0</v>
      </c>
      <c r="S3">
        <v>4703.57</v>
      </c>
      <c r="T3">
        <v>4607.2</v>
      </c>
      <c r="U3">
        <v>0</v>
      </c>
      <c r="V3">
        <v>0</v>
      </c>
      <c r="W3">
        <v>4734</v>
      </c>
      <c r="X3">
        <v>0</v>
      </c>
      <c r="Y3">
        <v>66415.7</v>
      </c>
      <c r="Z3">
        <v>69458.85</v>
      </c>
      <c r="AA3">
        <v>0</v>
      </c>
      <c r="AB3">
        <v>0</v>
      </c>
      <c r="AC3">
        <v>65581.41</v>
      </c>
      <c r="AD3">
        <v>0</v>
      </c>
      <c r="AE3">
        <v>61435.17</v>
      </c>
      <c r="AF3">
        <v>61630.01</v>
      </c>
      <c r="AG3">
        <v>0</v>
      </c>
      <c r="AH3">
        <v>0</v>
      </c>
      <c r="AI3">
        <v>63206.48</v>
      </c>
      <c r="AJ3">
        <v>0</v>
      </c>
      <c r="AK3">
        <v>1</v>
      </c>
      <c r="AL3">
        <v>1</v>
      </c>
      <c r="AM3">
        <v>0</v>
      </c>
      <c r="AN3">
        <v>0</v>
      </c>
      <c r="AO3">
        <v>0.36</v>
      </c>
      <c r="AP3">
        <v>0</v>
      </c>
    </row>
    <row r="4" spans="1:42">
      <c r="A4">
        <v>5008.5284</v>
      </c>
      <c r="B4">
        <v>4894.0664</v>
      </c>
      <c r="C4">
        <v>0</v>
      </c>
      <c r="D4">
        <v>0</v>
      </c>
      <c r="E4">
        <v>0</v>
      </c>
      <c r="F4">
        <v>4861.055</v>
      </c>
      <c r="G4">
        <v>64604.7392</v>
      </c>
      <c r="H4">
        <v>65866.9816</v>
      </c>
      <c r="I4">
        <v>0</v>
      </c>
      <c r="J4">
        <v>0</v>
      </c>
      <c r="K4">
        <v>0</v>
      </c>
      <c r="L4">
        <v>65426.35</v>
      </c>
      <c r="M4">
        <v>5275.16</v>
      </c>
      <c r="N4">
        <v>5150.13</v>
      </c>
      <c r="O4">
        <v>0</v>
      </c>
      <c r="P4">
        <v>0</v>
      </c>
      <c r="Q4">
        <v>0</v>
      </c>
      <c r="R4">
        <v>4912.51</v>
      </c>
      <c r="S4">
        <v>4820.11</v>
      </c>
      <c r="T4">
        <v>4709.46</v>
      </c>
      <c r="U4">
        <v>0</v>
      </c>
      <c r="V4">
        <v>0</v>
      </c>
      <c r="W4">
        <v>0</v>
      </c>
      <c r="X4">
        <v>4809.6</v>
      </c>
      <c r="Y4">
        <v>67261.66</v>
      </c>
      <c r="Z4">
        <v>68715.77</v>
      </c>
      <c r="AA4">
        <v>0</v>
      </c>
      <c r="AB4">
        <v>0</v>
      </c>
      <c r="AC4">
        <v>0</v>
      </c>
      <c r="AD4">
        <v>67697.33</v>
      </c>
      <c r="AE4">
        <v>62584.09</v>
      </c>
      <c r="AF4">
        <v>61717.05</v>
      </c>
      <c r="AG4">
        <v>0</v>
      </c>
      <c r="AH4">
        <v>0</v>
      </c>
      <c r="AI4">
        <v>0</v>
      </c>
      <c r="AJ4">
        <v>63155.37</v>
      </c>
      <c r="AK4">
        <v>1</v>
      </c>
      <c r="AL4">
        <v>1</v>
      </c>
      <c r="AM4">
        <v>0</v>
      </c>
      <c r="AN4">
        <v>0</v>
      </c>
      <c r="AO4">
        <v>0</v>
      </c>
      <c r="AP4">
        <v>0.08</v>
      </c>
    </row>
    <row r="5" spans="1:42">
      <c r="A5">
        <v>6050.538</v>
      </c>
      <c r="B5">
        <v>5934.1464</v>
      </c>
      <c r="C5">
        <v>0</v>
      </c>
      <c r="D5">
        <v>0</v>
      </c>
      <c r="E5">
        <v>0</v>
      </c>
      <c r="F5">
        <v>0</v>
      </c>
      <c r="G5">
        <v>64388.6044</v>
      </c>
      <c r="H5">
        <v>65046.5464</v>
      </c>
      <c r="I5">
        <v>0</v>
      </c>
      <c r="J5">
        <v>0</v>
      </c>
      <c r="K5">
        <v>0</v>
      </c>
      <c r="L5">
        <v>0</v>
      </c>
      <c r="M5">
        <v>8429.03</v>
      </c>
      <c r="N5">
        <v>8246.66</v>
      </c>
      <c r="O5">
        <v>0</v>
      </c>
      <c r="P5">
        <v>0</v>
      </c>
      <c r="Q5">
        <v>0</v>
      </c>
      <c r="R5">
        <v>0</v>
      </c>
      <c r="S5">
        <v>5336.45</v>
      </c>
      <c r="T5">
        <v>5235.12</v>
      </c>
      <c r="U5">
        <v>0</v>
      </c>
      <c r="V5">
        <v>0</v>
      </c>
      <c r="W5">
        <v>0</v>
      </c>
      <c r="X5">
        <v>0</v>
      </c>
      <c r="Y5">
        <v>66416.77</v>
      </c>
      <c r="Z5">
        <v>68544.06</v>
      </c>
      <c r="AA5">
        <v>0</v>
      </c>
      <c r="AB5">
        <v>0</v>
      </c>
      <c r="AC5">
        <v>0</v>
      </c>
      <c r="AD5">
        <v>0</v>
      </c>
      <c r="AE5">
        <v>62215.69</v>
      </c>
      <c r="AF5">
        <v>61960.78</v>
      </c>
      <c r="AG5">
        <v>0</v>
      </c>
      <c r="AH5">
        <v>0</v>
      </c>
      <c r="AI5">
        <v>0</v>
      </c>
      <c r="AJ5">
        <v>0</v>
      </c>
      <c r="AK5">
        <v>0.76</v>
      </c>
      <c r="AL5">
        <v>0.76</v>
      </c>
      <c r="AM5">
        <v>0</v>
      </c>
      <c r="AN5">
        <v>0</v>
      </c>
      <c r="AO5">
        <v>0</v>
      </c>
      <c r="AP5">
        <v>0</v>
      </c>
    </row>
    <row r="6" spans="1:42">
      <c r="A6">
        <v>5867.0188</v>
      </c>
      <c r="B6">
        <v>5763.2604</v>
      </c>
      <c r="C6">
        <v>0</v>
      </c>
      <c r="D6">
        <v>0</v>
      </c>
      <c r="E6">
        <v>0</v>
      </c>
      <c r="F6">
        <v>0</v>
      </c>
      <c r="G6">
        <v>64609.19</v>
      </c>
      <c r="H6">
        <v>64228.2288</v>
      </c>
      <c r="I6">
        <v>0</v>
      </c>
      <c r="J6">
        <v>0</v>
      </c>
      <c r="K6">
        <v>0</v>
      </c>
      <c r="L6">
        <v>0</v>
      </c>
      <c r="M6">
        <v>7928.62</v>
      </c>
      <c r="N6">
        <v>7771.45</v>
      </c>
      <c r="O6">
        <v>0</v>
      </c>
      <c r="P6">
        <v>0</v>
      </c>
      <c r="Q6">
        <v>0</v>
      </c>
      <c r="R6">
        <v>0</v>
      </c>
      <c r="S6">
        <v>5298.02</v>
      </c>
      <c r="T6">
        <v>5204.91</v>
      </c>
      <c r="U6">
        <v>0</v>
      </c>
      <c r="V6">
        <v>0</v>
      </c>
      <c r="W6">
        <v>0</v>
      </c>
      <c r="X6">
        <v>0</v>
      </c>
      <c r="Y6">
        <v>66827.1</v>
      </c>
      <c r="Z6">
        <v>66730.59</v>
      </c>
      <c r="AA6">
        <v>0</v>
      </c>
      <c r="AB6">
        <v>0</v>
      </c>
      <c r="AC6">
        <v>0</v>
      </c>
      <c r="AD6">
        <v>0</v>
      </c>
      <c r="AE6">
        <v>62262.3</v>
      </c>
      <c r="AF6">
        <v>62139.44</v>
      </c>
      <c r="AG6">
        <v>0</v>
      </c>
      <c r="AH6">
        <v>0</v>
      </c>
      <c r="AI6">
        <v>0</v>
      </c>
      <c r="AJ6">
        <v>0</v>
      </c>
      <c r="AK6">
        <v>0.84</v>
      </c>
      <c r="AL6">
        <v>0.84</v>
      </c>
      <c r="AM6">
        <v>0</v>
      </c>
      <c r="AN6">
        <v>0</v>
      </c>
      <c r="AO6">
        <v>0</v>
      </c>
      <c r="AP6">
        <v>0</v>
      </c>
    </row>
    <row r="7" spans="1:42">
      <c r="A7">
        <v>6288.7768</v>
      </c>
      <c r="B7">
        <v>6259.4048</v>
      </c>
      <c r="C7">
        <v>0</v>
      </c>
      <c r="D7">
        <v>0</v>
      </c>
      <c r="E7">
        <v>5810.8125</v>
      </c>
      <c r="F7">
        <v>0</v>
      </c>
      <c r="G7">
        <v>64760.0304</v>
      </c>
      <c r="H7">
        <v>64414.6628</v>
      </c>
      <c r="I7">
        <v>0</v>
      </c>
      <c r="J7">
        <v>0</v>
      </c>
      <c r="K7">
        <v>63001.7125</v>
      </c>
      <c r="L7">
        <v>0</v>
      </c>
      <c r="M7">
        <v>8931.66</v>
      </c>
      <c r="N7">
        <v>8892.8</v>
      </c>
      <c r="O7">
        <v>0</v>
      </c>
      <c r="P7">
        <v>0</v>
      </c>
      <c r="Q7">
        <v>6080.17</v>
      </c>
      <c r="R7">
        <v>0</v>
      </c>
      <c r="S7">
        <v>5565.98</v>
      </c>
      <c r="T7">
        <v>5547.99</v>
      </c>
      <c r="U7">
        <v>0</v>
      </c>
      <c r="V7">
        <v>0</v>
      </c>
      <c r="W7">
        <v>5667.26</v>
      </c>
      <c r="X7">
        <v>0</v>
      </c>
      <c r="Y7">
        <v>67766.82</v>
      </c>
      <c r="Z7">
        <v>67353.85</v>
      </c>
      <c r="AA7">
        <v>0</v>
      </c>
      <c r="AB7">
        <v>0</v>
      </c>
      <c r="AC7">
        <v>65141.71</v>
      </c>
      <c r="AD7">
        <v>0</v>
      </c>
      <c r="AE7">
        <v>62331.31</v>
      </c>
      <c r="AF7">
        <v>61057.8</v>
      </c>
      <c r="AG7">
        <v>0</v>
      </c>
      <c r="AH7">
        <v>0</v>
      </c>
      <c r="AI7">
        <v>61079.53</v>
      </c>
      <c r="AJ7">
        <v>0</v>
      </c>
      <c r="AK7">
        <v>0.76</v>
      </c>
      <c r="AL7">
        <v>0.76</v>
      </c>
      <c r="AM7">
        <v>0</v>
      </c>
      <c r="AN7">
        <v>0</v>
      </c>
      <c r="AO7">
        <v>0.12</v>
      </c>
      <c r="AP7">
        <v>0</v>
      </c>
    </row>
    <row r="14" ht="15.75"/>
    <row r="15" ht="20" customHeight="1" spans="1:1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6.25" spans="1:13">
      <c r="A17" s="4"/>
      <c r="B17" s="5"/>
      <c r="C17" s="5"/>
      <c r="D17" s="5"/>
      <c r="E17" s="5"/>
      <c r="F17" s="5"/>
      <c r="G17" s="5"/>
      <c r="H17" s="5"/>
      <c r="I17" s="5"/>
      <c r="J17" s="8"/>
      <c r="K17" s="8"/>
      <c r="L17" s="8"/>
      <c r="M17" s="8"/>
    </row>
    <row r="18" ht="15.5" spans="1:13">
      <c r="A18" s="4"/>
      <c r="B18" s="5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</row>
    <row r="19" ht="15.5" spans="1:13">
      <c r="A19" s="4"/>
      <c r="B19" s="5"/>
      <c r="C19" s="5"/>
      <c r="D19" s="5"/>
      <c r="E19" s="5"/>
      <c r="F19" s="5"/>
      <c r="G19" s="5"/>
      <c r="H19" s="5"/>
      <c r="I19" s="5"/>
      <c r="J19" s="8"/>
      <c r="K19" s="8"/>
      <c r="L19" s="8"/>
      <c r="M19" s="8"/>
    </row>
    <row r="20" ht="15.5" spans="1:13">
      <c r="A20" s="4"/>
      <c r="B20" s="5"/>
      <c r="C20" s="5"/>
      <c r="D20" s="5"/>
      <c r="E20" s="5"/>
      <c r="F20" s="5"/>
      <c r="G20" s="5"/>
      <c r="H20" s="5"/>
      <c r="I20" s="5"/>
      <c r="J20" s="8"/>
      <c r="K20" s="8"/>
      <c r="L20" s="8"/>
      <c r="M20" s="8"/>
    </row>
    <row r="21" ht="15.5" spans="1:13">
      <c r="A21" s="4"/>
      <c r="B21" s="5"/>
      <c r="C21" s="5"/>
      <c r="D21" s="5"/>
      <c r="E21" s="5"/>
      <c r="F21" s="5"/>
      <c r="G21" s="5"/>
      <c r="H21" s="5"/>
      <c r="I21" s="5"/>
      <c r="J21" s="8"/>
      <c r="K21" s="8"/>
      <c r="L21" s="8"/>
      <c r="M21" s="8"/>
    </row>
    <row r="22" ht="16.25" spans="1:13">
      <c r="A22" s="6"/>
      <c r="B22" s="7"/>
      <c r="C22" s="7"/>
      <c r="D22" s="7"/>
      <c r="E22" s="7"/>
      <c r="F22" s="7"/>
      <c r="G22" s="7"/>
      <c r="H22" s="7"/>
      <c r="I22" s="7"/>
      <c r="J22" s="9"/>
      <c r="K22" s="9"/>
      <c r="L22" s="9"/>
      <c r="M22" s="9"/>
    </row>
    <row r="23" ht="15.75"/>
  </sheetData>
  <mergeCells count="4">
    <mergeCell ref="B15:E15"/>
    <mergeCell ref="F15:I15"/>
    <mergeCell ref="J15:M15"/>
    <mergeCell ref="A15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 M</dc:creator>
  <cp:lastModifiedBy>傲雪剑豪</cp:lastModifiedBy>
  <dcterms:created xsi:type="dcterms:W3CDTF">2016-12-02T08:54:00Z</dcterms:created>
  <dcterms:modified xsi:type="dcterms:W3CDTF">2024-10-04T13:47:53Z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6D70596D0F3748F1AD4A388047552A38_13</vt:lpwstr>
  </property>
</Properties>
</file>