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340" tabRatio="818" activeTab="6"/>
  </bookViews>
  <sheets>
    <sheet name="人员数据源" sheetId="1" r:id="rId1"/>
    <sheet name="路飞话务数据源" sheetId="2" r:id="rId2"/>
    <sheet name="路飞意向数据源" sheetId="3" r:id="rId3"/>
    <sheet name="各城市数据源" sheetId="4" r:id="rId4"/>
    <sheet name="杭州发布" sheetId="5" r:id="rId5"/>
    <sheet name="青岛发布" sheetId="6" r:id="rId6"/>
    <sheet name="济南发布" sheetId="7" r:id="rId7"/>
    <sheet name="Sheet1" sheetId="8" r:id="rId8"/>
  </sheets>
  <externalReferences>
    <externalReference r:id="rId10"/>
  </externalReference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<sst xmlns="http://schemas.openxmlformats.org/spreadsheetml/2006/main" count="7243" uniqueCount="980">
  <si>
    <t>city_name</t>
  </si>
  <si>
    <t>org_name</t>
  </si>
  <si>
    <t>real_name</t>
  </si>
  <si>
    <t>sale_oa</t>
  </si>
  <si>
    <t>onboard_time</t>
  </si>
  <si>
    <t>当日呼出电话数</t>
  </si>
  <si>
    <t>当日接通电话数</t>
  </si>
  <si>
    <t>当日接通率</t>
  </si>
  <si>
    <t>当日30s电话数</t>
  </si>
  <si>
    <t>当日45s电话数</t>
  </si>
  <si>
    <t>当日60s电话数</t>
  </si>
  <si>
    <t>当日180s电话数</t>
  </si>
  <si>
    <t>当日累计接通时长(分钟)</t>
  </si>
  <si>
    <t>当日外访客户数</t>
  </si>
  <si>
    <t>当日外访签单客户数</t>
  </si>
  <si>
    <t>当日外访签单率</t>
  </si>
  <si>
    <t>当日总外访时长（分钟）</t>
  </si>
  <si>
    <t>(辅助)是否计算</t>
  </si>
  <si>
    <t>辅助（司龄）</t>
  </si>
  <si>
    <t>主管</t>
  </si>
  <si>
    <t>提报意向数</t>
  </si>
  <si>
    <t>青岛</t>
  </si>
  <si>
    <t>增值一部</t>
  </si>
  <si>
    <t>李雪</t>
  </si>
  <si>
    <t>lixue51</t>
  </si>
  <si>
    <t>2023-08-25</t>
  </si>
  <si>
    <t>明靖</t>
  </si>
  <si>
    <t>张学凯</t>
  </si>
  <si>
    <t>zhangxuekai01</t>
  </si>
  <si>
    <t>2023-07-03</t>
  </si>
  <si>
    <t>赵旭阳</t>
  </si>
  <si>
    <t>zhaoxuyang03</t>
  </si>
  <si>
    <t>2023-07-24</t>
  </si>
  <si>
    <t>孙俊豪</t>
  </si>
  <si>
    <t>sunjunhao</t>
  </si>
  <si>
    <t>2023-10-16</t>
  </si>
  <si>
    <t>史玉蕾</t>
  </si>
  <si>
    <t>shiyulei</t>
  </si>
  <si>
    <t>2024-07-23</t>
  </si>
  <si>
    <t>魏广玉</t>
  </si>
  <si>
    <t>weiguangyu</t>
  </si>
  <si>
    <t>2024-04-12</t>
  </si>
  <si>
    <t>杨嘉艺</t>
  </si>
  <si>
    <t>yangjiayi05</t>
  </si>
  <si>
    <t>2024-06-21</t>
  </si>
  <si>
    <t>刘心梦</t>
  </si>
  <si>
    <t>liuxinmeng02</t>
  </si>
  <si>
    <t>2023-11-09</t>
  </si>
  <si>
    <t>焦泽</t>
  </si>
  <si>
    <t>jiaoze</t>
  </si>
  <si>
    <t>2023-10-18</t>
  </si>
  <si>
    <t>杭州</t>
  </si>
  <si>
    <t>物流行业一部</t>
  </si>
  <si>
    <t>徐彬勃</t>
  </si>
  <si>
    <t>xubinbo</t>
  </si>
  <si>
    <t>2019-09-06</t>
  </si>
  <si>
    <t>冯凯</t>
  </si>
  <si>
    <t>叶佳妮</t>
  </si>
  <si>
    <t>yejiani</t>
  </si>
  <si>
    <t>2021-01-14</t>
  </si>
  <si>
    <t>邱骏</t>
  </si>
  <si>
    <t>qiujun05</t>
  </si>
  <si>
    <t>2021-09-08</t>
  </si>
  <si>
    <t>余丽娟</t>
  </si>
  <si>
    <t>yulijuan</t>
  </si>
  <si>
    <t>2020-05-11</t>
  </si>
  <si>
    <t>徐保彪</t>
  </si>
  <si>
    <t>xubaobiao-hz</t>
  </si>
  <si>
    <t>2016-02-19</t>
  </si>
  <si>
    <t>黄建领</t>
  </si>
  <si>
    <t>huangjianling</t>
  </si>
  <si>
    <t>2016-10-17</t>
  </si>
  <si>
    <t>高梅</t>
  </si>
  <si>
    <t>gaomei01</t>
  </si>
  <si>
    <t>2016-10-19</t>
  </si>
  <si>
    <t>新签四部</t>
  </si>
  <si>
    <t>刘洪飞</t>
  </si>
  <si>
    <t>liuhongfei01</t>
  </si>
  <si>
    <t>2022-06-28</t>
  </si>
  <si>
    <t>王帅</t>
  </si>
  <si>
    <t>孙启欣</t>
  </si>
  <si>
    <t>sunqixin</t>
  </si>
  <si>
    <t>2019-07-04</t>
  </si>
  <si>
    <t>王闪闪</t>
  </si>
  <si>
    <t>wangshanshan17</t>
  </si>
  <si>
    <t>2020-04-27</t>
  </si>
  <si>
    <t>胡一心</t>
  </si>
  <si>
    <t>huyixin</t>
  </si>
  <si>
    <t>2024-06-19</t>
  </si>
  <si>
    <t>胡旭东</t>
  </si>
  <si>
    <t>huxudong04</t>
  </si>
  <si>
    <t>2024-06-03</t>
  </si>
  <si>
    <t>金荣淇</t>
  </si>
  <si>
    <t>jinrongqi01</t>
  </si>
  <si>
    <t>2024-07-01</t>
  </si>
  <si>
    <t>韩雨辰</t>
  </si>
  <si>
    <t>hanyuchen02</t>
  </si>
  <si>
    <t>2024-04-15</t>
  </si>
  <si>
    <t>徐涛涛</t>
  </si>
  <si>
    <t>xutaotao</t>
  </si>
  <si>
    <t>2024-03-08</t>
  </si>
  <si>
    <t>济南</t>
  </si>
  <si>
    <t>通用行业一部</t>
  </si>
  <si>
    <t>孙念武</t>
  </si>
  <si>
    <t>sunnianwu</t>
  </si>
  <si>
    <t>杜强</t>
  </si>
  <si>
    <t>韩金宇</t>
  </si>
  <si>
    <t>hanjinyu</t>
  </si>
  <si>
    <t>2018-07-02</t>
  </si>
  <si>
    <t>王列宁</t>
  </si>
  <si>
    <t>wangliening</t>
  </si>
  <si>
    <t>2023-11-28</t>
  </si>
  <si>
    <t>梁梦飞</t>
  </si>
  <si>
    <t>张学同</t>
  </si>
  <si>
    <t>zhangxuetong01</t>
  </si>
  <si>
    <t>2024-01-03</t>
  </si>
  <si>
    <t>邵荣晶</t>
  </si>
  <si>
    <t>shaorongjing</t>
  </si>
  <si>
    <t>2024-07-10</t>
  </si>
  <si>
    <t>宋强</t>
  </si>
  <si>
    <t>songqiang04</t>
  </si>
  <si>
    <t>2024-07-19</t>
  </si>
  <si>
    <t>时荣飞</t>
  </si>
  <si>
    <t>shirongfei</t>
  </si>
  <si>
    <t>2024-07-24</t>
  </si>
  <si>
    <t>地推一部</t>
  </si>
  <si>
    <t>吴家宝</t>
  </si>
  <si>
    <t>wujiabao03</t>
  </si>
  <si>
    <t>2024-08-26</t>
  </si>
  <si>
    <t>张日昂</t>
  </si>
  <si>
    <t>刘安宇</t>
  </si>
  <si>
    <t>liuanyu</t>
  </si>
  <si>
    <t>2024-01-19</t>
  </si>
  <si>
    <t>汪庆善</t>
  </si>
  <si>
    <t>wangqingshan</t>
  </si>
  <si>
    <t>2024-03-11</t>
  </si>
  <si>
    <t>许寿方</t>
  </si>
  <si>
    <t>xushoufang</t>
  </si>
  <si>
    <t>2024-06-25</t>
  </si>
  <si>
    <t>蔡晨煜</t>
  </si>
  <si>
    <t>caichenyu</t>
  </si>
  <si>
    <t>2024-06-26</t>
  </si>
  <si>
    <t>杨宁</t>
  </si>
  <si>
    <t>yangning15</t>
  </si>
  <si>
    <t>2024-07-29</t>
  </si>
  <si>
    <t>马帅</t>
  </si>
  <si>
    <t>mashuai12</t>
  </si>
  <si>
    <t>2024-08-02</t>
  </si>
  <si>
    <t>杨雅倩</t>
  </si>
  <si>
    <t>yangyaqian02</t>
  </si>
  <si>
    <t>2021-03-12</t>
  </si>
  <si>
    <t>新签二部</t>
  </si>
  <si>
    <t>张绍权</t>
  </si>
  <si>
    <t>zhangshaoquan01</t>
  </si>
  <si>
    <t>徐小慧</t>
  </si>
  <si>
    <t>楼鼎元</t>
  </si>
  <si>
    <t>loudingyuan</t>
  </si>
  <si>
    <t>2024-03-18</t>
  </si>
  <si>
    <t>张成杰</t>
  </si>
  <si>
    <t>zhangchengjie01</t>
  </si>
  <si>
    <t>2023-05-06</t>
  </si>
  <si>
    <t>唐杰伟</t>
  </si>
  <si>
    <t>tangjiewei</t>
  </si>
  <si>
    <t>吴琳</t>
  </si>
  <si>
    <t>wulin04</t>
  </si>
  <si>
    <t>2023-10-09</t>
  </si>
  <si>
    <t>杨蓓蕾</t>
  </si>
  <si>
    <t>yangbeilei</t>
  </si>
  <si>
    <t>2024-08-16</t>
  </si>
  <si>
    <t>朱青青</t>
  </si>
  <si>
    <t>zhuqingqing</t>
  </si>
  <si>
    <t>2024-08-05</t>
  </si>
  <si>
    <t>何文瀚</t>
  </si>
  <si>
    <t>hewenhan</t>
  </si>
  <si>
    <t>2024-05-27</t>
  </si>
  <si>
    <t>胡凯伦</t>
  </si>
  <si>
    <t>hukailun</t>
  </si>
  <si>
    <t>魏佳昊</t>
  </si>
  <si>
    <t>weijiahao</t>
  </si>
  <si>
    <t>庄晨晨</t>
  </si>
  <si>
    <t>李可</t>
  </si>
  <si>
    <t>like25</t>
  </si>
  <si>
    <t>2024-03-25</t>
  </si>
  <si>
    <t>李明</t>
  </si>
  <si>
    <t>liming58</t>
  </si>
  <si>
    <t>2024-04-18</t>
  </si>
  <si>
    <t>于佳林</t>
  </si>
  <si>
    <t>yujialin01</t>
  </si>
  <si>
    <t>2024-06-12</t>
  </si>
  <si>
    <t>杨盛喆</t>
  </si>
  <si>
    <t>yangshengzhe02</t>
  </si>
  <si>
    <t>张鸿政</t>
  </si>
  <si>
    <t>zhanghongzheng</t>
  </si>
  <si>
    <t>2024-07-02</t>
  </si>
  <si>
    <t>谭庆宇</t>
  </si>
  <si>
    <t>tanqingyu</t>
  </si>
  <si>
    <t>2024-07-08</t>
  </si>
  <si>
    <t>徐达</t>
  </si>
  <si>
    <t>xuda05</t>
  </si>
  <si>
    <t>杜浩天</t>
  </si>
  <si>
    <t>duhaotian02</t>
  </si>
  <si>
    <t>2023-04-03</t>
  </si>
  <si>
    <t>殷泽鹏</t>
  </si>
  <si>
    <t>郭槟恺</t>
  </si>
  <si>
    <t>guobinkai</t>
  </si>
  <si>
    <t>2023-04-10</t>
  </si>
  <si>
    <t>曲世龙</t>
  </si>
  <si>
    <t>qushilong</t>
  </si>
  <si>
    <t>2024-04-07</t>
  </si>
  <si>
    <t>代自豪</t>
  </si>
  <si>
    <t>daizihao</t>
  </si>
  <si>
    <t>2024-05-15</t>
  </si>
  <si>
    <t>肖冠迪</t>
  </si>
  <si>
    <t>xiaoguandi</t>
  </si>
  <si>
    <t>2024-07-09</t>
  </si>
  <si>
    <t>张可</t>
  </si>
  <si>
    <t>zhangke18</t>
  </si>
  <si>
    <t>范义涵</t>
  </si>
  <si>
    <t>fanyihan02</t>
  </si>
  <si>
    <t>2024-07-22</t>
  </si>
  <si>
    <t>邓琪</t>
  </si>
  <si>
    <t>dengqi02</t>
  </si>
  <si>
    <t>尹丽丽</t>
  </si>
  <si>
    <t>yinlili03</t>
  </si>
  <si>
    <t>新签三部</t>
  </si>
  <si>
    <t>沈江龙</t>
  </si>
  <si>
    <t>shenjianglong</t>
  </si>
  <si>
    <t>向言康</t>
  </si>
  <si>
    <t>颜佳玟</t>
  </si>
  <si>
    <t>yanjiawen01</t>
  </si>
  <si>
    <t>2024-07-17</t>
  </si>
  <si>
    <t>陈华栋</t>
  </si>
  <si>
    <t>chenhuadong</t>
  </si>
  <si>
    <t>袁婧</t>
  </si>
  <si>
    <t>yuanjing15</t>
  </si>
  <si>
    <t>杨静</t>
  </si>
  <si>
    <t>yangjing63</t>
  </si>
  <si>
    <t>段兴岩</t>
  </si>
  <si>
    <t>duanxingyan</t>
  </si>
  <si>
    <t>郑海珍</t>
  </si>
  <si>
    <t>zhenghaizhen</t>
  </si>
  <si>
    <t>2023-06-13</t>
  </si>
  <si>
    <t>陈运峰</t>
  </si>
  <si>
    <t>chenyunfeng03</t>
  </si>
  <si>
    <t>2023-12-15</t>
  </si>
  <si>
    <t>许博涵</t>
  </si>
  <si>
    <t>xubohan</t>
  </si>
  <si>
    <t>2023-08-07</t>
  </si>
  <si>
    <t>张洁</t>
  </si>
  <si>
    <t>zhangjie45</t>
  </si>
  <si>
    <t>2018-02-27</t>
  </si>
  <si>
    <t>宋正志</t>
  </si>
  <si>
    <t>钱明明</t>
  </si>
  <si>
    <t>qianmingming</t>
  </si>
  <si>
    <t>2018-03-22</t>
  </si>
  <si>
    <t>徐浩栋</t>
  </si>
  <si>
    <t>xuhaodong</t>
  </si>
  <si>
    <t>2018-11-12</t>
  </si>
  <si>
    <t>宋任方也</t>
  </si>
  <si>
    <t>songrenfangye</t>
  </si>
  <si>
    <t>2024-07-05</t>
  </si>
  <si>
    <t>胡凡迪</t>
  </si>
  <si>
    <t>hufandi</t>
  </si>
  <si>
    <t>2022-01-21</t>
  </si>
  <si>
    <t>新签一部</t>
  </si>
  <si>
    <t>刘帅帅</t>
  </si>
  <si>
    <t>liushuaishuai02</t>
  </si>
  <si>
    <t>2023-09-20</t>
  </si>
  <si>
    <t>张钧凯</t>
  </si>
  <si>
    <t>杨家豪</t>
  </si>
  <si>
    <t>yangjiahao03</t>
  </si>
  <si>
    <t>2023-11-15</t>
  </si>
  <si>
    <t>董坤</t>
  </si>
  <si>
    <t>dongkun02</t>
  </si>
  <si>
    <t>杨文斋</t>
  </si>
  <si>
    <t>yangwenzhai</t>
  </si>
  <si>
    <t>2024-03-07</t>
  </si>
  <si>
    <t>闫昭宇</t>
  </si>
  <si>
    <t>yanzhaoyu</t>
  </si>
  <si>
    <t>2022-02-09</t>
  </si>
  <si>
    <t>曲赛男</t>
  </si>
  <si>
    <t>qusainan01</t>
  </si>
  <si>
    <t>2024-07-03</t>
  </si>
  <si>
    <t>郑传禹</t>
  </si>
  <si>
    <t>zhengchuanyu</t>
  </si>
  <si>
    <t>刘钰鑫</t>
  </si>
  <si>
    <t>liuyuxin10</t>
  </si>
  <si>
    <t>刘艺</t>
  </si>
  <si>
    <t>liuyi57</t>
  </si>
  <si>
    <t>2024-04-01</t>
  </si>
  <si>
    <t>徐增伟</t>
  </si>
  <si>
    <t>xuzengwei</t>
  </si>
  <si>
    <t>2023-03-03</t>
  </si>
  <si>
    <t>刘懿</t>
  </si>
  <si>
    <t>liuyi54</t>
  </si>
  <si>
    <t>魏子文</t>
  </si>
  <si>
    <t>唐举艳</t>
  </si>
  <si>
    <t>tangjuyan</t>
  </si>
  <si>
    <t>2023-08-21</t>
  </si>
  <si>
    <t>郭美嘉</t>
  </si>
  <si>
    <t>guomeijia01</t>
  </si>
  <si>
    <t>2022-06-03</t>
  </si>
  <si>
    <t>滕博</t>
  </si>
  <si>
    <t>tengbo01</t>
  </si>
  <si>
    <t>2018-12-21</t>
  </si>
  <si>
    <t>陈鑫</t>
  </si>
  <si>
    <t>chenxin73</t>
  </si>
  <si>
    <t>李守杰</t>
  </si>
  <si>
    <t>lishoujie</t>
  </si>
  <si>
    <t>2023-03-07</t>
  </si>
  <si>
    <t>郑慧</t>
  </si>
  <si>
    <t>zhenghui08</t>
  </si>
  <si>
    <t>2024-08-12</t>
  </si>
  <si>
    <t>戚锴伦</t>
  </si>
  <si>
    <t>qikailun01</t>
  </si>
  <si>
    <t>2019-11-22</t>
  </si>
  <si>
    <t>刘意辉</t>
  </si>
  <si>
    <t>liuyihui01</t>
  </si>
  <si>
    <t>2019-10-16</t>
  </si>
  <si>
    <t>王荣琛</t>
  </si>
  <si>
    <t>杜晓涵</t>
  </si>
  <si>
    <t>duxiaohan</t>
  </si>
  <si>
    <t>2023-10-08</t>
  </si>
  <si>
    <t>李天圆</t>
  </si>
  <si>
    <t>litianyuan03</t>
  </si>
  <si>
    <t>2024-03-01</t>
  </si>
  <si>
    <t>孙国浩</t>
  </si>
  <si>
    <t>sunguohao</t>
  </si>
  <si>
    <t>赵珂昊</t>
  </si>
  <si>
    <t>zhaokehao</t>
  </si>
  <si>
    <t>2024-07-15</t>
  </si>
  <si>
    <t>陈宇晗</t>
  </si>
  <si>
    <t>chenyuhan06</t>
  </si>
  <si>
    <t>2024-07-25</t>
  </si>
  <si>
    <t>潘建业</t>
  </si>
  <si>
    <t>panjianye</t>
  </si>
  <si>
    <t>2024-08-19</t>
  </si>
  <si>
    <t>任芳菲</t>
  </si>
  <si>
    <t>renfangfei</t>
  </si>
  <si>
    <t>2024-08-20</t>
  </si>
  <si>
    <t>陈祉焱</t>
  </si>
  <si>
    <t>chenzhiyan02</t>
  </si>
  <si>
    <t>时蒙蒙</t>
  </si>
  <si>
    <t>许晓倩</t>
  </si>
  <si>
    <t>xuxiaoqian01</t>
  </si>
  <si>
    <t>2024-07-11</t>
  </si>
  <si>
    <t>罗瑞莹</t>
  </si>
  <si>
    <t>luoruiying</t>
  </si>
  <si>
    <t>2019-04-18</t>
  </si>
  <si>
    <t>贾紫涵</t>
  </si>
  <si>
    <t>jiazihan-jn</t>
  </si>
  <si>
    <t>2014-09-05</t>
  </si>
  <si>
    <t>赵天宇</t>
  </si>
  <si>
    <t>zhaotianyu01</t>
  </si>
  <si>
    <t>2016-07-08</t>
  </si>
  <si>
    <t>汤晨晨</t>
  </si>
  <si>
    <t>tangcc</t>
  </si>
  <si>
    <t>2012-08-14</t>
  </si>
  <si>
    <t>刘东坡</t>
  </si>
  <si>
    <t>liudongpo-jn</t>
  </si>
  <si>
    <t>2015-05-25</t>
  </si>
  <si>
    <t>周玉姣</t>
  </si>
  <si>
    <t>zhouyujiao-jn</t>
  </si>
  <si>
    <t>2024-02-23</t>
  </si>
  <si>
    <t>孙爱梅</t>
  </si>
  <si>
    <t>sunaimei-jn</t>
  </si>
  <si>
    <t>2015-05-13</t>
  </si>
  <si>
    <t>岳仁苏</t>
  </si>
  <si>
    <t>陈媛媛</t>
  </si>
  <si>
    <t>chenyuanyuan-jn</t>
  </si>
  <si>
    <t>2020-04-15</t>
  </si>
  <si>
    <t>王洪洲</t>
  </si>
  <si>
    <t>wanghongzhou</t>
  </si>
  <si>
    <t>2019-06-26</t>
  </si>
  <si>
    <t>孙倩倩</t>
  </si>
  <si>
    <t>sunqianqian01</t>
  </si>
  <si>
    <t>2018-10-16</t>
  </si>
  <si>
    <t>张培培</t>
  </si>
  <si>
    <t>zhangpeipei</t>
  </si>
  <si>
    <t>2016-07-11</t>
  </si>
  <si>
    <t>姜娜</t>
  </si>
  <si>
    <t>jiangna02</t>
  </si>
  <si>
    <t>2016-04-28</t>
  </si>
  <si>
    <t>刘慧敏</t>
  </si>
  <si>
    <t>liuhuimin05</t>
  </si>
  <si>
    <t>2021-04-16</t>
  </si>
  <si>
    <t>李昌其</t>
  </si>
  <si>
    <t>lichangqi01</t>
  </si>
  <si>
    <t>户桂浩</t>
  </si>
  <si>
    <t>孙舒</t>
  </si>
  <si>
    <t>sunshu</t>
  </si>
  <si>
    <t>俞长凯</t>
  </si>
  <si>
    <t>yuchangkai</t>
  </si>
  <si>
    <t>2024-08-23</t>
  </si>
  <si>
    <t>阚成凯</t>
  </si>
  <si>
    <t>kanchengkai</t>
  </si>
  <si>
    <t>孙其志</t>
  </si>
  <si>
    <t>sunqizhi</t>
  </si>
  <si>
    <t>张翀昊</t>
  </si>
  <si>
    <t>zhangchonghao</t>
  </si>
  <si>
    <t>李泽朋</t>
  </si>
  <si>
    <t>lizepeng03</t>
  </si>
  <si>
    <t>2021-07-22</t>
  </si>
  <si>
    <t>张程超</t>
  </si>
  <si>
    <t>zhangchengchao02</t>
  </si>
  <si>
    <t>高家豪</t>
  </si>
  <si>
    <t>gaojiahao03</t>
  </si>
  <si>
    <t>孟许磊</t>
  </si>
  <si>
    <t>mengxulei</t>
  </si>
  <si>
    <t>2022-02-10</t>
  </si>
  <si>
    <t>林双阳</t>
  </si>
  <si>
    <t>linshuangyang</t>
  </si>
  <si>
    <t>2024-03-19</t>
  </si>
  <si>
    <t>刘红旗</t>
  </si>
  <si>
    <t>liuhongqi</t>
  </si>
  <si>
    <t>2023-07-10</t>
  </si>
  <si>
    <t>朱琳琳</t>
  </si>
  <si>
    <t>zhulinlin-qd</t>
  </si>
  <si>
    <t>2015-11-24</t>
  </si>
  <si>
    <t>陈云扬</t>
  </si>
  <si>
    <t>蒋清旺</t>
  </si>
  <si>
    <t>jiangqingwang</t>
  </si>
  <si>
    <t>陈新港</t>
  </si>
  <si>
    <t>chenxingang</t>
  </si>
  <si>
    <t>2019-05-06</t>
  </si>
  <si>
    <t>武文强</t>
  </si>
  <si>
    <t>殷福红</t>
  </si>
  <si>
    <t>yinfuhong</t>
  </si>
  <si>
    <t>2023-12-08</t>
  </si>
  <si>
    <t>吴海松</t>
  </si>
  <si>
    <t>wuhaisong01</t>
  </si>
  <si>
    <t>2024-08-21</t>
  </si>
  <si>
    <t>陈威港</t>
  </si>
  <si>
    <t>chenweigang</t>
  </si>
  <si>
    <t>2022-11-24</t>
  </si>
  <si>
    <t>徐泽平</t>
  </si>
  <si>
    <t>xuzeping</t>
  </si>
  <si>
    <t>2024-06-14</t>
  </si>
  <si>
    <t>毛阿敏</t>
  </si>
  <si>
    <t>maoamin</t>
  </si>
  <si>
    <t>2020-07-02</t>
  </si>
  <si>
    <t>李丹</t>
  </si>
  <si>
    <t>lidan23</t>
  </si>
  <si>
    <t>2016-05-05</t>
  </si>
  <si>
    <t>季伯承</t>
  </si>
  <si>
    <t>陈林</t>
  </si>
  <si>
    <t>chenlin42</t>
  </si>
  <si>
    <t>2023-11-17</t>
  </si>
  <si>
    <t>陈丽</t>
  </si>
  <si>
    <t>chenli12</t>
  </si>
  <si>
    <t>2017-07-03</t>
  </si>
  <si>
    <t>曹微微</t>
  </si>
  <si>
    <t>caoweiwei</t>
  </si>
  <si>
    <t>2019-04-26</t>
  </si>
  <si>
    <t>闫浩东</t>
  </si>
  <si>
    <t>yanhaodong</t>
  </si>
  <si>
    <t>2022-02-24</t>
  </si>
  <si>
    <t>饶珊</t>
  </si>
  <si>
    <t>raoshan</t>
  </si>
  <si>
    <t>王钦超</t>
  </si>
  <si>
    <t>wangqinchao</t>
  </si>
  <si>
    <t>施仲恒</t>
  </si>
  <si>
    <t>shizhongheng</t>
  </si>
  <si>
    <t>王志伟</t>
  </si>
  <si>
    <t>wangzhiwei15</t>
  </si>
  <si>
    <t>2021-08-25</t>
  </si>
  <si>
    <t>何锦</t>
  </si>
  <si>
    <t>hejin03</t>
  </si>
  <si>
    <t>2021-09-10</t>
  </si>
  <si>
    <t>宋谦</t>
  </si>
  <si>
    <t>songqian03</t>
  </si>
  <si>
    <t>纪欣彤</t>
  </si>
  <si>
    <t>jixintong</t>
  </si>
  <si>
    <t>张贺楠</t>
  </si>
  <si>
    <t>zhanghenan01</t>
  </si>
  <si>
    <t>2024-05-08</t>
  </si>
  <si>
    <t>周万彪</t>
  </si>
  <si>
    <t>zhouwanbiao</t>
  </si>
  <si>
    <t>2016-12-12</t>
  </si>
  <si>
    <t>苗丽</t>
  </si>
  <si>
    <t>祖丞荙</t>
  </si>
  <si>
    <t>zuchengda</t>
  </si>
  <si>
    <t>2024-08-22</t>
  </si>
  <si>
    <t>米立国</t>
  </si>
  <si>
    <t>miliguo</t>
  </si>
  <si>
    <t>阚英博</t>
  </si>
  <si>
    <t>kanyingbo</t>
  </si>
  <si>
    <t>2024-01-02</t>
  </si>
  <si>
    <t>王凌霄</t>
  </si>
  <si>
    <t>wanglingxiao02</t>
  </si>
  <si>
    <t>2023-12-04</t>
  </si>
  <si>
    <t>曲峻谊</t>
  </si>
  <si>
    <t>qujunyi</t>
  </si>
  <si>
    <t>王冲亚</t>
  </si>
  <si>
    <t>wangchongya</t>
  </si>
  <si>
    <t>2023-09-15</t>
  </si>
  <si>
    <t>张友金</t>
  </si>
  <si>
    <t>zhangyoujin</t>
  </si>
  <si>
    <t>2021-03-17</t>
  </si>
  <si>
    <t>房政杰</t>
  </si>
  <si>
    <t>fangzhengjie01</t>
  </si>
  <si>
    <t>2023-07-17</t>
  </si>
  <si>
    <t>徐建华</t>
  </si>
  <si>
    <t>李先鹏</t>
  </si>
  <si>
    <t>lixianpeng</t>
  </si>
  <si>
    <t>秦即航</t>
  </si>
  <si>
    <t>qinjihang</t>
  </si>
  <si>
    <t>左一笛</t>
  </si>
  <si>
    <t>zuoyidi</t>
  </si>
  <si>
    <t>2024-08-01</t>
  </si>
  <si>
    <t>刘旭</t>
  </si>
  <si>
    <t>liuxu47</t>
  </si>
  <si>
    <t>陈昔金</t>
  </si>
  <si>
    <t>chenxijin</t>
  </si>
  <si>
    <t>任艳青</t>
  </si>
  <si>
    <t>renyanqing</t>
  </si>
  <si>
    <t>曹可景</t>
  </si>
  <si>
    <t>caokejing</t>
  </si>
  <si>
    <t>2022-03-09</t>
  </si>
  <si>
    <t>张欣宇</t>
  </si>
  <si>
    <t>zhangxinyu37</t>
  </si>
  <si>
    <t>2024-01-17</t>
  </si>
  <si>
    <t>练玉洁</t>
  </si>
  <si>
    <t>lianyujie</t>
  </si>
  <si>
    <t>陈景豪</t>
  </si>
  <si>
    <t>chenjinghao02</t>
  </si>
  <si>
    <t>2023-07-19</t>
  </si>
  <si>
    <t>赵瑞壮</t>
  </si>
  <si>
    <t>zhaoruizhuang</t>
  </si>
  <si>
    <t>张晓勇</t>
  </si>
  <si>
    <t>王连生</t>
  </si>
  <si>
    <t>wangliansheng</t>
  </si>
  <si>
    <t>刘志昊</t>
  </si>
  <si>
    <t>liuzhihao08</t>
  </si>
  <si>
    <t>努尔古丽·努尔艾合买提</t>
  </si>
  <si>
    <t>nueglneahmt</t>
  </si>
  <si>
    <t>任峰江</t>
  </si>
  <si>
    <t>renfengjiang</t>
  </si>
  <si>
    <t>2024-08-14</t>
  </si>
  <si>
    <t>金鑫</t>
  </si>
  <si>
    <t>jinxin33</t>
  </si>
  <si>
    <t>李顺欣</t>
  </si>
  <si>
    <t>lishunxin</t>
  </si>
  <si>
    <t>刘昕宇</t>
  </si>
  <si>
    <t>liuxinyu26</t>
  </si>
  <si>
    <t>李怀彬</t>
  </si>
  <si>
    <t>lihuaibin</t>
  </si>
  <si>
    <t>新签五部</t>
  </si>
  <si>
    <t>张华灵</t>
  </si>
  <si>
    <t>zhanghualing</t>
  </si>
  <si>
    <t>孙飞</t>
  </si>
  <si>
    <t>郑凌男</t>
  </si>
  <si>
    <t>zhenglingnan-hz</t>
  </si>
  <si>
    <t>2017-08-07</t>
  </si>
  <si>
    <t>李德牛</t>
  </si>
  <si>
    <t>lideniu</t>
  </si>
  <si>
    <t>朱合祥</t>
  </si>
  <si>
    <t>zhuhexiang</t>
  </si>
  <si>
    <t>2020-05-15</t>
  </si>
  <si>
    <t>夏笛捷</t>
  </si>
  <si>
    <t>xiadijie</t>
  </si>
  <si>
    <t>吴嘉辉</t>
  </si>
  <si>
    <t>wujiahui06</t>
  </si>
  <si>
    <t>赖佑辉</t>
  </si>
  <si>
    <t>laiyouhui</t>
  </si>
  <si>
    <t>乔依涛</t>
  </si>
  <si>
    <t>qiaoyitao</t>
  </si>
  <si>
    <t>庞琳</t>
  </si>
  <si>
    <t>panglin01</t>
  </si>
  <si>
    <t>贾婷婷</t>
  </si>
  <si>
    <t>jiatingting</t>
  </si>
  <si>
    <t>大区</t>
  </si>
  <si>
    <t>城市</t>
  </si>
  <si>
    <t>部门</t>
  </si>
  <si>
    <t>销售姓名</t>
  </si>
  <si>
    <t>接通率</t>
  </si>
  <si>
    <t>华东区</t>
  </si>
  <si>
    <t>苏州</t>
  </si>
  <si>
    <t>张亚威</t>
  </si>
  <si>
    <t>刘海涛</t>
  </si>
  <si>
    <t>莫琪</t>
  </si>
  <si>
    <t>熊梦珠</t>
  </si>
  <si>
    <t>贺鹏</t>
  </si>
  <si>
    <t>卜明阳</t>
  </si>
  <si>
    <t>陈汉青</t>
  </si>
  <si>
    <t>陈学远</t>
  </si>
  <si>
    <t>赵怡蓉</t>
  </si>
  <si>
    <t>王阿慧</t>
  </si>
  <si>
    <t>黄伟强</t>
  </si>
  <si>
    <t>赵康</t>
  </si>
  <si>
    <t>吕俊杰</t>
  </si>
  <si>
    <t>陈军</t>
  </si>
  <si>
    <t>张晓丽</t>
  </si>
  <si>
    <t>洪越</t>
  </si>
  <si>
    <t>顾美洁</t>
  </si>
  <si>
    <t>刘亚琦</t>
  </si>
  <si>
    <t>李丽华</t>
  </si>
  <si>
    <t>高宇鑫</t>
  </si>
  <si>
    <t>刘菲</t>
  </si>
  <si>
    <t>张夫豪</t>
  </si>
  <si>
    <t>曾婷婷</t>
  </si>
  <si>
    <t>谭慧</t>
  </si>
  <si>
    <t>王兵南</t>
  </si>
  <si>
    <t>胡露</t>
  </si>
  <si>
    <t>郝忠现</t>
  </si>
  <si>
    <t>贾易鑫</t>
  </si>
  <si>
    <t>胡洋洋</t>
  </si>
  <si>
    <t>李杰</t>
  </si>
  <si>
    <t>唐盛鹏</t>
  </si>
  <si>
    <t>陈家宝</t>
  </si>
  <si>
    <t>章艺冬</t>
  </si>
  <si>
    <t>李瑞芝</t>
  </si>
  <si>
    <t>董艳霞</t>
  </si>
  <si>
    <t>唐瑞祥</t>
  </si>
  <si>
    <t>赵国州</t>
  </si>
  <si>
    <t>陆雯</t>
  </si>
  <si>
    <t>张玉蓉</t>
  </si>
  <si>
    <t>吴兴颖</t>
  </si>
  <si>
    <t>刘鲜耀</t>
  </si>
  <si>
    <t>沈坤鹏</t>
  </si>
  <si>
    <t>姜哲</t>
  </si>
  <si>
    <t>昆山</t>
  </si>
  <si>
    <t>班家宾</t>
  </si>
  <si>
    <t>钱松</t>
  </si>
  <si>
    <t>闫笑笑</t>
  </si>
  <si>
    <t>朱强强</t>
  </si>
  <si>
    <t>王莹</t>
  </si>
  <si>
    <t>姬玉路</t>
  </si>
  <si>
    <t>夏龙鑫</t>
  </si>
  <si>
    <t>乔通</t>
  </si>
  <si>
    <t>姚春辉</t>
  </si>
  <si>
    <t>张天昊</t>
  </si>
  <si>
    <t>李娜</t>
  </si>
  <si>
    <t>朱高颂</t>
  </si>
  <si>
    <t>何浩</t>
  </si>
  <si>
    <t>张小伟</t>
  </si>
  <si>
    <t>无锡</t>
  </si>
  <si>
    <t>袁滔焘</t>
  </si>
  <si>
    <t>童亮</t>
  </si>
  <si>
    <t>邓旭</t>
  </si>
  <si>
    <t>韩嘉琛</t>
  </si>
  <si>
    <t>王秀琴</t>
  </si>
  <si>
    <t>梅月仪</t>
  </si>
  <si>
    <t>朱倩</t>
  </si>
  <si>
    <t>朱建德</t>
  </si>
  <si>
    <t>刘念</t>
  </si>
  <si>
    <t>杜明原</t>
  </si>
  <si>
    <t>江超超</t>
  </si>
  <si>
    <t>张衡</t>
  </si>
  <si>
    <t>纪月</t>
  </si>
  <si>
    <t>吴杨</t>
  </si>
  <si>
    <t>白桂云</t>
  </si>
  <si>
    <t>祁玲楠</t>
  </si>
  <si>
    <t>闻静</t>
  </si>
  <si>
    <t>余亚楠</t>
  </si>
  <si>
    <t>王巧言</t>
  </si>
  <si>
    <t>王倩霞</t>
  </si>
  <si>
    <t>吕梅</t>
  </si>
  <si>
    <t>吕金江</t>
  </si>
  <si>
    <t>卢苏云</t>
  </si>
  <si>
    <t>范婷婷</t>
  </si>
  <si>
    <t>许灵燕</t>
  </si>
  <si>
    <t>徐富贤</t>
  </si>
  <si>
    <t>沈锡宇</t>
  </si>
  <si>
    <t>徐永斌</t>
  </si>
  <si>
    <t>左云峰</t>
  </si>
  <si>
    <t>郭翩翩</t>
  </si>
  <si>
    <t>袁园</t>
  </si>
  <si>
    <t>王慧敏</t>
  </si>
  <si>
    <t>贺志马</t>
  </si>
  <si>
    <t>倪超杰</t>
  </si>
  <si>
    <t>赵梅丽</t>
  </si>
  <si>
    <t>合肥</t>
  </si>
  <si>
    <t>赵慧婷</t>
  </si>
  <si>
    <t>梁丹丹</t>
  </si>
  <si>
    <t>薛虎</t>
  </si>
  <si>
    <t>唐萌</t>
  </si>
  <si>
    <t>童登霞</t>
  </si>
  <si>
    <t>李双燕</t>
  </si>
  <si>
    <t>赵雪娣</t>
  </si>
  <si>
    <t>王骞</t>
  </si>
  <si>
    <t>张雪</t>
  </si>
  <si>
    <t>柴青</t>
  </si>
  <si>
    <t>孙聚</t>
  </si>
  <si>
    <t>孙亚东</t>
  </si>
  <si>
    <t>葛瑞</t>
  </si>
  <si>
    <t>马春燕</t>
  </si>
  <si>
    <t>田佳</t>
  </si>
  <si>
    <t>程菡</t>
  </si>
  <si>
    <t>翟德辰</t>
  </si>
  <si>
    <t>丁通</t>
  </si>
  <si>
    <t>杨全亮</t>
  </si>
  <si>
    <t>蒋文龙</t>
  </si>
  <si>
    <t>余晶萍</t>
  </si>
  <si>
    <t>顾耀龙</t>
  </si>
  <si>
    <t>王雨露</t>
  </si>
  <si>
    <t>汪辉</t>
  </si>
  <si>
    <t>袁虹</t>
  </si>
  <si>
    <t>张玉友</t>
  </si>
  <si>
    <t>汪晓玉</t>
  </si>
  <si>
    <t>葛广祥</t>
  </si>
  <si>
    <t>杨超</t>
  </si>
  <si>
    <t>江朋</t>
  </si>
  <si>
    <t>范新越</t>
  </si>
  <si>
    <t>宋婵婵</t>
  </si>
  <si>
    <t>李亚波</t>
  </si>
  <si>
    <t>胡疏丹</t>
  </si>
  <si>
    <t>王晴晴</t>
  </si>
  <si>
    <t>刘语</t>
  </si>
  <si>
    <t>钱乐</t>
  </si>
  <si>
    <t>汪清</t>
  </si>
  <si>
    <t>汪淞</t>
  </si>
  <si>
    <t>杨安康</t>
  </si>
  <si>
    <t>胡林娥</t>
  </si>
  <si>
    <t>许贤秀</t>
  </si>
  <si>
    <t>南京</t>
  </si>
  <si>
    <t>张斌</t>
  </si>
  <si>
    <t>唐敏欣</t>
  </si>
  <si>
    <t>许司祺</t>
  </si>
  <si>
    <t>陈俊杰</t>
  </si>
  <si>
    <t>陈希凯</t>
  </si>
  <si>
    <t>杨涵</t>
  </si>
  <si>
    <t>彭大伟</t>
  </si>
  <si>
    <t>陈兴赟</t>
  </si>
  <si>
    <t>聂寿莲</t>
  </si>
  <si>
    <t>许健</t>
  </si>
  <si>
    <t>杨佳宁</t>
  </si>
  <si>
    <t>蒋红云</t>
  </si>
  <si>
    <t>王杰</t>
  </si>
  <si>
    <t>骆海成</t>
  </si>
  <si>
    <t>王蓉</t>
  </si>
  <si>
    <t>郝海翔</t>
  </si>
  <si>
    <t>王杜飞</t>
  </si>
  <si>
    <t>窦媛媛</t>
  </si>
  <si>
    <t>李健强</t>
  </si>
  <si>
    <t>张盛淳</t>
  </si>
  <si>
    <t>涂有莹</t>
  </si>
  <si>
    <t>金开豪</t>
  </si>
  <si>
    <t>杨森</t>
  </si>
  <si>
    <t>王乃清</t>
  </si>
  <si>
    <t>汪苗苗</t>
  </si>
  <si>
    <t>姜玉莹</t>
  </si>
  <si>
    <t>赵开妍</t>
  </si>
  <si>
    <t>卞彩霞</t>
  </si>
  <si>
    <t>李鹏宇</t>
  </si>
  <si>
    <t>王曙霞</t>
  </si>
  <si>
    <t>陆伟国</t>
  </si>
  <si>
    <t>骆晶晶</t>
  </si>
  <si>
    <t>杨晶</t>
  </si>
  <si>
    <t>杨碧君</t>
  </si>
  <si>
    <t>尹洋</t>
  </si>
  <si>
    <t>徐松松</t>
  </si>
  <si>
    <t>赵德虎</t>
  </si>
  <si>
    <t>朱思颖</t>
  </si>
  <si>
    <t>上海</t>
  </si>
  <si>
    <t>通用行业二部</t>
  </si>
  <si>
    <t>刘帅</t>
  </si>
  <si>
    <t>胡漫漫</t>
  </si>
  <si>
    <t>贾播感</t>
  </si>
  <si>
    <t>何芳芳</t>
  </si>
  <si>
    <t>方程</t>
  </si>
  <si>
    <t>张正</t>
  </si>
  <si>
    <t>葛锦梅</t>
  </si>
  <si>
    <t>林小成</t>
  </si>
  <si>
    <t>魏玮</t>
  </si>
  <si>
    <t>黎佳飞</t>
  </si>
  <si>
    <t>马洁</t>
  </si>
  <si>
    <t>熊月传</t>
  </si>
  <si>
    <t>物流行业二部</t>
  </si>
  <si>
    <t>杨帆</t>
  </si>
  <si>
    <t>戎梦梅</t>
  </si>
  <si>
    <t>邢志伟</t>
  </si>
  <si>
    <t>王艳</t>
  </si>
  <si>
    <t>赵阳</t>
  </si>
  <si>
    <t>卢栋</t>
  </si>
  <si>
    <t>王亚</t>
  </si>
  <si>
    <t>胥奎</t>
  </si>
  <si>
    <t>士莉莉</t>
  </si>
  <si>
    <t>叶翔</t>
  </si>
  <si>
    <t>蒋惠莉</t>
  </si>
  <si>
    <t>陈鹏鹏</t>
  </si>
  <si>
    <t>朱四秀</t>
  </si>
  <si>
    <t>黄乙伟</t>
  </si>
  <si>
    <t>沈丹丹</t>
  </si>
  <si>
    <t>顾溪溪</t>
  </si>
  <si>
    <t>张小玉</t>
  </si>
  <si>
    <t>吴杰</t>
  </si>
  <si>
    <t>王振欣</t>
  </si>
  <si>
    <t>廖曼丽</t>
  </si>
  <si>
    <t>刘劝</t>
  </si>
  <si>
    <t>柯紫慧</t>
  </si>
  <si>
    <t>赵永利</t>
  </si>
  <si>
    <t>庆克杰</t>
  </si>
  <si>
    <t>曾静</t>
  </si>
  <si>
    <t>刘昆阳</t>
  </si>
  <si>
    <t>林玉淼</t>
  </si>
  <si>
    <t>任杰</t>
  </si>
  <si>
    <t>吴炳</t>
  </si>
  <si>
    <t>新签七部</t>
  </si>
  <si>
    <t>曹圆圆</t>
  </si>
  <si>
    <t>王雪</t>
  </si>
  <si>
    <t>卿文祥</t>
  </si>
  <si>
    <t>耿泽源</t>
  </si>
  <si>
    <t>张梦伟</t>
  </si>
  <si>
    <t>刘池海</t>
  </si>
  <si>
    <t>熊英</t>
  </si>
  <si>
    <t>陈琼琼</t>
  </si>
  <si>
    <t>刘勤</t>
  </si>
  <si>
    <t>徐辉</t>
  </si>
  <si>
    <t>何华珍</t>
  </si>
  <si>
    <t>卜令朋</t>
  </si>
  <si>
    <t>杨旭</t>
  </si>
  <si>
    <t>陈露</t>
  </si>
  <si>
    <t>彭海蝶</t>
  </si>
  <si>
    <t>张勇强</t>
  </si>
  <si>
    <t>周慧</t>
  </si>
  <si>
    <t>杨越</t>
  </si>
  <si>
    <t>李梦格</t>
  </si>
  <si>
    <t>王思辉</t>
  </si>
  <si>
    <t>朱保冰</t>
  </si>
  <si>
    <t>5</t>
  </si>
  <si>
    <t>张玉明</t>
  </si>
  <si>
    <t>阳洲</t>
  </si>
  <si>
    <t>景婷婷</t>
  </si>
  <si>
    <t>今日提报待审核意向商机数</t>
  </si>
  <si>
    <t>今日提报已审核意向商机数</t>
  </si>
  <si>
    <t>今日提报意向商机金额</t>
  </si>
  <si>
    <t>月度储备金额（含当日）</t>
  </si>
  <si>
    <t>月度转化金额</t>
  </si>
  <si>
    <t>月度意向业绩转化率</t>
  </si>
  <si>
    <t>张泽锋</t>
  </si>
  <si>
    <t>雷文俊</t>
  </si>
  <si>
    <t>杨丽艳</t>
  </si>
  <si>
    <t>史栋梁</t>
  </si>
  <si>
    <t>王蒙恩</t>
  </si>
  <si>
    <t>刘镇玮</t>
  </si>
  <si>
    <t>张长春</t>
  </si>
  <si>
    <t>赵雨渲</t>
  </si>
  <si>
    <t>徐皎</t>
  </si>
  <si>
    <t>邱钲球</t>
  </si>
  <si>
    <t>肖宇航</t>
  </si>
  <si>
    <t>周馨怡</t>
  </si>
  <si>
    <t>孙波</t>
  </si>
  <si>
    <t>杨晶晶</t>
  </si>
  <si>
    <t>郭鑫豪</t>
  </si>
  <si>
    <t>阳成汉</t>
  </si>
  <si>
    <t>刘欢</t>
  </si>
  <si>
    <t>魏孟孟</t>
  </si>
  <si>
    <t>陈建君</t>
  </si>
  <si>
    <t>曾辉</t>
  </si>
  <si>
    <t>明坤</t>
  </si>
  <si>
    <t>丁钊雄</t>
  </si>
  <si>
    <t>魏鹏</t>
  </si>
  <si>
    <t>尤亚伟</t>
  </si>
  <si>
    <t>俞林</t>
  </si>
  <si>
    <t>刘婷</t>
  </si>
  <si>
    <t>胡兆峰</t>
  </si>
  <si>
    <t>刘少林</t>
  </si>
  <si>
    <t>汤茂晶</t>
  </si>
  <si>
    <t>沈涛</t>
  </si>
  <si>
    <t>高文凯</t>
  </si>
  <si>
    <t>李俊辉</t>
  </si>
  <si>
    <t>李鑫蕊</t>
  </si>
  <si>
    <t>孙夏</t>
  </si>
  <si>
    <t>田艺</t>
  </si>
  <si>
    <t>汪军</t>
  </si>
  <si>
    <t>周徐</t>
  </si>
  <si>
    <t>方成果</t>
  </si>
  <si>
    <t>刘英杰</t>
  </si>
  <si>
    <t>李新帅</t>
  </si>
  <si>
    <t>赵磊</t>
  </si>
  <si>
    <t>史月才</t>
  </si>
  <si>
    <t>唐国瑞</t>
  </si>
  <si>
    <t>胡玉翠</t>
  </si>
  <si>
    <t>陶晓琼</t>
  </si>
  <si>
    <t>黄金平</t>
  </si>
  <si>
    <t>胡欣昊</t>
  </si>
  <si>
    <t>李荣富</t>
  </si>
  <si>
    <t>地推二部</t>
  </si>
  <si>
    <t>刘银宽</t>
  </si>
  <si>
    <t>胡重阳</t>
  </si>
  <si>
    <t>于亚楠</t>
  </si>
  <si>
    <t>赵丽</t>
  </si>
  <si>
    <t>邹瑞锋</t>
  </si>
  <si>
    <t>孔繁强</t>
  </si>
  <si>
    <t>郭乐乐</t>
  </si>
  <si>
    <t>赵胜</t>
  </si>
  <si>
    <t>程梁</t>
  </si>
  <si>
    <t>销售</t>
  </si>
  <si>
    <t>司龄</t>
  </si>
  <si>
    <t>呼出电话数</t>
  </si>
  <si>
    <t>接通电话数</t>
  </si>
  <si>
    <t>求和项:当日接通率</t>
  </si>
  <si>
    <t>45s有效个数</t>
  </si>
  <si>
    <t>60s电话数</t>
  </si>
  <si>
    <t>180s电话数</t>
  </si>
  <si>
    <t>累计接通时长(min)</t>
  </si>
  <si>
    <t>过审意向数</t>
  </si>
  <si>
    <t>7月-12月</t>
  </si>
  <si>
    <t>3年以上</t>
  </si>
  <si>
    <t>月内</t>
  </si>
  <si>
    <t>4月-6月</t>
  </si>
  <si>
    <t>1-3月</t>
  </si>
  <si>
    <t>1年-2年</t>
  </si>
  <si>
    <t>2年-3年</t>
  </si>
  <si>
    <t>人均呼出量</t>
  </si>
  <si>
    <t>人均45s有效</t>
  </si>
  <si>
    <t>18点应达到的指标</t>
  </si>
  <si>
    <t>总</t>
  </si>
  <si>
    <t>接通量</t>
  </si>
  <si>
    <t>1月-3月</t>
  </si>
  <si>
    <t>60s有效</t>
  </si>
  <si>
    <t>180s有效</t>
  </si>
  <si>
    <t>人均通话时长</t>
  </si>
  <si>
    <t>人均意向新增</t>
  </si>
  <si>
    <t>11点应达到的指标</t>
  </si>
  <si>
    <t>12点应达到的指标</t>
  </si>
  <si>
    <t>15点应达到的指标</t>
  </si>
  <si>
    <t>16点应达到的指标</t>
  </si>
  <si>
    <t>17点应达到的指标</t>
  </si>
  <si>
    <t>9个45s有效</t>
  </si>
  <si>
    <t>13个45s有效</t>
  </si>
  <si>
    <t>20个45s有效</t>
  </si>
  <si>
    <t>25个45s有效</t>
  </si>
  <si>
    <t>30个45s有效</t>
  </si>
  <si>
    <t>35个45s有效</t>
  </si>
  <si>
    <t>9个46s有效</t>
  </si>
  <si>
    <t>13个46s有效</t>
  </si>
  <si>
    <t>20个46s有效</t>
  </si>
  <si>
    <t>25个46s有效</t>
  </si>
  <si>
    <t>30个46s有效</t>
  </si>
  <si>
    <t>35个46s有效</t>
  </si>
  <si>
    <t>9个47s有效</t>
  </si>
  <si>
    <t>13个47s有效</t>
  </si>
  <si>
    <t>20个47s有效</t>
  </si>
  <si>
    <t>25个47s有效</t>
  </si>
  <si>
    <t>30个47s有效</t>
  </si>
  <si>
    <t>35个47s有效</t>
  </si>
  <si>
    <t>9个48s有效</t>
  </si>
  <si>
    <t>13个48s有效</t>
  </si>
  <si>
    <t>20个48s有效</t>
  </si>
  <si>
    <t>25个48s有效</t>
  </si>
  <si>
    <t>30个48s有效</t>
  </si>
  <si>
    <t>35个48s有效</t>
  </si>
  <si>
    <t>9个49s有效</t>
  </si>
  <si>
    <t>13个49s有效</t>
  </si>
  <si>
    <t>20个49s有效</t>
  </si>
  <si>
    <t>25个49s有效</t>
  </si>
  <si>
    <t>30个49s有效</t>
  </si>
  <si>
    <t>35个49s有效</t>
  </si>
  <si>
    <t>7个45s有效</t>
  </si>
  <si>
    <t>11个50s有效</t>
  </si>
  <si>
    <t>15个45s有效</t>
  </si>
  <si>
    <t>21个45s有效</t>
  </si>
  <si>
    <t>26个45s有效</t>
  </si>
  <si>
    <t>朱杭勇</t>
  </si>
  <si>
    <t>金韵云</t>
  </si>
  <si>
    <t>司龄段</t>
  </si>
  <si>
    <t>呼出量</t>
  </si>
  <si>
    <t>45s有效</t>
  </si>
  <si>
    <t>60秒有效</t>
  </si>
  <si>
    <t>通话时长</t>
  </si>
  <si>
    <t>今日意向新增</t>
  </si>
  <si>
    <t>新签部门较低的是新签三部@</t>
  </si>
  <si>
    <t>截止10:30结束，青岛人均外呼量42，新签部门人均45s有效为7.7，较低的是新签一部，增值部门人均60s有效为3.7。
截止11:30结束，青岛人均外呼量为74，新签部门人均45s有效为13.5，较低的是新签二部，增值部门人均60s有效为5.7。
截止15:30结束，青岛人均外呼量为142，新签部门人均45s有效为25.6，较低的是新签三部，增值部门人均60s有效为19.5。
截止17:30结束，青岛人均外呼量为193，新签部门人均45s有效为33.0，较低的是新签三部，增值部门人均60s有效为19.5。</t>
  </si>
  <si>
    <t>22个45s有效</t>
  </si>
  <si>
    <t>27个45s有效</t>
  </si>
  <si>
    <t>32个45s有效</t>
  </si>
  <si>
    <t>15个46s有效</t>
  </si>
  <si>
    <t>22个46s有效</t>
  </si>
  <si>
    <t>27个46s有效</t>
  </si>
  <si>
    <t>32个46s有效</t>
  </si>
  <si>
    <t>15个47s有效</t>
  </si>
  <si>
    <t>22个47s有效</t>
  </si>
  <si>
    <t>27个47s有效</t>
  </si>
  <si>
    <t>32个47s有效</t>
  </si>
  <si>
    <t>15个48s有效</t>
  </si>
  <si>
    <t>22个48s有效</t>
  </si>
  <si>
    <t>27个48s有效</t>
  </si>
  <si>
    <t>32个48s有效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</si>
</sst>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400]h:mm:ss\ AM/PM"/>
    <numFmt numFmtId="177" formatCode="[$-409]mmm/yy;@"/>
    <numFmt numFmtId="178" formatCode="0_);[Red]\(0\)"/>
    <numFmt numFmtId="179" formatCode="0.0_ "/>
    <numFmt numFmtId="180" formatCode="0_ "/>
    <numFmt numFmtId="181" formatCode="0.00_ "/>
    <numFmt numFmtId="182" formatCode="0.0%"/>
    <numFmt numFmtId="183" formatCode="0.0"/>
  </numFmts>
  <fonts count="36">
    <font>
      <sz val="11"/>
      <color theme="1"/>
      <name val="等线"/>
      <charset val="134"/>
      <scheme val="minor"/>
    </font>
    <font>
      <sz val="11"/>
      <color theme="6" tint="0.799890133365886"/>
      <name val="微软雅黑"/>
      <charset val="134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b/>
      <sz val="10"/>
      <color theme="1"/>
      <name val="微软雅黑"/>
      <charset val="134"/>
    </font>
    <font>
      <sz val="11"/>
      <name val="微软雅黑"/>
      <charset val="134"/>
    </font>
    <font>
      <sz val="11"/>
      <color indexed="8"/>
      <name val="等线"/>
      <charset val="134"/>
      <scheme val="minor"/>
    </font>
    <font>
      <b/>
      <sz val="11"/>
      <name val="微软雅黑"/>
      <charset val="134"/>
    </font>
    <font>
      <sz val="11"/>
      <color rgb="FF000000"/>
      <name val="等线"/>
      <charset val="134"/>
      <scheme val="minor"/>
    </font>
    <font>
      <sz val="11"/>
      <name val="等线"/>
      <charset val="134"/>
      <scheme val="minor"/>
    </font>
    <font>
      <sz val="10"/>
      <color theme="1"/>
      <name val="微软雅黑"/>
      <charset val="134"/>
    </font>
    <font>
      <sz val="10"/>
      <color rgb="FFFF0000"/>
      <name val="微软雅黑"/>
      <charset val="134"/>
    </font>
    <font>
      <sz val="10"/>
      <color rgb="FF000000"/>
      <name val="微软雅黑"/>
      <charset val="134"/>
    </font>
    <font>
      <sz val="10"/>
      <name val="微软雅黑"/>
      <charset val="134"/>
    </font>
    <font>
      <b/>
      <sz val="11"/>
      <color rgb="FFFF0000"/>
      <name val="微软雅黑"/>
      <charset val="134"/>
    </font>
    <font>
      <sz val="11"/>
      <color rgb="FFFF0000"/>
      <name val="等线"/>
      <charset val="134"/>
      <scheme val="minor"/>
    </font>
    <font>
      <sz val="11"/>
      <color rgb="FF00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6" tint="0.599963377788629"/>
        <bgColor indexed="64"/>
      </patternFill>
    </fill>
    <fill>
      <patternFill patternType="solid">
        <fgColor theme="8" tint="0.399853511154515"/>
        <bgColor indexed="64"/>
      </patternFill>
    </fill>
    <fill>
      <patternFill patternType="solid">
        <fgColor theme="0" tint="-0.149876400036622"/>
        <bgColor indexed="64"/>
      </patternFill>
    </fill>
    <fill>
      <patternFill patternType="solid">
        <fgColor rgb="FFBEE0B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94506668294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176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0" fillId="6" borderId="5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1" fillId="0" borderId="0">
      <alignment vertical="center"/>
    </xf>
    <xf numFmtId="0" fontId="22" fillId="0" borderId="6">
      <alignment vertical="center"/>
    </xf>
    <xf numFmtId="0" fontId="23" fillId="0" borderId="6">
      <alignment vertical="center"/>
    </xf>
    <xf numFmtId="0" fontId="24" fillId="0" borderId="7">
      <alignment vertical="center"/>
    </xf>
    <xf numFmtId="0" fontId="24" fillId="0" borderId="0">
      <alignment vertical="center"/>
    </xf>
    <xf numFmtId="0" fontId="25" fillId="7" borderId="8">
      <alignment vertical="center"/>
    </xf>
    <xf numFmtId="0" fontId="26" fillId="8" borderId="9">
      <alignment vertical="center"/>
    </xf>
    <xf numFmtId="0" fontId="27" fillId="8" borderId="8">
      <alignment vertical="center"/>
    </xf>
    <xf numFmtId="0" fontId="28" fillId="9" borderId="10">
      <alignment vertical="center"/>
    </xf>
    <xf numFmtId="0" fontId="29" fillId="0" borderId="11">
      <alignment vertical="center"/>
    </xf>
    <xf numFmtId="0" fontId="30" fillId="0" borderId="12">
      <alignment vertical="center"/>
    </xf>
    <xf numFmtId="0" fontId="31" fillId="10" borderId="0">
      <alignment vertical="center"/>
    </xf>
    <xf numFmtId="0" fontId="32" fillId="11" borderId="0">
      <alignment vertical="center"/>
    </xf>
    <xf numFmtId="0" fontId="33" fillId="12" borderId="0">
      <alignment vertical="center"/>
    </xf>
    <xf numFmtId="0" fontId="34" fillId="13" borderId="0">
      <alignment vertical="center"/>
    </xf>
    <xf numFmtId="0" fontId="35" fillId="14" borderId="0">
      <alignment vertical="center"/>
    </xf>
    <xf numFmtId="0" fontId="35" fillId="15" borderId="0">
      <alignment vertical="center"/>
    </xf>
    <xf numFmtId="0" fontId="34" fillId="16" borderId="0">
      <alignment vertical="center"/>
    </xf>
    <xf numFmtId="0" fontId="34" fillId="17" borderId="0">
      <alignment vertical="center"/>
    </xf>
    <xf numFmtId="0" fontId="35" fillId="18" borderId="0">
      <alignment vertical="center"/>
    </xf>
    <xf numFmtId="0" fontId="35" fillId="19" borderId="0">
      <alignment vertical="center"/>
    </xf>
    <xf numFmtId="0" fontId="34" fillId="20" borderId="0">
      <alignment vertical="center"/>
    </xf>
    <xf numFmtId="0" fontId="34" fillId="21" borderId="0">
      <alignment vertical="center"/>
    </xf>
    <xf numFmtId="0" fontId="35" fillId="22" borderId="0">
      <alignment vertical="center"/>
    </xf>
    <xf numFmtId="0" fontId="35" fillId="23" borderId="0">
      <alignment vertical="center"/>
    </xf>
    <xf numFmtId="0" fontId="34" fillId="24" borderId="0">
      <alignment vertical="center"/>
    </xf>
    <xf numFmtId="0" fontId="34" fillId="25" borderId="0">
      <alignment vertical="center"/>
    </xf>
    <xf numFmtId="0" fontId="35" fillId="26" borderId="0">
      <alignment vertical="center"/>
    </xf>
    <xf numFmtId="0" fontId="35" fillId="27" borderId="0">
      <alignment vertical="center"/>
    </xf>
    <xf numFmtId="0" fontId="34" fillId="28" borderId="0">
      <alignment vertical="center"/>
    </xf>
    <xf numFmtId="0" fontId="34" fillId="29" borderId="0">
      <alignment vertical="center"/>
    </xf>
    <xf numFmtId="0" fontId="35" fillId="30" borderId="0">
      <alignment vertical="center"/>
    </xf>
    <xf numFmtId="0" fontId="35" fillId="31" borderId="0">
      <alignment vertical="center"/>
    </xf>
    <xf numFmtId="0" fontId="34" fillId="32" borderId="0">
      <alignment vertical="center"/>
    </xf>
    <xf numFmtId="0" fontId="34" fillId="33" borderId="0">
      <alignment vertical="center"/>
    </xf>
    <xf numFmtId="0" fontId="35" fillId="34" borderId="0">
      <alignment vertical="center"/>
    </xf>
    <xf numFmtId="0" fontId="35" fillId="35" borderId="0">
      <alignment vertical="center"/>
    </xf>
    <xf numFmtId="0" fontId="34" fillId="36" borderId="0">
      <alignment vertical="center"/>
    </xf>
    <xf numFmtId="0" fontId="0" fillId="0" borderId="0"/>
    <xf numFmtId="177" fontId="0" fillId="0" borderId="0">
      <alignment vertical="center"/>
    </xf>
  </cellStyleXfs>
  <cellXfs count="73">
    <xf numFmtId="176" fontId="0" fillId="0" borderId="0" xfId="0"/>
    <xf numFmtId="0" fontId="1" fillId="0" borderId="0" xfId="0" applyNumberFormat="1" applyFont="1" applyAlignment="1">
      <alignment horizontal="center"/>
    </xf>
    <xf numFmtId="0" fontId="2" fillId="0" borderId="0" xfId="0" applyNumberFormat="1" applyFont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0" fillId="0" borderId="2" xfId="0" applyNumberFormat="1" applyBorder="1"/>
    <xf numFmtId="0" fontId="0" fillId="0" borderId="3" xfId="0" applyNumberFormat="1" applyBorder="1"/>
    <xf numFmtId="0" fontId="2" fillId="2" borderId="1" xfId="0" applyNumberFormat="1" applyFont="1" applyFill="1" applyBorder="1" applyAlignment="1">
      <alignment horizontal="center"/>
    </xf>
    <xf numFmtId="0" fontId="2" fillId="3" borderId="1" xfId="0" applyNumberFormat="1" applyFont="1" applyFill="1" applyBorder="1" applyAlignment="1">
      <alignment horizontal="center"/>
    </xf>
    <xf numFmtId="0" fontId="2" fillId="4" borderId="1" xfId="0" applyNumberFormat="1" applyFont="1" applyFill="1" applyBorder="1" applyAlignment="1">
      <alignment horizontal="center"/>
    </xf>
    <xf numFmtId="0" fontId="2" fillId="0" borderId="1" xfId="0" applyNumberFormat="1" applyFont="1" applyBorder="1" applyAlignment="1">
      <alignment horizontal="center"/>
    </xf>
    <xf numFmtId="178" fontId="2" fillId="0" borderId="1" xfId="0" applyNumberFormat="1" applyFont="1" applyBorder="1" applyAlignment="1">
      <alignment horizontal="center"/>
    </xf>
    <xf numFmtId="0" fontId="2" fillId="0" borderId="1" xfId="0" applyNumberFormat="1" applyFont="1" applyBorder="1" applyAlignment="1">
      <alignment horizontal="center" wrapText="1"/>
    </xf>
    <xf numFmtId="0" fontId="1" fillId="0" borderId="0" xfId="0" applyNumberFormat="1" applyFont="1" applyAlignment="1">
      <alignment horizontal="center" wrapText="1"/>
    </xf>
    <xf numFmtId="9" fontId="2" fillId="0" borderId="1" xfId="0" applyNumberFormat="1" applyFont="1" applyBorder="1" applyAlignment="1">
      <alignment horizontal="center"/>
    </xf>
    <xf numFmtId="179" fontId="2" fillId="0" borderId="1" xfId="0" applyNumberFormat="1" applyFont="1" applyBorder="1" applyAlignment="1">
      <alignment horizontal="center"/>
    </xf>
    <xf numFmtId="9" fontId="2" fillId="0" borderId="1" xfId="3" applyFont="1" applyBorder="1" applyAlignment="1">
      <alignment horizontal="center"/>
    </xf>
    <xf numFmtId="180" fontId="2" fillId="0" borderId="1" xfId="0" applyNumberFormat="1" applyFont="1" applyBorder="1" applyAlignment="1">
      <alignment horizontal="center"/>
    </xf>
    <xf numFmtId="176" fontId="3" fillId="0" borderId="0" xfId="0" applyFont="1"/>
    <xf numFmtId="176" fontId="3" fillId="0" borderId="4" xfId="0" applyFont="1" applyBorder="1"/>
    <xf numFmtId="176" fontId="2" fillId="0" borderId="0" xfId="0" applyFont="1"/>
    <xf numFmtId="0" fontId="2" fillId="0" borderId="0" xfId="0" applyNumberFormat="1" applyFont="1"/>
    <xf numFmtId="10" fontId="2" fillId="0" borderId="0" xfId="0" applyNumberFormat="1" applyFont="1"/>
    <xf numFmtId="176" fontId="4" fillId="0" borderId="0" xfId="0" applyFont="1"/>
    <xf numFmtId="181" fontId="2" fillId="0" borderId="0" xfId="0" applyNumberFormat="1" applyFont="1"/>
    <xf numFmtId="0" fontId="2" fillId="0" borderId="1" xfId="0" applyNumberFormat="1" applyFont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79" fontId="5" fillId="0" borderId="1" xfId="0" applyNumberFormat="1" applyFont="1" applyBorder="1" applyAlignment="1">
      <alignment horizontal="center"/>
    </xf>
    <xf numFmtId="0" fontId="2" fillId="0" borderId="0" xfId="0" applyNumberFormat="1" applyFont="1" applyAlignment="1">
      <alignment horizontal="center" vertical="center"/>
    </xf>
    <xf numFmtId="0" fontId="6" fillId="0" borderId="0" xfId="0" applyNumberFormat="1" applyFont="1" applyAlignment="1">
      <alignment vertical="center" wrapText="1"/>
    </xf>
    <xf numFmtId="176" fontId="2" fillId="0" borderId="4" xfId="0" applyFont="1" applyBorder="1"/>
    <xf numFmtId="178" fontId="2" fillId="0" borderId="1" xfId="0" applyNumberFormat="1" applyFont="1" applyBorder="1" applyAlignment="1">
      <alignment horizontal="center" vertical="center"/>
    </xf>
    <xf numFmtId="0" fontId="0" fillId="0" borderId="0" xfId="0" applyNumberFormat="1"/>
    <xf numFmtId="176" fontId="2" fillId="0" borderId="0" xfId="0" applyFont="1" applyAlignment="1">
      <alignment horizontal="left"/>
    </xf>
    <xf numFmtId="176" fontId="0" fillId="0" borderId="0" xfId="0" applyAlignment="1">
      <alignment vertical="center"/>
    </xf>
    <xf numFmtId="0" fontId="6" fillId="0" borderId="0" xfId="0" applyNumberFormat="1" applyFont="1" applyAlignment="1">
      <alignment vertical="center"/>
    </xf>
    <xf numFmtId="49" fontId="7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left"/>
    </xf>
    <xf numFmtId="3" fontId="5" fillId="0" borderId="0" xfId="0" applyNumberFormat="1" applyFont="1" applyAlignment="1">
      <alignment horizontal="left"/>
    </xf>
    <xf numFmtId="182" fontId="5" fillId="0" borderId="0" xfId="0" applyNumberFormat="1" applyFont="1" applyAlignment="1">
      <alignment horizontal="left"/>
    </xf>
    <xf numFmtId="183" fontId="5" fillId="0" borderId="0" xfId="0" applyNumberFormat="1" applyFont="1" applyAlignment="1">
      <alignment horizontal="left"/>
    </xf>
    <xf numFmtId="176" fontId="8" fillId="0" borderId="0" xfId="0" applyFont="1"/>
    <xf numFmtId="176" fontId="9" fillId="0" borderId="0" xfId="0" applyFont="1"/>
    <xf numFmtId="176" fontId="0" fillId="5" borderId="0" xfId="0" applyFill="1"/>
    <xf numFmtId="178" fontId="10" fillId="0" borderId="0" xfId="0" applyNumberFormat="1" applyFont="1" applyAlignment="1">
      <alignment horizontal="center" vertical="center"/>
    </xf>
    <xf numFmtId="178" fontId="11" fillId="5" borderId="0" xfId="0" applyNumberFormat="1" applyFont="1" applyFill="1" applyAlignment="1">
      <alignment horizontal="center" vertical="center"/>
    </xf>
    <xf numFmtId="0" fontId="10" fillId="0" borderId="0" xfId="0" applyNumberFormat="1" applyFont="1" applyAlignment="1">
      <alignment horizontal="center" vertical="center"/>
    </xf>
    <xf numFmtId="178" fontId="11" fillId="5" borderId="0" xfId="0" applyNumberFormat="1" applyFont="1" applyFill="1" applyAlignment="1">
      <alignment horizontal="center"/>
    </xf>
    <xf numFmtId="178" fontId="10" fillId="0" borderId="0" xfId="0" applyNumberFormat="1" applyFont="1" applyAlignment="1">
      <alignment horizontal="center"/>
    </xf>
    <xf numFmtId="176" fontId="10" fillId="0" borderId="0" xfId="0" applyFont="1"/>
    <xf numFmtId="49" fontId="7" fillId="0" borderId="0" xfId="0" applyNumberFormat="1" applyFont="1" applyAlignment="1">
      <alignment horizontal="center" vertical="center"/>
    </xf>
    <xf numFmtId="178" fontId="12" fillId="0" borderId="0" xfId="0" applyNumberFormat="1" applyFont="1" applyAlignment="1">
      <alignment horizontal="center" vertical="center"/>
    </xf>
    <xf numFmtId="178" fontId="13" fillId="0" borderId="0" xfId="0" applyNumberFormat="1" applyFont="1" applyAlignment="1">
      <alignment horizontal="center" vertical="center"/>
    </xf>
    <xf numFmtId="49" fontId="14" fillId="5" borderId="0" xfId="0" applyNumberFormat="1" applyFont="1" applyFill="1" applyAlignment="1">
      <alignment horizontal="center" vertical="center"/>
    </xf>
    <xf numFmtId="0" fontId="7" fillId="0" borderId="0" xfId="0" applyNumberFormat="1" applyFont="1" applyAlignment="1">
      <alignment horizontal="center" vertical="center"/>
    </xf>
    <xf numFmtId="178" fontId="12" fillId="5" borderId="0" xfId="0" applyNumberFormat="1" applyFont="1" applyFill="1" applyAlignment="1">
      <alignment horizontal="center" vertical="center"/>
    </xf>
    <xf numFmtId="0" fontId="12" fillId="0" borderId="0" xfId="0" applyNumberFormat="1" applyFont="1" applyAlignment="1">
      <alignment horizontal="center" vertical="center"/>
    </xf>
    <xf numFmtId="0" fontId="13" fillId="0" borderId="0" xfId="0" applyNumberFormat="1" applyFont="1" applyAlignment="1">
      <alignment horizontal="center" vertical="center"/>
    </xf>
    <xf numFmtId="0" fontId="15" fillId="5" borderId="0" xfId="0" applyNumberFormat="1" applyFont="1" applyFill="1" applyAlignment="1">
      <alignment horizontal="center" vertical="center"/>
    </xf>
    <xf numFmtId="14" fontId="10" fillId="0" borderId="0" xfId="0" applyNumberFormat="1" applyFont="1" applyAlignment="1">
      <alignment horizontal="center" vertical="center"/>
    </xf>
    <xf numFmtId="180" fontId="10" fillId="0" borderId="0" xfId="0" applyNumberFormat="1" applyFont="1" applyAlignment="1">
      <alignment horizontal="center" vertical="center"/>
    </xf>
    <xf numFmtId="0" fontId="11" fillId="5" borderId="0" xfId="0" applyNumberFormat="1" applyFont="1" applyFill="1" applyAlignment="1">
      <alignment horizontal="center"/>
    </xf>
    <xf numFmtId="180" fontId="12" fillId="0" borderId="0" xfId="0" applyNumberFormat="1" applyFont="1" applyAlignment="1">
      <alignment horizontal="center" vertical="center"/>
    </xf>
    <xf numFmtId="0" fontId="8" fillId="0" borderId="0" xfId="0" applyNumberFormat="1" applyFont="1" applyAlignment="1">
      <alignment vertical="center"/>
    </xf>
    <xf numFmtId="0" fontId="16" fillId="0" borderId="0" xfId="0" applyNumberFormat="1" applyFont="1"/>
    <xf numFmtId="180" fontId="13" fillId="0" borderId="0" xfId="0" applyNumberFormat="1" applyFont="1" applyAlignment="1">
      <alignment horizontal="center" vertical="center"/>
    </xf>
    <xf numFmtId="0" fontId="9" fillId="0" borderId="0" xfId="0" applyNumberFormat="1" applyFont="1" applyAlignment="1">
      <alignment vertical="center"/>
    </xf>
    <xf numFmtId="0" fontId="5" fillId="0" borderId="0" xfId="0" applyNumberFormat="1" applyFont="1"/>
    <xf numFmtId="178" fontId="10" fillId="5" borderId="0" xfId="0" applyNumberFormat="1" applyFont="1" applyFill="1" applyAlignment="1">
      <alignment horizontal="center" vertical="center"/>
    </xf>
    <xf numFmtId="0" fontId="10" fillId="5" borderId="0" xfId="0" applyNumberFormat="1" applyFont="1" applyFill="1" applyAlignment="1">
      <alignment horizontal="center" vertical="center"/>
    </xf>
    <xf numFmtId="180" fontId="10" fillId="5" borderId="0" xfId="0" applyNumberFormat="1" applyFont="1" applyFill="1" applyAlignment="1">
      <alignment horizontal="center" vertical="center"/>
    </xf>
    <xf numFmtId="0" fontId="6" fillId="5" borderId="0" xfId="0" applyNumberFormat="1" applyFont="1" applyFill="1" applyAlignment="1">
      <alignment vertical="center"/>
    </xf>
    <xf numFmtId="0" fontId="2" fillId="5" borderId="0" xfId="0" applyNumberFormat="1" applyFont="1" applyFill="1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dxfs count="6">
    <dxf>
      <numFmt numFmtId="0" formatCode="General"/>
    </dxf>
    <dxf>
      <numFmt numFmtId="0" formatCode="General"/>
    </dxf>
    <dxf>
      <numFmt numFmtId="181" formatCode="0.00_ "/>
    </dxf>
    <dxf>
      <font>
        <name val="微软雅黑"/>
        <scheme val="none"/>
      </font>
    </dxf>
    <dxf>
      <numFmt numFmtId="10" formatCode="0.00%"/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xiadijie\Documents\WeChat%20Files\wxid_6n9nd3lsxvx122\FileStorage\File\2024-07\&#35805;&#2115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话务数据源"/>
      <sheetName val="话务"/>
      <sheetName val="Sheet3"/>
      <sheetName val="意向"/>
      <sheetName val="架构表"/>
      <sheetName val="是否达标"/>
      <sheetName val="销售意向"/>
    </sheetNames>
    <sheetDataSet>
      <sheetData sheetId="0">
        <row r="1">
          <cell r="A1" t="str">
            <v>部门</v>
          </cell>
        </row>
        <row r="1">
          <cell r="C1" t="str">
            <v>当日呼出电话数</v>
          </cell>
          <cell r="D1" t="str">
            <v>当日接通电话数</v>
          </cell>
        </row>
        <row r="1">
          <cell r="F1" t="str">
            <v>当日45s电话数</v>
          </cell>
        </row>
        <row r="1">
          <cell r="H1" t="str">
            <v>当日累计接通时长(分钟)</v>
          </cell>
        </row>
        <row r="1">
          <cell r="N1" t="str">
            <v>司龄段辅助</v>
          </cell>
          <cell r="O1" t="str">
            <v>折外访辅助</v>
          </cell>
          <cell r="P1" t="str">
            <v>是否计算(1计算/0不计算)</v>
          </cell>
        </row>
        <row r="2">
          <cell r="A2" t="str">
            <v>通用行业一部</v>
          </cell>
        </row>
        <row r="2">
          <cell r="D2">
            <v>0</v>
          </cell>
        </row>
        <row r="2">
          <cell r="N2" t="str">
            <v>3年以上</v>
          </cell>
          <cell r="O2">
            <v>24</v>
          </cell>
          <cell r="P2">
            <v>0</v>
          </cell>
        </row>
        <row r="3">
          <cell r="A3" t="str">
            <v>通用行业一部</v>
          </cell>
        </row>
        <row r="3">
          <cell r="C3">
            <v>146</v>
          </cell>
          <cell r="D3">
            <v>62</v>
          </cell>
        </row>
        <row r="3">
          <cell r="F3">
            <v>11</v>
          </cell>
        </row>
        <row r="3">
          <cell r="H3">
            <v>39.5666666666667</v>
          </cell>
        </row>
        <row r="3">
          <cell r="N3" t="str">
            <v>0月-3月</v>
          </cell>
          <cell r="O3">
            <v>11</v>
          </cell>
          <cell r="P3">
            <v>0</v>
          </cell>
        </row>
        <row r="4">
          <cell r="A4" t="str">
            <v>通用行业一部</v>
          </cell>
        </row>
        <row r="4">
          <cell r="C4">
            <v>15</v>
          </cell>
          <cell r="D4">
            <v>7</v>
          </cell>
        </row>
        <row r="4">
          <cell r="F4">
            <v>4</v>
          </cell>
        </row>
        <row r="4">
          <cell r="H4">
            <v>7.23333333333333</v>
          </cell>
        </row>
        <row r="4">
          <cell r="N4" t="str">
            <v>1年-2年</v>
          </cell>
          <cell r="O4">
            <v>4</v>
          </cell>
          <cell r="P4">
            <v>0</v>
          </cell>
        </row>
        <row r="5">
          <cell r="A5" t="str">
            <v>通用行业一部</v>
          </cell>
        </row>
        <row r="5">
          <cell r="C5">
            <v>10</v>
          </cell>
          <cell r="D5">
            <v>8</v>
          </cell>
        </row>
        <row r="5">
          <cell r="F5">
            <v>4</v>
          </cell>
        </row>
        <row r="5">
          <cell r="H5">
            <v>7.58333333333333</v>
          </cell>
        </row>
        <row r="5">
          <cell r="N5" t="str">
            <v>4月-6月</v>
          </cell>
          <cell r="O5">
            <v>16</v>
          </cell>
          <cell r="P5">
            <v>0</v>
          </cell>
        </row>
        <row r="6">
          <cell r="A6" t="str">
            <v>通用行业一部</v>
          </cell>
        </row>
        <row r="6">
          <cell r="C6">
            <v>8</v>
          </cell>
          <cell r="D6">
            <v>2</v>
          </cell>
        </row>
        <row r="6">
          <cell r="F6">
            <v>1</v>
          </cell>
        </row>
        <row r="6">
          <cell r="H6">
            <v>1.35</v>
          </cell>
        </row>
        <row r="6">
          <cell r="N6" t="str">
            <v>3年以上</v>
          </cell>
          <cell r="O6">
            <v>1</v>
          </cell>
          <cell r="P6">
            <v>0</v>
          </cell>
        </row>
        <row r="7">
          <cell r="A7" t="str">
            <v>物流行业一部</v>
          </cell>
        </row>
        <row r="7">
          <cell r="C7">
            <v>1</v>
          </cell>
          <cell r="D7">
            <v>1</v>
          </cell>
        </row>
        <row r="7">
          <cell r="F7">
            <v>1</v>
          </cell>
        </row>
        <row r="7">
          <cell r="H7">
            <v>8.71666666666667</v>
          </cell>
        </row>
        <row r="7">
          <cell r="N7" t="str">
            <v>3年以上</v>
          </cell>
          <cell r="O7">
            <v>13</v>
          </cell>
          <cell r="P7">
            <v>0</v>
          </cell>
        </row>
        <row r="8">
          <cell r="A8" t="str">
            <v>物流行业一部</v>
          </cell>
        </row>
        <row r="8">
          <cell r="D8">
            <v>2</v>
          </cell>
        </row>
        <row r="8">
          <cell r="N8" t="str">
            <v>3年以上</v>
          </cell>
          <cell r="O8">
            <v>48</v>
          </cell>
          <cell r="P8">
            <v>0</v>
          </cell>
        </row>
        <row r="9">
          <cell r="A9" t="str">
            <v>物流行业一部</v>
          </cell>
        </row>
        <row r="9">
          <cell r="N9" t="str">
            <v>3年以上</v>
          </cell>
          <cell r="O9">
            <v>48</v>
          </cell>
          <cell r="P9">
            <v>0</v>
          </cell>
        </row>
        <row r="10">
          <cell r="A10" t="str">
            <v>物流行业一部</v>
          </cell>
        </row>
        <row r="10">
          <cell r="N10" t="str">
            <v>2年-3年</v>
          </cell>
          <cell r="O10">
            <v>12</v>
          </cell>
          <cell r="P10">
            <v>1</v>
          </cell>
        </row>
        <row r="11">
          <cell r="A11" t="str">
            <v>物流行业一部</v>
          </cell>
        </row>
        <row r="11">
          <cell r="D11">
            <v>153</v>
          </cell>
        </row>
        <row r="11">
          <cell r="N11" t="str">
            <v>3年以上</v>
          </cell>
          <cell r="O11">
            <v>24</v>
          </cell>
          <cell r="P11">
            <v>1</v>
          </cell>
        </row>
        <row r="12">
          <cell r="A12" t="str">
            <v>物流行业一部</v>
          </cell>
        </row>
        <row r="12">
          <cell r="D12">
            <v>90</v>
          </cell>
        </row>
        <row r="12">
          <cell r="N12" t="str">
            <v>3年以上</v>
          </cell>
          <cell r="O12">
            <v>12</v>
          </cell>
          <cell r="P12">
            <v>0</v>
          </cell>
        </row>
        <row r="13">
          <cell r="A13" t="str">
            <v>新签四部</v>
          </cell>
        </row>
        <row r="13">
          <cell r="C13">
            <v>193</v>
          </cell>
          <cell r="D13">
            <v>97</v>
          </cell>
        </row>
        <row r="13">
          <cell r="F13">
            <v>31</v>
          </cell>
        </row>
        <row r="13">
          <cell r="H13">
            <v>59.0333333333333</v>
          </cell>
        </row>
        <row r="13">
          <cell r="N13" t="str">
            <v>2年-3年</v>
          </cell>
          <cell r="O13">
            <v>31</v>
          </cell>
          <cell r="P13">
            <v>1</v>
          </cell>
        </row>
        <row r="14">
          <cell r="A14" t="str">
            <v>新签四部</v>
          </cell>
        </row>
        <row r="14">
          <cell r="C14">
            <v>218</v>
          </cell>
          <cell r="D14">
            <v>86</v>
          </cell>
        </row>
        <row r="14">
          <cell r="F14">
            <v>36</v>
          </cell>
        </row>
        <row r="14">
          <cell r="H14">
            <v>59.2833333333333</v>
          </cell>
        </row>
        <row r="14">
          <cell r="N14" t="str">
            <v>0月-3月</v>
          </cell>
          <cell r="O14">
            <v>36</v>
          </cell>
          <cell r="P14">
            <v>1</v>
          </cell>
        </row>
        <row r="15">
          <cell r="A15" t="str">
            <v>新签四部</v>
          </cell>
        </row>
        <row r="15">
          <cell r="C15">
            <v>213</v>
          </cell>
          <cell r="D15">
            <v>82</v>
          </cell>
        </row>
        <row r="15">
          <cell r="F15">
            <v>29</v>
          </cell>
        </row>
        <row r="15">
          <cell r="H15">
            <v>48.8166666666667</v>
          </cell>
        </row>
        <row r="15">
          <cell r="N15" t="str">
            <v>3年以上</v>
          </cell>
          <cell r="O15">
            <v>29</v>
          </cell>
          <cell r="P15">
            <v>1</v>
          </cell>
        </row>
        <row r="16">
          <cell r="A16" t="str">
            <v>新签四部</v>
          </cell>
        </row>
        <row r="16">
          <cell r="C16">
            <v>207</v>
          </cell>
          <cell r="D16">
            <v>90</v>
          </cell>
        </row>
        <row r="16">
          <cell r="F16">
            <v>31</v>
          </cell>
        </row>
        <row r="16">
          <cell r="H16">
            <v>68.5</v>
          </cell>
        </row>
        <row r="16">
          <cell r="N16" t="str">
            <v>0月-3月</v>
          </cell>
          <cell r="O16">
            <v>31</v>
          </cell>
          <cell r="P16">
            <v>1</v>
          </cell>
        </row>
        <row r="17">
          <cell r="A17" t="str">
            <v>新签四部</v>
          </cell>
        </row>
        <row r="17">
          <cell r="C17">
            <v>227</v>
          </cell>
          <cell r="D17">
            <v>113</v>
          </cell>
        </row>
        <row r="17">
          <cell r="F17">
            <v>40</v>
          </cell>
        </row>
        <row r="17">
          <cell r="H17">
            <v>78.1166666666667</v>
          </cell>
        </row>
        <row r="17">
          <cell r="N17" t="str">
            <v>3年以上</v>
          </cell>
          <cell r="O17">
            <v>40</v>
          </cell>
          <cell r="P17">
            <v>1</v>
          </cell>
        </row>
        <row r="18">
          <cell r="A18" t="str">
            <v>新签四部</v>
          </cell>
        </row>
        <row r="18">
          <cell r="C18">
            <v>188</v>
          </cell>
          <cell r="D18">
            <v>86</v>
          </cell>
        </row>
        <row r="18">
          <cell r="F18">
            <v>32</v>
          </cell>
        </row>
        <row r="18">
          <cell r="H18">
            <v>61.0166666666667</v>
          </cell>
        </row>
        <row r="18">
          <cell r="N18" t="str">
            <v>0月-3月</v>
          </cell>
          <cell r="O18">
            <v>32</v>
          </cell>
          <cell r="P18">
            <v>1</v>
          </cell>
        </row>
        <row r="19">
          <cell r="A19" t="str">
            <v>新签四部</v>
          </cell>
        </row>
        <row r="19">
          <cell r="C19">
            <v>166</v>
          </cell>
          <cell r="D19">
            <v>97</v>
          </cell>
        </row>
        <row r="19">
          <cell r="F19">
            <v>36</v>
          </cell>
        </row>
        <row r="19">
          <cell r="H19">
            <v>73.5333333333333</v>
          </cell>
        </row>
        <row r="19">
          <cell r="N19" t="str">
            <v>0月-3月</v>
          </cell>
          <cell r="O19">
            <v>36</v>
          </cell>
          <cell r="P19">
            <v>1</v>
          </cell>
        </row>
        <row r="20">
          <cell r="A20" t="str">
            <v>新签四部</v>
          </cell>
        </row>
        <row r="20">
          <cell r="C20">
            <v>241</v>
          </cell>
          <cell r="D20">
            <v>123</v>
          </cell>
        </row>
        <row r="20">
          <cell r="F20">
            <v>34</v>
          </cell>
        </row>
        <row r="20">
          <cell r="H20">
            <v>76.2833333333333</v>
          </cell>
        </row>
        <row r="20">
          <cell r="N20" t="str">
            <v>4月-6月</v>
          </cell>
          <cell r="O20">
            <v>34</v>
          </cell>
          <cell r="P20">
            <v>1</v>
          </cell>
        </row>
        <row r="21">
          <cell r="A21" t="str">
            <v>新签四部</v>
          </cell>
        </row>
        <row r="21">
          <cell r="C21">
            <v>234</v>
          </cell>
          <cell r="D21">
            <v>116</v>
          </cell>
        </row>
        <row r="21">
          <cell r="F21">
            <v>35</v>
          </cell>
        </row>
        <row r="21">
          <cell r="H21">
            <v>79.4833333333333</v>
          </cell>
        </row>
        <row r="21">
          <cell r="N21" t="str">
            <v>4月-6月</v>
          </cell>
          <cell r="O21">
            <v>35</v>
          </cell>
          <cell r="P21">
            <v>1</v>
          </cell>
        </row>
        <row r="22">
          <cell r="A22" t="str">
            <v>新签五部</v>
          </cell>
        </row>
        <row r="22">
          <cell r="C22">
            <v>237</v>
          </cell>
          <cell r="D22">
            <v>110</v>
          </cell>
        </row>
        <row r="22">
          <cell r="F22">
            <v>37</v>
          </cell>
        </row>
        <row r="22">
          <cell r="H22">
            <v>65.4333333333333</v>
          </cell>
        </row>
        <row r="22">
          <cell r="N22" t="str">
            <v>4月-6月</v>
          </cell>
          <cell r="O22">
            <v>37</v>
          </cell>
          <cell r="P22">
            <v>1</v>
          </cell>
        </row>
        <row r="23">
          <cell r="A23" t="str">
            <v>新签五部</v>
          </cell>
        </row>
        <row r="23">
          <cell r="C23">
            <v>189</v>
          </cell>
          <cell r="D23">
            <v>105</v>
          </cell>
        </row>
        <row r="23">
          <cell r="F23">
            <v>33</v>
          </cell>
        </row>
        <row r="23">
          <cell r="H23">
            <v>64.2166666666667</v>
          </cell>
        </row>
        <row r="23">
          <cell r="N23" t="str">
            <v>0月-3月</v>
          </cell>
          <cell r="O23">
            <v>33</v>
          </cell>
          <cell r="P23">
            <v>1</v>
          </cell>
        </row>
        <row r="24">
          <cell r="A24" t="str">
            <v>新签五部</v>
          </cell>
        </row>
        <row r="24">
          <cell r="C24">
            <v>290</v>
          </cell>
          <cell r="D24">
            <v>123</v>
          </cell>
        </row>
        <row r="24">
          <cell r="F24">
            <v>35</v>
          </cell>
        </row>
        <row r="24">
          <cell r="H24">
            <v>70.65</v>
          </cell>
        </row>
        <row r="24">
          <cell r="N24" t="str">
            <v>4月-6月</v>
          </cell>
          <cell r="O24">
            <v>35</v>
          </cell>
          <cell r="P24">
            <v>1</v>
          </cell>
        </row>
        <row r="25">
          <cell r="A25" t="str">
            <v>新签五部</v>
          </cell>
        </row>
        <row r="25">
          <cell r="C25">
            <v>262</v>
          </cell>
          <cell r="D25">
            <v>128</v>
          </cell>
        </row>
        <row r="25">
          <cell r="F25">
            <v>40</v>
          </cell>
        </row>
        <row r="25">
          <cell r="H25">
            <v>67.7333333333333</v>
          </cell>
        </row>
        <row r="25">
          <cell r="N25" t="str">
            <v>3年以上</v>
          </cell>
          <cell r="O25">
            <v>40</v>
          </cell>
          <cell r="P25">
            <v>1</v>
          </cell>
        </row>
        <row r="26">
          <cell r="A26" t="str">
            <v>新签五部</v>
          </cell>
        </row>
        <row r="26">
          <cell r="C26">
            <v>227</v>
          </cell>
          <cell r="D26">
            <v>109</v>
          </cell>
        </row>
        <row r="26">
          <cell r="F26">
            <v>23</v>
          </cell>
        </row>
        <row r="26">
          <cell r="H26">
            <v>54.4</v>
          </cell>
        </row>
        <row r="26">
          <cell r="N26" t="str">
            <v>0月-3月</v>
          </cell>
          <cell r="O26">
            <v>23</v>
          </cell>
          <cell r="P26">
            <v>1</v>
          </cell>
        </row>
        <row r="27">
          <cell r="A27" t="str">
            <v>新签五部</v>
          </cell>
        </row>
        <row r="27">
          <cell r="C27">
            <v>175</v>
          </cell>
          <cell r="D27">
            <v>78</v>
          </cell>
        </row>
        <row r="27">
          <cell r="F27">
            <v>34</v>
          </cell>
        </row>
        <row r="27">
          <cell r="H27">
            <v>67.55</v>
          </cell>
        </row>
        <row r="27">
          <cell r="N27" t="str">
            <v>0月-3月</v>
          </cell>
          <cell r="O27">
            <v>34</v>
          </cell>
          <cell r="P27">
            <v>1</v>
          </cell>
        </row>
        <row r="28">
          <cell r="A28" t="str">
            <v>新签二部</v>
          </cell>
        </row>
        <row r="28">
          <cell r="C28">
            <v>172</v>
          </cell>
          <cell r="D28">
            <v>84</v>
          </cell>
        </row>
        <row r="28">
          <cell r="F28">
            <v>29</v>
          </cell>
        </row>
        <row r="28">
          <cell r="H28">
            <v>52.7333333333333</v>
          </cell>
        </row>
        <row r="28">
          <cell r="N28" t="str">
            <v>0月-3月</v>
          </cell>
          <cell r="O28">
            <v>29</v>
          </cell>
          <cell r="P28">
            <v>1</v>
          </cell>
        </row>
        <row r="29">
          <cell r="A29" t="str">
            <v>新签二部</v>
          </cell>
        </row>
        <row r="29">
          <cell r="C29">
            <v>201</v>
          </cell>
          <cell r="D29">
            <v>106</v>
          </cell>
        </row>
        <row r="29">
          <cell r="F29">
            <v>35</v>
          </cell>
        </row>
        <row r="29">
          <cell r="H29">
            <v>64.35</v>
          </cell>
        </row>
        <row r="29">
          <cell r="N29" t="str">
            <v>4月-6月</v>
          </cell>
          <cell r="O29">
            <v>35</v>
          </cell>
          <cell r="P29">
            <v>1</v>
          </cell>
        </row>
        <row r="30">
          <cell r="A30" t="str">
            <v>新签二部</v>
          </cell>
        </row>
        <row r="30">
          <cell r="C30">
            <v>240</v>
          </cell>
          <cell r="D30">
            <v>122</v>
          </cell>
        </row>
        <row r="30">
          <cell r="F30">
            <v>37</v>
          </cell>
        </row>
        <row r="30">
          <cell r="H30">
            <v>69.8333333333333</v>
          </cell>
        </row>
        <row r="30">
          <cell r="N30" t="str">
            <v>0月-3月</v>
          </cell>
          <cell r="O30">
            <v>37</v>
          </cell>
          <cell r="P30">
            <v>1</v>
          </cell>
        </row>
        <row r="31">
          <cell r="A31" t="str">
            <v>新签二部</v>
          </cell>
        </row>
        <row r="31">
          <cell r="C31">
            <v>262</v>
          </cell>
          <cell r="D31">
            <v>104</v>
          </cell>
        </row>
        <row r="31">
          <cell r="F31">
            <v>27</v>
          </cell>
        </row>
        <row r="31">
          <cell r="H31">
            <v>67.9166666666667</v>
          </cell>
        </row>
        <row r="31">
          <cell r="N31" t="str">
            <v>3年以上</v>
          </cell>
          <cell r="O31">
            <v>27</v>
          </cell>
          <cell r="P31">
            <v>1</v>
          </cell>
        </row>
        <row r="32">
          <cell r="A32" t="str">
            <v>新签二部</v>
          </cell>
        </row>
        <row r="32">
          <cell r="C32">
            <v>206</v>
          </cell>
          <cell r="D32">
            <v>105</v>
          </cell>
        </row>
        <row r="32">
          <cell r="F32">
            <v>35</v>
          </cell>
        </row>
        <row r="32">
          <cell r="H32">
            <v>58.8333333333333</v>
          </cell>
        </row>
        <row r="32">
          <cell r="N32" t="str">
            <v>0月-3月</v>
          </cell>
          <cell r="O32">
            <v>35</v>
          </cell>
          <cell r="P32">
            <v>1</v>
          </cell>
        </row>
        <row r="33">
          <cell r="A33" t="str">
            <v>新签二部</v>
          </cell>
        </row>
        <row r="33">
          <cell r="C33">
            <v>125</v>
          </cell>
          <cell r="D33">
            <v>74</v>
          </cell>
        </row>
        <row r="33">
          <cell r="F33">
            <v>37</v>
          </cell>
        </row>
        <row r="33">
          <cell r="H33">
            <v>67.75</v>
          </cell>
        </row>
        <row r="33">
          <cell r="N33" t="str">
            <v>7月-12月</v>
          </cell>
          <cell r="O33">
            <v>37</v>
          </cell>
          <cell r="P33">
            <v>1</v>
          </cell>
        </row>
        <row r="34">
          <cell r="A34" t="str">
            <v>新签二部</v>
          </cell>
        </row>
        <row r="34">
          <cell r="C34">
            <v>170</v>
          </cell>
          <cell r="D34">
            <v>91</v>
          </cell>
        </row>
        <row r="34">
          <cell r="F34">
            <v>46</v>
          </cell>
        </row>
        <row r="34">
          <cell r="H34">
            <v>72.95</v>
          </cell>
        </row>
        <row r="34">
          <cell r="N34" t="str">
            <v>1年-2年</v>
          </cell>
          <cell r="O34">
            <v>46</v>
          </cell>
          <cell r="P34">
            <v>1</v>
          </cell>
        </row>
        <row r="35">
          <cell r="A35" t="str">
            <v>新签二部</v>
          </cell>
        </row>
        <row r="35">
          <cell r="C35">
            <v>208</v>
          </cell>
          <cell r="D35">
            <v>107</v>
          </cell>
        </row>
        <row r="35">
          <cell r="F35">
            <v>31</v>
          </cell>
        </row>
        <row r="35">
          <cell r="H35">
            <v>62.6833333333333</v>
          </cell>
        </row>
        <row r="35">
          <cell r="N35" t="str">
            <v>7月-12月</v>
          </cell>
          <cell r="O35">
            <v>31</v>
          </cell>
          <cell r="P35">
            <v>1</v>
          </cell>
        </row>
        <row r="36">
          <cell r="A36" t="str">
            <v>新签二部</v>
          </cell>
        </row>
        <row r="36">
          <cell r="C36">
            <v>260</v>
          </cell>
          <cell r="D36">
            <v>121</v>
          </cell>
        </row>
        <row r="36">
          <cell r="F36">
            <v>37</v>
          </cell>
        </row>
        <row r="36">
          <cell r="H36">
            <v>69.1833333333333</v>
          </cell>
        </row>
        <row r="36">
          <cell r="N36" t="str">
            <v>0月-3月</v>
          </cell>
          <cell r="O36">
            <v>37</v>
          </cell>
          <cell r="P36">
            <v>1</v>
          </cell>
        </row>
        <row r="37">
          <cell r="A37" t="str">
            <v>新签三部</v>
          </cell>
        </row>
        <row r="37">
          <cell r="C37">
            <v>202</v>
          </cell>
          <cell r="D37">
            <v>116</v>
          </cell>
        </row>
        <row r="37">
          <cell r="F37">
            <v>30</v>
          </cell>
        </row>
        <row r="37">
          <cell r="H37">
            <v>66.9833333333333</v>
          </cell>
        </row>
        <row r="37">
          <cell r="N37" t="str">
            <v>0月-3月</v>
          </cell>
          <cell r="O37">
            <v>30</v>
          </cell>
          <cell r="P37">
            <v>1</v>
          </cell>
        </row>
        <row r="38">
          <cell r="A38" t="str">
            <v>新签三部</v>
          </cell>
        </row>
        <row r="38">
          <cell r="C38">
            <v>278</v>
          </cell>
          <cell r="D38">
            <v>159</v>
          </cell>
        </row>
        <row r="38">
          <cell r="F38">
            <v>30</v>
          </cell>
        </row>
        <row r="38">
          <cell r="H38">
            <v>75.2166666666667</v>
          </cell>
        </row>
        <row r="38">
          <cell r="N38" t="str">
            <v>0月-3月</v>
          </cell>
          <cell r="O38">
            <v>30</v>
          </cell>
          <cell r="P38">
            <v>1</v>
          </cell>
        </row>
        <row r="39">
          <cell r="A39" t="str">
            <v>新签三部</v>
          </cell>
        </row>
        <row r="39">
          <cell r="C39">
            <v>243</v>
          </cell>
          <cell r="D39">
            <v>125</v>
          </cell>
        </row>
        <row r="39">
          <cell r="F39">
            <v>35</v>
          </cell>
        </row>
        <row r="39">
          <cell r="H39">
            <v>71.35</v>
          </cell>
        </row>
        <row r="39">
          <cell r="N39" t="str">
            <v>4月-6月</v>
          </cell>
          <cell r="O39">
            <v>35</v>
          </cell>
          <cell r="P39">
            <v>1</v>
          </cell>
        </row>
        <row r="40">
          <cell r="A40" t="str">
            <v>新签三部</v>
          </cell>
        </row>
        <row r="40">
          <cell r="C40">
            <v>191</v>
          </cell>
          <cell r="D40">
            <v>99</v>
          </cell>
        </row>
        <row r="40">
          <cell r="F40">
            <v>35</v>
          </cell>
        </row>
        <row r="40">
          <cell r="H40">
            <v>69.0166666666667</v>
          </cell>
        </row>
        <row r="40">
          <cell r="N40" t="str">
            <v>7月-12月</v>
          </cell>
          <cell r="O40">
            <v>35</v>
          </cell>
          <cell r="P40">
            <v>1</v>
          </cell>
        </row>
        <row r="41">
          <cell r="A41" t="str">
            <v>新签三部</v>
          </cell>
        </row>
        <row r="41">
          <cell r="C41">
            <v>231</v>
          </cell>
          <cell r="D41">
            <v>114</v>
          </cell>
        </row>
        <row r="41">
          <cell r="F41">
            <v>26</v>
          </cell>
        </row>
        <row r="41">
          <cell r="H41">
            <v>55.9833333333333</v>
          </cell>
        </row>
        <row r="41">
          <cell r="N41" t="str">
            <v>0月-3月</v>
          </cell>
          <cell r="O41">
            <v>26</v>
          </cell>
          <cell r="P41">
            <v>1</v>
          </cell>
        </row>
        <row r="42">
          <cell r="A42" t="str">
            <v>新签三部</v>
          </cell>
        </row>
        <row r="42">
          <cell r="C42">
            <v>10</v>
          </cell>
          <cell r="D42">
            <v>0</v>
          </cell>
        </row>
        <row r="42">
          <cell r="F42">
            <v>0</v>
          </cell>
        </row>
        <row r="42">
          <cell r="H42">
            <v>0</v>
          </cell>
        </row>
        <row r="42">
          <cell r="N42" t="str">
            <v>0月-3月</v>
          </cell>
          <cell r="O42">
            <v>0</v>
          </cell>
          <cell r="P42">
            <v>0</v>
          </cell>
        </row>
        <row r="43">
          <cell r="A43" t="str">
            <v>新签三部</v>
          </cell>
        </row>
        <row r="43">
          <cell r="C43">
            <v>188</v>
          </cell>
          <cell r="D43">
            <v>99</v>
          </cell>
        </row>
        <row r="43">
          <cell r="F43">
            <v>47</v>
          </cell>
        </row>
        <row r="43">
          <cell r="H43">
            <v>84.55</v>
          </cell>
        </row>
        <row r="43">
          <cell r="N43" t="str">
            <v>1年-2年</v>
          </cell>
          <cell r="O43">
            <v>47</v>
          </cell>
          <cell r="P43">
            <v>1</v>
          </cell>
        </row>
        <row r="44">
          <cell r="A44" t="str">
            <v>新签一部</v>
          </cell>
        </row>
        <row r="44">
          <cell r="C44">
            <v>259</v>
          </cell>
          <cell r="D44">
            <v>119</v>
          </cell>
        </row>
        <row r="44">
          <cell r="F44">
            <v>35</v>
          </cell>
        </row>
        <row r="44">
          <cell r="H44">
            <v>76.35</v>
          </cell>
        </row>
        <row r="44">
          <cell r="N44" t="str">
            <v>3年以上</v>
          </cell>
          <cell r="O44">
            <v>35</v>
          </cell>
          <cell r="P44">
            <v>1</v>
          </cell>
        </row>
        <row r="45">
          <cell r="A45" t="str">
            <v>新签一部</v>
          </cell>
        </row>
        <row r="45">
          <cell r="C45">
            <v>250</v>
          </cell>
          <cell r="D45">
            <v>110</v>
          </cell>
        </row>
        <row r="45">
          <cell r="F45">
            <v>40</v>
          </cell>
        </row>
        <row r="45">
          <cell r="H45">
            <v>79.8166666666667</v>
          </cell>
        </row>
        <row r="45">
          <cell r="N45" t="str">
            <v>2年-3年</v>
          </cell>
          <cell r="O45">
            <v>40</v>
          </cell>
          <cell r="P45">
            <v>1</v>
          </cell>
        </row>
        <row r="46">
          <cell r="A46" t="str">
            <v>新签一部</v>
          </cell>
        </row>
        <row r="46">
          <cell r="C46">
            <v>223</v>
          </cell>
          <cell r="D46">
            <v>123</v>
          </cell>
        </row>
        <row r="46">
          <cell r="F46">
            <v>39</v>
          </cell>
        </row>
        <row r="46">
          <cell r="H46">
            <v>71.9333333333333</v>
          </cell>
        </row>
        <row r="46">
          <cell r="N46" t="str">
            <v>0月-3月</v>
          </cell>
          <cell r="O46">
            <v>39</v>
          </cell>
          <cell r="P46">
            <v>1</v>
          </cell>
        </row>
        <row r="47">
          <cell r="A47" t="str">
            <v>新签一部</v>
          </cell>
        </row>
        <row r="47">
          <cell r="C47">
            <v>345</v>
          </cell>
          <cell r="D47">
            <v>198</v>
          </cell>
        </row>
        <row r="47">
          <cell r="F47">
            <v>38</v>
          </cell>
        </row>
        <row r="47">
          <cell r="H47">
            <v>99.2166666666667</v>
          </cell>
        </row>
        <row r="47">
          <cell r="N47" t="str">
            <v>7月-12月</v>
          </cell>
          <cell r="O47">
            <v>38</v>
          </cell>
          <cell r="P47">
            <v>1</v>
          </cell>
        </row>
        <row r="48">
          <cell r="C48">
            <v>203</v>
          </cell>
          <cell r="D48">
            <v>90</v>
          </cell>
        </row>
        <row r="48">
          <cell r="F48">
            <v>29</v>
          </cell>
        </row>
        <row r="48">
          <cell r="H48">
            <v>45.5166666666667</v>
          </cell>
        </row>
        <row r="48">
          <cell r="O48">
            <v>29</v>
          </cell>
        </row>
        <row r="49">
          <cell r="A49" t="str">
            <v>新签一部</v>
          </cell>
        </row>
        <row r="49">
          <cell r="C49">
            <v>164</v>
          </cell>
          <cell r="D49">
            <v>73</v>
          </cell>
        </row>
        <row r="49">
          <cell r="F49">
            <v>36</v>
          </cell>
        </row>
        <row r="49">
          <cell r="H49">
            <v>65.7666666666667</v>
          </cell>
        </row>
        <row r="49">
          <cell r="N49" t="str">
            <v>0月-3月</v>
          </cell>
          <cell r="O49">
            <v>36</v>
          </cell>
          <cell r="P49">
            <v>1</v>
          </cell>
        </row>
        <row r="50">
          <cell r="A50" t="str">
            <v>新签一部</v>
          </cell>
        </row>
        <row r="50">
          <cell r="C50">
            <v>231</v>
          </cell>
          <cell r="D50">
            <v>104</v>
          </cell>
        </row>
        <row r="50">
          <cell r="F50">
            <v>39</v>
          </cell>
        </row>
        <row r="50">
          <cell r="H50">
            <v>88.55</v>
          </cell>
        </row>
        <row r="50">
          <cell r="N50" t="str">
            <v>3年以上</v>
          </cell>
          <cell r="O50">
            <v>39</v>
          </cell>
          <cell r="P50">
            <v>1</v>
          </cell>
        </row>
        <row r="51">
          <cell r="A51" t="str">
            <v>新签一部</v>
          </cell>
        </row>
        <row r="51">
          <cell r="C51">
            <v>255</v>
          </cell>
          <cell r="D51">
            <v>125</v>
          </cell>
        </row>
        <row r="51">
          <cell r="F51">
            <v>41</v>
          </cell>
        </row>
        <row r="51">
          <cell r="H51">
            <v>76.35</v>
          </cell>
        </row>
        <row r="51">
          <cell r="N51" t="str">
            <v>0月-3月</v>
          </cell>
          <cell r="O51">
            <v>41</v>
          </cell>
          <cell r="P51">
            <v>1</v>
          </cell>
        </row>
        <row r="52">
          <cell r="A52" t="str">
            <v>新签一部</v>
          </cell>
        </row>
        <row r="52">
          <cell r="C52">
            <v>210</v>
          </cell>
          <cell r="D52">
            <v>98</v>
          </cell>
        </row>
        <row r="52">
          <cell r="F52">
            <v>31</v>
          </cell>
        </row>
        <row r="52">
          <cell r="H52">
            <v>56.75</v>
          </cell>
        </row>
        <row r="52">
          <cell r="N52" t="str">
            <v>3年以上</v>
          </cell>
          <cell r="O52">
            <v>43</v>
          </cell>
          <cell r="P52">
            <v>1</v>
          </cell>
        </row>
        <row r="53">
          <cell r="A53" t="str">
            <v>增值一部</v>
          </cell>
        </row>
        <row r="53">
          <cell r="C53">
            <v>74</v>
          </cell>
          <cell r="D53">
            <v>49</v>
          </cell>
        </row>
        <row r="53">
          <cell r="F53">
            <v>35</v>
          </cell>
        </row>
        <row r="53">
          <cell r="H53">
            <v>66.2</v>
          </cell>
        </row>
        <row r="53">
          <cell r="N53" t="str">
            <v>2年-3年</v>
          </cell>
          <cell r="O53">
            <v>35</v>
          </cell>
          <cell r="P53">
            <v>1</v>
          </cell>
        </row>
        <row r="54">
          <cell r="A54" t="str">
            <v>增值一部</v>
          </cell>
        </row>
        <row r="54">
          <cell r="C54">
            <v>43</v>
          </cell>
          <cell r="D54">
            <v>21</v>
          </cell>
        </row>
        <row r="54">
          <cell r="F54">
            <v>16</v>
          </cell>
        </row>
        <row r="54">
          <cell r="H54">
            <v>53.1833333333333</v>
          </cell>
        </row>
        <row r="54">
          <cell r="N54" t="str">
            <v>1年-2年</v>
          </cell>
          <cell r="O54">
            <v>16</v>
          </cell>
          <cell r="P54">
            <v>1</v>
          </cell>
        </row>
        <row r="55">
          <cell r="A55" t="str">
            <v>增值一部</v>
          </cell>
        </row>
        <row r="55">
          <cell r="C55">
            <v>79</v>
          </cell>
          <cell r="D55">
            <v>41</v>
          </cell>
        </row>
        <row r="55">
          <cell r="F55">
            <v>32</v>
          </cell>
        </row>
        <row r="55">
          <cell r="H55">
            <v>70.4</v>
          </cell>
        </row>
        <row r="55">
          <cell r="N55" t="str">
            <v>2年-3年</v>
          </cell>
          <cell r="O55">
            <v>32</v>
          </cell>
          <cell r="P55">
            <v>1</v>
          </cell>
        </row>
        <row r="56">
          <cell r="A56" t="str">
            <v>增值一部</v>
          </cell>
        </row>
        <row r="56">
          <cell r="C56">
            <v>95</v>
          </cell>
          <cell r="D56">
            <v>49</v>
          </cell>
        </row>
        <row r="56">
          <cell r="F56">
            <v>35</v>
          </cell>
        </row>
        <row r="56">
          <cell r="H56">
            <v>50.8833333333333</v>
          </cell>
        </row>
        <row r="56">
          <cell r="N56" t="str">
            <v>1年-2年</v>
          </cell>
          <cell r="O56">
            <v>35</v>
          </cell>
          <cell r="P56">
            <v>1</v>
          </cell>
        </row>
        <row r="57">
          <cell r="A57" t="str">
            <v>增值一部</v>
          </cell>
        </row>
        <row r="57">
          <cell r="C57">
            <v>80</v>
          </cell>
          <cell r="D57">
            <v>41</v>
          </cell>
        </row>
        <row r="57">
          <cell r="F57">
            <v>32</v>
          </cell>
        </row>
        <row r="57">
          <cell r="H57">
            <v>60.0833333333333</v>
          </cell>
        </row>
        <row r="57">
          <cell r="N57" t="str">
            <v>7月-12月</v>
          </cell>
          <cell r="O57">
            <v>32</v>
          </cell>
          <cell r="P57">
            <v>1</v>
          </cell>
        </row>
        <row r="58">
          <cell r="A58" t="str">
            <v>增值一部</v>
          </cell>
        </row>
        <row r="58">
          <cell r="C58">
            <v>114</v>
          </cell>
          <cell r="D58">
            <v>59</v>
          </cell>
        </row>
        <row r="58">
          <cell r="F58">
            <v>25</v>
          </cell>
        </row>
        <row r="58">
          <cell r="H58">
            <v>55.45</v>
          </cell>
        </row>
        <row r="58">
          <cell r="N58" t="str">
            <v>0月-3月</v>
          </cell>
          <cell r="O58">
            <v>25</v>
          </cell>
          <cell r="P58">
            <v>1</v>
          </cell>
        </row>
        <row r="59">
          <cell r="A59" t="str">
            <v>增值一部</v>
          </cell>
        </row>
        <row r="59">
          <cell r="C59">
            <v>53</v>
          </cell>
          <cell r="D59">
            <v>23</v>
          </cell>
        </row>
        <row r="59">
          <cell r="F59">
            <v>15</v>
          </cell>
        </row>
        <row r="59">
          <cell r="H59">
            <v>28.75</v>
          </cell>
        </row>
        <row r="59">
          <cell r="N59" t="str">
            <v>3年以上</v>
          </cell>
          <cell r="O59">
            <v>27</v>
          </cell>
          <cell r="P59">
            <v>1</v>
          </cell>
        </row>
        <row r="60">
          <cell r="A60" t="str">
            <v>增值一部</v>
          </cell>
        </row>
        <row r="60">
          <cell r="C60">
            <v>92</v>
          </cell>
          <cell r="D60">
            <v>39</v>
          </cell>
        </row>
        <row r="60">
          <cell r="F60">
            <v>35</v>
          </cell>
        </row>
        <row r="60">
          <cell r="H60">
            <v>52.5</v>
          </cell>
        </row>
        <row r="60">
          <cell r="N60" t="str">
            <v>3年以上</v>
          </cell>
          <cell r="O60">
            <v>35</v>
          </cell>
          <cell r="P60">
            <v>1</v>
          </cell>
        </row>
        <row r="61">
          <cell r="A61" t="str">
            <v>地推一部</v>
          </cell>
        </row>
        <row r="61">
          <cell r="C61">
            <v>1</v>
          </cell>
          <cell r="D61">
            <v>0</v>
          </cell>
        </row>
        <row r="61">
          <cell r="F61">
            <v>0</v>
          </cell>
        </row>
        <row r="61">
          <cell r="H61">
            <v>0</v>
          </cell>
        </row>
        <row r="61">
          <cell r="N61" t="str">
            <v>3年以上</v>
          </cell>
          <cell r="O61">
            <v>0</v>
          </cell>
          <cell r="P61">
            <v>0</v>
          </cell>
        </row>
        <row r="62">
          <cell r="A62" t="str">
            <v>地推一部</v>
          </cell>
        </row>
        <row r="62">
          <cell r="C62">
            <v>2</v>
          </cell>
          <cell r="D62">
            <v>0</v>
          </cell>
        </row>
        <row r="62">
          <cell r="F62">
            <v>0</v>
          </cell>
        </row>
        <row r="62">
          <cell r="H62">
            <v>0</v>
          </cell>
        </row>
        <row r="62">
          <cell r="N62" t="str">
            <v>4月-6月</v>
          </cell>
          <cell r="O62">
            <v>0</v>
          </cell>
          <cell r="P62">
            <v>0</v>
          </cell>
        </row>
        <row r="63">
          <cell r="O63">
            <v>0</v>
          </cell>
        </row>
        <row r="64">
          <cell r="O64">
            <v>0</v>
          </cell>
        </row>
        <row r="65">
          <cell r="O65">
            <v>0</v>
          </cell>
        </row>
        <row r="66">
          <cell r="O66">
            <v>0</v>
          </cell>
        </row>
        <row r="67">
          <cell r="O67">
            <v>0</v>
          </cell>
        </row>
        <row r="68">
          <cell r="O68">
            <v>0</v>
          </cell>
        </row>
        <row r="69">
          <cell r="O69">
            <v>0</v>
          </cell>
        </row>
        <row r="70">
          <cell r="O70">
            <v>0</v>
          </cell>
        </row>
        <row r="71">
          <cell r="O71">
            <v>0</v>
          </cell>
        </row>
        <row r="72">
          <cell r="O72">
            <v>0</v>
          </cell>
        </row>
        <row r="73">
          <cell r="O73">
            <v>0</v>
          </cell>
        </row>
        <row r="74">
          <cell r="O74">
            <v>0</v>
          </cell>
        </row>
        <row r="75">
          <cell r="O75">
            <v>0</v>
          </cell>
        </row>
        <row r="76">
          <cell r="O76">
            <v>0</v>
          </cell>
        </row>
        <row r="77">
          <cell r="O77">
            <v>0</v>
          </cell>
        </row>
        <row r="78">
          <cell r="O78">
            <v>0</v>
          </cell>
        </row>
        <row r="79">
          <cell r="O79">
            <v>0</v>
          </cell>
        </row>
        <row r="80">
          <cell r="O80">
            <v>0</v>
          </cell>
        </row>
        <row r="81">
          <cell r="O81">
            <v>0</v>
          </cell>
        </row>
        <row r="82">
          <cell r="O82">
            <v>0</v>
          </cell>
        </row>
        <row r="83">
          <cell r="O83">
            <v>0</v>
          </cell>
        </row>
        <row r="84">
          <cell r="O84">
            <v>0</v>
          </cell>
        </row>
        <row r="85">
          <cell r="O85">
            <v>0</v>
          </cell>
        </row>
        <row r="86">
          <cell r="O86">
            <v>0</v>
          </cell>
        </row>
        <row r="87">
          <cell r="O87">
            <v>0</v>
          </cell>
        </row>
        <row r="88">
          <cell r="O88">
            <v>0</v>
          </cell>
        </row>
        <row r="89">
          <cell r="O89">
            <v>0</v>
          </cell>
        </row>
        <row r="90">
          <cell r="O90">
            <v>0</v>
          </cell>
        </row>
        <row r="91">
          <cell r="O91">
            <v>0</v>
          </cell>
        </row>
        <row r="92">
          <cell r="O92">
            <v>0</v>
          </cell>
        </row>
        <row r="93">
          <cell r="O93">
            <v>0</v>
          </cell>
        </row>
        <row r="94">
          <cell r="O94">
            <v>0</v>
          </cell>
        </row>
        <row r="95">
          <cell r="O95">
            <v>0</v>
          </cell>
        </row>
        <row r="96">
          <cell r="O96">
            <v>0</v>
          </cell>
        </row>
        <row r="97">
          <cell r="O97">
            <v>0</v>
          </cell>
        </row>
        <row r="98">
          <cell r="O98">
            <v>0</v>
          </cell>
        </row>
        <row r="99">
          <cell r="O99">
            <v>0</v>
          </cell>
        </row>
        <row r="100">
          <cell r="O100">
            <v>0</v>
          </cell>
        </row>
      </sheetData>
      <sheetData sheetId="1"/>
      <sheetData sheetId="2"/>
      <sheetData sheetId="3">
        <row r="1">
          <cell r="B1" t="str">
            <v>部门</v>
          </cell>
          <cell r="C1" t="str">
            <v>今日提报意向商机数</v>
          </cell>
          <cell r="D1" t="str">
            <v>今日提报意向商机金额</v>
          </cell>
        </row>
        <row r="2">
          <cell r="B2" t="str">
            <v>新签一部</v>
          </cell>
          <cell r="C2">
            <v>11</v>
          </cell>
          <cell r="D2">
            <v>48100</v>
          </cell>
        </row>
        <row r="3">
          <cell r="B3" t="str">
            <v>新签二部</v>
          </cell>
          <cell r="C3">
            <v>8</v>
          </cell>
          <cell r="D3">
            <v>30646</v>
          </cell>
        </row>
        <row r="4">
          <cell r="B4" t="str">
            <v>新签三部</v>
          </cell>
          <cell r="C4">
            <v>4</v>
          </cell>
          <cell r="D4">
            <v>18720</v>
          </cell>
        </row>
        <row r="5">
          <cell r="B5" t="str">
            <v>新签四部</v>
          </cell>
          <cell r="C5">
            <v>4</v>
          </cell>
          <cell r="D5">
            <v>15920</v>
          </cell>
        </row>
        <row r="6">
          <cell r="B6" t="str">
            <v>增值一部</v>
          </cell>
          <cell r="C6">
            <v>16</v>
          </cell>
          <cell r="D6">
            <v>102516</v>
          </cell>
        </row>
        <row r="7">
          <cell r="B7" t="str">
            <v>新签五部</v>
          </cell>
          <cell r="C7">
            <v>2</v>
          </cell>
          <cell r="D7">
            <v>6960</v>
          </cell>
        </row>
      </sheetData>
      <sheetData sheetId="4"/>
      <sheetData sheetId="5"/>
      <sheetData sheetId="6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7" minRefreshableVersion="3" refreshedDate="45534.7519454861" refreshedBy="wangqinchao" recordCount="191">
  <cacheSource type="worksheet">
    <worksheetSource ref="A1:U192" sheet="人员数据源"/>
  </cacheSource>
  <cacheFields count="22">
    <cacheField name="city_name" numFmtId="0">
      <sharedItems containsBlank="1" count="4">
        <s v="青岛"/>
        <s v="杭州"/>
        <s v="济南"/>
        <m u="1"/>
      </sharedItems>
    </cacheField>
    <cacheField name="org_name" numFmtId="0">
      <sharedItems containsBlank="1" count="10">
        <s v="增值一部"/>
        <s v="物流行业一部"/>
        <s v="新签四部"/>
        <s v="通用行业一部"/>
        <s v="地推一部"/>
        <s v="新签二部"/>
        <s v="新签三部"/>
        <s v="新签一部"/>
        <s v="新签五部"/>
        <m u="1"/>
      </sharedItems>
    </cacheField>
    <cacheField name="real_name" numFmtId="0">
      <sharedItems containsBlank="1" count="231">
        <s v="李雪"/>
        <s v="张学凯"/>
        <s v="赵旭阳"/>
        <s v="孙俊豪"/>
        <s v="史玉蕾"/>
        <s v="魏广玉"/>
        <s v="杨嘉艺"/>
        <s v="刘心梦"/>
        <s v="焦泽"/>
        <s v="徐彬勃"/>
        <s v="叶佳妮"/>
        <s v="邱骏"/>
        <s v="余丽娟"/>
        <s v="徐保彪"/>
        <s v="黄建领"/>
        <s v="高梅"/>
        <s v="刘洪飞"/>
        <s v="孙启欣"/>
        <s v="王闪闪"/>
        <s v="胡一心"/>
        <s v="胡旭东"/>
        <s v="金荣淇"/>
        <s v="韩雨辰"/>
        <s v="徐涛涛"/>
        <s v="孙念武"/>
        <s v="韩金宇"/>
        <s v="王列宁"/>
        <s v="张学同"/>
        <s v="邵荣晶"/>
        <s v="宋强"/>
        <s v="时荣飞"/>
        <s v="吴家宝"/>
        <s v="刘安宇"/>
        <s v="汪庆善"/>
        <s v="许寿方"/>
        <s v="蔡晨煜"/>
        <s v="杨宁"/>
        <s v="马帅"/>
        <s v="杨雅倩"/>
        <s v="张绍权"/>
        <s v="楼鼎元"/>
        <s v="张成杰"/>
        <s v="唐杰伟"/>
        <s v="吴琳"/>
        <s v="杨蓓蕾"/>
        <s v="朱青青"/>
        <s v="何文瀚"/>
        <s v="胡凯伦"/>
        <s v="魏佳昊"/>
        <s v="李可"/>
        <s v="李明"/>
        <s v="于佳林"/>
        <s v="杨盛喆"/>
        <s v="张鸿政"/>
        <s v="谭庆宇"/>
        <s v="徐达"/>
        <s v="杜浩天"/>
        <s v="郭槟恺"/>
        <s v="曲世龙"/>
        <s v="代自豪"/>
        <s v="肖冠迪"/>
        <s v="张可"/>
        <s v="范义涵"/>
        <s v="邓琪"/>
        <s v="尹丽丽"/>
        <s v="沈江龙"/>
        <s v="颜佳玟"/>
        <s v="陈华栋"/>
        <s v="袁婧"/>
        <s v="杨静"/>
        <s v="段兴岩"/>
        <s v="郑海珍"/>
        <s v="陈运峰"/>
        <s v="许博涵"/>
        <s v="张洁"/>
        <s v="钱明明"/>
        <s v="徐浩栋"/>
        <s v="宋任方也"/>
        <s v="胡凡迪"/>
        <s v="刘帅帅"/>
        <s v="杨家豪"/>
        <s v="董坤"/>
        <s v="杨文斋"/>
        <s v="闫昭宇"/>
        <s v="曲赛男"/>
        <s v="郑传禹"/>
        <s v="刘钰鑫"/>
        <s v="刘艺"/>
        <s v="徐增伟"/>
        <s v="刘懿"/>
        <s v="唐举艳"/>
        <s v="郭美嘉"/>
        <s v="滕博"/>
        <s v="陈鑫"/>
        <s v="李守杰"/>
        <s v="郑慧"/>
        <s v="戚锴伦"/>
        <s v="刘意辉"/>
        <s v="杜晓涵"/>
        <s v="李天圆"/>
        <s v="孙国浩"/>
        <s v="赵珂昊"/>
        <s v="陈宇晗"/>
        <s v="潘建业"/>
        <s v="任芳菲"/>
        <s v="陈祉焱"/>
        <s v="许晓倩"/>
        <s v="罗瑞莹"/>
        <s v="贾紫涵"/>
        <s v="赵天宇"/>
        <s v="汤晨晨"/>
        <s v="刘东坡"/>
        <s v="周玉姣"/>
        <s v="孙爱梅"/>
        <s v="陈媛媛"/>
        <s v="王洪洲"/>
        <s v="孙倩倩"/>
        <s v="张培培"/>
        <s v="姜娜"/>
        <s v="刘慧敏"/>
        <s v="李昌其"/>
        <s v="孙舒"/>
        <s v="俞长凯"/>
        <s v="阚成凯"/>
        <s v="孙其志"/>
        <s v="张翀昊"/>
        <s v="李泽朋"/>
        <s v="张程超"/>
        <s v="高家豪"/>
        <s v="孟许磊"/>
        <s v="林双阳"/>
        <s v="刘红旗"/>
        <s v="朱琳琳"/>
        <s v="蒋清旺"/>
        <s v="陈新港"/>
        <s v="殷福红"/>
        <s v="吴海松"/>
        <s v="陈威港"/>
        <s v="徐泽平"/>
        <s v="毛阿敏"/>
        <s v="李丹"/>
        <s v="陈林"/>
        <s v="陈丽"/>
        <s v="曹微微"/>
        <s v="闫浩东"/>
        <s v="饶珊"/>
        <s v="王钦超"/>
        <s v="施仲恒"/>
        <s v="王志伟"/>
        <s v="何锦"/>
        <s v="宋谦"/>
        <s v="纪欣彤"/>
        <s v="张贺楠"/>
        <s v="周万彪"/>
        <s v="祖丞荙"/>
        <s v="米立国"/>
        <s v="阚英博"/>
        <s v="王凌霄"/>
        <s v="曲峻谊"/>
        <s v="王冲亚"/>
        <s v="张友金"/>
        <s v="房政杰"/>
        <s v="李先鹏"/>
        <s v="秦即航"/>
        <s v="左一笛"/>
        <s v="刘旭"/>
        <s v="陈昔金"/>
        <s v="任艳青"/>
        <s v="曹可景"/>
        <s v="张欣宇"/>
        <s v="练玉洁"/>
        <s v="陈景豪"/>
        <s v="赵瑞壮"/>
        <s v="王连生"/>
        <s v="刘志昊"/>
        <s v="努尔古丽·努尔艾合买提"/>
        <s v="任峰江"/>
        <s v="金鑫"/>
        <s v="李顺欣"/>
        <s v="刘昕宇"/>
        <s v="李怀彬"/>
        <s v="张华灵"/>
        <s v="郑凌男"/>
        <s v="李德牛"/>
        <s v="朱合祥"/>
        <s v="夏笛捷"/>
        <s v="吴嘉辉"/>
        <s v="赖佑辉"/>
        <s v="乔依涛"/>
        <s v="庞琳"/>
        <s v="贾婷婷"/>
        <s v="王辉" u="1"/>
        <s v="樊海鑫" u="1"/>
        <m u="1"/>
        <s v="刘玘爽" u="1"/>
        <s v="张明晨" u="1"/>
        <s v="吴昊" u="1"/>
        <s v="徐锐" u="1"/>
        <s v="王海涛" u="1"/>
        <s v="于文洋" u="1"/>
        <s v="刘安琦" u="1"/>
        <s v="文舒镭" u="1"/>
        <s v="杨广士" u="1"/>
        <s v="张文旭" u="1"/>
        <s v="薛静怡" u="1"/>
        <s v="乔善思" u="1"/>
        <s v="邓晖亭" u="1"/>
        <s v="吴金浩" u="1"/>
        <s v="陈国豪" u="1"/>
        <s v="李朕" u="1"/>
        <s v="邹昊" u="1"/>
        <s v="傅智远" u="1"/>
        <s v="王众" u="1"/>
        <s v="陈萍" u="1"/>
        <s v="汪俊杰" u="1"/>
        <s v="贺自豪" u="1"/>
        <s v="白龙志" u="1"/>
        <s v="李钰洁" u="1"/>
        <s v="楚丰铭" u="1"/>
        <s v="石祥硕" u="1"/>
        <s v="张永乐" u="1"/>
        <s v="汪仕华" u="1"/>
        <s v="伊廷磊" u="1"/>
        <s v="李璐" u="1"/>
        <s v="蒋增焕" u="1"/>
        <s v="武墨涵" u="1"/>
        <s v="万士鑫" u="1"/>
        <s v="王舒鹤" u="1"/>
        <s v="刘超" u="1"/>
        <s v="郭书涛" u="1"/>
        <s v="刘克勤" u="1"/>
      </sharedItems>
    </cacheField>
    <cacheField name="sale_oa" numFmtId="0"/>
    <cacheField name="onboard_time" numFmtId="0"/>
    <cacheField name="当日呼出电话数" numFmtId="0"/>
    <cacheField name="当日接通电话数" numFmtId="0"/>
    <cacheField name="当日接通率" numFmtId="0"/>
    <cacheField name="当日30s电话数" numFmtId="0"/>
    <cacheField name="当日45s电话数" numFmtId="0"/>
    <cacheField name="当日60s电话数" numFmtId="0"/>
    <cacheField name="当日180s电话数" numFmtId="0"/>
    <cacheField name="当日累计接通时长(分钟)" numFmtId="0"/>
    <cacheField name="当日外访客户数" numFmtId="0"/>
    <cacheField name="当日外访签单客户数" numFmtId="0"/>
    <cacheField name="当日外访签单率" numFmtId="0"/>
    <cacheField name="当日总外访时长（分钟）" numFmtId="0"/>
    <cacheField name="(辅助)是否计算" numFmtId="0">
      <sharedItems containsSemiMixedTypes="0" containsString="0" containsNumber="1" containsInteger="1" minValue="0" maxValue="1" count="2">
        <n v="1"/>
        <n v="0"/>
      </sharedItems>
    </cacheField>
    <cacheField name="辅助（司龄）" numFmtId="0">
      <sharedItems containsBlank="1" count="8">
        <s v="1年-2年"/>
        <s v="7月-12月"/>
        <s v="1-3月"/>
        <s v="4月-6月"/>
        <s v="3年以上"/>
        <s v="2年-3年"/>
        <s v="月内"/>
        <m u="1"/>
      </sharedItems>
    </cacheField>
    <cacheField name="主管" numFmtId="0">
      <sharedItems containsBlank="1" count="29">
        <s v="明靖"/>
        <s v="冯凯"/>
        <s v="王帅"/>
        <s v="杜强"/>
        <s v="梁梦飞"/>
        <s v="张日昂"/>
        <s v="徐小慧"/>
        <s v="庄晨晨"/>
        <s v="殷泽鹏"/>
        <s v="向言康"/>
        <s v="宋正志"/>
        <s v="张钧凯"/>
        <s v="魏子文"/>
        <s v="王荣琛"/>
        <s v="时蒙蒙"/>
        <s v="岳仁苏"/>
        <s v="户桂浩"/>
        <s v="陈云扬"/>
        <s v="武文强"/>
        <s v="季伯承"/>
        <s v="苗丽"/>
        <s v="徐建华"/>
        <s v="张晓勇"/>
        <s v="孙飞"/>
        <m u="1"/>
        <s v="王少臣" u="1"/>
        <s v="亓璐璐" u="1"/>
        <s v="薛白" u="1"/>
        <s v="刘意辉" u="1"/>
      </sharedItems>
    </cacheField>
    <cacheField name="提报意向数" numFmtId="0"/>
    <cacheField name="折合外访45s" numFmtId="0" formula="当日45s电话数+当日外访客户数*12" databaseField="0"/>
  </cacheFields>
</pivotCacheDefinition>
</file>

<file path=xl/pivotCache/pivotCacheRecords1.xml><?xml version="1.0" encoding="utf-8"?>
<pivotCacheRecords xmlns="http://schemas.openxmlformats.org/spreadsheetml/2006/main" count="191">
  <r>
    <x v="0"/>
    <x v="0"/>
    <x v="0"/>
    <s v="lixue51"/>
    <s v="2023-08-25"/>
    <n v="8"/>
    <n v="6"/>
    <n v="0.75"/>
    <n v="5"/>
    <n v="5"/>
    <n v="5"/>
    <n v="1"/>
    <n v="10.7"/>
    <n v="0"/>
    <n v="0"/>
    <n v="0"/>
    <n v="0"/>
    <x v="0"/>
    <x v="0"/>
    <x v="0"/>
    <n v="0"/>
  </r>
  <r>
    <x v="0"/>
    <x v="0"/>
    <x v="1"/>
    <s v="zhangxuekai01"/>
    <s v="2023-07-03"/>
    <n v="30"/>
    <n v="9"/>
    <n v="0.3"/>
    <n v="6"/>
    <n v="6"/>
    <n v="4"/>
    <n v="1"/>
    <n v="11.73333333333333"/>
    <n v="0"/>
    <n v="0"/>
    <n v="0"/>
    <n v="0"/>
    <x v="0"/>
    <x v="0"/>
    <x v="0"/>
    <n v="0"/>
  </r>
  <r>
    <x v="0"/>
    <x v="0"/>
    <x v="2"/>
    <s v="zhaoxuyang03"/>
    <s v="2023-07-24"/>
    <n v="10"/>
    <n v="7"/>
    <n v="0.7"/>
    <n v="5"/>
    <n v="4"/>
    <n v="4"/>
    <n v="2"/>
    <n v="16.88333333333333"/>
    <n v="0"/>
    <n v="0"/>
    <n v="0"/>
    <n v="0"/>
    <x v="0"/>
    <x v="0"/>
    <x v="0"/>
    <n v="0"/>
  </r>
  <r>
    <x v="0"/>
    <x v="0"/>
    <x v="3"/>
    <s v="sunjunhao"/>
    <s v="2023-10-16"/>
    <n v="51"/>
    <n v="25"/>
    <n v="0.4901960784313725"/>
    <n v="16"/>
    <n v="12"/>
    <n v="6"/>
    <n v="2"/>
    <n v="26.63333333333333"/>
    <n v="0"/>
    <n v="0"/>
    <n v="0"/>
    <n v="0"/>
    <x v="0"/>
    <x v="1"/>
    <x v="0"/>
    <n v="0"/>
  </r>
  <r>
    <x v="0"/>
    <x v="0"/>
    <x v="4"/>
    <s v="shiyulei"/>
    <s v="2024-07-23"/>
    <n v="47"/>
    <n v="21"/>
    <n v="0.4468085106382979"/>
    <n v="15"/>
    <n v="14"/>
    <n v="9"/>
    <n v="0"/>
    <n v="20.3"/>
    <n v="0"/>
    <n v="0"/>
    <n v="0"/>
    <n v="0"/>
    <x v="0"/>
    <x v="2"/>
    <x v="0"/>
    <n v="0"/>
  </r>
  <r>
    <x v="0"/>
    <x v="0"/>
    <x v="5"/>
    <s v="weiguangyu"/>
    <s v="2024-04-12"/>
    <n v="26"/>
    <n v="2"/>
    <n v="0.07692307692307693"/>
    <n v="0"/>
    <n v="0"/>
    <n v="0"/>
    <n v="0"/>
    <n v="0.3833333333333334"/>
    <n v="0"/>
    <n v="0"/>
    <n v="0"/>
    <n v="0"/>
    <x v="0"/>
    <x v="3"/>
    <x v="0"/>
    <n v="0"/>
  </r>
  <r>
    <x v="0"/>
    <x v="0"/>
    <x v="6"/>
    <s v="yangjiayi05"/>
    <s v="2024-06-21"/>
    <n v="0"/>
    <n v="0"/>
    <n v="0"/>
    <n v="0"/>
    <n v="0"/>
    <n v="0"/>
    <n v="0"/>
    <n v="0"/>
    <n v="0"/>
    <n v="0"/>
    <n v="0"/>
    <n v="0"/>
    <x v="1"/>
    <x v="2"/>
    <x v="0"/>
    <n v="0"/>
  </r>
  <r>
    <x v="0"/>
    <x v="0"/>
    <x v="7"/>
    <s v="liuxinmeng02"/>
    <s v="2023-11-09"/>
    <n v="6"/>
    <n v="3"/>
    <n v="0.5"/>
    <n v="3"/>
    <n v="3"/>
    <n v="1"/>
    <n v="0"/>
    <n v="3.633333333333333"/>
    <n v="0"/>
    <n v="0"/>
    <n v="0"/>
    <n v="0"/>
    <x v="0"/>
    <x v="1"/>
    <x v="0"/>
    <n v="0"/>
  </r>
  <r>
    <x v="0"/>
    <x v="0"/>
    <x v="8"/>
    <s v="jiaoze"/>
    <s v="2023-10-18"/>
    <n v="8"/>
    <n v="4"/>
    <n v="0.5"/>
    <n v="3"/>
    <n v="1"/>
    <n v="1"/>
    <n v="0"/>
    <n v="3.2"/>
    <n v="0"/>
    <n v="0"/>
    <n v="0"/>
    <n v="0"/>
    <x v="0"/>
    <x v="1"/>
    <x v="0"/>
    <n v="0"/>
  </r>
  <r>
    <x v="1"/>
    <x v="1"/>
    <x v="9"/>
    <s v="xubinbo"/>
    <s v="2019-09-06"/>
    <n v="0"/>
    <n v="0"/>
    <n v="0"/>
    <n v="0"/>
    <n v="0"/>
    <n v="0"/>
    <n v="0"/>
    <n v="0"/>
    <n v="1"/>
    <n v="0"/>
    <n v="0"/>
    <n v="60"/>
    <x v="1"/>
    <x v="4"/>
    <x v="1"/>
    <n v="0"/>
  </r>
  <r>
    <x v="1"/>
    <x v="1"/>
    <x v="10"/>
    <s v="yejiani"/>
    <s v="2021-01-14"/>
    <n v="0"/>
    <n v="0"/>
    <n v="0"/>
    <n v="0"/>
    <n v="0"/>
    <n v="0"/>
    <n v="0"/>
    <n v="0"/>
    <n v="0"/>
    <n v="0"/>
    <n v="0"/>
    <n v="0"/>
    <x v="1"/>
    <x v="4"/>
    <x v="1"/>
    <n v="0"/>
  </r>
  <r>
    <x v="1"/>
    <x v="1"/>
    <x v="11"/>
    <s v="qiujun05"/>
    <s v="2021-09-08"/>
    <n v="0"/>
    <n v="0"/>
    <n v="0"/>
    <n v="0"/>
    <n v="0"/>
    <n v="0"/>
    <n v="0"/>
    <n v="0"/>
    <n v="1"/>
    <n v="0"/>
    <n v="0"/>
    <n v="83"/>
    <x v="1"/>
    <x v="5"/>
    <x v="1"/>
    <n v="0"/>
  </r>
  <r>
    <x v="1"/>
    <x v="1"/>
    <x v="12"/>
    <s v="yulijuan"/>
    <s v="2020-05-11"/>
    <n v="1"/>
    <n v="0"/>
    <n v="0"/>
    <n v="0"/>
    <n v="0"/>
    <n v="0"/>
    <n v="0"/>
    <n v="0"/>
    <n v="0"/>
    <n v="0"/>
    <n v="0"/>
    <n v="0"/>
    <x v="1"/>
    <x v="4"/>
    <x v="1"/>
    <n v="0"/>
  </r>
  <r>
    <x v="1"/>
    <x v="1"/>
    <x v="13"/>
    <s v="xubaobiao-hz"/>
    <s v="2016-02-19"/>
    <n v="0"/>
    <n v="0"/>
    <n v="0"/>
    <n v="0"/>
    <n v="0"/>
    <n v="0"/>
    <n v="0"/>
    <n v="0"/>
    <n v="0"/>
    <n v="0"/>
    <n v="0"/>
    <n v="0"/>
    <x v="1"/>
    <x v="4"/>
    <x v="1"/>
    <n v="0"/>
  </r>
  <r>
    <x v="1"/>
    <x v="1"/>
    <x v="14"/>
    <s v="huangjianling"/>
    <s v="2016-10-17"/>
    <n v="0"/>
    <n v="0"/>
    <n v="0"/>
    <n v="0"/>
    <n v="0"/>
    <n v="0"/>
    <n v="0"/>
    <n v="0"/>
    <n v="0"/>
    <n v="0"/>
    <n v="0"/>
    <n v="0"/>
    <x v="1"/>
    <x v="4"/>
    <x v="1"/>
    <n v="0"/>
  </r>
  <r>
    <x v="1"/>
    <x v="1"/>
    <x v="15"/>
    <s v="gaomei01"/>
    <s v="2016-10-19"/>
    <n v="0"/>
    <n v="0"/>
    <n v="0"/>
    <n v="0"/>
    <n v="0"/>
    <n v="0"/>
    <n v="0"/>
    <n v="0"/>
    <n v="0"/>
    <n v="0"/>
    <n v="0"/>
    <n v="0"/>
    <x v="1"/>
    <x v="4"/>
    <x v="1"/>
    <n v="0"/>
  </r>
  <r>
    <x v="1"/>
    <x v="2"/>
    <x v="16"/>
    <s v="liuhongfei01"/>
    <s v="2022-06-28"/>
    <n v="183"/>
    <n v="88"/>
    <n v="0.4808743169398907"/>
    <n v="29"/>
    <n v="17"/>
    <n v="11"/>
    <n v="3"/>
    <n v="58.78333333333334"/>
    <n v="0"/>
    <n v="0"/>
    <n v="0"/>
    <n v="0"/>
    <x v="0"/>
    <x v="5"/>
    <x v="2"/>
    <n v="0"/>
  </r>
  <r>
    <x v="1"/>
    <x v="2"/>
    <x v="17"/>
    <s v="sunqixin"/>
    <s v="2019-07-04"/>
    <n v="134"/>
    <n v="54"/>
    <n v="0.4029850746268657"/>
    <n v="26"/>
    <n v="18"/>
    <n v="14"/>
    <n v="1"/>
    <n v="43.16666666666666"/>
    <n v="1"/>
    <n v="0"/>
    <n v="0"/>
    <n v="37"/>
    <x v="0"/>
    <x v="4"/>
    <x v="2"/>
    <n v="0"/>
  </r>
  <r>
    <x v="1"/>
    <x v="2"/>
    <x v="18"/>
    <s v="wangshanshan17"/>
    <s v="2020-04-27"/>
    <n v="136"/>
    <n v="63"/>
    <n v="0.4632352941176471"/>
    <n v="13"/>
    <n v="11"/>
    <n v="3"/>
    <n v="0"/>
    <n v="25.43333333333333"/>
    <n v="0"/>
    <n v="0"/>
    <n v="0"/>
    <n v="0"/>
    <x v="0"/>
    <x v="4"/>
    <x v="2"/>
    <n v="0"/>
  </r>
  <r>
    <x v="1"/>
    <x v="2"/>
    <x v="19"/>
    <s v="huyixin"/>
    <s v="2024-06-19"/>
    <n v="157"/>
    <n v="63"/>
    <n v="0.4012738853503185"/>
    <n v="42"/>
    <n v="35"/>
    <n v="22"/>
    <n v="5"/>
    <n v="70.13333333333333"/>
    <n v="0"/>
    <n v="0"/>
    <n v="0"/>
    <n v="0"/>
    <x v="0"/>
    <x v="2"/>
    <x v="2"/>
    <n v="0"/>
  </r>
  <r>
    <x v="1"/>
    <x v="2"/>
    <x v="20"/>
    <s v="huxudong04"/>
    <s v="2024-06-03"/>
    <n v="149"/>
    <n v="58"/>
    <n v="0.3892617449664429"/>
    <n v="33"/>
    <n v="25"/>
    <n v="9"/>
    <n v="1"/>
    <n v="41.31666666666666"/>
    <n v="0"/>
    <n v="0"/>
    <n v="0"/>
    <n v="0"/>
    <x v="0"/>
    <x v="2"/>
    <x v="2"/>
    <n v="0"/>
  </r>
  <r>
    <x v="1"/>
    <x v="2"/>
    <x v="21"/>
    <s v="jinrongqi01"/>
    <s v="2024-07-01"/>
    <n v="159"/>
    <n v="39"/>
    <n v="0.2452830188679245"/>
    <n v="24"/>
    <n v="22"/>
    <n v="14"/>
    <n v="3"/>
    <n v="49.53333333333334"/>
    <n v="0"/>
    <n v="0"/>
    <n v="0"/>
    <n v="0"/>
    <x v="0"/>
    <x v="2"/>
    <x v="2"/>
    <n v="0"/>
  </r>
  <r>
    <x v="1"/>
    <x v="2"/>
    <x v="22"/>
    <s v="hanyuchen02"/>
    <s v="2024-04-15"/>
    <n v="216"/>
    <n v="91"/>
    <n v="0.4212962962962963"/>
    <n v="39"/>
    <n v="36"/>
    <n v="25"/>
    <n v="1"/>
    <n v="67.7"/>
    <n v="0"/>
    <n v="0"/>
    <n v="0"/>
    <n v="0"/>
    <x v="0"/>
    <x v="3"/>
    <x v="2"/>
    <n v="0"/>
  </r>
  <r>
    <x v="1"/>
    <x v="2"/>
    <x v="23"/>
    <s v="xutaotao"/>
    <s v="2024-03-08"/>
    <n v="246"/>
    <n v="126"/>
    <n v="0.5121951219512195"/>
    <n v="41"/>
    <n v="19"/>
    <n v="10"/>
    <n v="0"/>
    <n v="58.13333333333333"/>
    <n v="0"/>
    <n v="0"/>
    <n v="0"/>
    <n v="0"/>
    <x v="0"/>
    <x v="3"/>
    <x v="2"/>
    <n v="0"/>
  </r>
  <r>
    <x v="2"/>
    <x v="3"/>
    <x v="24"/>
    <s v="sunnianwu"/>
    <s v="2023-07-03"/>
    <n v="0"/>
    <n v="0"/>
    <n v="0"/>
    <n v="0"/>
    <n v="0"/>
    <n v="0"/>
    <n v="0"/>
    <n v="0"/>
    <n v="1"/>
    <n v="0"/>
    <n v="0"/>
    <n v="45"/>
    <x v="1"/>
    <x v="0"/>
    <x v="3"/>
    <n v="0"/>
  </r>
  <r>
    <x v="2"/>
    <x v="3"/>
    <x v="25"/>
    <s v="hanjinyu"/>
    <s v="2018-07-02"/>
    <n v="0"/>
    <n v="0"/>
    <n v="0"/>
    <n v="0"/>
    <n v="0"/>
    <n v="0"/>
    <n v="0"/>
    <n v="0"/>
    <n v="1"/>
    <n v="0"/>
    <n v="0"/>
    <n v="45"/>
    <x v="1"/>
    <x v="4"/>
    <x v="3"/>
    <n v="0"/>
  </r>
  <r>
    <x v="2"/>
    <x v="2"/>
    <x v="26"/>
    <s v="wangliening"/>
    <s v="2023-11-28"/>
    <n v="293"/>
    <n v="125"/>
    <n v="0.4266211604095563"/>
    <n v="46"/>
    <n v="39"/>
    <n v="18"/>
    <n v="1"/>
    <n v="68.34999999999999"/>
    <n v="0"/>
    <n v="0"/>
    <n v="0"/>
    <n v="0"/>
    <x v="0"/>
    <x v="1"/>
    <x v="4"/>
    <n v="0"/>
  </r>
  <r>
    <x v="2"/>
    <x v="2"/>
    <x v="27"/>
    <s v="zhangxuetong01"/>
    <s v="2024-01-03"/>
    <n v="194"/>
    <n v="84"/>
    <n v="0.4329896907216495"/>
    <n v="51"/>
    <n v="41"/>
    <n v="8"/>
    <n v="3"/>
    <n v="63.25"/>
    <n v="0"/>
    <n v="0"/>
    <n v="0"/>
    <n v="0"/>
    <x v="0"/>
    <x v="1"/>
    <x v="4"/>
    <n v="2"/>
  </r>
  <r>
    <x v="2"/>
    <x v="2"/>
    <x v="28"/>
    <s v="shaorongjing"/>
    <s v="2024-07-10"/>
    <n v="277"/>
    <n v="100"/>
    <n v="0.3610108303249098"/>
    <n v="57"/>
    <n v="39"/>
    <n v="27"/>
    <n v="3"/>
    <n v="79.93333333333334"/>
    <n v="0"/>
    <n v="0"/>
    <n v="0"/>
    <n v="0"/>
    <x v="0"/>
    <x v="2"/>
    <x v="4"/>
    <n v="0"/>
  </r>
  <r>
    <x v="2"/>
    <x v="2"/>
    <x v="29"/>
    <s v="songqiang04"/>
    <s v="2024-07-19"/>
    <n v="288"/>
    <n v="123"/>
    <n v="0.4270833333333333"/>
    <n v="50"/>
    <n v="31"/>
    <n v="16"/>
    <n v="1"/>
    <n v="67.25"/>
    <n v="0"/>
    <n v="0"/>
    <n v="0"/>
    <n v="0"/>
    <x v="0"/>
    <x v="2"/>
    <x v="4"/>
    <n v="0"/>
  </r>
  <r>
    <x v="2"/>
    <x v="2"/>
    <x v="30"/>
    <s v="shirongfei"/>
    <s v="2024-07-24"/>
    <n v="257"/>
    <n v="118"/>
    <n v="0.4591439688715953"/>
    <n v="43"/>
    <n v="30"/>
    <n v="10"/>
    <n v="1"/>
    <n v="63.58333333333334"/>
    <n v="0"/>
    <n v="0"/>
    <n v="0"/>
    <n v="0"/>
    <x v="0"/>
    <x v="2"/>
    <x v="4"/>
    <n v="0"/>
  </r>
  <r>
    <x v="1"/>
    <x v="4"/>
    <x v="31"/>
    <s v="wujiabao03"/>
    <s v="2024-08-26"/>
    <n v="0"/>
    <n v="0"/>
    <n v="0"/>
    <n v="0"/>
    <n v="0"/>
    <n v="0"/>
    <n v="0"/>
    <n v="0"/>
    <n v="0"/>
    <n v="0"/>
    <n v="0"/>
    <n v="0"/>
    <x v="1"/>
    <x v="6"/>
    <x v="5"/>
    <n v="0"/>
  </r>
  <r>
    <x v="1"/>
    <x v="4"/>
    <x v="32"/>
    <s v="liuanyu"/>
    <s v="2024-01-19"/>
    <n v="0"/>
    <n v="0"/>
    <n v="0"/>
    <n v="0"/>
    <n v="0"/>
    <n v="0"/>
    <n v="0"/>
    <n v="0"/>
    <n v="0"/>
    <n v="0"/>
    <n v="0"/>
    <n v="0"/>
    <x v="1"/>
    <x v="1"/>
    <x v="5"/>
    <n v="0"/>
  </r>
  <r>
    <x v="1"/>
    <x v="4"/>
    <x v="33"/>
    <s v="wangqingshan"/>
    <s v="2024-03-11"/>
    <n v="0"/>
    <n v="0"/>
    <n v="0"/>
    <n v="0"/>
    <n v="0"/>
    <n v="0"/>
    <n v="0"/>
    <n v="0"/>
    <n v="0"/>
    <n v="0"/>
    <n v="0"/>
    <n v="0"/>
    <x v="1"/>
    <x v="3"/>
    <x v="5"/>
    <n v="0"/>
  </r>
  <r>
    <x v="1"/>
    <x v="4"/>
    <x v="34"/>
    <s v="xushoufang"/>
    <s v="2024-06-25"/>
    <n v="0"/>
    <n v="0"/>
    <n v="0"/>
    <n v="0"/>
    <n v="0"/>
    <n v="0"/>
    <n v="0"/>
    <n v="0"/>
    <n v="0"/>
    <n v="0"/>
    <n v="0"/>
    <n v="0"/>
    <x v="1"/>
    <x v="2"/>
    <x v="5"/>
    <n v="0"/>
  </r>
  <r>
    <x v="1"/>
    <x v="4"/>
    <x v="35"/>
    <s v="caichenyu"/>
    <s v="2024-06-26"/>
    <n v="0"/>
    <n v="0"/>
    <n v="0"/>
    <n v="0"/>
    <n v="0"/>
    <n v="0"/>
    <n v="0"/>
    <n v="0"/>
    <n v="0"/>
    <n v="0"/>
    <n v="0"/>
    <n v="0"/>
    <x v="1"/>
    <x v="2"/>
    <x v="5"/>
    <n v="0"/>
  </r>
  <r>
    <x v="1"/>
    <x v="4"/>
    <x v="36"/>
    <s v="yangning15"/>
    <s v="2024-07-29"/>
    <n v="2"/>
    <n v="0"/>
    <n v="0"/>
    <n v="0"/>
    <n v="0"/>
    <n v="0"/>
    <n v="0"/>
    <n v="0"/>
    <n v="0"/>
    <n v="0"/>
    <n v="0"/>
    <n v="0"/>
    <x v="1"/>
    <x v="2"/>
    <x v="5"/>
    <n v="0"/>
  </r>
  <r>
    <x v="1"/>
    <x v="4"/>
    <x v="37"/>
    <s v="mashuai12"/>
    <s v="2024-08-02"/>
    <n v="0"/>
    <n v="0"/>
    <n v="0"/>
    <n v="0"/>
    <n v="0"/>
    <n v="0"/>
    <n v="0"/>
    <n v="0"/>
    <n v="0"/>
    <n v="0"/>
    <n v="0"/>
    <n v="0"/>
    <x v="1"/>
    <x v="6"/>
    <x v="5"/>
    <n v="0"/>
  </r>
  <r>
    <x v="1"/>
    <x v="4"/>
    <x v="38"/>
    <s v="yangyaqian02"/>
    <s v="2021-03-12"/>
    <n v="0"/>
    <n v="0"/>
    <n v="0"/>
    <n v="0"/>
    <n v="0"/>
    <n v="0"/>
    <n v="0"/>
    <n v="0"/>
    <n v="0"/>
    <n v="0"/>
    <n v="0"/>
    <n v="0"/>
    <x v="1"/>
    <x v="4"/>
    <x v="5"/>
    <n v="0"/>
  </r>
  <r>
    <x v="1"/>
    <x v="5"/>
    <x v="39"/>
    <s v="zhangshaoquan01"/>
    <s v="2024-07-01"/>
    <n v="62"/>
    <n v="30"/>
    <n v="0.4838709677419355"/>
    <n v="10"/>
    <n v="6"/>
    <n v="6"/>
    <n v="0"/>
    <n v="15.21666666666667"/>
    <n v="2"/>
    <n v="0"/>
    <n v="0"/>
    <n v="87"/>
    <x v="0"/>
    <x v="2"/>
    <x v="6"/>
    <n v="3"/>
  </r>
  <r>
    <x v="1"/>
    <x v="5"/>
    <x v="40"/>
    <s v="loudingyuan"/>
    <s v="2024-03-18"/>
    <n v="127"/>
    <n v="66"/>
    <n v="0.5196850393700787"/>
    <n v="24"/>
    <n v="19"/>
    <n v="9"/>
    <n v="0"/>
    <n v="36.35"/>
    <n v="0"/>
    <n v="0"/>
    <n v="0"/>
    <n v="0"/>
    <x v="0"/>
    <x v="3"/>
    <x v="6"/>
    <n v="0"/>
  </r>
  <r>
    <x v="1"/>
    <x v="5"/>
    <x v="41"/>
    <s v="zhangchengjie01"/>
    <s v="2023-05-06"/>
    <n v="69"/>
    <n v="33"/>
    <n v="0.4782608695652174"/>
    <n v="17"/>
    <n v="15"/>
    <n v="5"/>
    <n v="1"/>
    <n v="26.43333333333333"/>
    <n v="1"/>
    <n v="1"/>
    <n v="1"/>
    <n v="22"/>
    <x v="0"/>
    <x v="0"/>
    <x v="6"/>
    <n v="1"/>
  </r>
  <r>
    <x v="1"/>
    <x v="5"/>
    <x v="42"/>
    <s v="tangjiewei"/>
    <s v="2018-07-02"/>
    <n v="341"/>
    <n v="146"/>
    <n v="0.4281524926686217"/>
    <n v="51"/>
    <n v="31"/>
    <n v="19"/>
    <n v="2"/>
    <n v="77.76666666666668"/>
    <n v="0"/>
    <n v="0"/>
    <n v="0"/>
    <n v="0"/>
    <x v="0"/>
    <x v="4"/>
    <x v="6"/>
    <n v="0"/>
  </r>
  <r>
    <x v="1"/>
    <x v="5"/>
    <x v="43"/>
    <s v="wulin04"/>
    <s v="2023-10-09"/>
    <n v="119"/>
    <n v="50"/>
    <n v="0.4201680672268908"/>
    <n v="27"/>
    <n v="21"/>
    <n v="12"/>
    <n v="2"/>
    <n v="38.05"/>
    <n v="0"/>
    <n v="0"/>
    <n v="0"/>
    <n v="0"/>
    <x v="0"/>
    <x v="1"/>
    <x v="6"/>
    <n v="0"/>
  </r>
  <r>
    <x v="1"/>
    <x v="5"/>
    <x v="44"/>
    <s v="yangbeilei"/>
    <s v="2024-08-16"/>
    <n v="195"/>
    <n v="99"/>
    <n v="0.5076923076923077"/>
    <n v="29"/>
    <n v="18"/>
    <n v="12"/>
    <n v="0"/>
    <n v="47.43333333333334"/>
    <n v="0"/>
    <n v="0"/>
    <n v="0"/>
    <n v="0"/>
    <x v="1"/>
    <x v="6"/>
    <x v="6"/>
    <n v="0"/>
  </r>
  <r>
    <x v="1"/>
    <x v="5"/>
    <x v="45"/>
    <s v="zhuqingqing"/>
    <s v="2024-08-05"/>
    <n v="181"/>
    <n v="112"/>
    <n v="0.6187845303867403"/>
    <n v="54"/>
    <n v="35"/>
    <n v="24"/>
    <n v="2"/>
    <n v="82.7"/>
    <n v="0"/>
    <n v="0"/>
    <n v="0"/>
    <n v="0"/>
    <x v="0"/>
    <x v="6"/>
    <x v="6"/>
    <n v="0"/>
  </r>
  <r>
    <x v="1"/>
    <x v="5"/>
    <x v="46"/>
    <s v="hewenhan"/>
    <s v="2024-05-27"/>
    <n v="160"/>
    <n v="78"/>
    <n v="0.4875"/>
    <n v="37"/>
    <n v="24"/>
    <n v="13"/>
    <n v="2"/>
    <n v="75.05"/>
    <n v="0"/>
    <n v="0"/>
    <n v="0"/>
    <n v="0"/>
    <x v="0"/>
    <x v="3"/>
    <x v="6"/>
    <n v="0"/>
  </r>
  <r>
    <x v="1"/>
    <x v="5"/>
    <x v="47"/>
    <s v="hukailun"/>
    <s v="2024-05-27"/>
    <n v="192"/>
    <n v="99"/>
    <n v="0.515625"/>
    <n v="26"/>
    <n v="13"/>
    <n v="5"/>
    <n v="1"/>
    <n v="45.71666666666667"/>
    <n v="0"/>
    <n v="0"/>
    <n v="0"/>
    <n v="0"/>
    <x v="0"/>
    <x v="3"/>
    <x v="6"/>
    <n v="0"/>
  </r>
  <r>
    <x v="0"/>
    <x v="4"/>
    <x v="48"/>
    <s v="weijiahao"/>
    <s v="2024-07-01"/>
    <n v="32"/>
    <n v="19"/>
    <n v="0.59375"/>
    <n v="7"/>
    <n v="4"/>
    <n v="3"/>
    <n v="0"/>
    <n v="10.78333333333333"/>
    <n v="0"/>
    <n v="0"/>
    <n v="0"/>
    <n v="0"/>
    <x v="0"/>
    <x v="2"/>
    <x v="7"/>
    <n v="0"/>
  </r>
  <r>
    <x v="0"/>
    <x v="4"/>
    <x v="49"/>
    <s v="like25"/>
    <s v="2024-03-25"/>
    <n v="0"/>
    <n v="0"/>
    <n v="0"/>
    <n v="0"/>
    <n v="0"/>
    <n v="0"/>
    <n v="0"/>
    <n v="0"/>
    <n v="0"/>
    <n v="0"/>
    <n v="0"/>
    <n v="0"/>
    <x v="1"/>
    <x v="3"/>
    <x v="7"/>
    <n v="0"/>
  </r>
  <r>
    <x v="0"/>
    <x v="4"/>
    <x v="50"/>
    <s v="liming58"/>
    <s v="2024-04-18"/>
    <n v="4"/>
    <n v="2"/>
    <n v="0.5"/>
    <n v="1"/>
    <n v="0"/>
    <n v="0"/>
    <n v="0"/>
    <n v="0.65"/>
    <n v="0"/>
    <n v="0"/>
    <n v="0"/>
    <n v="0"/>
    <x v="1"/>
    <x v="3"/>
    <x v="7"/>
    <n v="0"/>
  </r>
  <r>
    <x v="0"/>
    <x v="4"/>
    <x v="51"/>
    <s v="yujialin01"/>
    <s v="2024-06-12"/>
    <n v="0"/>
    <n v="0"/>
    <n v="0"/>
    <n v="0"/>
    <n v="0"/>
    <n v="0"/>
    <n v="0"/>
    <n v="0"/>
    <n v="0"/>
    <n v="0"/>
    <n v="0"/>
    <n v="0"/>
    <x v="1"/>
    <x v="2"/>
    <x v="7"/>
    <n v="0"/>
  </r>
  <r>
    <x v="0"/>
    <x v="4"/>
    <x v="52"/>
    <s v="yangshengzhe02"/>
    <s v="2024-07-01"/>
    <n v="0"/>
    <n v="0"/>
    <n v="0"/>
    <n v="0"/>
    <n v="0"/>
    <n v="0"/>
    <n v="0"/>
    <n v="0"/>
    <n v="0"/>
    <n v="0"/>
    <n v="0"/>
    <n v="0"/>
    <x v="1"/>
    <x v="2"/>
    <x v="7"/>
    <n v="0"/>
  </r>
  <r>
    <x v="0"/>
    <x v="4"/>
    <x v="53"/>
    <s v="zhanghongzheng"/>
    <s v="2024-07-02"/>
    <n v="15"/>
    <n v="8"/>
    <n v="0.5333333333333333"/>
    <n v="0"/>
    <n v="0"/>
    <n v="0"/>
    <n v="0"/>
    <n v="2.016666666666667"/>
    <n v="0"/>
    <n v="0"/>
    <n v="0"/>
    <n v="0"/>
    <x v="0"/>
    <x v="2"/>
    <x v="7"/>
    <n v="0"/>
  </r>
  <r>
    <x v="0"/>
    <x v="4"/>
    <x v="54"/>
    <s v="tanqingyu"/>
    <s v="2024-07-08"/>
    <n v="0"/>
    <n v="0"/>
    <n v="0"/>
    <n v="0"/>
    <n v="0"/>
    <n v="0"/>
    <n v="0"/>
    <n v="0"/>
    <n v="0"/>
    <n v="0"/>
    <n v="0"/>
    <n v="0"/>
    <x v="1"/>
    <x v="2"/>
    <x v="7"/>
    <n v="0"/>
  </r>
  <r>
    <x v="0"/>
    <x v="4"/>
    <x v="55"/>
    <s v="xuda05"/>
    <s v="2024-07-10"/>
    <n v="0"/>
    <n v="0"/>
    <n v="0"/>
    <n v="0"/>
    <n v="0"/>
    <n v="0"/>
    <n v="0"/>
    <n v="0"/>
    <n v="0"/>
    <n v="0"/>
    <n v="0"/>
    <n v="0"/>
    <x v="1"/>
    <x v="2"/>
    <x v="7"/>
    <n v="0"/>
  </r>
  <r>
    <x v="0"/>
    <x v="2"/>
    <x v="56"/>
    <s v="duhaotian02"/>
    <s v="2023-04-03"/>
    <n v="217"/>
    <n v="96"/>
    <n v="0.4423963133640553"/>
    <n v="38"/>
    <n v="29"/>
    <n v="22"/>
    <n v="3"/>
    <n v="64.45"/>
    <n v="0"/>
    <n v="0"/>
    <n v="0"/>
    <n v="0"/>
    <x v="0"/>
    <x v="0"/>
    <x v="8"/>
    <n v="1"/>
  </r>
  <r>
    <x v="0"/>
    <x v="2"/>
    <x v="57"/>
    <s v="guobinkai"/>
    <s v="2023-04-10"/>
    <n v="155"/>
    <n v="63"/>
    <n v="0.4064516129032258"/>
    <n v="16"/>
    <n v="15"/>
    <n v="9"/>
    <n v="1"/>
    <n v="32.85"/>
    <n v="0"/>
    <n v="0"/>
    <n v="0"/>
    <n v="0"/>
    <x v="0"/>
    <x v="0"/>
    <x v="8"/>
    <n v="0"/>
  </r>
  <r>
    <x v="0"/>
    <x v="2"/>
    <x v="58"/>
    <s v="qushilong"/>
    <s v="2024-04-07"/>
    <n v="108"/>
    <n v="54"/>
    <n v="0.5"/>
    <n v="21"/>
    <n v="18"/>
    <n v="12"/>
    <n v="2"/>
    <n v="41.76666666666667"/>
    <n v="1"/>
    <n v="1"/>
    <n v="1"/>
    <n v="91"/>
    <x v="0"/>
    <x v="3"/>
    <x v="8"/>
    <n v="3"/>
  </r>
  <r>
    <x v="0"/>
    <x v="2"/>
    <x v="59"/>
    <s v="daizihao"/>
    <s v="2024-05-15"/>
    <n v="0"/>
    <n v="0"/>
    <n v="0"/>
    <n v="0"/>
    <n v="0"/>
    <n v="0"/>
    <n v="0"/>
    <n v="0"/>
    <n v="0"/>
    <n v="0"/>
    <n v="0"/>
    <n v="0"/>
    <x v="1"/>
    <x v="3"/>
    <x v="8"/>
    <n v="0"/>
  </r>
  <r>
    <x v="0"/>
    <x v="2"/>
    <x v="60"/>
    <s v="xiaoguandi"/>
    <s v="2024-07-09"/>
    <n v="256"/>
    <n v="111"/>
    <n v="0.43359375"/>
    <n v="11"/>
    <n v="7"/>
    <n v="4"/>
    <n v="0"/>
    <n v="37.16666666666667"/>
    <n v="0"/>
    <n v="0"/>
    <n v="0"/>
    <n v="0"/>
    <x v="0"/>
    <x v="2"/>
    <x v="8"/>
    <n v="0"/>
  </r>
  <r>
    <x v="0"/>
    <x v="2"/>
    <x v="61"/>
    <s v="zhangke18"/>
    <s v="2024-07-10"/>
    <n v="186"/>
    <n v="70"/>
    <n v="0.3763440860215054"/>
    <n v="30"/>
    <n v="20"/>
    <n v="17"/>
    <n v="4"/>
    <n v="53"/>
    <n v="0"/>
    <n v="0"/>
    <n v="0"/>
    <n v="0"/>
    <x v="0"/>
    <x v="2"/>
    <x v="8"/>
    <n v="0"/>
  </r>
  <r>
    <x v="0"/>
    <x v="2"/>
    <x v="62"/>
    <s v="fanyihan02"/>
    <s v="2024-07-22"/>
    <n v="0"/>
    <n v="0"/>
    <n v="0"/>
    <n v="0"/>
    <n v="0"/>
    <n v="0"/>
    <n v="0"/>
    <n v="0"/>
    <n v="0"/>
    <n v="0"/>
    <n v="0"/>
    <n v="0"/>
    <x v="1"/>
    <x v="2"/>
    <x v="8"/>
    <n v="0"/>
  </r>
  <r>
    <x v="0"/>
    <x v="2"/>
    <x v="63"/>
    <s v="dengqi02"/>
    <s v="2024-07-22"/>
    <n v="246"/>
    <n v="100"/>
    <n v="0.4065040650406504"/>
    <n v="20"/>
    <n v="11"/>
    <n v="7"/>
    <n v="0"/>
    <n v="43"/>
    <n v="0"/>
    <n v="0"/>
    <n v="0"/>
    <n v="0"/>
    <x v="0"/>
    <x v="2"/>
    <x v="8"/>
    <n v="1"/>
  </r>
  <r>
    <x v="0"/>
    <x v="2"/>
    <x v="64"/>
    <s v="yinlili03"/>
    <s v="2024-07-24"/>
    <n v="242"/>
    <n v="102"/>
    <n v="0.4214876033057851"/>
    <n v="35"/>
    <n v="22"/>
    <n v="14"/>
    <n v="3"/>
    <n v="63.38333333333333"/>
    <n v="0"/>
    <n v="0"/>
    <n v="0"/>
    <n v="0"/>
    <x v="0"/>
    <x v="2"/>
    <x v="8"/>
    <n v="0"/>
  </r>
  <r>
    <x v="1"/>
    <x v="6"/>
    <x v="65"/>
    <s v="shenjianglong"/>
    <s v="2024-08-16"/>
    <n v="77"/>
    <n v="45"/>
    <n v="0.5844155844155844"/>
    <n v="14"/>
    <n v="8"/>
    <n v="5"/>
    <n v="3"/>
    <n v="32.85"/>
    <n v="0"/>
    <n v="0"/>
    <n v="0"/>
    <n v="0"/>
    <x v="0"/>
    <x v="6"/>
    <x v="9"/>
    <n v="1"/>
  </r>
  <r>
    <x v="1"/>
    <x v="6"/>
    <x v="66"/>
    <s v="yanjiawen01"/>
    <s v="2024-07-17"/>
    <n v="170"/>
    <n v="74"/>
    <n v="0.4352941176470588"/>
    <n v="36"/>
    <n v="30"/>
    <n v="12"/>
    <n v="0"/>
    <n v="44.96666666666667"/>
    <n v="0"/>
    <n v="0"/>
    <n v="0"/>
    <n v="0"/>
    <x v="0"/>
    <x v="2"/>
    <x v="9"/>
    <n v="0"/>
  </r>
  <r>
    <x v="1"/>
    <x v="6"/>
    <x v="67"/>
    <s v="chenhuadong"/>
    <s v="2024-06-21"/>
    <n v="129"/>
    <n v="66"/>
    <n v="0.5116279069767442"/>
    <n v="33"/>
    <n v="23"/>
    <n v="16"/>
    <n v="2"/>
    <n v="47.2"/>
    <n v="1"/>
    <n v="0"/>
    <n v="0"/>
    <n v="161"/>
    <x v="0"/>
    <x v="2"/>
    <x v="9"/>
    <n v="1"/>
  </r>
  <r>
    <x v="1"/>
    <x v="6"/>
    <x v="68"/>
    <s v="yuanjing15"/>
    <s v="2024-06-21"/>
    <n v="0"/>
    <n v="0"/>
    <n v="0"/>
    <n v="0"/>
    <n v="0"/>
    <n v="0"/>
    <n v="0"/>
    <n v="0"/>
    <n v="0"/>
    <n v="0"/>
    <n v="0"/>
    <n v="0"/>
    <x v="1"/>
    <x v="2"/>
    <x v="9"/>
    <n v="0"/>
  </r>
  <r>
    <x v="1"/>
    <x v="6"/>
    <x v="69"/>
    <s v="yangjing63"/>
    <s v="2024-06-19"/>
    <n v="292"/>
    <n v="120"/>
    <n v="0.410958904109589"/>
    <n v="38"/>
    <n v="28"/>
    <n v="15"/>
    <n v="0"/>
    <n v="59.41666666666667"/>
    <n v="0"/>
    <n v="0"/>
    <n v="0"/>
    <n v="0"/>
    <x v="0"/>
    <x v="2"/>
    <x v="9"/>
    <n v="0"/>
  </r>
  <r>
    <x v="1"/>
    <x v="6"/>
    <x v="70"/>
    <s v="duanxingyan"/>
    <s v="2024-06-19"/>
    <n v="280"/>
    <n v="138"/>
    <n v="0.4928571428571429"/>
    <n v="50"/>
    <n v="35"/>
    <n v="18"/>
    <n v="0"/>
    <n v="68.81666666666668"/>
    <n v="0"/>
    <n v="0"/>
    <n v="0"/>
    <n v="0"/>
    <x v="0"/>
    <x v="2"/>
    <x v="9"/>
    <n v="0"/>
  </r>
  <r>
    <x v="1"/>
    <x v="6"/>
    <x v="71"/>
    <s v="zhenghaizhen"/>
    <s v="2023-06-13"/>
    <n v="178"/>
    <n v="89"/>
    <n v="0.5"/>
    <n v="45"/>
    <n v="37"/>
    <n v="24"/>
    <n v="1"/>
    <n v="63.98333333333333"/>
    <n v="0"/>
    <n v="0"/>
    <n v="0"/>
    <n v="0"/>
    <x v="0"/>
    <x v="0"/>
    <x v="9"/>
    <n v="1"/>
  </r>
  <r>
    <x v="1"/>
    <x v="6"/>
    <x v="72"/>
    <s v="chenyunfeng03"/>
    <s v="2023-12-15"/>
    <n v="226"/>
    <n v="115"/>
    <n v="0.5088495575221239"/>
    <n v="41"/>
    <n v="33"/>
    <n v="18"/>
    <n v="2"/>
    <n v="67.96666666666667"/>
    <n v="0"/>
    <n v="0"/>
    <n v="0"/>
    <n v="0"/>
    <x v="0"/>
    <x v="1"/>
    <x v="9"/>
    <n v="1"/>
  </r>
  <r>
    <x v="1"/>
    <x v="6"/>
    <x v="73"/>
    <s v="xubohan"/>
    <s v="2023-08-07"/>
    <n v="133"/>
    <n v="55"/>
    <n v="0.4135338345864661"/>
    <n v="19"/>
    <n v="15"/>
    <n v="8"/>
    <n v="3"/>
    <n v="42"/>
    <n v="0"/>
    <n v="0"/>
    <n v="0"/>
    <n v="0"/>
    <x v="0"/>
    <x v="0"/>
    <x v="9"/>
    <n v="1"/>
  </r>
  <r>
    <x v="0"/>
    <x v="1"/>
    <x v="74"/>
    <s v="zhangjie45"/>
    <s v="2018-02-27"/>
    <n v="0"/>
    <n v="0"/>
    <n v="0"/>
    <n v="0"/>
    <n v="0"/>
    <n v="0"/>
    <n v="0"/>
    <n v="0"/>
    <n v="0"/>
    <n v="0"/>
    <n v="0"/>
    <n v="0"/>
    <x v="1"/>
    <x v="4"/>
    <x v="10"/>
    <n v="0"/>
  </r>
  <r>
    <x v="0"/>
    <x v="1"/>
    <x v="75"/>
    <s v="qianmingming"/>
    <s v="2018-03-22"/>
    <n v="0"/>
    <n v="0"/>
    <n v="0"/>
    <n v="0"/>
    <n v="0"/>
    <n v="0"/>
    <n v="0"/>
    <n v="0"/>
    <n v="0"/>
    <n v="0"/>
    <n v="0"/>
    <n v="0"/>
    <x v="1"/>
    <x v="4"/>
    <x v="10"/>
    <n v="0"/>
  </r>
  <r>
    <x v="0"/>
    <x v="1"/>
    <x v="76"/>
    <s v="xuhaodong"/>
    <s v="2018-11-12"/>
    <n v="1"/>
    <n v="0"/>
    <n v="0"/>
    <n v="0"/>
    <n v="0"/>
    <n v="0"/>
    <n v="0"/>
    <n v="0"/>
    <n v="0"/>
    <n v="0"/>
    <n v="0"/>
    <n v="0"/>
    <x v="1"/>
    <x v="4"/>
    <x v="10"/>
    <n v="1"/>
  </r>
  <r>
    <x v="0"/>
    <x v="1"/>
    <x v="77"/>
    <s v="songrenfangye"/>
    <s v="2024-07-05"/>
    <n v="0"/>
    <n v="0"/>
    <n v="0"/>
    <n v="0"/>
    <n v="0"/>
    <n v="0"/>
    <n v="0"/>
    <n v="0"/>
    <n v="0"/>
    <n v="0"/>
    <n v="0"/>
    <n v="0"/>
    <x v="1"/>
    <x v="2"/>
    <x v="10"/>
    <n v="0"/>
  </r>
  <r>
    <x v="0"/>
    <x v="1"/>
    <x v="78"/>
    <s v="hufandi"/>
    <s v="2022-01-21"/>
    <n v="32"/>
    <n v="10"/>
    <n v="0.3125"/>
    <n v="3"/>
    <n v="1"/>
    <n v="0"/>
    <n v="0"/>
    <n v="3.8"/>
    <n v="0"/>
    <n v="0"/>
    <n v="0"/>
    <n v="0"/>
    <x v="0"/>
    <x v="5"/>
    <x v="10"/>
    <n v="0"/>
  </r>
  <r>
    <x v="0"/>
    <x v="7"/>
    <x v="79"/>
    <s v="liushuaishuai02"/>
    <s v="2023-09-20"/>
    <n v="28"/>
    <n v="13"/>
    <n v="0.4642857142857143"/>
    <n v="7"/>
    <n v="7"/>
    <n v="4"/>
    <n v="0"/>
    <n v="10.53333333333333"/>
    <n v="0"/>
    <n v="0"/>
    <n v="0"/>
    <n v="0"/>
    <x v="0"/>
    <x v="1"/>
    <x v="11"/>
    <n v="0"/>
  </r>
  <r>
    <x v="0"/>
    <x v="7"/>
    <x v="80"/>
    <s v="yangjiahao03"/>
    <s v="2023-11-15"/>
    <n v="7"/>
    <n v="2"/>
    <n v="0.2857142857142857"/>
    <n v="2"/>
    <n v="2"/>
    <n v="2"/>
    <n v="2"/>
    <n v="11.41666666666667"/>
    <n v="0"/>
    <n v="0"/>
    <n v="0"/>
    <n v="0"/>
    <x v="0"/>
    <x v="1"/>
    <x v="11"/>
    <n v="1"/>
  </r>
  <r>
    <x v="0"/>
    <x v="7"/>
    <x v="81"/>
    <s v="dongkun02"/>
    <s v="2023-04-10"/>
    <n v="95"/>
    <n v="35"/>
    <n v="0.3684210526315789"/>
    <n v="17"/>
    <n v="15"/>
    <n v="12"/>
    <n v="5"/>
    <n v="42.65"/>
    <n v="0"/>
    <n v="0"/>
    <n v="0"/>
    <n v="0"/>
    <x v="0"/>
    <x v="0"/>
    <x v="11"/>
    <n v="2"/>
  </r>
  <r>
    <x v="0"/>
    <x v="7"/>
    <x v="82"/>
    <s v="yangwenzhai"/>
    <s v="2024-03-07"/>
    <n v="120"/>
    <n v="52"/>
    <n v="0.4333333333333333"/>
    <n v="28"/>
    <n v="19"/>
    <n v="11"/>
    <n v="2"/>
    <n v="46.46666666666667"/>
    <n v="0"/>
    <n v="0"/>
    <n v="0"/>
    <n v="0"/>
    <x v="0"/>
    <x v="3"/>
    <x v="11"/>
    <n v="0"/>
  </r>
  <r>
    <x v="0"/>
    <x v="7"/>
    <x v="83"/>
    <s v="yanzhaoyu"/>
    <s v="2022-02-09"/>
    <n v="0"/>
    <n v="0"/>
    <n v="0"/>
    <n v="0"/>
    <n v="0"/>
    <n v="0"/>
    <n v="0"/>
    <n v="0"/>
    <n v="0"/>
    <n v="0"/>
    <n v="0"/>
    <n v="0"/>
    <x v="1"/>
    <x v="5"/>
    <x v="11"/>
    <n v="0"/>
  </r>
  <r>
    <x v="0"/>
    <x v="7"/>
    <x v="84"/>
    <s v="qusainan01"/>
    <s v="2024-07-03"/>
    <n v="98"/>
    <n v="43"/>
    <n v="0.4387755102040816"/>
    <n v="24"/>
    <n v="20"/>
    <n v="13"/>
    <n v="1"/>
    <n v="33.45"/>
    <n v="0"/>
    <n v="0"/>
    <n v="0"/>
    <n v="0"/>
    <x v="0"/>
    <x v="2"/>
    <x v="11"/>
    <n v="1"/>
  </r>
  <r>
    <x v="0"/>
    <x v="7"/>
    <x v="85"/>
    <s v="zhengchuanyu"/>
    <s v="2024-07-02"/>
    <n v="147"/>
    <n v="66"/>
    <n v="0.4489795918367347"/>
    <n v="28"/>
    <n v="24"/>
    <n v="16"/>
    <n v="2"/>
    <n v="52.85"/>
    <n v="0"/>
    <n v="0"/>
    <n v="0"/>
    <n v="0"/>
    <x v="0"/>
    <x v="2"/>
    <x v="11"/>
    <n v="0"/>
  </r>
  <r>
    <x v="0"/>
    <x v="7"/>
    <x v="86"/>
    <s v="liuyuxin10"/>
    <s v="2024-07-01"/>
    <n v="16"/>
    <n v="9"/>
    <n v="0.5625"/>
    <n v="4"/>
    <n v="4"/>
    <n v="3"/>
    <n v="0"/>
    <n v="7.449999999999999"/>
    <n v="1"/>
    <n v="1"/>
    <n v="1"/>
    <n v="176"/>
    <x v="0"/>
    <x v="2"/>
    <x v="11"/>
    <n v="1"/>
  </r>
  <r>
    <x v="0"/>
    <x v="7"/>
    <x v="87"/>
    <s v="liuyi57"/>
    <s v="2024-04-01"/>
    <n v="151"/>
    <n v="64"/>
    <n v="0.423841059602649"/>
    <n v="27"/>
    <n v="20"/>
    <n v="10"/>
    <n v="4"/>
    <n v="67.53333333333333"/>
    <n v="0"/>
    <n v="0"/>
    <n v="0"/>
    <n v="0"/>
    <x v="0"/>
    <x v="3"/>
    <x v="11"/>
    <n v="0"/>
  </r>
  <r>
    <x v="0"/>
    <x v="7"/>
    <x v="88"/>
    <s v="xuzengwei"/>
    <s v="2023-03-03"/>
    <n v="61"/>
    <n v="28"/>
    <n v="0.459016393442623"/>
    <n v="15"/>
    <n v="12"/>
    <n v="9"/>
    <n v="2"/>
    <n v="30.15"/>
    <n v="0"/>
    <n v="0"/>
    <n v="0"/>
    <n v="0"/>
    <x v="0"/>
    <x v="0"/>
    <x v="11"/>
    <n v="0"/>
  </r>
  <r>
    <x v="1"/>
    <x v="0"/>
    <x v="89"/>
    <s v="liuyi54"/>
    <s v="2023-07-03"/>
    <n v="27"/>
    <n v="8"/>
    <n v="0.2962962962962963"/>
    <n v="5"/>
    <n v="3"/>
    <n v="3"/>
    <n v="1"/>
    <n v="10.56666666666667"/>
    <n v="0"/>
    <n v="0"/>
    <n v="0"/>
    <n v="0"/>
    <x v="0"/>
    <x v="0"/>
    <x v="12"/>
    <n v="0"/>
  </r>
  <r>
    <x v="1"/>
    <x v="0"/>
    <x v="90"/>
    <s v="tangjuyan"/>
    <s v="2023-08-21"/>
    <n v="18"/>
    <n v="6"/>
    <n v="0.3333333333333333"/>
    <n v="4"/>
    <n v="4"/>
    <n v="1"/>
    <n v="0"/>
    <n v="4.366666666666666"/>
    <n v="0"/>
    <n v="0"/>
    <n v="0"/>
    <n v="0"/>
    <x v="0"/>
    <x v="0"/>
    <x v="12"/>
    <n v="0"/>
  </r>
  <r>
    <x v="1"/>
    <x v="0"/>
    <x v="91"/>
    <s v="guomeijia01"/>
    <s v="2022-06-03"/>
    <n v="14"/>
    <n v="5"/>
    <n v="0.3571428571428572"/>
    <n v="4"/>
    <n v="4"/>
    <n v="4"/>
    <n v="0"/>
    <n v="8.583333333333332"/>
    <n v="0"/>
    <n v="0"/>
    <n v="0"/>
    <n v="0"/>
    <x v="0"/>
    <x v="5"/>
    <x v="12"/>
    <n v="0"/>
  </r>
  <r>
    <x v="1"/>
    <x v="0"/>
    <x v="92"/>
    <s v="tengbo01"/>
    <s v="2018-12-21"/>
    <n v="42"/>
    <n v="22"/>
    <n v="0.5238095238095238"/>
    <n v="12"/>
    <n v="10"/>
    <n v="7"/>
    <n v="0"/>
    <n v="16.86666666666667"/>
    <n v="0"/>
    <n v="0"/>
    <n v="0"/>
    <n v="0"/>
    <x v="0"/>
    <x v="4"/>
    <x v="12"/>
    <n v="0"/>
  </r>
  <r>
    <x v="1"/>
    <x v="0"/>
    <x v="93"/>
    <s v="chenxin73"/>
    <s v="2024-07-01"/>
    <n v="20"/>
    <n v="5"/>
    <n v="0.25"/>
    <n v="5"/>
    <n v="4"/>
    <n v="2"/>
    <n v="0"/>
    <n v="6"/>
    <n v="0"/>
    <n v="0"/>
    <n v="0"/>
    <n v="0"/>
    <x v="0"/>
    <x v="2"/>
    <x v="12"/>
    <n v="0"/>
  </r>
  <r>
    <x v="1"/>
    <x v="0"/>
    <x v="94"/>
    <s v="lishoujie"/>
    <s v="2023-03-07"/>
    <n v="35"/>
    <n v="13"/>
    <n v="0.3714285714285714"/>
    <n v="6"/>
    <n v="4"/>
    <n v="1"/>
    <n v="0"/>
    <n v="6.583333333333333"/>
    <n v="0"/>
    <n v="0"/>
    <n v="0"/>
    <n v="0"/>
    <x v="0"/>
    <x v="0"/>
    <x v="12"/>
    <n v="0"/>
  </r>
  <r>
    <x v="1"/>
    <x v="0"/>
    <x v="95"/>
    <s v="zhenghui08"/>
    <s v="2024-08-12"/>
    <n v="251"/>
    <n v="94"/>
    <n v="0.3745019920318725"/>
    <n v="46"/>
    <n v="31"/>
    <n v="24"/>
    <n v="2"/>
    <n v="69.61666666666666"/>
    <n v="0"/>
    <n v="0"/>
    <n v="0"/>
    <n v="0"/>
    <x v="0"/>
    <x v="6"/>
    <x v="12"/>
    <n v="0"/>
  </r>
  <r>
    <x v="1"/>
    <x v="0"/>
    <x v="96"/>
    <s v="qikailun01"/>
    <s v="2019-11-22"/>
    <n v="10"/>
    <n v="3"/>
    <n v="0.3"/>
    <n v="2"/>
    <n v="1"/>
    <n v="0"/>
    <n v="0"/>
    <n v="1.466666666666667"/>
    <n v="0"/>
    <n v="0"/>
    <n v="0"/>
    <n v="0"/>
    <x v="0"/>
    <x v="4"/>
    <x v="12"/>
    <n v="0"/>
  </r>
  <r>
    <x v="2"/>
    <x v="5"/>
    <x v="97"/>
    <s v="liuyihui01"/>
    <s v="2019-10-16"/>
    <n v="89"/>
    <n v="40"/>
    <n v="0.449438202247191"/>
    <n v="20"/>
    <n v="15"/>
    <n v="10"/>
    <n v="2"/>
    <n v="39.06666666666666"/>
    <n v="0"/>
    <n v="0"/>
    <n v="0"/>
    <n v="0"/>
    <x v="0"/>
    <x v="4"/>
    <x v="13"/>
    <n v="0"/>
  </r>
  <r>
    <x v="2"/>
    <x v="5"/>
    <x v="98"/>
    <s v="duxiaohan"/>
    <s v="2023-10-08"/>
    <n v="237"/>
    <n v="117"/>
    <n v="0.4936708860759494"/>
    <n v="43"/>
    <n v="31"/>
    <n v="17"/>
    <n v="1"/>
    <n v="66.98333333333333"/>
    <n v="0"/>
    <n v="0"/>
    <n v="0"/>
    <n v="0"/>
    <x v="0"/>
    <x v="1"/>
    <x v="13"/>
    <n v="0"/>
  </r>
  <r>
    <x v="2"/>
    <x v="5"/>
    <x v="99"/>
    <s v="litianyuan03"/>
    <s v="2024-03-01"/>
    <n v="80"/>
    <n v="35"/>
    <n v="0.4375"/>
    <n v="27"/>
    <n v="23"/>
    <n v="18"/>
    <n v="0"/>
    <n v="38.03333333333333"/>
    <n v="0"/>
    <n v="0"/>
    <n v="0"/>
    <n v="0"/>
    <x v="0"/>
    <x v="3"/>
    <x v="13"/>
    <n v="2"/>
  </r>
  <r>
    <x v="2"/>
    <x v="5"/>
    <x v="100"/>
    <s v="sunguohao"/>
    <s v="2024-06-26"/>
    <n v="0"/>
    <n v="0"/>
    <n v="0"/>
    <n v="0"/>
    <n v="0"/>
    <n v="0"/>
    <n v="0"/>
    <n v="0"/>
    <n v="0"/>
    <n v="0"/>
    <n v="0"/>
    <n v="0"/>
    <x v="1"/>
    <x v="2"/>
    <x v="13"/>
    <n v="0"/>
  </r>
  <r>
    <x v="2"/>
    <x v="5"/>
    <x v="101"/>
    <s v="zhaokehao"/>
    <s v="2024-07-15"/>
    <n v="180"/>
    <n v="78"/>
    <n v="0.4333333333333333"/>
    <n v="35"/>
    <n v="28"/>
    <n v="15"/>
    <n v="4"/>
    <n v="58.58333333333333"/>
    <n v="0"/>
    <n v="0"/>
    <n v="0"/>
    <n v="0"/>
    <x v="0"/>
    <x v="2"/>
    <x v="13"/>
    <n v="1"/>
  </r>
  <r>
    <x v="2"/>
    <x v="5"/>
    <x v="102"/>
    <s v="chenyuhan06"/>
    <s v="2024-07-25"/>
    <n v="267"/>
    <n v="118"/>
    <n v="0.4419475655430712"/>
    <n v="53"/>
    <n v="39"/>
    <n v="15"/>
    <n v="0"/>
    <n v="68"/>
    <n v="0"/>
    <n v="0"/>
    <n v="0"/>
    <n v="0"/>
    <x v="0"/>
    <x v="2"/>
    <x v="13"/>
    <n v="0"/>
  </r>
  <r>
    <x v="2"/>
    <x v="5"/>
    <x v="103"/>
    <s v="panjianye"/>
    <s v="2024-08-19"/>
    <n v="283"/>
    <n v="158"/>
    <n v="0.558303886925795"/>
    <n v="70"/>
    <n v="44"/>
    <n v="28"/>
    <n v="0"/>
    <n v="97.31666666666666"/>
    <n v="0"/>
    <n v="0"/>
    <n v="0"/>
    <n v="0"/>
    <x v="0"/>
    <x v="6"/>
    <x v="13"/>
    <n v="0"/>
  </r>
  <r>
    <x v="2"/>
    <x v="5"/>
    <x v="104"/>
    <s v="renfangfei"/>
    <s v="2024-08-20"/>
    <n v="266"/>
    <n v="135"/>
    <n v="0.5075187969924813"/>
    <n v="52"/>
    <n v="28"/>
    <n v="24"/>
    <n v="1"/>
    <n v="72.84999999999999"/>
    <n v="0"/>
    <n v="0"/>
    <n v="0"/>
    <n v="0"/>
    <x v="0"/>
    <x v="6"/>
    <x v="13"/>
    <n v="0"/>
  </r>
  <r>
    <x v="2"/>
    <x v="0"/>
    <x v="105"/>
    <s v="chenzhiyan02"/>
    <s v="2024-03-18"/>
    <n v="35"/>
    <n v="21"/>
    <n v="0.6"/>
    <n v="13"/>
    <n v="11"/>
    <n v="8"/>
    <n v="1"/>
    <n v="22.71666666666667"/>
    <n v="0"/>
    <n v="0"/>
    <n v="0"/>
    <n v="0"/>
    <x v="0"/>
    <x v="3"/>
    <x v="14"/>
    <n v="5"/>
  </r>
  <r>
    <x v="2"/>
    <x v="0"/>
    <x v="106"/>
    <s v="xuxiaoqian01"/>
    <s v="2024-07-11"/>
    <n v="148"/>
    <n v="50"/>
    <n v="0.3378378378378378"/>
    <n v="21"/>
    <n v="17"/>
    <n v="8"/>
    <n v="1"/>
    <n v="30.38333333333333"/>
    <n v="0"/>
    <n v="0"/>
    <n v="0"/>
    <n v="0"/>
    <x v="0"/>
    <x v="2"/>
    <x v="14"/>
    <n v="0"/>
  </r>
  <r>
    <x v="2"/>
    <x v="0"/>
    <x v="107"/>
    <s v="luoruiying"/>
    <s v="2019-04-18"/>
    <n v="13"/>
    <n v="4"/>
    <n v="0.3076923076923077"/>
    <n v="4"/>
    <n v="2"/>
    <n v="2"/>
    <n v="0"/>
    <n v="6.383333333333334"/>
    <n v="1"/>
    <n v="0"/>
    <n v="0"/>
    <n v="0"/>
    <x v="0"/>
    <x v="4"/>
    <x v="14"/>
    <n v="0"/>
  </r>
  <r>
    <x v="2"/>
    <x v="0"/>
    <x v="108"/>
    <s v="jiazihan-jn"/>
    <s v="2014-09-05"/>
    <n v="0"/>
    <n v="0"/>
    <n v="0"/>
    <n v="0"/>
    <n v="0"/>
    <n v="0"/>
    <n v="0"/>
    <n v="0"/>
    <n v="0"/>
    <n v="0"/>
    <n v="0"/>
    <n v="0"/>
    <x v="1"/>
    <x v="4"/>
    <x v="14"/>
    <n v="0"/>
  </r>
  <r>
    <x v="2"/>
    <x v="0"/>
    <x v="109"/>
    <s v="zhaotianyu01"/>
    <s v="2016-07-08"/>
    <n v="17"/>
    <n v="13"/>
    <n v="0.7647058823529411"/>
    <n v="11"/>
    <n v="11"/>
    <n v="9"/>
    <n v="1"/>
    <n v="20.85"/>
    <n v="1"/>
    <n v="0"/>
    <n v="0"/>
    <n v="0"/>
    <x v="0"/>
    <x v="4"/>
    <x v="14"/>
    <n v="0"/>
  </r>
  <r>
    <x v="2"/>
    <x v="0"/>
    <x v="110"/>
    <s v="tangcc"/>
    <s v="2012-08-14"/>
    <n v="48"/>
    <n v="32"/>
    <n v="0.6666666666666666"/>
    <n v="21"/>
    <n v="14"/>
    <n v="7"/>
    <n v="1"/>
    <n v="25.95"/>
    <n v="0"/>
    <n v="0"/>
    <n v="0"/>
    <n v="0"/>
    <x v="0"/>
    <x v="4"/>
    <x v="14"/>
    <n v="0"/>
  </r>
  <r>
    <x v="2"/>
    <x v="0"/>
    <x v="111"/>
    <s v="liudongpo-jn"/>
    <s v="2015-05-25"/>
    <n v="50"/>
    <n v="33"/>
    <n v="0.66"/>
    <n v="20"/>
    <n v="18"/>
    <n v="13"/>
    <n v="4"/>
    <n v="44.86666666666667"/>
    <n v="0"/>
    <n v="0"/>
    <n v="0"/>
    <n v="0"/>
    <x v="0"/>
    <x v="4"/>
    <x v="14"/>
    <n v="0"/>
  </r>
  <r>
    <x v="2"/>
    <x v="0"/>
    <x v="112"/>
    <s v="zhouyujiao-jn"/>
    <s v="2024-02-23"/>
    <n v="63"/>
    <n v="35"/>
    <n v="0.5555555555555556"/>
    <n v="20"/>
    <n v="13"/>
    <n v="5"/>
    <n v="0"/>
    <n v="22.48333333333333"/>
    <n v="0"/>
    <n v="0"/>
    <n v="0"/>
    <n v="0"/>
    <x v="0"/>
    <x v="3"/>
    <x v="14"/>
    <n v="1"/>
  </r>
  <r>
    <x v="2"/>
    <x v="1"/>
    <x v="113"/>
    <s v="sunaimei-jn"/>
    <s v="2015-05-13"/>
    <n v="8"/>
    <n v="5"/>
    <n v="0.625"/>
    <n v="2"/>
    <n v="2"/>
    <n v="1"/>
    <n v="0"/>
    <n v="2.9"/>
    <n v="0"/>
    <n v="0"/>
    <n v="0"/>
    <n v="0"/>
    <x v="0"/>
    <x v="4"/>
    <x v="15"/>
    <n v="0"/>
  </r>
  <r>
    <x v="2"/>
    <x v="1"/>
    <x v="114"/>
    <s v="chenyuanyuan-jn"/>
    <s v="2020-04-15"/>
    <n v="3"/>
    <n v="0"/>
    <n v="0"/>
    <n v="0"/>
    <n v="0"/>
    <n v="0"/>
    <n v="0"/>
    <n v="0"/>
    <n v="0"/>
    <n v="0"/>
    <n v="0"/>
    <n v="0"/>
    <x v="1"/>
    <x v="4"/>
    <x v="15"/>
    <n v="0"/>
  </r>
  <r>
    <x v="2"/>
    <x v="1"/>
    <x v="115"/>
    <s v="wanghongzhou"/>
    <s v="2019-06-26"/>
    <n v="16"/>
    <n v="5"/>
    <n v="0.3125"/>
    <n v="3"/>
    <n v="0"/>
    <n v="0"/>
    <n v="0"/>
    <n v="2.516666666666667"/>
    <n v="0"/>
    <n v="0"/>
    <n v="0"/>
    <n v="0"/>
    <x v="0"/>
    <x v="4"/>
    <x v="15"/>
    <n v="0"/>
  </r>
  <r>
    <x v="2"/>
    <x v="1"/>
    <x v="116"/>
    <s v="sunqianqian01"/>
    <s v="2018-10-16"/>
    <n v="5"/>
    <n v="3"/>
    <n v="0.6"/>
    <n v="0"/>
    <n v="0"/>
    <n v="0"/>
    <n v="0"/>
    <n v="0.8166666666666667"/>
    <n v="1"/>
    <n v="0"/>
    <n v="0"/>
    <n v="44"/>
    <x v="0"/>
    <x v="4"/>
    <x v="15"/>
    <n v="0"/>
  </r>
  <r>
    <x v="2"/>
    <x v="1"/>
    <x v="117"/>
    <s v="zhangpeipei"/>
    <s v="2016-07-11"/>
    <n v="0"/>
    <n v="0"/>
    <n v="0"/>
    <n v="0"/>
    <n v="0"/>
    <n v="0"/>
    <n v="0"/>
    <n v="0"/>
    <n v="0"/>
    <n v="0"/>
    <n v="0"/>
    <n v="0"/>
    <x v="1"/>
    <x v="4"/>
    <x v="15"/>
    <n v="0"/>
  </r>
  <r>
    <x v="2"/>
    <x v="1"/>
    <x v="118"/>
    <s v="jiangna02"/>
    <s v="2016-04-28"/>
    <n v="3"/>
    <n v="2"/>
    <n v="0.6666666666666666"/>
    <n v="1"/>
    <n v="1"/>
    <n v="1"/>
    <n v="0"/>
    <n v="3.05"/>
    <n v="0"/>
    <n v="0"/>
    <n v="0"/>
    <n v="0"/>
    <x v="1"/>
    <x v="4"/>
    <x v="15"/>
    <n v="0"/>
  </r>
  <r>
    <x v="2"/>
    <x v="1"/>
    <x v="119"/>
    <s v="liuhuimin05"/>
    <s v="2021-04-16"/>
    <n v="3"/>
    <n v="0"/>
    <n v="0"/>
    <n v="0"/>
    <n v="0"/>
    <n v="0"/>
    <n v="0"/>
    <n v="0"/>
    <n v="0"/>
    <n v="0"/>
    <n v="0"/>
    <n v="0"/>
    <x v="1"/>
    <x v="4"/>
    <x v="15"/>
    <n v="0"/>
  </r>
  <r>
    <x v="2"/>
    <x v="6"/>
    <x v="120"/>
    <s v="lichangqi01"/>
    <s v="2024-08-26"/>
    <n v="193"/>
    <n v="82"/>
    <n v="0.4248704663212435"/>
    <n v="37"/>
    <n v="30"/>
    <n v="15"/>
    <n v="1"/>
    <n v="52.38333333333333"/>
    <n v="0"/>
    <n v="0"/>
    <n v="0"/>
    <n v="0"/>
    <x v="0"/>
    <x v="6"/>
    <x v="16"/>
    <n v="0"/>
  </r>
  <r>
    <x v="2"/>
    <x v="6"/>
    <x v="121"/>
    <s v="sunshu"/>
    <s v="2018-07-02"/>
    <n v="44"/>
    <n v="25"/>
    <n v="0.5681818181818182"/>
    <n v="14"/>
    <n v="9"/>
    <n v="5"/>
    <n v="0"/>
    <n v="20.76666666666667"/>
    <n v="0"/>
    <n v="0"/>
    <n v="0"/>
    <n v="0"/>
    <x v="1"/>
    <x v="4"/>
    <x v="16"/>
    <n v="3"/>
  </r>
  <r>
    <x v="2"/>
    <x v="6"/>
    <x v="122"/>
    <s v="yuchangkai"/>
    <s v="2024-08-23"/>
    <n v="293"/>
    <n v="131"/>
    <n v="0.447098976109215"/>
    <n v="55"/>
    <n v="36"/>
    <n v="24"/>
    <n v="6"/>
    <n v="95.46666666666667"/>
    <n v="0"/>
    <n v="0"/>
    <n v="0"/>
    <n v="0"/>
    <x v="0"/>
    <x v="6"/>
    <x v="16"/>
    <n v="0"/>
  </r>
  <r>
    <x v="2"/>
    <x v="6"/>
    <x v="123"/>
    <s v="kanchengkai"/>
    <s v="2024-08-23"/>
    <n v="267"/>
    <n v="102"/>
    <n v="0.3820224719101123"/>
    <n v="53"/>
    <n v="25"/>
    <n v="15"/>
    <n v="1"/>
    <n v="62.88333333333333"/>
    <n v="0"/>
    <n v="0"/>
    <n v="0"/>
    <n v="0"/>
    <x v="0"/>
    <x v="6"/>
    <x v="16"/>
    <n v="0"/>
  </r>
  <r>
    <x v="2"/>
    <x v="6"/>
    <x v="124"/>
    <s v="sunqizhi"/>
    <s v="2024-07-22"/>
    <n v="353"/>
    <n v="137"/>
    <n v="0.3881019830028329"/>
    <n v="54"/>
    <n v="38"/>
    <n v="22"/>
    <n v="0"/>
    <n v="75.46666666666667"/>
    <n v="0"/>
    <n v="0"/>
    <n v="0"/>
    <n v="0"/>
    <x v="0"/>
    <x v="2"/>
    <x v="16"/>
    <n v="0"/>
  </r>
  <r>
    <x v="2"/>
    <x v="6"/>
    <x v="125"/>
    <s v="zhangchonghao"/>
    <s v="2024-07-08"/>
    <n v="127"/>
    <n v="31"/>
    <n v="0.2440944881889764"/>
    <n v="20"/>
    <n v="18"/>
    <n v="8"/>
    <n v="1"/>
    <n v="28.21666666666667"/>
    <n v="0"/>
    <n v="0"/>
    <n v="0"/>
    <n v="0"/>
    <x v="0"/>
    <x v="2"/>
    <x v="16"/>
    <n v="0"/>
  </r>
  <r>
    <x v="2"/>
    <x v="6"/>
    <x v="126"/>
    <s v="lizepeng03"/>
    <s v="2021-07-22"/>
    <n v="191"/>
    <n v="45"/>
    <n v="0.2356020942408377"/>
    <n v="26"/>
    <n v="23"/>
    <n v="5"/>
    <n v="1"/>
    <n v="31.35"/>
    <n v="0"/>
    <n v="0"/>
    <n v="0"/>
    <n v="0"/>
    <x v="0"/>
    <x v="4"/>
    <x v="16"/>
    <n v="1"/>
  </r>
  <r>
    <x v="2"/>
    <x v="6"/>
    <x v="127"/>
    <s v="zhangchengchao02"/>
    <s v="2024-06-03"/>
    <n v="136"/>
    <n v="62"/>
    <n v="0.4558823529411765"/>
    <n v="31"/>
    <n v="25"/>
    <n v="11"/>
    <n v="1"/>
    <n v="43.51666666666667"/>
    <n v="0"/>
    <n v="0"/>
    <n v="0"/>
    <n v="0"/>
    <x v="0"/>
    <x v="2"/>
    <x v="16"/>
    <n v="0"/>
  </r>
  <r>
    <x v="2"/>
    <x v="6"/>
    <x v="128"/>
    <s v="gaojiahao03"/>
    <s v="2024-05-15"/>
    <n v="143"/>
    <n v="57"/>
    <n v="0.3986013986013986"/>
    <n v="39"/>
    <n v="24"/>
    <n v="15"/>
    <n v="0"/>
    <n v="40.98333333333333"/>
    <n v="0"/>
    <n v="0"/>
    <n v="0"/>
    <n v="0"/>
    <x v="0"/>
    <x v="3"/>
    <x v="16"/>
    <n v="0"/>
  </r>
  <r>
    <x v="2"/>
    <x v="6"/>
    <x v="129"/>
    <s v="mengxulei"/>
    <s v="2022-02-10"/>
    <n v="118"/>
    <n v="49"/>
    <n v="0.4152542372881356"/>
    <n v="18"/>
    <n v="15"/>
    <n v="11"/>
    <n v="3"/>
    <n v="38.84999999999999"/>
    <n v="0"/>
    <n v="0"/>
    <n v="0"/>
    <n v="0"/>
    <x v="0"/>
    <x v="5"/>
    <x v="16"/>
    <n v="0"/>
  </r>
  <r>
    <x v="2"/>
    <x v="6"/>
    <x v="130"/>
    <s v="linshuangyang"/>
    <s v="2024-03-19"/>
    <n v="204"/>
    <n v="78"/>
    <n v="0.3823529411764706"/>
    <n v="39"/>
    <n v="30"/>
    <n v="16"/>
    <n v="2"/>
    <n v="56.48333333333333"/>
    <n v="0"/>
    <n v="0"/>
    <n v="0"/>
    <n v="0"/>
    <x v="0"/>
    <x v="3"/>
    <x v="16"/>
    <n v="1"/>
  </r>
  <r>
    <x v="2"/>
    <x v="6"/>
    <x v="131"/>
    <s v="liuhongqi"/>
    <s v="2023-07-10"/>
    <n v="194"/>
    <n v="79"/>
    <n v="0.4072164948453608"/>
    <n v="29"/>
    <n v="18"/>
    <n v="4"/>
    <n v="0"/>
    <n v="36.71666666666666"/>
    <n v="0"/>
    <n v="0"/>
    <n v="0"/>
    <n v="0"/>
    <x v="0"/>
    <x v="0"/>
    <x v="16"/>
    <n v="0"/>
  </r>
  <r>
    <x v="0"/>
    <x v="3"/>
    <x v="132"/>
    <s v="zhulinlin-qd"/>
    <s v="2015-11-24"/>
    <n v="1"/>
    <n v="1"/>
    <n v="1"/>
    <n v="0"/>
    <n v="0"/>
    <n v="0"/>
    <n v="0"/>
    <n v="0.2333333333333333"/>
    <n v="0"/>
    <n v="0"/>
    <n v="0"/>
    <n v="0"/>
    <x v="1"/>
    <x v="4"/>
    <x v="17"/>
    <n v="2"/>
  </r>
  <r>
    <x v="0"/>
    <x v="3"/>
    <x v="133"/>
    <s v="jiangqingwang"/>
    <s v="2024-07-10"/>
    <n v="0"/>
    <n v="0"/>
    <n v="0"/>
    <n v="0"/>
    <n v="0"/>
    <n v="0"/>
    <n v="0"/>
    <n v="0"/>
    <n v="0"/>
    <n v="0"/>
    <n v="0"/>
    <n v="0"/>
    <x v="1"/>
    <x v="2"/>
    <x v="17"/>
    <n v="0"/>
  </r>
  <r>
    <x v="1"/>
    <x v="3"/>
    <x v="134"/>
    <s v="chenxingang"/>
    <s v="2019-05-06"/>
    <n v="0"/>
    <n v="0"/>
    <n v="0"/>
    <n v="0"/>
    <n v="0"/>
    <n v="0"/>
    <n v="0"/>
    <n v="0"/>
    <n v="1"/>
    <n v="0"/>
    <n v="0"/>
    <n v="83"/>
    <x v="1"/>
    <x v="4"/>
    <x v="18"/>
    <n v="0"/>
  </r>
  <r>
    <x v="1"/>
    <x v="3"/>
    <x v="135"/>
    <s v="yinfuhong"/>
    <s v="2023-12-08"/>
    <n v="2"/>
    <n v="0"/>
    <n v="0"/>
    <n v="0"/>
    <n v="0"/>
    <n v="0"/>
    <n v="0"/>
    <n v="0"/>
    <n v="1"/>
    <n v="0"/>
    <n v="0"/>
    <n v="77"/>
    <x v="1"/>
    <x v="1"/>
    <x v="18"/>
    <n v="0"/>
  </r>
  <r>
    <x v="1"/>
    <x v="3"/>
    <x v="136"/>
    <s v="wuhaisong01"/>
    <s v="2024-08-21"/>
    <n v="23"/>
    <n v="8"/>
    <n v="0.3478260869565217"/>
    <n v="6"/>
    <n v="5"/>
    <n v="4"/>
    <n v="0"/>
    <n v="8.566666666666666"/>
    <n v="0"/>
    <n v="0"/>
    <n v="0"/>
    <n v="0"/>
    <x v="0"/>
    <x v="6"/>
    <x v="18"/>
    <n v="0"/>
  </r>
  <r>
    <x v="1"/>
    <x v="3"/>
    <x v="137"/>
    <s v="chenweigang"/>
    <s v="2022-11-24"/>
    <n v="8"/>
    <n v="4"/>
    <n v="0.5"/>
    <n v="3"/>
    <n v="3"/>
    <n v="3"/>
    <n v="1"/>
    <n v="9.199999999999999"/>
    <n v="1"/>
    <n v="1"/>
    <n v="1"/>
    <n v="41"/>
    <x v="0"/>
    <x v="0"/>
    <x v="18"/>
    <n v="0"/>
  </r>
  <r>
    <x v="1"/>
    <x v="3"/>
    <x v="138"/>
    <s v="xuzeping"/>
    <s v="2024-06-14"/>
    <n v="7"/>
    <n v="2"/>
    <n v="0.2857142857142857"/>
    <n v="2"/>
    <n v="1"/>
    <n v="1"/>
    <n v="0"/>
    <n v="2.283333333333334"/>
    <n v="2"/>
    <n v="0"/>
    <n v="0"/>
    <n v="87"/>
    <x v="0"/>
    <x v="2"/>
    <x v="18"/>
    <n v="0"/>
  </r>
  <r>
    <x v="1"/>
    <x v="3"/>
    <x v="139"/>
    <s v="maoamin"/>
    <s v="2020-07-02"/>
    <n v="170"/>
    <n v="53"/>
    <n v="0.3117647058823529"/>
    <n v="29"/>
    <n v="28"/>
    <n v="18"/>
    <n v="2"/>
    <n v="45.15"/>
    <n v="0"/>
    <n v="0"/>
    <n v="0"/>
    <n v="0"/>
    <x v="0"/>
    <x v="4"/>
    <x v="18"/>
    <n v="0"/>
  </r>
  <r>
    <x v="1"/>
    <x v="7"/>
    <x v="140"/>
    <s v="lidan23"/>
    <s v="2016-05-05"/>
    <n v="139"/>
    <n v="59"/>
    <n v="0.4244604316546763"/>
    <n v="27"/>
    <n v="15"/>
    <n v="14"/>
    <n v="5"/>
    <n v="47.63333333333333"/>
    <n v="0"/>
    <n v="0"/>
    <n v="0"/>
    <n v="0"/>
    <x v="0"/>
    <x v="4"/>
    <x v="19"/>
    <n v="0"/>
  </r>
  <r>
    <x v="1"/>
    <x v="7"/>
    <x v="141"/>
    <s v="chenlin42"/>
    <s v="2023-11-17"/>
    <n v="212"/>
    <n v="108"/>
    <n v="0.5094339622641509"/>
    <n v="36"/>
    <n v="24"/>
    <n v="9"/>
    <n v="3"/>
    <n v="59.51666666666667"/>
    <n v="0"/>
    <n v="0"/>
    <n v="0"/>
    <n v="0"/>
    <x v="0"/>
    <x v="1"/>
    <x v="19"/>
    <n v="0"/>
  </r>
  <r>
    <x v="1"/>
    <x v="7"/>
    <x v="142"/>
    <s v="chenli12"/>
    <s v="2017-07-03"/>
    <n v="194"/>
    <n v="85"/>
    <n v="0.4381443298969072"/>
    <n v="39"/>
    <n v="30"/>
    <n v="20"/>
    <n v="1"/>
    <n v="61.11666666666667"/>
    <n v="0"/>
    <n v="0"/>
    <n v="0"/>
    <n v="0"/>
    <x v="0"/>
    <x v="4"/>
    <x v="19"/>
    <n v="1"/>
  </r>
  <r>
    <x v="1"/>
    <x v="7"/>
    <x v="143"/>
    <s v="caoweiwei"/>
    <s v="2019-04-26"/>
    <n v="203"/>
    <n v="81"/>
    <n v="0.3990147783251232"/>
    <n v="36"/>
    <n v="26"/>
    <n v="11"/>
    <n v="0"/>
    <n v="44.38333333333333"/>
    <n v="0"/>
    <n v="0"/>
    <n v="0"/>
    <n v="0"/>
    <x v="0"/>
    <x v="4"/>
    <x v="19"/>
    <n v="0"/>
  </r>
  <r>
    <x v="1"/>
    <x v="7"/>
    <x v="144"/>
    <s v="yanhaodong"/>
    <s v="2022-02-24"/>
    <n v="149"/>
    <n v="70"/>
    <n v="0.4697986577181208"/>
    <n v="33"/>
    <n v="26"/>
    <n v="8"/>
    <n v="0"/>
    <n v="40.28333333333334"/>
    <n v="1"/>
    <n v="0"/>
    <n v="0"/>
    <n v="0"/>
    <x v="0"/>
    <x v="5"/>
    <x v="19"/>
    <n v="0"/>
  </r>
  <r>
    <x v="1"/>
    <x v="7"/>
    <x v="145"/>
    <s v="raoshan"/>
    <s v="2021-01-14"/>
    <n v="180"/>
    <n v="81"/>
    <n v="0.45"/>
    <n v="31"/>
    <n v="18"/>
    <n v="10"/>
    <n v="0"/>
    <n v="41.91666666666666"/>
    <n v="0"/>
    <n v="0"/>
    <n v="0"/>
    <n v="0"/>
    <x v="0"/>
    <x v="4"/>
    <x v="19"/>
    <n v="0"/>
  </r>
  <r>
    <x v="1"/>
    <x v="7"/>
    <x v="146"/>
    <s v="wangqinchao"/>
    <s v="2024-08-12"/>
    <n v="0"/>
    <n v="0"/>
    <n v="0"/>
    <n v="0"/>
    <n v="0"/>
    <n v="0"/>
    <n v="0"/>
    <n v="0"/>
    <n v="0"/>
    <n v="0"/>
    <n v="0"/>
    <n v="0"/>
    <x v="1"/>
    <x v="6"/>
    <x v="19"/>
    <n v="0"/>
  </r>
  <r>
    <x v="1"/>
    <x v="7"/>
    <x v="147"/>
    <s v="shizhongheng"/>
    <s v="2024-07-03"/>
    <n v="0"/>
    <n v="0"/>
    <n v="0"/>
    <n v="0"/>
    <n v="0"/>
    <n v="0"/>
    <n v="0"/>
    <n v="0"/>
    <n v="0"/>
    <n v="0"/>
    <n v="0"/>
    <n v="0"/>
    <x v="1"/>
    <x v="2"/>
    <x v="19"/>
    <n v="0"/>
  </r>
  <r>
    <x v="1"/>
    <x v="7"/>
    <x v="148"/>
    <s v="wangzhiwei15"/>
    <s v="2021-08-25"/>
    <n v="0"/>
    <n v="0"/>
    <n v="0"/>
    <n v="0"/>
    <n v="0"/>
    <n v="0"/>
    <n v="0"/>
    <n v="0"/>
    <n v="0"/>
    <n v="0"/>
    <n v="0"/>
    <n v="0"/>
    <x v="1"/>
    <x v="4"/>
    <x v="19"/>
    <n v="0"/>
  </r>
  <r>
    <x v="1"/>
    <x v="7"/>
    <x v="149"/>
    <s v="hejin03"/>
    <s v="2021-09-10"/>
    <n v="229"/>
    <n v="94"/>
    <n v="0.4104803493449782"/>
    <n v="25"/>
    <n v="21"/>
    <n v="8"/>
    <n v="0"/>
    <n v="40.45"/>
    <n v="0"/>
    <n v="0"/>
    <n v="0"/>
    <n v="0"/>
    <x v="0"/>
    <x v="5"/>
    <x v="19"/>
    <n v="0"/>
  </r>
  <r>
    <x v="1"/>
    <x v="7"/>
    <x v="150"/>
    <s v="songqian03"/>
    <s v="2024-07-01"/>
    <n v="0"/>
    <n v="0"/>
    <n v="0"/>
    <n v="0"/>
    <n v="0"/>
    <n v="0"/>
    <n v="0"/>
    <n v="0"/>
    <n v="0"/>
    <n v="0"/>
    <n v="0"/>
    <n v="0"/>
    <x v="1"/>
    <x v="2"/>
    <x v="19"/>
    <n v="0"/>
  </r>
  <r>
    <x v="1"/>
    <x v="7"/>
    <x v="151"/>
    <s v="jixintong"/>
    <s v="2024-05-27"/>
    <n v="59"/>
    <n v="33"/>
    <n v="0.559322033898305"/>
    <n v="10"/>
    <n v="9"/>
    <n v="6"/>
    <n v="0"/>
    <n v="17.91666666666667"/>
    <n v="0"/>
    <n v="0"/>
    <n v="0"/>
    <n v="0"/>
    <x v="1"/>
    <x v="3"/>
    <x v="19"/>
    <n v="1"/>
  </r>
  <r>
    <x v="1"/>
    <x v="7"/>
    <x v="152"/>
    <s v="zhanghenan01"/>
    <s v="2024-05-08"/>
    <n v="152"/>
    <n v="73"/>
    <n v="0.4802631578947368"/>
    <n v="40"/>
    <n v="34"/>
    <n v="20"/>
    <n v="0"/>
    <n v="55.11666666666667"/>
    <n v="0"/>
    <n v="0"/>
    <n v="0"/>
    <n v="0"/>
    <x v="0"/>
    <x v="3"/>
    <x v="19"/>
    <n v="0"/>
  </r>
  <r>
    <x v="2"/>
    <x v="7"/>
    <x v="153"/>
    <s v="zhouwanbiao"/>
    <s v="2016-12-12"/>
    <n v="175"/>
    <n v="86"/>
    <n v="0.4914285714285714"/>
    <n v="45"/>
    <n v="36"/>
    <n v="16"/>
    <n v="2"/>
    <n v="61.36666666666667"/>
    <n v="0"/>
    <n v="0"/>
    <n v="0"/>
    <n v="0"/>
    <x v="0"/>
    <x v="4"/>
    <x v="20"/>
    <n v="2"/>
  </r>
  <r>
    <x v="2"/>
    <x v="7"/>
    <x v="154"/>
    <s v="zuchengda"/>
    <s v="2024-08-22"/>
    <n v="170"/>
    <n v="80"/>
    <n v="0.4705882352941176"/>
    <n v="31"/>
    <n v="23"/>
    <n v="13"/>
    <n v="1"/>
    <n v="47.53333333333334"/>
    <n v="0"/>
    <n v="0"/>
    <n v="0"/>
    <n v="0"/>
    <x v="0"/>
    <x v="6"/>
    <x v="20"/>
    <n v="1"/>
  </r>
  <r>
    <x v="2"/>
    <x v="7"/>
    <x v="155"/>
    <s v="miliguo"/>
    <s v="2019-06-26"/>
    <n v="139"/>
    <n v="66"/>
    <n v="0.4748201438848921"/>
    <n v="29"/>
    <n v="22"/>
    <n v="14"/>
    <n v="3"/>
    <n v="54.53333333333333"/>
    <n v="0"/>
    <n v="0"/>
    <n v="0"/>
    <n v="0"/>
    <x v="0"/>
    <x v="4"/>
    <x v="20"/>
    <n v="0"/>
  </r>
  <r>
    <x v="2"/>
    <x v="7"/>
    <x v="156"/>
    <s v="kanyingbo"/>
    <s v="2024-01-02"/>
    <n v="146"/>
    <n v="65"/>
    <n v="0.4452054794520548"/>
    <n v="37"/>
    <n v="28"/>
    <n v="19"/>
    <n v="3"/>
    <n v="56.3"/>
    <n v="0"/>
    <n v="0"/>
    <n v="0"/>
    <n v="0"/>
    <x v="0"/>
    <x v="1"/>
    <x v="20"/>
    <n v="2"/>
  </r>
  <r>
    <x v="2"/>
    <x v="7"/>
    <x v="157"/>
    <s v="wanglingxiao02"/>
    <s v="2023-12-04"/>
    <n v="82"/>
    <n v="35"/>
    <n v="0.4268292682926829"/>
    <n v="20"/>
    <n v="15"/>
    <n v="11"/>
    <n v="1"/>
    <n v="26.55"/>
    <n v="1"/>
    <n v="0"/>
    <n v="0"/>
    <n v="0"/>
    <x v="0"/>
    <x v="1"/>
    <x v="20"/>
    <n v="1"/>
  </r>
  <r>
    <x v="2"/>
    <x v="7"/>
    <x v="158"/>
    <s v="qujunyi"/>
    <s v="2023-11-28"/>
    <n v="201"/>
    <n v="74"/>
    <n v="0.3681592039800995"/>
    <n v="31"/>
    <n v="22"/>
    <n v="12"/>
    <n v="3"/>
    <n v="54.61666666666667"/>
    <n v="0"/>
    <n v="0"/>
    <n v="0"/>
    <n v="0"/>
    <x v="0"/>
    <x v="1"/>
    <x v="20"/>
    <n v="3"/>
  </r>
  <r>
    <x v="2"/>
    <x v="7"/>
    <x v="159"/>
    <s v="wangchongya"/>
    <s v="2023-09-15"/>
    <n v="164"/>
    <n v="63"/>
    <n v="0.3841463414634146"/>
    <n v="32"/>
    <n v="25"/>
    <n v="14"/>
    <n v="0"/>
    <n v="40.98333333333333"/>
    <n v="0"/>
    <n v="0"/>
    <n v="0"/>
    <n v="0"/>
    <x v="0"/>
    <x v="1"/>
    <x v="20"/>
    <n v="0"/>
  </r>
  <r>
    <x v="2"/>
    <x v="7"/>
    <x v="160"/>
    <s v="zhangyoujin"/>
    <s v="2021-03-17"/>
    <n v="50"/>
    <n v="19"/>
    <n v="0.38"/>
    <n v="9"/>
    <n v="7"/>
    <n v="6"/>
    <n v="0"/>
    <n v="12.98333333333333"/>
    <n v="1"/>
    <n v="0"/>
    <n v="0"/>
    <n v="77"/>
    <x v="0"/>
    <x v="4"/>
    <x v="20"/>
    <n v="1"/>
  </r>
  <r>
    <x v="0"/>
    <x v="5"/>
    <x v="161"/>
    <s v="fangzhengjie01"/>
    <s v="2023-07-17"/>
    <n v="105"/>
    <n v="48"/>
    <n v="0.4571428571428571"/>
    <n v="18"/>
    <n v="12"/>
    <n v="7"/>
    <n v="1"/>
    <n v="26.81666666666667"/>
    <n v="0"/>
    <n v="0"/>
    <n v="0"/>
    <n v="0"/>
    <x v="0"/>
    <x v="0"/>
    <x v="21"/>
    <n v="0"/>
  </r>
  <r>
    <x v="0"/>
    <x v="5"/>
    <x v="162"/>
    <s v="lixianpeng"/>
    <s v="2024-07-01"/>
    <n v="169"/>
    <n v="72"/>
    <n v="0.4260355029585799"/>
    <n v="43"/>
    <n v="35"/>
    <n v="22"/>
    <n v="5"/>
    <n v="82.36666666666667"/>
    <n v="0"/>
    <n v="0"/>
    <n v="0"/>
    <n v="0"/>
    <x v="0"/>
    <x v="2"/>
    <x v="21"/>
    <n v="1"/>
  </r>
  <r>
    <x v="0"/>
    <x v="5"/>
    <x v="163"/>
    <s v="qinjihang"/>
    <s v="2024-08-22"/>
    <n v="177"/>
    <n v="90"/>
    <n v="0.5084745762711864"/>
    <n v="15"/>
    <n v="6"/>
    <n v="3"/>
    <n v="0"/>
    <n v="35.03333333333333"/>
    <n v="0"/>
    <n v="0"/>
    <n v="0"/>
    <n v="0"/>
    <x v="0"/>
    <x v="6"/>
    <x v="21"/>
    <n v="0"/>
  </r>
  <r>
    <x v="0"/>
    <x v="5"/>
    <x v="164"/>
    <s v="zuoyidi"/>
    <s v="2024-08-01"/>
    <n v="0"/>
    <n v="0"/>
    <n v="0"/>
    <n v="0"/>
    <n v="0"/>
    <n v="0"/>
    <n v="0"/>
    <n v="0"/>
    <n v="0"/>
    <n v="0"/>
    <n v="0"/>
    <n v="0"/>
    <x v="1"/>
    <x v="6"/>
    <x v="21"/>
    <n v="0"/>
  </r>
  <r>
    <x v="0"/>
    <x v="5"/>
    <x v="165"/>
    <s v="liuxu47"/>
    <s v="2024-07-01"/>
    <n v="134"/>
    <n v="68"/>
    <n v="0.5074626865671642"/>
    <n v="35"/>
    <n v="28"/>
    <n v="17"/>
    <n v="2"/>
    <n v="56.36666666666667"/>
    <n v="0"/>
    <n v="0"/>
    <n v="0"/>
    <n v="0"/>
    <x v="0"/>
    <x v="2"/>
    <x v="21"/>
    <n v="0"/>
  </r>
  <r>
    <x v="0"/>
    <x v="5"/>
    <x v="166"/>
    <s v="chenxijin"/>
    <s v="2024-07-01"/>
    <n v="206"/>
    <n v="105"/>
    <n v="0.5097087378640777"/>
    <n v="53"/>
    <n v="39"/>
    <n v="27"/>
    <n v="4"/>
    <n v="87.63333333333334"/>
    <n v="0"/>
    <n v="0"/>
    <n v="0"/>
    <n v="0"/>
    <x v="0"/>
    <x v="2"/>
    <x v="21"/>
    <n v="0"/>
  </r>
  <r>
    <x v="0"/>
    <x v="5"/>
    <x v="167"/>
    <s v="renyanqing"/>
    <s v="2024-06-03"/>
    <n v="0"/>
    <n v="0"/>
    <n v="0"/>
    <n v="0"/>
    <n v="0"/>
    <n v="0"/>
    <n v="0"/>
    <n v="0"/>
    <n v="0"/>
    <n v="0"/>
    <n v="0"/>
    <n v="0"/>
    <x v="1"/>
    <x v="2"/>
    <x v="21"/>
    <n v="0"/>
  </r>
  <r>
    <x v="0"/>
    <x v="5"/>
    <x v="168"/>
    <s v="caokejing"/>
    <s v="2022-03-09"/>
    <n v="190"/>
    <n v="99"/>
    <n v="0.5210526315789473"/>
    <n v="25"/>
    <n v="22"/>
    <n v="7"/>
    <n v="0"/>
    <n v="40.55"/>
    <n v="0"/>
    <n v="0"/>
    <n v="0"/>
    <n v="0"/>
    <x v="0"/>
    <x v="5"/>
    <x v="21"/>
    <n v="0"/>
  </r>
  <r>
    <x v="0"/>
    <x v="5"/>
    <x v="169"/>
    <s v="zhangxinyu37"/>
    <s v="2024-01-17"/>
    <n v="255"/>
    <n v="102"/>
    <n v="0.4"/>
    <n v="41"/>
    <n v="32"/>
    <n v="13"/>
    <n v="1"/>
    <n v="56"/>
    <n v="0"/>
    <n v="0"/>
    <n v="0"/>
    <n v="0"/>
    <x v="0"/>
    <x v="1"/>
    <x v="21"/>
    <n v="0"/>
  </r>
  <r>
    <x v="0"/>
    <x v="5"/>
    <x v="170"/>
    <s v="lianyujie"/>
    <s v="2023-10-08"/>
    <n v="79"/>
    <n v="28"/>
    <n v="0.3544303797468354"/>
    <n v="15"/>
    <n v="11"/>
    <n v="6"/>
    <n v="1"/>
    <n v="25.9"/>
    <n v="1"/>
    <n v="0"/>
    <n v="0"/>
    <n v="43"/>
    <x v="0"/>
    <x v="1"/>
    <x v="21"/>
    <n v="0"/>
  </r>
  <r>
    <x v="0"/>
    <x v="5"/>
    <x v="171"/>
    <s v="chenjinghao02"/>
    <s v="2023-07-19"/>
    <n v="120"/>
    <n v="57"/>
    <n v="0.475"/>
    <n v="28"/>
    <n v="16"/>
    <n v="10"/>
    <n v="0"/>
    <n v="34.56666666666667"/>
    <n v="0"/>
    <n v="0"/>
    <n v="0"/>
    <n v="0"/>
    <x v="0"/>
    <x v="0"/>
    <x v="21"/>
    <n v="0"/>
  </r>
  <r>
    <x v="0"/>
    <x v="6"/>
    <x v="172"/>
    <s v="zhaoruizhuang"/>
    <s v="2024-07-02"/>
    <n v="1"/>
    <n v="1"/>
    <n v="1"/>
    <n v="0"/>
    <n v="0"/>
    <n v="0"/>
    <n v="0"/>
    <n v="0.2166666666666666"/>
    <n v="0"/>
    <n v="0"/>
    <n v="0"/>
    <n v="0"/>
    <x v="1"/>
    <x v="2"/>
    <x v="22"/>
    <n v="0"/>
  </r>
  <r>
    <x v="0"/>
    <x v="6"/>
    <x v="173"/>
    <s v="wangliansheng"/>
    <s v="2024-07-01"/>
    <n v="97"/>
    <n v="39"/>
    <n v="0.4020618556701031"/>
    <n v="13"/>
    <n v="11"/>
    <n v="4"/>
    <n v="1"/>
    <n v="21.08333333333333"/>
    <n v="1"/>
    <n v="0"/>
    <n v="0"/>
    <n v="142"/>
    <x v="0"/>
    <x v="2"/>
    <x v="22"/>
    <n v="2"/>
  </r>
  <r>
    <x v="0"/>
    <x v="6"/>
    <x v="174"/>
    <s v="liuzhihao08"/>
    <s v="2024-05-15"/>
    <n v="218"/>
    <n v="106"/>
    <n v="0.4862385321100918"/>
    <n v="33"/>
    <n v="30"/>
    <n v="16"/>
    <n v="4"/>
    <n v="74.38333333333333"/>
    <n v="0"/>
    <n v="0"/>
    <n v="0"/>
    <n v="0"/>
    <x v="0"/>
    <x v="3"/>
    <x v="22"/>
    <n v="4"/>
  </r>
  <r>
    <x v="0"/>
    <x v="6"/>
    <x v="175"/>
    <s v="nueglneahmt"/>
    <s v="2024-07-02"/>
    <n v="0"/>
    <n v="0"/>
    <n v="0"/>
    <n v="0"/>
    <n v="0"/>
    <n v="0"/>
    <n v="0"/>
    <n v="0"/>
    <n v="0"/>
    <n v="0"/>
    <n v="0"/>
    <n v="0"/>
    <x v="1"/>
    <x v="2"/>
    <x v="22"/>
    <n v="0"/>
  </r>
  <r>
    <x v="0"/>
    <x v="6"/>
    <x v="176"/>
    <s v="renfengjiang"/>
    <s v="2024-08-14"/>
    <n v="200"/>
    <n v="75"/>
    <n v="0.375"/>
    <n v="31"/>
    <n v="15"/>
    <n v="6"/>
    <n v="0"/>
    <n v="34.8"/>
    <n v="0"/>
    <n v="0"/>
    <n v="0"/>
    <n v="0"/>
    <x v="0"/>
    <x v="6"/>
    <x v="22"/>
    <n v="1"/>
  </r>
  <r>
    <x v="0"/>
    <x v="6"/>
    <x v="177"/>
    <s v="jinxin33"/>
    <s v="2024-07-29"/>
    <n v="254"/>
    <n v="121"/>
    <n v="0.4763779527559055"/>
    <n v="68"/>
    <n v="52"/>
    <n v="27"/>
    <n v="1"/>
    <n v="90.43333333333334"/>
    <n v="0"/>
    <n v="0"/>
    <n v="0"/>
    <n v="0"/>
    <x v="0"/>
    <x v="2"/>
    <x v="22"/>
    <n v="0"/>
  </r>
  <r>
    <x v="0"/>
    <x v="6"/>
    <x v="178"/>
    <s v="lishunxin"/>
    <s v="2024-07-23"/>
    <n v="0"/>
    <n v="0"/>
    <n v="0"/>
    <n v="0"/>
    <n v="0"/>
    <n v="0"/>
    <n v="0"/>
    <n v="0"/>
    <n v="0"/>
    <n v="0"/>
    <n v="0"/>
    <n v="0"/>
    <x v="1"/>
    <x v="2"/>
    <x v="22"/>
    <n v="0"/>
  </r>
  <r>
    <x v="0"/>
    <x v="6"/>
    <x v="179"/>
    <s v="liuxinyu26"/>
    <s v="2024-07-10"/>
    <n v="0"/>
    <n v="0"/>
    <n v="0"/>
    <n v="0"/>
    <n v="0"/>
    <n v="0"/>
    <n v="0"/>
    <n v="0"/>
    <n v="0"/>
    <n v="0"/>
    <n v="0"/>
    <n v="0"/>
    <x v="1"/>
    <x v="2"/>
    <x v="22"/>
    <n v="0"/>
  </r>
  <r>
    <x v="0"/>
    <x v="6"/>
    <x v="180"/>
    <s v="lihuaibin"/>
    <s v="2024-07-02"/>
    <n v="170"/>
    <n v="70"/>
    <n v="0.4117647058823529"/>
    <n v="30"/>
    <n v="19"/>
    <n v="10"/>
    <n v="1"/>
    <n v="39.21666666666667"/>
    <n v="0"/>
    <n v="0"/>
    <n v="0"/>
    <n v="0"/>
    <x v="0"/>
    <x v="2"/>
    <x v="22"/>
    <n v="0"/>
  </r>
  <r>
    <x v="1"/>
    <x v="8"/>
    <x v="181"/>
    <s v="zhanghualing"/>
    <s v="2024-07-03"/>
    <n v="101"/>
    <n v="56"/>
    <n v="0.5544554455445545"/>
    <n v="27"/>
    <n v="20"/>
    <n v="10"/>
    <n v="0"/>
    <n v="37.61666666666667"/>
    <n v="0"/>
    <n v="0"/>
    <n v="0"/>
    <n v="0"/>
    <x v="0"/>
    <x v="2"/>
    <x v="23"/>
    <n v="1"/>
  </r>
  <r>
    <x v="1"/>
    <x v="8"/>
    <x v="182"/>
    <s v="zhenglingnan-hz"/>
    <s v="2017-08-07"/>
    <n v="130"/>
    <n v="63"/>
    <n v="0.4846153846153846"/>
    <n v="33"/>
    <n v="26"/>
    <n v="17"/>
    <n v="2"/>
    <n v="48.01666666666667"/>
    <n v="0"/>
    <n v="0"/>
    <n v="0"/>
    <n v="0"/>
    <x v="0"/>
    <x v="4"/>
    <x v="23"/>
    <n v="0"/>
  </r>
  <r>
    <x v="1"/>
    <x v="8"/>
    <x v="183"/>
    <s v="lideniu"/>
    <s v="2024-04-01"/>
    <n v="45"/>
    <n v="21"/>
    <n v="0.4666666666666667"/>
    <n v="6"/>
    <n v="5"/>
    <n v="4"/>
    <n v="0"/>
    <n v="11.2"/>
    <n v="0"/>
    <n v="0"/>
    <n v="0"/>
    <n v="0"/>
    <x v="0"/>
    <x v="3"/>
    <x v="23"/>
    <n v="0"/>
  </r>
  <r>
    <x v="1"/>
    <x v="8"/>
    <x v="184"/>
    <s v="zhuhexiang"/>
    <s v="2020-05-15"/>
    <n v="134"/>
    <n v="67"/>
    <n v="0.5"/>
    <n v="25"/>
    <n v="22"/>
    <n v="7"/>
    <n v="0"/>
    <n v="32.11666666666667"/>
    <n v="0"/>
    <n v="0"/>
    <n v="0"/>
    <n v="0"/>
    <x v="0"/>
    <x v="4"/>
    <x v="23"/>
    <n v="2"/>
  </r>
  <r>
    <x v="1"/>
    <x v="8"/>
    <x v="185"/>
    <s v="xiadijie"/>
    <s v="2024-05-27"/>
    <n v="0"/>
    <n v="0"/>
    <n v="0"/>
    <n v="0"/>
    <n v="0"/>
    <n v="0"/>
    <n v="0"/>
    <n v="0"/>
    <n v="0"/>
    <n v="0"/>
    <n v="0"/>
    <n v="0"/>
    <x v="1"/>
    <x v="3"/>
    <x v="23"/>
    <n v="0"/>
  </r>
  <r>
    <x v="1"/>
    <x v="8"/>
    <x v="186"/>
    <s v="wujiahui06"/>
    <s v="2024-06-14"/>
    <n v="120"/>
    <n v="55"/>
    <n v="0.4583333333333333"/>
    <n v="23"/>
    <n v="19"/>
    <n v="9"/>
    <n v="0"/>
    <n v="32.41666666666666"/>
    <n v="0"/>
    <n v="0"/>
    <n v="0"/>
    <n v="0"/>
    <x v="0"/>
    <x v="2"/>
    <x v="23"/>
    <n v="0"/>
  </r>
  <r>
    <x v="1"/>
    <x v="8"/>
    <x v="187"/>
    <s v="laiyouhui"/>
    <s v="2024-06-19"/>
    <n v="140"/>
    <n v="69"/>
    <n v="0.4928571428571429"/>
    <n v="29"/>
    <n v="23"/>
    <n v="11"/>
    <n v="2"/>
    <n v="44.75"/>
    <n v="0"/>
    <n v="0"/>
    <n v="0"/>
    <n v="0"/>
    <x v="0"/>
    <x v="2"/>
    <x v="23"/>
    <n v="0"/>
  </r>
  <r>
    <x v="1"/>
    <x v="8"/>
    <x v="188"/>
    <s v="qiaoyitao"/>
    <s v="2024-08-21"/>
    <n v="0"/>
    <n v="0"/>
    <n v="0"/>
    <n v="0"/>
    <n v="0"/>
    <n v="0"/>
    <n v="0"/>
    <n v="0"/>
    <n v="0"/>
    <n v="0"/>
    <n v="0"/>
    <n v="0"/>
    <x v="1"/>
    <x v="6"/>
    <x v="23"/>
    <n v="0"/>
  </r>
  <r>
    <x v="1"/>
    <x v="8"/>
    <x v="189"/>
    <s v="panglin01"/>
    <s v="2024-07-10"/>
    <n v="90"/>
    <n v="39"/>
    <n v="0.4333333333333333"/>
    <n v="15"/>
    <n v="9"/>
    <n v="6"/>
    <n v="1"/>
    <n v="25.23333333333333"/>
    <n v="0"/>
    <n v="0"/>
    <n v="0"/>
    <n v="0"/>
    <x v="0"/>
    <x v="2"/>
    <x v="23"/>
    <n v="0"/>
  </r>
  <r>
    <x v="1"/>
    <x v="8"/>
    <x v="190"/>
    <s v="jiatingting"/>
    <s v="2024-07-08"/>
    <n v="70"/>
    <n v="38"/>
    <n v="0.5428571428571428"/>
    <n v="21"/>
    <n v="16"/>
    <n v="9"/>
    <n v="1"/>
    <n v="29.16666666666667"/>
    <n v="0"/>
    <n v="0"/>
    <n v="0"/>
    <n v="0"/>
    <x v="0"/>
    <x v="2"/>
    <x v="23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2" cacheId="0" autoFormatId="1" applyNumberFormats="0" applyBorderFormats="0" applyFontFormats="0" applyPatternFormats="0" applyAlignmentFormats="0" applyWidthHeightFormats="1" dataCaption="值" updatedVersion="7" minRefreshableVersion="3" createdVersion="5" useAutoFormatting="1" rowGrandTotals="0" colGrandTotals="0" compact="0" indent="0" compactData="0" showDrill="0" multipleFieldFilters="0">
  <location ref="A4:L42" firstHeaderRow="0" firstDataRow="1" firstDataCol="4" rowPageCount="2" colPageCount="1"/>
  <pivotFields count="22">
    <pivotField axis="axisPage" compact="0" defaultSubtotal="0" outline="0" multipleItemSelectionAllowed="1" showAll="0">
      <items count="4">
        <item h="1" x="1"/>
        <item x="2"/>
        <item h="1" x="0"/>
        <item h="1" m="1" x="3"/>
      </items>
    </pivotField>
    <pivotField axis="axisRow" name="部门" compact="0" sortType="ascending" defaultSubtotal="0" outline="0" multipleItemSelectionAllowed="1" showAll="0">
      <items count="10">
        <item x="7"/>
        <item x="5"/>
        <item x="6"/>
        <item x="2"/>
        <item x="8"/>
        <item x="0"/>
        <item h="1" x="4"/>
        <item h="1" x="3"/>
        <item h="1" x="1"/>
        <item m="1" x="9"/>
      </items>
    </pivotField>
    <pivotField axis="axisRow" name="销售" compact="0" defaultSubtotal="0" outline="0" multipleItemSelectionAllowed="1" showAll="0">
      <items count="231">
        <item m="1" x="216"/>
        <item x="35"/>
        <item x="168"/>
        <item x="143"/>
        <item m="1" x="208"/>
        <item x="67"/>
        <item x="171"/>
        <item x="142"/>
        <item x="141"/>
        <item m="1" x="213"/>
        <item x="137"/>
        <item x="166"/>
        <item x="134"/>
        <item x="93"/>
        <item x="114"/>
        <item x="72"/>
        <item x="105"/>
        <item m="1" x="218"/>
        <item x="59"/>
        <item m="1" x="206"/>
        <item x="81"/>
        <item x="56"/>
        <item x="98"/>
        <item x="70"/>
        <item m="1" x="192"/>
        <item x="161"/>
        <item x="128"/>
        <item x="15"/>
        <item x="57"/>
        <item x="91"/>
        <item x="25"/>
        <item x="22"/>
        <item x="149"/>
        <item x="46"/>
        <item m="1" x="215"/>
        <item x="78"/>
        <item x="47"/>
        <item x="20"/>
        <item x="19"/>
        <item x="14"/>
        <item x="151"/>
        <item x="108"/>
        <item x="118"/>
        <item m="1" x="224"/>
        <item x="8"/>
        <item x="21"/>
        <item x="156"/>
        <item x="187"/>
        <item x="140"/>
        <item x="183"/>
        <item x="180"/>
        <item x="49"/>
        <item x="50"/>
        <item x="94"/>
        <item x="99"/>
        <item x="162"/>
        <item x="0"/>
        <item x="126"/>
        <item m="1" x="209"/>
        <item x="170"/>
        <item x="130"/>
        <item m="1" x="200"/>
        <item x="32"/>
        <item m="1" x="228"/>
        <item x="111"/>
        <item x="131"/>
        <item x="16"/>
        <item x="119"/>
        <item m="1" x="230"/>
        <item m="1" x="194"/>
        <item x="79"/>
        <item x="7"/>
        <item x="165"/>
        <item x="87"/>
        <item x="89"/>
        <item x="86"/>
        <item x="174"/>
        <item x="40"/>
        <item x="107"/>
        <item x="139"/>
        <item x="129"/>
        <item x="155"/>
        <item x="175"/>
        <item x="96"/>
        <item x="75"/>
        <item x="11"/>
        <item x="158"/>
        <item x="84"/>
        <item x="58"/>
        <item x="145"/>
        <item x="167"/>
        <item x="147"/>
        <item m="1" x="219"/>
        <item x="150"/>
        <item x="77"/>
        <item x="113"/>
        <item x="100"/>
        <item x="3"/>
        <item x="24"/>
        <item x="17"/>
        <item x="116"/>
        <item x="121"/>
        <item x="110"/>
        <item x="42"/>
        <item x="90"/>
        <item x="92"/>
        <item m="1" x="226"/>
        <item x="33"/>
        <item m="1" x="221"/>
        <item x="159"/>
        <item m="1" x="198"/>
        <item x="115"/>
        <item m="1" x="191"/>
        <item x="173"/>
        <item x="26"/>
        <item x="157"/>
        <item x="18"/>
        <item m="1" x="227"/>
        <item x="148"/>
        <item x="5"/>
        <item x="48"/>
        <item m="1" x="201"/>
        <item m="1" x="196"/>
        <item x="186"/>
        <item m="1" x="207"/>
        <item x="43"/>
        <item m="1" x="225"/>
        <item x="185"/>
        <item x="13"/>
        <item x="9"/>
        <item x="76"/>
        <item m="1" x="197"/>
        <item x="23"/>
        <item x="138"/>
        <item x="88"/>
        <item x="73"/>
        <item x="34"/>
        <item x="144"/>
        <item x="83"/>
        <item m="1" x="202"/>
        <item x="80"/>
        <item x="6"/>
        <item x="69"/>
        <item x="52"/>
        <item x="82"/>
        <item x="38"/>
        <item x="10"/>
        <item m="1" x="222"/>
        <item x="135"/>
        <item x="51"/>
        <item m="1" x="199"/>
        <item x="12"/>
        <item x="68"/>
        <item x="41"/>
        <item x="127"/>
        <item x="152"/>
        <item x="53"/>
        <item x="181"/>
        <item x="74"/>
        <item m="1" x="195"/>
        <item x="117"/>
        <item x="39"/>
        <item m="1" x="203"/>
        <item x="169"/>
        <item x="1"/>
        <item x="27"/>
        <item m="1" x="220"/>
        <item x="160"/>
        <item x="172"/>
        <item x="109"/>
        <item x="2"/>
        <item x="85"/>
        <item x="71"/>
        <item x="182"/>
        <item x="153"/>
        <item x="112"/>
        <item x="184"/>
        <item x="132"/>
        <item m="1" x="210"/>
        <item x="190"/>
        <item x="54"/>
        <item x="28"/>
        <item m="1" x="212"/>
        <item x="125"/>
        <item x="189"/>
        <item x="55"/>
        <item x="179"/>
        <item x="133"/>
        <item x="60"/>
        <item x="61"/>
        <item m="1" x="214"/>
        <item m="1" x="204"/>
        <item x="106"/>
        <item m="1" x="193"/>
        <item m="1" x="223"/>
        <item m="1" x="217"/>
        <item m="1" x="229"/>
        <item x="66"/>
        <item x="101"/>
        <item x="29"/>
        <item x="62"/>
        <item x="63"/>
        <item x="124"/>
        <item x="64"/>
        <item x="4"/>
        <item x="97"/>
        <item x="178"/>
        <item x="102"/>
        <item x="30"/>
        <item x="36"/>
        <item x="177"/>
        <item x="164"/>
        <item x="37"/>
        <item m="1" x="205"/>
        <item m="1" x="211"/>
        <item x="45"/>
        <item x="146"/>
        <item x="95"/>
        <item x="176"/>
        <item x="65"/>
        <item x="44"/>
        <item x="188"/>
        <item x="136"/>
        <item x="103"/>
        <item x="104"/>
        <item x="120"/>
        <item x="163"/>
        <item x="154"/>
        <item x="123"/>
        <item x="122"/>
        <item x="31"/>
      </items>
    </pivotField>
    <pivotField compact="0" defaultSubtotal="0" outline="0" showAll="0"/>
    <pivotField compact="0" defaultSubtotal="0" outline="0" showAll="0"/>
    <pivotField dataField="1" compact="0" defaultSubtotal="0" outline="0" showAll="0"/>
    <pivotField dataField="1" compact="0" defaultSubtotal="0" outline="0" showAll="0"/>
    <pivotField dataField="1" compact="0" defaultSubtotal="0" outline="0" subtotalTop="0" showAll="0"/>
    <pivotField compact="0" defaultSubtotal="0" outline="0" showAll="0"/>
    <pivotField compact="0" defaultSubtotal="0" outline="0" showAll="0"/>
    <pivotField dataField="1" compact="0" defaultSubtotal="0" outline="0" showAll="0"/>
    <pivotField dataField="1" compact="0" defaultSubtotal="0" outline="0" showAll="0"/>
    <pivotField dataField="1"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  <pivotField axis="axisPage" compact="0" outline="0" subtotalTop="0" multipleItemSelectionAllowed="1" showAll="0">
      <items count="3">
        <item h="1" x="1"/>
        <item x="0"/>
        <item t="default"/>
      </items>
    </pivotField>
    <pivotField axis="axisRow" name="司龄" compact="0" defaultSubtotal="0" outline="0" showAll="0">
      <items count="8">
        <item x="2"/>
        <item x="0"/>
        <item x="5"/>
        <item x="4"/>
        <item x="3"/>
        <item x="1"/>
        <item x="6"/>
        <item m="1" x="7"/>
      </items>
    </pivotField>
    <pivotField axis="axisRow" compact="0" defaultSubtotal="0" outline="0" subtotalTop="0" showAll="0">
      <items count="29">
        <item x="1"/>
        <item x="16"/>
        <item x="19"/>
        <item x="4"/>
        <item m="1" x="28"/>
        <item x="20"/>
        <item x="0"/>
        <item m="1" x="26"/>
        <item x="14"/>
        <item x="10"/>
        <item x="23"/>
        <item x="13"/>
        <item m="1" x="25"/>
        <item x="2"/>
        <item x="12"/>
        <item x="18"/>
        <item x="9"/>
        <item x="21"/>
        <item x="6"/>
        <item m="1" x="27"/>
        <item x="8"/>
        <item x="15"/>
        <item x="11"/>
        <item x="22"/>
        <item x="7"/>
        <item m="1" x="24"/>
        <item x="17"/>
        <item x="3"/>
        <item x="5"/>
      </items>
    </pivotField>
    <pivotField dataField="1" compact="0" defaultSubtotal="0" outline="0" showAll="0"/>
    <pivotField dataField="1" dragToCol="0" dragToPage="0" dragToRow="0" compact="0" defaultSubtotal="0" outline="0" subtotalTop="0" showAll="0"/>
  </pivotFields>
  <rowFields count="4">
    <field x="1"/>
    <field x="19"/>
    <field x="2"/>
    <field x="18"/>
  </rowFields>
  <rowItems count="38">
    <i>
      <x/>
      <x v="5"/>
      <x v="46"/>
      <x v="5"/>
    </i>
    <i r="2">
      <x v="81"/>
      <x v="3"/>
    </i>
    <i r="2">
      <x v="86"/>
      <x v="5"/>
    </i>
    <i r="2">
      <x v="109"/>
      <x v="5"/>
    </i>
    <i r="2">
      <x v="115"/>
      <x v="5"/>
    </i>
    <i r="2">
      <x v="167"/>
      <x v="3"/>
    </i>
    <i r="2">
      <x v="174"/>
      <x v="3"/>
    </i>
    <i r="2">
      <x v="227"/>
      <x v="6"/>
    </i>
    <i>
      <x v="1"/>
      <x v="11"/>
      <x v="22"/>
      <x v="5"/>
    </i>
    <i r="2">
      <x v="54"/>
      <x v="4"/>
    </i>
    <i r="2">
      <x v="198"/>
      <x/>
    </i>
    <i r="2">
      <x v="205"/>
      <x v="3"/>
    </i>
    <i r="2">
      <x v="207"/>
      <x/>
    </i>
    <i r="2">
      <x v="223"/>
      <x v="6"/>
    </i>
    <i r="2">
      <x v="224"/>
      <x v="6"/>
    </i>
    <i>
      <x v="2"/>
      <x v="1"/>
      <x v="26"/>
      <x v="4"/>
    </i>
    <i r="2">
      <x v="57"/>
      <x v="3"/>
    </i>
    <i r="2">
      <x v="60"/>
      <x v="4"/>
    </i>
    <i r="2">
      <x v="65"/>
      <x v="1"/>
    </i>
    <i r="2">
      <x v="80"/>
      <x v="2"/>
    </i>
    <i r="2">
      <x v="154"/>
      <x/>
    </i>
    <i r="2">
      <x v="183"/>
      <x/>
    </i>
    <i r="2">
      <x v="202"/>
      <x/>
    </i>
    <i r="2">
      <x v="225"/>
      <x v="6"/>
    </i>
    <i r="2">
      <x v="228"/>
      <x v="6"/>
    </i>
    <i r="2">
      <x v="229"/>
      <x v="6"/>
    </i>
    <i>
      <x v="3"/>
      <x v="3"/>
      <x v="114"/>
      <x v="5"/>
    </i>
    <i r="2">
      <x v="165"/>
      <x v="5"/>
    </i>
    <i r="2">
      <x v="181"/>
      <x/>
    </i>
    <i r="2">
      <x v="199"/>
      <x/>
    </i>
    <i r="2">
      <x v="208"/>
      <x/>
    </i>
    <i>
      <x v="5"/>
      <x v="8"/>
      <x v="16"/>
      <x v="4"/>
    </i>
    <i r="2">
      <x v="64"/>
      <x v="3"/>
    </i>
    <i r="2">
      <x v="78"/>
      <x v="3"/>
    </i>
    <i r="2">
      <x v="102"/>
      <x v="3"/>
    </i>
    <i r="2">
      <x v="169"/>
      <x v="3"/>
    </i>
    <i r="2">
      <x v="175"/>
      <x v="4"/>
    </i>
    <i r="2">
      <x v="192"/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pageFields count="2">
    <pageField fld="0"/>
    <pageField fld="17"/>
  </pageFields>
  <dataFields count="8">
    <dataField name="呼出电话数" fld="5" baseField="0" baseItem="0"/>
    <dataField name="接通电话数" fld="6" baseField="0" baseItem="0"/>
    <dataField name="求和项:当日接通率" fld="7" baseField="0" baseItem="0" numFmtId="10"/>
    <dataField name="45s有效个数" fld="21" baseField="0" baseItem="0"/>
    <dataField name="60s电话数" fld="10" baseField="0" baseItem="0"/>
    <dataField name="180s电话数" fld="11" baseField="0" baseItem="0"/>
    <dataField name="累计接通时长(min)" fld="12" baseField="0" baseItem="0"/>
    <dataField name="过审意向数" fld="20" baseField="0" baseItem="0"/>
  </dataFields>
  <formats count="5">
    <format dxfId="0">
      <pivotArea collapsedLevelsAreSubtotals="1" fieldPosition="0"/>
    </format>
    <format dxfId="1">
      <pivotArea collapsedLevelsAreSubtotals="1" fieldPosition="0"/>
    </format>
    <format dxfId="2">
      <pivotArea collapsedLevelsAreSubtotals="1" fieldPosition="0">
        <references count="1">
          <reference field="4294967294" count="1" selected="0">
            <x v="6"/>
          </reference>
        </references>
      </pivotArea>
    </format>
    <format dxfId="3">
      <pivotArea type="all" dataOnly="0" outline="0" fieldPosition="0"/>
    </format>
    <format dxfId="4">
      <pivotArea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LastColumn="1"/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95"/>
  <sheetViews>
    <sheetView zoomScale="70" zoomScaleNormal="70" workbookViewId="0">
      <selection activeCell="R1" sqref="R1"/>
    </sheetView>
  </sheetViews>
  <sheetFormatPr defaultColWidth="9" defaultRowHeight="16.5"/>
  <cols>
    <col min="1" max="5" width="9" style="34" customWidth="1"/>
    <col min="6" max="6" width="14.125" style="44" customWidth="1"/>
    <col min="7" max="7" width="10.375" style="44" customWidth="1"/>
    <col min="8" max="9" width="14.125" style="44" customWidth="1"/>
    <col min="10" max="10" width="15.625" style="45" customWidth="1"/>
    <col min="11" max="11" width="16.25" style="44" customWidth="1"/>
    <col min="12" max="12" width="10.75" style="44" customWidth="1"/>
    <col min="13" max="13" width="10.875" style="46" customWidth="1"/>
    <col min="14" max="14" width="15" style="46" customWidth="1"/>
    <col min="15" max="15" width="13.5" style="46" customWidth="1"/>
    <col min="16" max="16" width="13.625" style="46" customWidth="1"/>
    <col min="17" max="17" width="14.75" style="44" customWidth="1"/>
    <col min="18" max="18" width="16.75" style="47" customWidth="1"/>
    <col min="19" max="19" width="15.25" style="48" customWidth="1"/>
    <col min="20" max="20" width="9" style="34" customWidth="1"/>
    <col min="21" max="22" width="10" style="49" customWidth="1"/>
    <col min="23" max="23" width="9" style="19" customWidth="1"/>
    <col min="24" max="24" width="10.375" style="19" customWidth="1"/>
  </cols>
  <sheetData>
    <row r="1" spans="1:22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50" t="s">
        <v>5</v>
      </c>
      <c r="G1" s="50" t="s">
        <v>6</v>
      </c>
      <c r="H1" s="50" t="s">
        <v>7</v>
      </c>
      <c r="I1" s="50" t="s">
        <v>8</v>
      </c>
      <c r="J1" s="53" t="s">
        <v>9</v>
      </c>
      <c r="K1" s="50" t="s">
        <v>10</v>
      </c>
      <c r="L1" s="50" t="s">
        <v>11</v>
      </c>
      <c r="M1" s="54" t="s">
        <v>12</v>
      </c>
      <c r="N1" s="54" t="s">
        <v>13</v>
      </c>
      <c r="O1" s="54" t="s">
        <v>14</v>
      </c>
      <c r="P1" s="54" t="s">
        <v>15</v>
      </c>
      <c r="Q1" s="50" t="s">
        <v>16</v>
      </c>
      <c r="R1" s="58" t="s">
        <v>17</v>
      </c>
      <c r="S1" s="48" t="s">
        <v>18</v>
      </c>
      <c r="T1" s="34" t="s">
        <v>19</v>
      </c>
      <c r="U1" s="59" t="s">
        <v>20</v>
      </c>
      <c r="V1" s="59"/>
    </row>
    <row r="2" spans="1:24">
      <c r="A2" s="34" t="s">
        <v>21</v>
      </c>
      <c r="B2" s="34" t="s">
        <v>22</v>
      </c>
      <c r="C2" s="34" t="s">
        <v>23</v>
      </c>
      <c r="D2" s="34" t="s">
        <v>24</v>
      </c>
      <c r="E2" s="34" t="s">
        <v>25</v>
      </c>
      <c r="F2" s="44">
        <f>IFERROR(VLOOKUP(C2,路飞话务数据源!D:Q,2,FALSE),0)</f>
        <v>8</v>
      </c>
      <c r="G2" s="44">
        <f>IFERROR(VLOOKUP(C2,路飞话务数据源!D:Q,3,FALSE),0)</f>
        <v>6</v>
      </c>
      <c r="H2" s="44">
        <f>IFERROR(VLOOKUP(C2,路飞话务数据源!D:Q,4,FALSE),0)</f>
        <v>0.75</v>
      </c>
      <c r="I2" s="44">
        <f>IFERROR(VLOOKUP(C2,路飞话务数据源!D:Q,5,FALSE),0)</f>
        <v>5</v>
      </c>
      <c r="J2" s="45">
        <f>IFERROR(VLOOKUP(C2,路飞话务数据源!D:Q,6,FALSE),0)</f>
        <v>5</v>
      </c>
      <c r="K2" s="44">
        <f>IFERROR(VLOOKUP(C2,路飞话务数据源!D:Q,7,FALSE),0)</f>
        <v>5</v>
      </c>
      <c r="L2" s="46">
        <f>IFERROR(VLOOKUP(C2,路飞话务数据源!D:Q,8,FALSE),0)</f>
        <v>1</v>
      </c>
      <c r="M2" s="46">
        <f>IFERROR(VLOOKUP(C2,路飞话务数据源!D:Q,9,FALSE),0)</f>
        <v>10.7</v>
      </c>
      <c r="N2" s="46">
        <f>IFERROR(VLOOKUP(C2,路飞话务数据源!D:Q,10,FALSE),0)</f>
        <v>0</v>
      </c>
      <c r="O2" s="46">
        <f>IFERROR(VLOOKUP(C2,路飞话务数据源!D:Q,11,FALSE),0)</f>
        <v>0</v>
      </c>
      <c r="P2" s="46">
        <f>IFERROR(VLOOKUP(C2,路飞话务数据源!D:Q,12,FALSE),0)</f>
        <v>0</v>
      </c>
      <c r="Q2" s="60">
        <f>IFERROR(VLOOKUP(C2,路飞话务数据源!D:Q,13,FALSE),0)</f>
        <v>0</v>
      </c>
      <c r="R2" s="61">
        <f ca="1" t="shared" ref="R2:R45" si="0">IF(OR(TODAY()-E2&lt;=7,F2&lt;5),0,1)</f>
        <v>1</v>
      </c>
      <c r="S2" s="35" t="str">
        <f ca="1" t="shared" ref="S2:S65" si="1">IF(DATEDIF(E2,TODAY(),"M")&gt;=12*3,"3年以上",IF(AND(DATEDIF(E2,TODAY(),"M")&gt;=12*2,DATEDIF(E2,TODAY(),"M")&lt;12*3),"2年-3年",IF(AND(DATEDIF(E2,TODAY(),"M")&gt;=12,DATEDIF(E2,TODAY(),"M")&lt;12*3),"1年-2年",IF(AND(DATEDIF(E2,TODAY(),"M")&lt;12,DATEDIF(E2,TODAY(),"M")&gt;=7),"7月-12月",IF(AND(DATEDIF(E2,TODAY(),"M")&lt;7,DATEDIF(E2,TODAY(),"M")&gt;=3),"4月-6月",IF(DATEDIF(E2,TODAY(),"M")=0,"月内","1-3月"))))))</f>
        <v>1年-2年</v>
      </c>
      <c r="T2" s="34" t="s">
        <v>26</v>
      </c>
      <c r="U2" s="46">
        <f>SUMIFS(路飞意向数据源!F:F,路飞意向数据源!B:B,A2,路飞意向数据源!C:C,B2,路飞意向数据源!D:D,C2)</f>
        <v>0</v>
      </c>
      <c r="V2" s="46"/>
      <c r="W2" s="20"/>
      <c r="X2" s="35"/>
    </row>
    <row r="3" spans="1:24">
      <c r="A3" s="34" t="s">
        <v>21</v>
      </c>
      <c r="B3" s="34" t="s">
        <v>22</v>
      </c>
      <c r="C3" s="34" t="s">
        <v>27</v>
      </c>
      <c r="D3" s="34" t="s">
        <v>28</v>
      </c>
      <c r="E3" s="34" t="s">
        <v>29</v>
      </c>
      <c r="F3" s="44">
        <f>IFERROR(VLOOKUP(C3,路飞话务数据源!D:Q,2,FALSE),0)</f>
        <v>30</v>
      </c>
      <c r="G3" s="44">
        <f>IFERROR(VLOOKUP(C3,路飞话务数据源!D:Q,3,FALSE),0)</f>
        <v>9</v>
      </c>
      <c r="H3" s="44">
        <f>IFERROR(VLOOKUP(C3,路飞话务数据源!D:Q,4,FALSE),0)</f>
        <v>0.3</v>
      </c>
      <c r="I3" s="44">
        <f>IFERROR(VLOOKUP(C3,路飞话务数据源!D:Q,5,FALSE),0)</f>
        <v>6</v>
      </c>
      <c r="J3" s="45">
        <f>IFERROR(VLOOKUP(C3,路飞话务数据源!D:Q,6,FALSE),0)</f>
        <v>6</v>
      </c>
      <c r="K3" s="44">
        <f>IFERROR(VLOOKUP(C3,路飞话务数据源!D:Q,7,FALSE),0)</f>
        <v>4</v>
      </c>
      <c r="L3" s="46">
        <f>IFERROR(VLOOKUP(C3,路飞话务数据源!D:Q,8,FALSE),0)</f>
        <v>1</v>
      </c>
      <c r="M3" s="46">
        <f>IFERROR(VLOOKUP(C3,路飞话务数据源!D:Q,9,FALSE),0)</f>
        <v>11.7333333333333</v>
      </c>
      <c r="N3" s="46">
        <f>IFERROR(VLOOKUP(C3,路飞话务数据源!D:Q,10,FALSE),0)</f>
        <v>0</v>
      </c>
      <c r="O3" s="46">
        <f>IFERROR(VLOOKUP(C3,路飞话务数据源!D:Q,11,FALSE),0)</f>
        <v>0</v>
      </c>
      <c r="P3" s="46">
        <f>IFERROR(VLOOKUP(C3,路飞话务数据源!D:Q,12,FALSE),0)</f>
        <v>0</v>
      </c>
      <c r="Q3" s="60">
        <f>IFERROR(VLOOKUP(C3,路飞话务数据源!D:Q,13,FALSE),0)</f>
        <v>0</v>
      </c>
      <c r="R3" s="61">
        <f ca="1" t="shared" si="0"/>
        <v>1</v>
      </c>
      <c r="S3" s="35" t="str">
        <f ca="1" t="shared" si="1"/>
        <v>1年-2年</v>
      </c>
      <c r="T3" s="34" t="s">
        <v>26</v>
      </c>
      <c r="U3" s="46">
        <f>SUMIFS(路飞意向数据源!F:F,路飞意向数据源!B:B,A3,路飞意向数据源!C:C,B3,路飞意向数据源!D:D,C3)</f>
        <v>0</v>
      </c>
      <c r="V3" s="46"/>
      <c r="W3" s="20"/>
      <c r="X3" s="35"/>
    </row>
    <row r="4" spans="1:24">
      <c r="A4" s="34" t="s">
        <v>21</v>
      </c>
      <c r="B4" s="34" t="s">
        <v>22</v>
      </c>
      <c r="C4" s="34" t="s">
        <v>30</v>
      </c>
      <c r="D4" s="34" t="s">
        <v>31</v>
      </c>
      <c r="E4" s="34" t="s">
        <v>32</v>
      </c>
      <c r="F4" s="44">
        <f>IFERROR(VLOOKUP(C4,路飞话务数据源!D:Q,2,FALSE),0)</f>
        <v>10</v>
      </c>
      <c r="G4" s="44">
        <f>IFERROR(VLOOKUP(C4,路飞话务数据源!D:Q,3,FALSE),0)</f>
        <v>7</v>
      </c>
      <c r="H4" s="44">
        <f>IFERROR(VLOOKUP(C4,路飞话务数据源!D:Q,4,FALSE),0)</f>
        <v>0.7</v>
      </c>
      <c r="I4" s="44">
        <f>IFERROR(VLOOKUP(C4,路飞话务数据源!D:Q,5,FALSE),0)</f>
        <v>5</v>
      </c>
      <c r="J4" s="45">
        <f>IFERROR(VLOOKUP(C4,路飞话务数据源!D:Q,6,FALSE),0)</f>
        <v>4</v>
      </c>
      <c r="K4" s="44">
        <f>IFERROR(VLOOKUP(C4,路飞话务数据源!D:Q,7,FALSE),0)</f>
        <v>4</v>
      </c>
      <c r="L4" s="46">
        <f>IFERROR(VLOOKUP(C4,路飞话务数据源!D:Q,8,FALSE),0)</f>
        <v>2</v>
      </c>
      <c r="M4" s="46">
        <f>IFERROR(VLOOKUP(C4,路飞话务数据源!D:Q,9,FALSE),0)</f>
        <v>16.8833333333333</v>
      </c>
      <c r="N4" s="46">
        <f>IFERROR(VLOOKUP(C4,路飞话务数据源!D:Q,10,FALSE),0)</f>
        <v>0</v>
      </c>
      <c r="O4" s="46">
        <f>IFERROR(VLOOKUP(C4,路飞话务数据源!D:Q,11,FALSE),0)</f>
        <v>0</v>
      </c>
      <c r="P4" s="46">
        <f>IFERROR(VLOOKUP(C4,路飞话务数据源!D:Q,12,FALSE),0)</f>
        <v>0</v>
      </c>
      <c r="Q4" s="60">
        <f>IFERROR(VLOOKUP(C4,路飞话务数据源!D:Q,13,FALSE),0)</f>
        <v>0</v>
      </c>
      <c r="R4" s="61">
        <f ca="1" t="shared" si="0"/>
        <v>1</v>
      </c>
      <c r="S4" s="35" t="str">
        <f ca="1" t="shared" si="1"/>
        <v>1年-2年</v>
      </c>
      <c r="T4" s="34" t="s">
        <v>26</v>
      </c>
      <c r="U4" s="46">
        <f>SUMIFS(路飞意向数据源!F:F,路飞意向数据源!B:B,A4,路飞意向数据源!C:C,B4,路飞意向数据源!D:D,C4)</f>
        <v>0</v>
      </c>
      <c r="V4" s="46"/>
      <c r="W4" s="20"/>
      <c r="X4" s="35"/>
    </row>
    <row r="5" spans="1:24">
      <c r="A5" s="34" t="s">
        <v>21</v>
      </c>
      <c r="B5" s="34" t="s">
        <v>22</v>
      </c>
      <c r="C5" s="34" t="s">
        <v>33</v>
      </c>
      <c r="D5" s="34" t="s">
        <v>34</v>
      </c>
      <c r="E5" s="34" t="s">
        <v>35</v>
      </c>
      <c r="F5" s="44">
        <f>IFERROR(VLOOKUP(C5,路飞话务数据源!D:Q,2,FALSE),0)</f>
        <v>51</v>
      </c>
      <c r="G5" s="44">
        <f>IFERROR(VLOOKUP(C5,路飞话务数据源!D:Q,3,FALSE),0)</f>
        <v>25</v>
      </c>
      <c r="H5" s="44">
        <f>IFERROR(VLOOKUP(C5,路飞话务数据源!D:Q,4,FALSE),0)</f>
        <v>0.490196078431373</v>
      </c>
      <c r="I5" s="44">
        <f>IFERROR(VLOOKUP(C5,路飞话务数据源!D:Q,5,FALSE),0)</f>
        <v>16</v>
      </c>
      <c r="J5" s="45">
        <f>IFERROR(VLOOKUP(C5,路飞话务数据源!D:Q,6,FALSE),0)</f>
        <v>12</v>
      </c>
      <c r="K5" s="44">
        <f>IFERROR(VLOOKUP(C5,路飞话务数据源!D:Q,7,FALSE),0)</f>
        <v>6</v>
      </c>
      <c r="L5" s="46">
        <f>IFERROR(VLOOKUP(C5,路飞话务数据源!D:Q,8,FALSE),0)</f>
        <v>2</v>
      </c>
      <c r="M5" s="46">
        <f>IFERROR(VLOOKUP(C5,路飞话务数据源!D:Q,9,FALSE),0)</f>
        <v>26.6333333333333</v>
      </c>
      <c r="N5" s="46">
        <f>IFERROR(VLOOKUP(C5,路飞话务数据源!D:Q,10,FALSE),0)</f>
        <v>0</v>
      </c>
      <c r="O5" s="46">
        <f>IFERROR(VLOOKUP(C5,路飞话务数据源!D:Q,11,FALSE),0)</f>
        <v>0</v>
      </c>
      <c r="P5" s="46">
        <f>IFERROR(VLOOKUP(C5,路飞话务数据源!D:Q,12,FALSE),0)</f>
        <v>0</v>
      </c>
      <c r="Q5" s="60">
        <f>IFERROR(VLOOKUP(C5,路飞话务数据源!D:Q,13,FALSE),0)</f>
        <v>0</v>
      </c>
      <c r="R5" s="61">
        <f ca="1" t="shared" si="0"/>
        <v>1</v>
      </c>
      <c r="S5" s="35" t="str">
        <f ca="1" t="shared" si="1"/>
        <v>7月-12月</v>
      </c>
      <c r="T5" s="34" t="s">
        <v>26</v>
      </c>
      <c r="U5" s="46">
        <f>SUMIFS(路飞意向数据源!F:F,路飞意向数据源!B:B,A5,路飞意向数据源!C:C,B5,路飞意向数据源!D:D,C5)</f>
        <v>0</v>
      </c>
      <c r="V5" s="46"/>
      <c r="W5" s="20"/>
      <c r="X5" s="35"/>
    </row>
    <row r="6" spans="1:24">
      <c r="A6" s="34" t="s">
        <v>21</v>
      </c>
      <c r="B6" s="34" t="s">
        <v>22</v>
      </c>
      <c r="C6" s="34" t="s">
        <v>36</v>
      </c>
      <c r="D6" s="34" t="s">
        <v>37</v>
      </c>
      <c r="E6" s="34" t="s">
        <v>38</v>
      </c>
      <c r="F6" s="44">
        <f>IFERROR(VLOOKUP(C6,路飞话务数据源!D:Q,2,FALSE),0)</f>
        <v>47</v>
      </c>
      <c r="G6" s="44">
        <f>IFERROR(VLOOKUP(C6,路飞话务数据源!D:Q,3,FALSE),0)</f>
        <v>21</v>
      </c>
      <c r="H6" s="44">
        <f>IFERROR(VLOOKUP(C6,路飞话务数据源!D:Q,4,FALSE),0)</f>
        <v>0.446808510638298</v>
      </c>
      <c r="I6" s="44">
        <f>IFERROR(VLOOKUP(C6,路飞话务数据源!D:Q,5,FALSE),0)</f>
        <v>15</v>
      </c>
      <c r="J6" s="45">
        <f>IFERROR(VLOOKUP(C6,路飞话务数据源!D:Q,6,FALSE),0)</f>
        <v>14</v>
      </c>
      <c r="K6" s="44">
        <f>IFERROR(VLOOKUP(C6,路飞话务数据源!D:Q,7,FALSE),0)</f>
        <v>9</v>
      </c>
      <c r="L6" s="46">
        <f>IFERROR(VLOOKUP(C6,路飞话务数据源!D:Q,8,FALSE),0)</f>
        <v>0</v>
      </c>
      <c r="M6" s="46">
        <f>IFERROR(VLOOKUP(C6,路飞话务数据源!D:Q,9,FALSE),0)</f>
        <v>20.3</v>
      </c>
      <c r="N6" s="46">
        <f>IFERROR(VLOOKUP(C6,路飞话务数据源!D:Q,10,FALSE),0)</f>
        <v>0</v>
      </c>
      <c r="O6" s="46">
        <f>IFERROR(VLOOKUP(C6,路飞话务数据源!D:Q,11,FALSE),0)</f>
        <v>0</v>
      </c>
      <c r="P6" s="46">
        <f>IFERROR(VLOOKUP(C6,路飞话务数据源!D:Q,12,FALSE),0)</f>
        <v>0</v>
      </c>
      <c r="Q6" s="60">
        <f>IFERROR(VLOOKUP(C6,路飞话务数据源!D:Q,13,FALSE),0)</f>
        <v>0</v>
      </c>
      <c r="R6" s="61">
        <f ca="1" t="shared" si="0"/>
        <v>1</v>
      </c>
      <c r="S6" s="35" t="str">
        <f ca="1" t="shared" si="1"/>
        <v>1-3月</v>
      </c>
      <c r="T6" s="34" t="s">
        <v>26</v>
      </c>
      <c r="U6" s="46">
        <f>SUMIFS(路飞意向数据源!F:F,路飞意向数据源!B:B,A6,路飞意向数据源!C:C,B6,路飞意向数据源!D:D,C6)</f>
        <v>0</v>
      </c>
      <c r="V6" s="46"/>
      <c r="W6" s="20"/>
      <c r="X6" s="35"/>
    </row>
    <row r="7" spans="1:24">
      <c r="A7" s="34" t="s">
        <v>21</v>
      </c>
      <c r="B7" s="34" t="s">
        <v>22</v>
      </c>
      <c r="C7" s="34" t="s">
        <v>39</v>
      </c>
      <c r="D7" s="34" t="s">
        <v>40</v>
      </c>
      <c r="E7" s="34" t="s">
        <v>41</v>
      </c>
      <c r="F7" s="44">
        <f>IFERROR(VLOOKUP(C7,路飞话务数据源!D:Q,2,FALSE),0)</f>
        <v>26</v>
      </c>
      <c r="G7" s="44">
        <f>IFERROR(VLOOKUP(C7,路飞话务数据源!D:Q,3,FALSE),0)</f>
        <v>2</v>
      </c>
      <c r="H7" s="44">
        <f>IFERROR(VLOOKUP(C7,路飞话务数据源!D:Q,4,FALSE),0)</f>
        <v>0.0769230769230769</v>
      </c>
      <c r="I7" s="44">
        <f>IFERROR(VLOOKUP(C7,路飞话务数据源!D:Q,5,FALSE),0)</f>
        <v>0</v>
      </c>
      <c r="J7" s="45">
        <f>IFERROR(VLOOKUP(C7,路飞话务数据源!D:Q,6,FALSE),0)</f>
        <v>0</v>
      </c>
      <c r="K7" s="44">
        <f>IFERROR(VLOOKUP(C7,路飞话务数据源!D:Q,7,FALSE),0)</f>
        <v>0</v>
      </c>
      <c r="L7" s="46">
        <f>IFERROR(VLOOKUP(C7,路飞话务数据源!D:Q,8,FALSE),0)</f>
        <v>0</v>
      </c>
      <c r="M7" s="46">
        <f>IFERROR(VLOOKUP(C7,路飞话务数据源!D:Q,9,FALSE),0)</f>
        <v>0.383333333333333</v>
      </c>
      <c r="N7" s="46">
        <f>IFERROR(VLOOKUP(C7,路飞话务数据源!D:Q,10,FALSE),0)</f>
        <v>0</v>
      </c>
      <c r="O7" s="46">
        <f>IFERROR(VLOOKUP(C7,路飞话务数据源!D:Q,11,FALSE),0)</f>
        <v>0</v>
      </c>
      <c r="P7" s="46">
        <f>IFERROR(VLOOKUP(C7,路飞话务数据源!D:Q,12,FALSE),0)</f>
        <v>0</v>
      </c>
      <c r="Q7" s="60">
        <f>IFERROR(VLOOKUP(C7,路飞话务数据源!D:Q,13,FALSE),0)</f>
        <v>0</v>
      </c>
      <c r="R7" s="61">
        <f ca="1" t="shared" si="0"/>
        <v>1</v>
      </c>
      <c r="S7" s="35" t="str">
        <f ca="1" t="shared" si="1"/>
        <v>4月-6月</v>
      </c>
      <c r="T7" s="34" t="s">
        <v>26</v>
      </c>
      <c r="U7" s="46">
        <f>SUMIFS(路飞意向数据源!F:F,路飞意向数据源!B:B,A7,路飞意向数据源!C:C,B7,路飞意向数据源!D:D,C7)</f>
        <v>0</v>
      </c>
      <c r="V7" s="46"/>
      <c r="W7" s="20"/>
      <c r="X7" s="35"/>
    </row>
    <row r="8" spans="1:24">
      <c r="A8" s="34" t="s">
        <v>21</v>
      </c>
      <c r="B8" s="34" t="s">
        <v>22</v>
      </c>
      <c r="C8" s="34" t="s">
        <v>42</v>
      </c>
      <c r="D8" s="34" t="s">
        <v>43</v>
      </c>
      <c r="E8" s="34" t="s">
        <v>44</v>
      </c>
      <c r="F8" s="44">
        <f>IFERROR(VLOOKUP(C8,路飞话务数据源!D:Q,2,FALSE),0)</f>
        <v>0</v>
      </c>
      <c r="G8" s="44">
        <f>IFERROR(VLOOKUP(C8,路飞话务数据源!D:Q,3,FALSE),0)</f>
        <v>0</v>
      </c>
      <c r="H8" s="44">
        <f>IFERROR(VLOOKUP(C8,路飞话务数据源!D:Q,4,FALSE),0)</f>
        <v>0</v>
      </c>
      <c r="I8" s="44">
        <f>IFERROR(VLOOKUP(C8,路飞话务数据源!D:Q,5,FALSE),0)</f>
        <v>0</v>
      </c>
      <c r="J8" s="45">
        <f>IFERROR(VLOOKUP(C8,路飞话务数据源!D:Q,6,FALSE),0)</f>
        <v>0</v>
      </c>
      <c r="K8" s="44">
        <f>IFERROR(VLOOKUP(C8,路飞话务数据源!D:Q,7,FALSE),0)</f>
        <v>0</v>
      </c>
      <c r="L8" s="46">
        <f>IFERROR(VLOOKUP(C8,路飞话务数据源!D:Q,8,FALSE),0)</f>
        <v>0</v>
      </c>
      <c r="M8" s="46">
        <f>IFERROR(VLOOKUP(C8,路飞话务数据源!D:Q,9,FALSE),0)</f>
        <v>0</v>
      </c>
      <c r="N8" s="46">
        <f>IFERROR(VLOOKUP(C8,路飞话务数据源!D:Q,10,FALSE),0)</f>
        <v>0</v>
      </c>
      <c r="O8" s="46">
        <f>IFERROR(VLOOKUP(C8,路飞话务数据源!D:Q,11,FALSE),0)</f>
        <v>0</v>
      </c>
      <c r="P8" s="46">
        <f>IFERROR(VLOOKUP(C8,路飞话务数据源!D:Q,12,FALSE),0)</f>
        <v>0</v>
      </c>
      <c r="Q8" s="60">
        <f>IFERROR(VLOOKUP(C8,路飞话务数据源!D:Q,13,FALSE),0)</f>
        <v>0</v>
      </c>
      <c r="R8" s="61">
        <f ca="1" t="shared" si="0"/>
        <v>0</v>
      </c>
      <c r="S8" s="35" t="str">
        <f ca="1" t="shared" si="1"/>
        <v>1-3月</v>
      </c>
      <c r="T8" s="34" t="s">
        <v>26</v>
      </c>
      <c r="U8" s="46">
        <f>SUMIFS(路飞意向数据源!F:F,路飞意向数据源!B:B,A8,路飞意向数据源!C:C,B8,路飞意向数据源!D:D,C8)</f>
        <v>0</v>
      </c>
      <c r="V8" s="46"/>
      <c r="W8" s="20"/>
      <c r="X8" s="35"/>
    </row>
    <row r="9" spans="1:24">
      <c r="A9" s="34" t="s">
        <v>21</v>
      </c>
      <c r="B9" s="34" t="s">
        <v>22</v>
      </c>
      <c r="C9" s="34" t="s">
        <v>45</v>
      </c>
      <c r="D9" s="34" t="s">
        <v>46</v>
      </c>
      <c r="E9" s="34" t="s">
        <v>47</v>
      </c>
      <c r="F9" s="44">
        <f>IFERROR(VLOOKUP(C9,路飞话务数据源!D:Q,2,FALSE),0)</f>
        <v>6</v>
      </c>
      <c r="G9" s="44">
        <f>IFERROR(VLOOKUP(C9,路飞话务数据源!D:Q,3,FALSE),0)</f>
        <v>3</v>
      </c>
      <c r="H9" s="44">
        <f>IFERROR(VLOOKUP(C9,路飞话务数据源!D:Q,4,FALSE),0)</f>
        <v>0.5</v>
      </c>
      <c r="I9" s="44">
        <f>IFERROR(VLOOKUP(C9,路飞话务数据源!D:Q,5,FALSE),0)</f>
        <v>3</v>
      </c>
      <c r="J9" s="45">
        <f>IFERROR(VLOOKUP(C9,路飞话务数据源!D:Q,6,FALSE),0)</f>
        <v>3</v>
      </c>
      <c r="K9" s="44">
        <f>IFERROR(VLOOKUP(C9,路飞话务数据源!D:Q,7,FALSE),0)</f>
        <v>1</v>
      </c>
      <c r="L9" s="46">
        <f>IFERROR(VLOOKUP(C9,路飞话务数据源!D:Q,8,FALSE),0)</f>
        <v>0</v>
      </c>
      <c r="M9" s="46">
        <f>IFERROR(VLOOKUP(C9,路飞话务数据源!D:Q,9,FALSE),0)</f>
        <v>3.63333333333333</v>
      </c>
      <c r="N9" s="46">
        <f>IFERROR(VLOOKUP(C9,路飞话务数据源!D:Q,10,FALSE),0)</f>
        <v>0</v>
      </c>
      <c r="O9" s="46">
        <f>IFERROR(VLOOKUP(C9,路飞话务数据源!D:Q,11,FALSE),0)</f>
        <v>0</v>
      </c>
      <c r="P9" s="46">
        <f>IFERROR(VLOOKUP(C9,路飞话务数据源!D:Q,12,FALSE),0)</f>
        <v>0</v>
      </c>
      <c r="Q9" s="60">
        <f>IFERROR(VLOOKUP(C9,路飞话务数据源!D:Q,13,FALSE),0)</f>
        <v>0</v>
      </c>
      <c r="R9" s="61">
        <f ca="1" t="shared" si="0"/>
        <v>1</v>
      </c>
      <c r="S9" s="35" t="str">
        <f ca="1" t="shared" si="1"/>
        <v>7月-12月</v>
      </c>
      <c r="T9" s="34" t="s">
        <v>26</v>
      </c>
      <c r="U9" s="46">
        <f>SUMIFS(路飞意向数据源!F:F,路飞意向数据源!B:B,A9,路飞意向数据源!C:C,B9,路飞意向数据源!D:D,C9)</f>
        <v>0</v>
      </c>
      <c r="V9" s="46"/>
      <c r="W9" s="20"/>
      <c r="X9" s="35"/>
    </row>
    <row r="10" spans="1:24">
      <c r="A10" s="34" t="s">
        <v>21</v>
      </c>
      <c r="B10" s="34" t="s">
        <v>22</v>
      </c>
      <c r="C10" s="34" t="s">
        <v>48</v>
      </c>
      <c r="D10" s="34" t="s">
        <v>49</v>
      </c>
      <c r="E10" s="34" t="s">
        <v>50</v>
      </c>
      <c r="F10" s="44">
        <f>IFERROR(VLOOKUP(C10,路飞话务数据源!D:Q,2,FALSE),0)</f>
        <v>8</v>
      </c>
      <c r="G10" s="44">
        <f>IFERROR(VLOOKUP(C10,路飞话务数据源!D:Q,3,FALSE),0)</f>
        <v>4</v>
      </c>
      <c r="H10" s="44">
        <f>IFERROR(VLOOKUP(C10,路飞话务数据源!D:Q,4,FALSE),0)</f>
        <v>0.5</v>
      </c>
      <c r="I10" s="44">
        <f>IFERROR(VLOOKUP(C10,路飞话务数据源!D:Q,5,FALSE),0)</f>
        <v>3</v>
      </c>
      <c r="J10" s="45">
        <f>IFERROR(VLOOKUP(C10,路飞话务数据源!D:Q,6,FALSE),0)</f>
        <v>1</v>
      </c>
      <c r="K10" s="44">
        <f>IFERROR(VLOOKUP(C10,路飞话务数据源!D:Q,7,FALSE),0)</f>
        <v>1</v>
      </c>
      <c r="L10" s="46">
        <f>IFERROR(VLOOKUP(C10,路飞话务数据源!D:Q,8,FALSE),0)</f>
        <v>0</v>
      </c>
      <c r="M10" s="46">
        <f>IFERROR(VLOOKUP(C10,路飞话务数据源!D:Q,9,FALSE),0)</f>
        <v>3.2</v>
      </c>
      <c r="N10" s="46">
        <f>IFERROR(VLOOKUP(C10,路飞话务数据源!D:Q,10,FALSE),0)</f>
        <v>0</v>
      </c>
      <c r="O10" s="46">
        <f>IFERROR(VLOOKUP(C10,路飞话务数据源!D:Q,11,FALSE),0)</f>
        <v>0</v>
      </c>
      <c r="P10" s="46">
        <f>IFERROR(VLOOKUP(C10,路飞话务数据源!D:Q,12,FALSE),0)</f>
        <v>0</v>
      </c>
      <c r="Q10" s="60">
        <f>IFERROR(VLOOKUP(C10,路飞话务数据源!D:Q,13,FALSE),0)</f>
        <v>0</v>
      </c>
      <c r="R10" s="61">
        <f ca="1" t="shared" si="0"/>
        <v>1</v>
      </c>
      <c r="S10" s="35" t="str">
        <f ca="1" t="shared" si="1"/>
        <v>7月-12月</v>
      </c>
      <c r="T10" s="34" t="s">
        <v>26</v>
      </c>
      <c r="U10" s="46">
        <f>SUMIFS(路飞意向数据源!F:F,路飞意向数据源!B:B,A10,路飞意向数据源!C:C,B10,路飞意向数据源!D:D,C10)</f>
        <v>0</v>
      </c>
      <c r="V10" s="46"/>
      <c r="W10" s="20"/>
      <c r="X10" s="35"/>
    </row>
    <row r="11" spans="1:24">
      <c r="A11" s="34" t="s">
        <v>51</v>
      </c>
      <c r="B11" s="34" t="s">
        <v>52</v>
      </c>
      <c r="C11" s="34" t="s">
        <v>53</v>
      </c>
      <c r="D11" s="34" t="s">
        <v>54</v>
      </c>
      <c r="E11" s="34" t="s">
        <v>55</v>
      </c>
      <c r="F11" s="44">
        <f>IFERROR(VLOOKUP(C11,路飞话务数据源!D:Q,2,FALSE),0)</f>
        <v>0</v>
      </c>
      <c r="G11" s="44">
        <f>IFERROR(VLOOKUP(C11,路飞话务数据源!D:Q,3,FALSE),0)</f>
        <v>0</v>
      </c>
      <c r="H11" s="44">
        <f>IFERROR(VLOOKUP(C11,路飞话务数据源!D:Q,4,FALSE),0)</f>
        <v>0</v>
      </c>
      <c r="I11" s="44">
        <f>IFERROR(VLOOKUP(C11,路飞话务数据源!D:Q,5,FALSE),0)</f>
        <v>0</v>
      </c>
      <c r="J11" s="45">
        <f>IFERROR(VLOOKUP(C11,路飞话务数据源!D:Q,6,FALSE),0)</f>
        <v>0</v>
      </c>
      <c r="K11" s="44">
        <f>IFERROR(VLOOKUP(C11,路飞话务数据源!D:Q,7,FALSE),0)</f>
        <v>0</v>
      </c>
      <c r="L11" s="46">
        <f>IFERROR(VLOOKUP(C11,路飞话务数据源!D:Q,8,FALSE),0)</f>
        <v>0</v>
      </c>
      <c r="M11" s="46">
        <f>IFERROR(VLOOKUP(C11,路飞话务数据源!D:Q,9,FALSE),0)</f>
        <v>0</v>
      </c>
      <c r="N11" s="46">
        <f>IFERROR(VLOOKUP(C11,路飞话务数据源!D:Q,10,FALSE),0)</f>
        <v>1</v>
      </c>
      <c r="O11" s="46">
        <f>IFERROR(VLOOKUP(C11,路飞话务数据源!D:Q,11,FALSE),0)</f>
        <v>0</v>
      </c>
      <c r="P11" s="46">
        <f>IFERROR(VLOOKUP(C11,路飞话务数据源!D:Q,12,FALSE),0)</f>
        <v>0</v>
      </c>
      <c r="Q11" s="60">
        <f>IFERROR(VLOOKUP(C11,路飞话务数据源!D:Q,13,FALSE),0)</f>
        <v>60</v>
      </c>
      <c r="R11" s="61">
        <f ca="1" t="shared" si="0"/>
        <v>0</v>
      </c>
      <c r="S11" s="35" t="str">
        <f ca="1" t="shared" si="1"/>
        <v>3年以上</v>
      </c>
      <c r="T11" s="34" t="s">
        <v>56</v>
      </c>
      <c r="U11" s="46">
        <f>SUMIFS(路飞意向数据源!F:F,路飞意向数据源!B:B,A11,路飞意向数据源!C:C,B11,路飞意向数据源!D:D,C11)</f>
        <v>0</v>
      </c>
      <c r="V11" s="46"/>
      <c r="W11" s="20"/>
      <c r="X11" s="35"/>
    </row>
    <row r="12" spans="1:24">
      <c r="A12" s="34" t="s">
        <v>51</v>
      </c>
      <c r="B12" s="34" t="s">
        <v>52</v>
      </c>
      <c r="C12" s="34" t="s">
        <v>57</v>
      </c>
      <c r="D12" s="34" t="s">
        <v>58</v>
      </c>
      <c r="E12" s="34" t="s">
        <v>59</v>
      </c>
      <c r="F12" s="44">
        <f>IFERROR(VLOOKUP(C12,路飞话务数据源!D:Q,2,FALSE),0)</f>
        <v>0</v>
      </c>
      <c r="G12" s="44">
        <f>IFERROR(VLOOKUP(C12,路飞话务数据源!D:Q,3,FALSE),0)</f>
        <v>0</v>
      </c>
      <c r="H12" s="44">
        <f>IFERROR(VLOOKUP(C12,路飞话务数据源!D:Q,4,FALSE),0)</f>
        <v>0</v>
      </c>
      <c r="I12" s="44">
        <f>IFERROR(VLOOKUP(C12,路飞话务数据源!D:Q,5,FALSE),0)</f>
        <v>0</v>
      </c>
      <c r="J12" s="45">
        <f>IFERROR(VLOOKUP(C12,路飞话务数据源!D:Q,6,FALSE),0)</f>
        <v>0</v>
      </c>
      <c r="K12" s="44">
        <f>IFERROR(VLOOKUP(C12,路飞话务数据源!D:Q,7,FALSE),0)</f>
        <v>0</v>
      </c>
      <c r="L12" s="46">
        <f>IFERROR(VLOOKUP(C12,路飞话务数据源!D:Q,8,FALSE),0)</f>
        <v>0</v>
      </c>
      <c r="M12" s="46">
        <f>IFERROR(VLOOKUP(C12,路飞话务数据源!D:Q,9,FALSE),0)</f>
        <v>0</v>
      </c>
      <c r="N12" s="46">
        <f>IFERROR(VLOOKUP(C12,路飞话务数据源!D:Q,10,FALSE),0)</f>
        <v>0</v>
      </c>
      <c r="O12" s="46">
        <f>IFERROR(VLOOKUP(C12,路飞话务数据源!D:Q,11,FALSE),0)</f>
        <v>0</v>
      </c>
      <c r="P12" s="46">
        <f>IFERROR(VLOOKUP(C12,路飞话务数据源!D:Q,12,FALSE),0)</f>
        <v>0</v>
      </c>
      <c r="Q12" s="60">
        <f>IFERROR(VLOOKUP(C12,路飞话务数据源!D:Q,13,FALSE),0)</f>
        <v>0</v>
      </c>
      <c r="R12" s="61">
        <f ca="1" t="shared" si="0"/>
        <v>0</v>
      </c>
      <c r="S12" s="35" t="str">
        <f ca="1" t="shared" si="1"/>
        <v>3年以上</v>
      </c>
      <c r="T12" s="34" t="s">
        <v>56</v>
      </c>
      <c r="U12" s="46">
        <f>SUMIFS(路飞意向数据源!F:F,路飞意向数据源!B:B,A12,路飞意向数据源!C:C,B12,路飞意向数据源!D:D,C12)</f>
        <v>0</v>
      </c>
      <c r="V12" s="46"/>
      <c r="W12" s="20"/>
      <c r="X12" s="35"/>
    </row>
    <row r="13" spans="1:24">
      <c r="A13" s="34" t="s">
        <v>51</v>
      </c>
      <c r="B13" s="34" t="s">
        <v>52</v>
      </c>
      <c r="C13" s="34" t="s">
        <v>60</v>
      </c>
      <c r="D13" s="34" t="s">
        <v>61</v>
      </c>
      <c r="E13" s="34" t="s">
        <v>62</v>
      </c>
      <c r="F13" s="44">
        <f>IFERROR(VLOOKUP(C13,路飞话务数据源!D:Q,2,FALSE),0)</f>
        <v>0</v>
      </c>
      <c r="G13" s="44">
        <f>IFERROR(VLOOKUP(C13,路飞话务数据源!D:Q,3,FALSE),0)</f>
        <v>0</v>
      </c>
      <c r="H13" s="44">
        <f>IFERROR(VLOOKUP(C13,路飞话务数据源!D:Q,4,FALSE),0)</f>
        <v>0</v>
      </c>
      <c r="I13" s="44">
        <f>IFERROR(VLOOKUP(C13,路飞话务数据源!D:Q,5,FALSE),0)</f>
        <v>0</v>
      </c>
      <c r="J13" s="45">
        <f>IFERROR(VLOOKUP(C13,路飞话务数据源!D:Q,6,FALSE),0)</f>
        <v>0</v>
      </c>
      <c r="K13" s="44">
        <f>IFERROR(VLOOKUP(C13,路飞话务数据源!D:Q,7,FALSE),0)</f>
        <v>0</v>
      </c>
      <c r="L13" s="46">
        <f>IFERROR(VLOOKUP(C13,路飞话务数据源!D:Q,8,FALSE),0)</f>
        <v>0</v>
      </c>
      <c r="M13" s="46">
        <f>IFERROR(VLOOKUP(C13,路飞话务数据源!D:Q,9,FALSE),0)</f>
        <v>0</v>
      </c>
      <c r="N13" s="46">
        <f>IFERROR(VLOOKUP(C13,路飞话务数据源!D:Q,10,FALSE),0)</f>
        <v>1</v>
      </c>
      <c r="O13" s="46">
        <f>IFERROR(VLOOKUP(C13,路飞话务数据源!D:Q,11,FALSE),0)</f>
        <v>0</v>
      </c>
      <c r="P13" s="46">
        <f>IFERROR(VLOOKUP(C13,路飞话务数据源!D:Q,12,FALSE),0)</f>
        <v>0</v>
      </c>
      <c r="Q13" s="60">
        <f>IFERROR(VLOOKUP(C13,路飞话务数据源!D:Q,13,FALSE),0)</f>
        <v>83</v>
      </c>
      <c r="R13" s="61">
        <f ca="1" t="shared" si="0"/>
        <v>0</v>
      </c>
      <c r="S13" s="35" t="str">
        <f ca="1" t="shared" si="1"/>
        <v>2年-3年</v>
      </c>
      <c r="T13" s="34" t="s">
        <v>56</v>
      </c>
      <c r="U13" s="46">
        <f>SUMIFS(路飞意向数据源!F:F,路飞意向数据源!B:B,A13,路飞意向数据源!C:C,B13,路飞意向数据源!D:D,C13)</f>
        <v>0</v>
      </c>
      <c r="V13" s="46"/>
      <c r="W13" s="20"/>
      <c r="X13" s="35"/>
    </row>
    <row r="14" spans="1:24">
      <c r="A14" s="34" t="s">
        <v>51</v>
      </c>
      <c r="B14" s="34" t="s">
        <v>52</v>
      </c>
      <c r="C14" s="34" t="s">
        <v>63</v>
      </c>
      <c r="D14" s="34" t="s">
        <v>64</v>
      </c>
      <c r="E14" s="34" t="s">
        <v>65</v>
      </c>
      <c r="F14" s="44">
        <f>IFERROR(VLOOKUP(C14,路飞话务数据源!D:Q,2,FALSE),0)</f>
        <v>1</v>
      </c>
      <c r="G14" s="44">
        <f>IFERROR(VLOOKUP(C14,路飞话务数据源!D:Q,3,FALSE),0)</f>
        <v>0</v>
      </c>
      <c r="H14" s="44">
        <f>IFERROR(VLOOKUP(C14,路飞话务数据源!D:Q,4,FALSE),0)</f>
        <v>0</v>
      </c>
      <c r="I14" s="44">
        <f>IFERROR(VLOOKUP(C14,路飞话务数据源!D:Q,5,FALSE),0)</f>
        <v>0</v>
      </c>
      <c r="J14" s="45">
        <f>IFERROR(VLOOKUP(C14,路飞话务数据源!D:Q,6,FALSE),0)</f>
        <v>0</v>
      </c>
      <c r="K14" s="44">
        <f>IFERROR(VLOOKUP(C14,路飞话务数据源!D:Q,7,FALSE),0)</f>
        <v>0</v>
      </c>
      <c r="L14" s="46">
        <f>IFERROR(VLOOKUP(C14,路飞话务数据源!D:Q,8,FALSE),0)</f>
        <v>0</v>
      </c>
      <c r="M14" s="46">
        <f>IFERROR(VLOOKUP(C14,路飞话务数据源!D:Q,9,FALSE),0)</f>
        <v>0</v>
      </c>
      <c r="N14" s="46">
        <f>IFERROR(VLOOKUP(C14,路飞话务数据源!D:Q,10,FALSE),0)</f>
        <v>0</v>
      </c>
      <c r="O14" s="46">
        <f>IFERROR(VLOOKUP(C14,路飞话务数据源!D:Q,11,FALSE),0)</f>
        <v>0</v>
      </c>
      <c r="P14" s="46">
        <f>IFERROR(VLOOKUP(C14,路飞话务数据源!D:Q,12,FALSE),0)</f>
        <v>0</v>
      </c>
      <c r="Q14" s="60">
        <f>IFERROR(VLOOKUP(C14,路飞话务数据源!D:Q,13,FALSE),0)</f>
        <v>0</v>
      </c>
      <c r="R14" s="61">
        <f ca="1" t="shared" si="0"/>
        <v>0</v>
      </c>
      <c r="S14" s="35" t="str">
        <f ca="1" t="shared" si="1"/>
        <v>3年以上</v>
      </c>
      <c r="T14" s="34" t="s">
        <v>56</v>
      </c>
      <c r="U14" s="46">
        <f>SUMIFS(路飞意向数据源!F:F,路飞意向数据源!B:B,A14,路飞意向数据源!C:C,B14,路飞意向数据源!D:D,C14)</f>
        <v>0</v>
      </c>
      <c r="V14" s="46"/>
      <c r="W14" s="20"/>
      <c r="X14" s="35"/>
    </row>
    <row r="15" spans="1:24">
      <c r="A15" s="34" t="s">
        <v>51</v>
      </c>
      <c r="B15" s="34" t="s">
        <v>52</v>
      </c>
      <c r="C15" s="34" t="s">
        <v>66</v>
      </c>
      <c r="D15" s="34" t="s">
        <v>67</v>
      </c>
      <c r="E15" s="34" t="s">
        <v>68</v>
      </c>
      <c r="F15" s="44">
        <f>IFERROR(VLOOKUP(C15,路飞话务数据源!D:Q,2,FALSE),0)</f>
        <v>0</v>
      </c>
      <c r="G15" s="44">
        <f>IFERROR(VLOOKUP(C15,路飞话务数据源!D:Q,3,FALSE),0)</f>
        <v>0</v>
      </c>
      <c r="H15" s="44">
        <f>IFERROR(VLOOKUP(C15,路飞话务数据源!D:Q,4,FALSE),0)</f>
        <v>0</v>
      </c>
      <c r="I15" s="44">
        <f>IFERROR(VLOOKUP(C15,路飞话务数据源!D:Q,5,FALSE),0)</f>
        <v>0</v>
      </c>
      <c r="J15" s="45">
        <f>IFERROR(VLOOKUP(C15,路飞话务数据源!D:Q,6,FALSE),0)</f>
        <v>0</v>
      </c>
      <c r="K15" s="44">
        <f>IFERROR(VLOOKUP(C15,路飞话务数据源!D:Q,7,FALSE),0)</f>
        <v>0</v>
      </c>
      <c r="L15" s="46">
        <f>IFERROR(VLOOKUP(C15,路飞话务数据源!D:Q,8,FALSE),0)</f>
        <v>0</v>
      </c>
      <c r="M15" s="46">
        <f>IFERROR(VLOOKUP(C15,路飞话务数据源!D:Q,9,FALSE),0)</f>
        <v>0</v>
      </c>
      <c r="N15" s="46">
        <f>IFERROR(VLOOKUP(C15,路飞话务数据源!D:Q,10,FALSE),0)</f>
        <v>0</v>
      </c>
      <c r="O15" s="46">
        <f>IFERROR(VLOOKUP(C15,路飞话务数据源!D:Q,11,FALSE),0)</f>
        <v>0</v>
      </c>
      <c r="P15" s="46">
        <f>IFERROR(VLOOKUP(C15,路飞话务数据源!D:Q,12,FALSE),0)</f>
        <v>0</v>
      </c>
      <c r="Q15" s="60">
        <f>IFERROR(VLOOKUP(C15,路飞话务数据源!D:Q,13,FALSE),0)</f>
        <v>0</v>
      </c>
      <c r="R15" s="61">
        <f ca="1" t="shared" si="0"/>
        <v>0</v>
      </c>
      <c r="S15" s="35" t="str">
        <f ca="1" t="shared" si="1"/>
        <v>3年以上</v>
      </c>
      <c r="T15" s="34" t="s">
        <v>56</v>
      </c>
      <c r="U15" s="46">
        <f>SUMIFS(路飞意向数据源!F:F,路飞意向数据源!B:B,A15,路飞意向数据源!C:C,B15,路飞意向数据源!D:D,C15)</f>
        <v>0</v>
      </c>
      <c r="V15" s="46"/>
      <c r="W15" s="20"/>
      <c r="X15" s="35"/>
    </row>
    <row r="16" spans="1:24">
      <c r="A16" s="34" t="s">
        <v>51</v>
      </c>
      <c r="B16" s="34" t="s">
        <v>52</v>
      </c>
      <c r="C16" s="34" t="s">
        <v>69</v>
      </c>
      <c r="D16" s="34" t="s">
        <v>70</v>
      </c>
      <c r="E16" s="34" t="s">
        <v>71</v>
      </c>
      <c r="F16" s="44">
        <f>IFERROR(VLOOKUP(C16,路飞话务数据源!D:Q,2,FALSE),0)</f>
        <v>0</v>
      </c>
      <c r="G16" s="44">
        <f>IFERROR(VLOOKUP(C16,路飞话务数据源!D:Q,3,FALSE),0)</f>
        <v>0</v>
      </c>
      <c r="H16" s="44">
        <f>IFERROR(VLOOKUP(C16,路飞话务数据源!D:Q,4,FALSE),0)</f>
        <v>0</v>
      </c>
      <c r="I16" s="44">
        <f>IFERROR(VLOOKUP(C16,路飞话务数据源!D:Q,5,FALSE),0)</f>
        <v>0</v>
      </c>
      <c r="J16" s="45">
        <f>IFERROR(VLOOKUP(C16,路飞话务数据源!D:Q,6,FALSE),0)</f>
        <v>0</v>
      </c>
      <c r="K16" s="44">
        <f>IFERROR(VLOOKUP(C16,路飞话务数据源!D:Q,7,FALSE),0)</f>
        <v>0</v>
      </c>
      <c r="L16" s="46">
        <f>IFERROR(VLOOKUP(C16,路飞话务数据源!D:Q,8,FALSE),0)</f>
        <v>0</v>
      </c>
      <c r="M16" s="46">
        <f>IFERROR(VLOOKUP(C16,路飞话务数据源!D:Q,9,FALSE),0)</f>
        <v>0</v>
      </c>
      <c r="N16" s="46">
        <f>IFERROR(VLOOKUP(C16,路飞话务数据源!D:Q,10,FALSE),0)</f>
        <v>0</v>
      </c>
      <c r="O16" s="46">
        <f>IFERROR(VLOOKUP(C16,路飞话务数据源!D:Q,11,FALSE),0)</f>
        <v>0</v>
      </c>
      <c r="P16" s="46">
        <f>IFERROR(VLOOKUP(C16,路飞话务数据源!D:Q,12,FALSE),0)</f>
        <v>0</v>
      </c>
      <c r="Q16" s="60">
        <f>IFERROR(VLOOKUP(C16,路飞话务数据源!D:Q,13,FALSE),0)</f>
        <v>0</v>
      </c>
      <c r="R16" s="61">
        <f ca="1" t="shared" si="0"/>
        <v>0</v>
      </c>
      <c r="S16" s="35" t="str">
        <f ca="1" t="shared" si="1"/>
        <v>3年以上</v>
      </c>
      <c r="T16" s="34" t="s">
        <v>56</v>
      </c>
      <c r="U16" s="46">
        <f>SUMIFS(路飞意向数据源!F:F,路飞意向数据源!B:B,A16,路飞意向数据源!C:C,B16,路飞意向数据源!D:D,C16)</f>
        <v>0</v>
      </c>
      <c r="V16" s="46"/>
      <c r="W16" s="20"/>
      <c r="X16" s="35"/>
    </row>
    <row r="17" spans="1:24">
      <c r="A17" s="34" t="s">
        <v>51</v>
      </c>
      <c r="B17" s="34" t="s">
        <v>52</v>
      </c>
      <c r="C17" s="34" t="s">
        <v>72</v>
      </c>
      <c r="D17" s="34" t="s">
        <v>73</v>
      </c>
      <c r="E17" s="34" t="s">
        <v>74</v>
      </c>
      <c r="F17" s="44">
        <f>IFERROR(VLOOKUP(C17,路飞话务数据源!D:Q,2,FALSE),0)</f>
        <v>0</v>
      </c>
      <c r="G17" s="44">
        <f>IFERROR(VLOOKUP(C17,路飞话务数据源!D:Q,3,FALSE),0)</f>
        <v>0</v>
      </c>
      <c r="H17" s="44">
        <f>IFERROR(VLOOKUP(C17,路飞话务数据源!D:Q,4,FALSE),0)</f>
        <v>0</v>
      </c>
      <c r="I17" s="44">
        <f>IFERROR(VLOOKUP(C17,路飞话务数据源!D:Q,5,FALSE),0)</f>
        <v>0</v>
      </c>
      <c r="J17" s="45">
        <f>IFERROR(VLOOKUP(C17,路飞话务数据源!D:Q,6,FALSE),0)</f>
        <v>0</v>
      </c>
      <c r="K17" s="44">
        <f>IFERROR(VLOOKUP(C17,路飞话务数据源!D:Q,7,FALSE),0)</f>
        <v>0</v>
      </c>
      <c r="L17" s="46">
        <f>IFERROR(VLOOKUP(C17,路飞话务数据源!D:Q,8,FALSE),0)</f>
        <v>0</v>
      </c>
      <c r="M17" s="46">
        <f>IFERROR(VLOOKUP(C17,路飞话务数据源!D:Q,9,FALSE),0)</f>
        <v>0</v>
      </c>
      <c r="N17" s="46">
        <f>IFERROR(VLOOKUP(C17,路飞话务数据源!D:Q,10,FALSE),0)</f>
        <v>0</v>
      </c>
      <c r="O17" s="46">
        <f>IFERROR(VLOOKUP(C17,路飞话务数据源!D:Q,11,FALSE),0)</f>
        <v>0</v>
      </c>
      <c r="P17" s="46">
        <f>IFERROR(VLOOKUP(C17,路飞话务数据源!D:Q,12,FALSE),0)</f>
        <v>0</v>
      </c>
      <c r="Q17" s="60">
        <f>IFERROR(VLOOKUP(C17,路飞话务数据源!D:Q,13,FALSE),0)</f>
        <v>0</v>
      </c>
      <c r="R17" s="61">
        <f ca="1" t="shared" si="0"/>
        <v>0</v>
      </c>
      <c r="S17" s="35" t="str">
        <f ca="1" t="shared" si="1"/>
        <v>3年以上</v>
      </c>
      <c r="T17" s="34" t="s">
        <v>56</v>
      </c>
      <c r="U17" s="46">
        <f>SUMIFS(路飞意向数据源!F:F,路飞意向数据源!B:B,A17,路飞意向数据源!C:C,B17,路飞意向数据源!D:D,C17)</f>
        <v>0</v>
      </c>
      <c r="V17" s="46"/>
      <c r="W17" s="20"/>
      <c r="X17" s="35"/>
    </row>
    <row r="18" spans="1:24">
      <c r="A18" s="34" t="s">
        <v>51</v>
      </c>
      <c r="B18" s="34" t="s">
        <v>75</v>
      </c>
      <c r="C18" s="34" t="s">
        <v>76</v>
      </c>
      <c r="D18" s="34" t="s">
        <v>77</v>
      </c>
      <c r="E18" s="34" t="s">
        <v>78</v>
      </c>
      <c r="F18" s="44">
        <f>IFERROR(VLOOKUP(C18,路飞话务数据源!D:Q,2,FALSE),0)</f>
        <v>183</v>
      </c>
      <c r="G18" s="44">
        <f>IFERROR(VLOOKUP(C18,路飞话务数据源!D:Q,3,FALSE),0)</f>
        <v>88</v>
      </c>
      <c r="H18" s="44">
        <f>IFERROR(VLOOKUP(C18,路飞话务数据源!D:Q,4,FALSE),0)</f>
        <v>0.480874316939891</v>
      </c>
      <c r="I18" s="44">
        <f>IFERROR(VLOOKUP(C18,路飞话务数据源!D:Q,5,FALSE),0)</f>
        <v>29</v>
      </c>
      <c r="J18" s="45">
        <f>IFERROR(VLOOKUP(C18,路飞话务数据源!D:Q,6,FALSE),0)</f>
        <v>17</v>
      </c>
      <c r="K18" s="44">
        <f>IFERROR(VLOOKUP(C18,路飞话务数据源!D:Q,7,FALSE),0)</f>
        <v>11</v>
      </c>
      <c r="L18" s="46">
        <f>IFERROR(VLOOKUP(C18,路飞话务数据源!D:Q,8,FALSE),0)</f>
        <v>3</v>
      </c>
      <c r="M18" s="46">
        <f>IFERROR(VLOOKUP(C18,路飞话务数据源!D:Q,9,FALSE),0)</f>
        <v>58.7833333333333</v>
      </c>
      <c r="N18" s="46">
        <f>IFERROR(VLOOKUP(C18,路飞话务数据源!D:Q,10,FALSE),0)</f>
        <v>0</v>
      </c>
      <c r="O18" s="46">
        <f>IFERROR(VLOOKUP(C18,路飞话务数据源!D:Q,11,FALSE),0)</f>
        <v>0</v>
      </c>
      <c r="P18" s="46">
        <f>IFERROR(VLOOKUP(C18,路飞话务数据源!D:Q,12,FALSE),0)</f>
        <v>0</v>
      </c>
      <c r="Q18" s="60">
        <f>IFERROR(VLOOKUP(C18,路飞话务数据源!D:Q,13,FALSE),0)</f>
        <v>0</v>
      </c>
      <c r="R18" s="61">
        <f ca="1" t="shared" si="0"/>
        <v>1</v>
      </c>
      <c r="S18" s="35" t="str">
        <f ca="1" t="shared" si="1"/>
        <v>2年-3年</v>
      </c>
      <c r="T18" s="34" t="s">
        <v>79</v>
      </c>
      <c r="U18" s="46">
        <f>SUMIFS(路飞意向数据源!F:F,路飞意向数据源!B:B,A18,路飞意向数据源!C:C,B18,路飞意向数据源!D:D,C18)</f>
        <v>0</v>
      </c>
      <c r="V18" s="46"/>
      <c r="W18" s="20"/>
      <c r="X18" s="35"/>
    </row>
    <row r="19" spans="1:24">
      <c r="A19" s="34" t="s">
        <v>51</v>
      </c>
      <c r="B19" s="34" t="s">
        <v>75</v>
      </c>
      <c r="C19" s="34" t="s">
        <v>80</v>
      </c>
      <c r="D19" s="34" t="s">
        <v>81</v>
      </c>
      <c r="E19" s="34" t="s">
        <v>82</v>
      </c>
      <c r="F19" s="44">
        <f>IFERROR(VLOOKUP(C19,路飞话务数据源!D:Q,2,FALSE),0)</f>
        <v>134</v>
      </c>
      <c r="G19" s="44">
        <f>IFERROR(VLOOKUP(C19,路飞话务数据源!D:Q,3,FALSE),0)</f>
        <v>54</v>
      </c>
      <c r="H19" s="44">
        <f>IFERROR(VLOOKUP(C19,路飞话务数据源!D:Q,4,FALSE),0)</f>
        <v>0.402985074626866</v>
      </c>
      <c r="I19" s="44">
        <f>IFERROR(VLOOKUP(C19,路飞话务数据源!D:Q,5,FALSE),0)</f>
        <v>26</v>
      </c>
      <c r="J19" s="45">
        <f>IFERROR(VLOOKUP(C19,路飞话务数据源!D:Q,6,FALSE),0)</f>
        <v>18</v>
      </c>
      <c r="K19" s="44">
        <f>IFERROR(VLOOKUP(C19,路飞话务数据源!D:Q,7,FALSE),0)</f>
        <v>14</v>
      </c>
      <c r="L19" s="46">
        <f>IFERROR(VLOOKUP(C19,路飞话务数据源!D:Q,8,FALSE),0)</f>
        <v>1</v>
      </c>
      <c r="M19" s="46">
        <f>IFERROR(VLOOKUP(C19,路飞话务数据源!D:Q,9,FALSE),0)</f>
        <v>43.1666666666667</v>
      </c>
      <c r="N19" s="46">
        <f>IFERROR(VLOOKUP(C19,路飞话务数据源!D:Q,10,FALSE),0)</f>
        <v>1</v>
      </c>
      <c r="O19" s="46">
        <f>IFERROR(VLOOKUP(C19,路飞话务数据源!D:Q,11,FALSE),0)</f>
        <v>0</v>
      </c>
      <c r="P19" s="46">
        <f>IFERROR(VLOOKUP(C19,路飞话务数据源!D:Q,12,FALSE),0)</f>
        <v>0</v>
      </c>
      <c r="Q19" s="60">
        <f>IFERROR(VLOOKUP(C19,路飞话务数据源!D:Q,13,FALSE),0)</f>
        <v>37</v>
      </c>
      <c r="R19" s="61">
        <f ca="1" t="shared" si="0"/>
        <v>1</v>
      </c>
      <c r="S19" s="35" t="str">
        <f ca="1" t="shared" si="1"/>
        <v>3年以上</v>
      </c>
      <c r="T19" s="34" t="s">
        <v>79</v>
      </c>
      <c r="U19" s="46">
        <f>SUMIFS(路飞意向数据源!F:F,路飞意向数据源!B:B,A19,路飞意向数据源!C:C,B19,路飞意向数据源!D:D,C19)</f>
        <v>0</v>
      </c>
      <c r="V19" s="46"/>
      <c r="W19" s="20"/>
      <c r="X19" s="35"/>
    </row>
    <row r="20" s="41" customFormat="1" spans="1:24">
      <c r="A20" s="34" t="s">
        <v>51</v>
      </c>
      <c r="B20" s="34" t="s">
        <v>75</v>
      </c>
      <c r="C20" s="34" t="s">
        <v>83</v>
      </c>
      <c r="D20" s="34" t="s">
        <v>84</v>
      </c>
      <c r="E20" s="34" t="s">
        <v>85</v>
      </c>
      <c r="F20" s="51">
        <f>IFERROR(VLOOKUP(C20,路飞话务数据源!D:Q,2,FALSE),0)</f>
        <v>136</v>
      </c>
      <c r="G20" s="51">
        <f>IFERROR(VLOOKUP(C20,路飞话务数据源!D:Q,3,FALSE),0)</f>
        <v>63</v>
      </c>
      <c r="H20" s="51">
        <f>IFERROR(VLOOKUP(C20,路飞话务数据源!D:Q,4,FALSE),0)</f>
        <v>0.463235294117647</v>
      </c>
      <c r="I20" s="51">
        <f>IFERROR(VLOOKUP(C20,路飞话务数据源!D:Q,5,FALSE),0)</f>
        <v>13</v>
      </c>
      <c r="J20" s="55">
        <f>IFERROR(VLOOKUP(C20,路飞话务数据源!D:Q,6,FALSE),0)</f>
        <v>11</v>
      </c>
      <c r="K20" s="51">
        <f>IFERROR(VLOOKUP(C20,路飞话务数据源!D:Q,7,FALSE),0)</f>
        <v>3</v>
      </c>
      <c r="L20" s="56">
        <f>IFERROR(VLOOKUP(C20,路飞话务数据源!D:Q,8,FALSE),0)</f>
        <v>0</v>
      </c>
      <c r="M20" s="56">
        <f>IFERROR(VLOOKUP(C20,路飞话务数据源!D:Q,9,FALSE),0)</f>
        <v>25.4333333333333</v>
      </c>
      <c r="N20" s="56">
        <f>IFERROR(VLOOKUP(C20,路飞话务数据源!D:Q,10,FALSE),0)</f>
        <v>0</v>
      </c>
      <c r="O20" s="56">
        <f>IFERROR(VLOOKUP(C20,路飞话务数据源!D:Q,11,FALSE),0)</f>
        <v>0</v>
      </c>
      <c r="P20" s="56">
        <f>IFERROR(VLOOKUP(C20,路飞话务数据源!D:Q,12,FALSE),0)</f>
        <v>0</v>
      </c>
      <c r="Q20" s="62">
        <f>IFERROR(VLOOKUP(C20,路飞话务数据源!D:Q,13,FALSE),0)</f>
        <v>0</v>
      </c>
      <c r="R20" s="61">
        <f ca="1" t="shared" si="0"/>
        <v>1</v>
      </c>
      <c r="S20" s="63" t="str">
        <f ca="1" t="shared" si="1"/>
        <v>3年以上</v>
      </c>
      <c r="T20" s="34" t="s">
        <v>79</v>
      </c>
      <c r="U20" s="56">
        <f>SUMIFS(路飞意向数据源!F:F,路飞意向数据源!B:B,A20,路飞意向数据源!C:C,B20,路飞意向数据源!D:D,C20)</f>
        <v>0</v>
      </c>
      <c r="V20" s="56"/>
      <c r="W20" s="64"/>
      <c r="X20" s="63"/>
    </row>
    <row r="21" s="42" customFormat="1" spans="1:24">
      <c r="A21" s="34" t="s">
        <v>51</v>
      </c>
      <c r="B21" s="34" t="s">
        <v>75</v>
      </c>
      <c r="C21" s="34" t="s">
        <v>86</v>
      </c>
      <c r="D21" s="34" t="s">
        <v>87</v>
      </c>
      <c r="E21" s="34" t="s">
        <v>88</v>
      </c>
      <c r="F21" s="52">
        <f>IFERROR(VLOOKUP(C21,路飞话务数据源!D:Q,2,FALSE),0)</f>
        <v>157</v>
      </c>
      <c r="G21" s="52">
        <f>IFERROR(VLOOKUP(C21,路飞话务数据源!D:Q,3,FALSE),0)</f>
        <v>63</v>
      </c>
      <c r="H21" s="52">
        <f>IFERROR(VLOOKUP(C21,路飞话务数据源!D:Q,4,FALSE),0)</f>
        <v>0.401273885350318</v>
      </c>
      <c r="I21" s="52">
        <f>IFERROR(VLOOKUP(C21,路飞话务数据源!D:Q,5,FALSE),0)</f>
        <v>42</v>
      </c>
      <c r="J21" s="45">
        <f>IFERROR(VLOOKUP(C21,路飞话务数据源!D:Q,6,FALSE),0)</f>
        <v>35</v>
      </c>
      <c r="K21" s="52">
        <f>IFERROR(VLOOKUP(C21,路飞话务数据源!D:Q,7,FALSE),0)</f>
        <v>22</v>
      </c>
      <c r="L21" s="57">
        <f>IFERROR(VLOOKUP(C21,路飞话务数据源!D:Q,8,FALSE),0)</f>
        <v>5</v>
      </c>
      <c r="M21" s="57">
        <f>IFERROR(VLOOKUP(C21,路飞话务数据源!D:Q,9,FALSE),0)</f>
        <v>70.1333333333333</v>
      </c>
      <c r="N21" s="57">
        <f>IFERROR(VLOOKUP(C21,路飞话务数据源!D:Q,10,FALSE),0)</f>
        <v>0</v>
      </c>
      <c r="O21" s="57">
        <f>IFERROR(VLOOKUP(C21,路飞话务数据源!D:Q,11,FALSE),0)</f>
        <v>0</v>
      </c>
      <c r="P21" s="57">
        <f>IFERROR(VLOOKUP(C21,路飞话务数据源!D:Q,12,FALSE),0)</f>
        <v>0</v>
      </c>
      <c r="Q21" s="65">
        <f>IFERROR(VLOOKUP(C21,路飞话务数据源!D:Q,13,FALSE),0)</f>
        <v>0</v>
      </c>
      <c r="R21" s="61">
        <f ca="1" t="shared" si="0"/>
        <v>1</v>
      </c>
      <c r="S21" s="66" t="str">
        <f ca="1" t="shared" si="1"/>
        <v>1-3月</v>
      </c>
      <c r="T21" s="34" t="s">
        <v>79</v>
      </c>
      <c r="U21" s="57">
        <f>SUMIFS(路飞意向数据源!F:F,路飞意向数据源!B:B,A21,路飞意向数据源!C:C,B21,路飞意向数据源!D:D,C21)</f>
        <v>0</v>
      </c>
      <c r="V21" s="57"/>
      <c r="W21" s="67"/>
      <c r="X21" s="66"/>
    </row>
    <row r="22" spans="1:24">
      <c r="A22" s="34" t="s">
        <v>51</v>
      </c>
      <c r="B22" s="34" t="s">
        <v>75</v>
      </c>
      <c r="C22" s="34" t="s">
        <v>89</v>
      </c>
      <c r="D22" s="34" t="s">
        <v>90</v>
      </c>
      <c r="E22" s="34" t="s">
        <v>91</v>
      </c>
      <c r="F22" s="44">
        <f>IFERROR(VLOOKUP(C22,路飞话务数据源!D:Q,2,FALSE),0)</f>
        <v>149</v>
      </c>
      <c r="G22" s="44">
        <f>IFERROR(VLOOKUP(C22,路飞话务数据源!D:Q,3,FALSE),0)</f>
        <v>58</v>
      </c>
      <c r="H22" s="44">
        <f>IFERROR(VLOOKUP(C22,路飞话务数据源!D:Q,4,FALSE),0)</f>
        <v>0.389261744966443</v>
      </c>
      <c r="I22" s="44">
        <f>IFERROR(VLOOKUP(C22,路飞话务数据源!D:Q,5,FALSE),0)</f>
        <v>33</v>
      </c>
      <c r="J22" s="45">
        <f>IFERROR(VLOOKUP(C22,路飞话务数据源!D:Q,6,FALSE),0)</f>
        <v>25</v>
      </c>
      <c r="K22" s="44">
        <f>IFERROR(VLOOKUP(C22,路飞话务数据源!D:Q,7,FALSE),0)</f>
        <v>9</v>
      </c>
      <c r="L22" s="46">
        <f>IFERROR(VLOOKUP(C22,路飞话务数据源!D:Q,8,FALSE),0)</f>
        <v>1</v>
      </c>
      <c r="M22" s="46">
        <f>IFERROR(VLOOKUP(C22,路飞话务数据源!D:Q,9,FALSE),0)</f>
        <v>41.3166666666667</v>
      </c>
      <c r="N22" s="46">
        <f>IFERROR(VLOOKUP(C22,路飞话务数据源!D:Q,10,FALSE),0)</f>
        <v>0</v>
      </c>
      <c r="O22" s="46">
        <f>IFERROR(VLOOKUP(C22,路飞话务数据源!D:Q,11,FALSE),0)</f>
        <v>0</v>
      </c>
      <c r="P22" s="46">
        <f>IFERROR(VLOOKUP(C22,路飞话务数据源!D:Q,12,FALSE),0)</f>
        <v>0</v>
      </c>
      <c r="Q22" s="60">
        <f>IFERROR(VLOOKUP(C22,路飞话务数据源!D:Q,13,FALSE),0)</f>
        <v>0</v>
      </c>
      <c r="R22" s="61">
        <f ca="1" t="shared" si="0"/>
        <v>1</v>
      </c>
      <c r="S22" s="35" t="str">
        <f ca="1" t="shared" si="1"/>
        <v>4月-6月</v>
      </c>
      <c r="T22" s="34" t="s">
        <v>79</v>
      </c>
      <c r="U22" s="46">
        <f>SUMIFS(路飞意向数据源!F:F,路飞意向数据源!B:B,A22,路飞意向数据源!C:C,B22,路飞意向数据源!D:D,C22)</f>
        <v>0</v>
      </c>
      <c r="V22" s="46"/>
      <c r="W22" s="20"/>
      <c r="X22" s="35"/>
    </row>
    <row r="23" spans="1:24">
      <c r="A23" s="34" t="s">
        <v>51</v>
      </c>
      <c r="B23" s="34" t="s">
        <v>75</v>
      </c>
      <c r="C23" s="34" t="s">
        <v>92</v>
      </c>
      <c r="D23" s="34" t="s">
        <v>93</v>
      </c>
      <c r="E23" s="34" t="s">
        <v>94</v>
      </c>
      <c r="F23" s="44">
        <f>IFERROR(VLOOKUP(C23,路飞话务数据源!D:Q,2,FALSE),0)</f>
        <v>159</v>
      </c>
      <c r="G23" s="44">
        <f>IFERROR(VLOOKUP(C23,路飞话务数据源!D:Q,3,FALSE),0)</f>
        <v>39</v>
      </c>
      <c r="H23" s="44">
        <f>IFERROR(VLOOKUP(C23,路飞话务数据源!D:Q,4,FALSE),0)</f>
        <v>0.245283018867925</v>
      </c>
      <c r="I23" s="44">
        <f>IFERROR(VLOOKUP(C23,路飞话务数据源!D:Q,5,FALSE),0)</f>
        <v>24</v>
      </c>
      <c r="J23" s="45">
        <f>IFERROR(VLOOKUP(C23,路飞话务数据源!D:Q,6,FALSE),0)</f>
        <v>22</v>
      </c>
      <c r="K23" s="44">
        <f>IFERROR(VLOOKUP(C23,路飞话务数据源!D:Q,7,FALSE),0)</f>
        <v>14</v>
      </c>
      <c r="L23" s="46">
        <f>IFERROR(VLOOKUP(C23,路飞话务数据源!D:Q,8,FALSE),0)</f>
        <v>3</v>
      </c>
      <c r="M23" s="46">
        <f>IFERROR(VLOOKUP(C23,路飞话务数据源!D:Q,9,FALSE),0)</f>
        <v>49.5333333333333</v>
      </c>
      <c r="N23" s="46">
        <f>IFERROR(VLOOKUP(C23,路飞话务数据源!D:Q,10,FALSE),0)</f>
        <v>0</v>
      </c>
      <c r="O23" s="46">
        <f>IFERROR(VLOOKUP(C23,路飞话务数据源!D:Q,11,FALSE),0)</f>
        <v>0</v>
      </c>
      <c r="P23" s="46">
        <f>IFERROR(VLOOKUP(C23,路飞话务数据源!D:Q,12,FALSE),0)</f>
        <v>0</v>
      </c>
      <c r="Q23" s="60">
        <f>IFERROR(VLOOKUP(C23,路飞话务数据源!D:Q,13,FALSE),0)</f>
        <v>0</v>
      </c>
      <c r="R23" s="61">
        <f ca="1" t="shared" si="0"/>
        <v>1</v>
      </c>
      <c r="S23" s="35" t="str">
        <f ca="1" t="shared" si="1"/>
        <v>1-3月</v>
      </c>
      <c r="T23" s="34" t="s">
        <v>79</v>
      </c>
      <c r="U23" s="46">
        <f>SUMIFS(路飞意向数据源!F:F,路飞意向数据源!B:B,A23,路飞意向数据源!C:C,B23,路飞意向数据源!D:D,C23)</f>
        <v>0</v>
      </c>
      <c r="V23" s="46"/>
      <c r="W23" s="20"/>
      <c r="X23" s="35"/>
    </row>
    <row r="24" spans="1:24">
      <c r="A24" s="34" t="s">
        <v>51</v>
      </c>
      <c r="B24" s="34" t="s">
        <v>75</v>
      </c>
      <c r="C24" s="34" t="s">
        <v>95</v>
      </c>
      <c r="D24" s="34" t="s">
        <v>96</v>
      </c>
      <c r="E24" s="34" t="s">
        <v>97</v>
      </c>
      <c r="F24" s="44">
        <f>IFERROR(VLOOKUP(C24,路飞话务数据源!D:Q,2,FALSE),0)</f>
        <v>216</v>
      </c>
      <c r="G24" s="44">
        <f>IFERROR(VLOOKUP(C24,路飞话务数据源!D:Q,3,FALSE),0)</f>
        <v>91</v>
      </c>
      <c r="H24" s="44">
        <f>IFERROR(VLOOKUP(C24,路飞话务数据源!D:Q,4,FALSE),0)</f>
        <v>0.421296296296296</v>
      </c>
      <c r="I24" s="44">
        <f>IFERROR(VLOOKUP(C24,路飞话务数据源!D:Q,5,FALSE),0)</f>
        <v>39</v>
      </c>
      <c r="J24" s="45">
        <f>IFERROR(VLOOKUP(C24,路飞话务数据源!D:Q,6,FALSE),0)</f>
        <v>36</v>
      </c>
      <c r="K24" s="44">
        <f>IFERROR(VLOOKUP(C24,路飞话务数据源!D:Q,7,FALSE),0)</f>
        <v>25</v>
      </c>
      <c r="L24" s="46">
        <f>IFERROR(VLOOKUP(C24,路飞话务数据源!D:Q,8,FALSE),0)</f>
        <v>1</v>
      </c>
      <c r="M24" s="46">
        <f>IFERROR(VLOOKUP(C24,路飞话务数据源!D:Q,9,FALSE),0)</f>
        <v>67.7</v>
      </c>
      <c r="N24" s="46">
        <f>IFERROR(VLOOKUP(C24,路飞话务数据源!D:Q,10,FALSE),0)</f>
        <v>0</v>
      </c>
      <c r="O24" s="46">
        <f>IFERROR(VLOOKUP(C24,路飞话务数据源!D:Q,11,FALSE),0)</f>
        <v>0</v>
      </c>
      <c r="P24" s="46">
        <f>IFERROR(VLOOKUP(C24,路飞话务数据源!D:Q,12,FALSE),0)</f>
        <v>0</v>
      </c>
      <c r="Q24" s="60">
        <f>IFERROR(VLOOKUP(C24,路飞话务数据源!D:Q,13,FALSE),0)</f>
        <v>0</v>
      </c>
      <c r="R24" s="61">
        <f ca="1" t="shared" si="0"/>
        <v>1</v>
      </c>
      <c r="S24" s="35" t="str">
        <f ca="1" t="shared" si="1"/>
        <v>4月-6月</v>
      </c>
      <c r="T24" s="34" t="s">
        <v>79</v>
      </c>
      <c r="U24" s="46">
        <f>SUMIFS(路飞意向数据源!F:F,路飞意向数据源!B:B,A24,路飞意向数据源!C:C,B24,路飞意向数据源!D:D,C24)</f>
        <v>0</v>
      </c>
      <c r="V24" s="46"/>
      <c r="W24" s="20"/>
      <c r="X24" s="35"/>
    </row>
    <row r="25" spans="1:24">
      <c r="A25" s="34" t="s">
        <v>51</v>
      </c>
      <c r="B25" s="34" t="s">
        <v>75</v>
      </c>
      <c r="C25" s="34" t="s">
        <v>98</v>
      </c>
      <c r="D25" s="34" t="s">
        <v>99</v>
      </c>
      <c r="E25" s="34" t="s">
        <v>100</v>
      </c>
      <c r="F25" s="44">
        <f>IFERROR(VLOOKUP(C25,路飞话务数据源!D:Q,2,FALSE),0)</f>
        <v>246</v>
      </c>
      <c r="G25" s="44">
        <f>IFERROR(VLOOKUP(C25,路飞话务数据源!D:Q,3,FALSE),0)</f>
        <v>126</v>
      </c>
      <c r="H25" s="44">
        <f>IFERROR(VLOOKUP(C25,路飞话务数据源!D:Q,4,FALSE),0)</f>
        <v>0.51219512195122</v>
      </c>
      <c r="I25" s="44">
        <f>IFERROR(VLOOKUP(C25,路飞话务数据源!D:Q,5,FALSE),0)</f>
        <v>41</v>
      </c>
      <c r="J25" s="45">
        <f>IFERROR(VLOOKUP(C25,路飞话务数据源!D:Q,6,FALSE),0)</f>
        <v>19</v>
      </c>
      <c r="K25" s="44">
        <f>IFERROR(VLOOKUP(C25,路飞话务数据源!D:Q,7,FALSE),0)</f>
        <v>10</v>
      </c>
      <c r="L25" s="46">
        <f>IFERROR(VLOOKUP(C25,路飞话务数据源!D:Q,8,FALSE),0)</f>
        <v>0</v>
      </c>
      <c r="M25" s="46">
        <f>IFERROR(VLOOKUP(C25,路飞话务数据源!D:Q,9,FALSE),0)</f>
        <v>58.1333333333333</v>
      </c>
      <c r="N25" s="46">
        <f>IFERROR(VLOOKUP(C25,路飞话务数据源!D:Q,10,FALSE),0)</f>
        <v>0</v>
      </c>
      <c r="O25" s="46">
        <f>IFERROR(VLOOKUP(C25,路飞话务数据源!D:Q,11,FALSE),0)</f>
        <v>0</v>
      </c>
      <c r="P25" s="46">
        <f>IFERROR(VLOOKUP(C25,路飞话务数据源!D:Q,12,FALSE),0)</f>
        <v>0</v>
      </c>
      <c r="Q25" s="60">
        <f>IFERROR(VLOOKUP(C25,路飞话务数据源!D:Q,13,FALSE),0)</f>
        <v>0</v>
      </c>
      <c r="R25" s="61">
        <f ca="1" t="shared" si="0"/>
        <v>1</v>
      </c>
      <c r="S25" s="35" t="str">
        <f ca="1" t="shared" si="1"/>
        <v>4月-6月</v>
      </c>
      <c r="T25" s="34" t="s">
        <v>79</v>
      </c>
      <c r="U25" s="46">
        <f>SUMIFS(路飞意向数据源!F:F,路飞意向数据源!B:B,A25,路飞意向数据源!C:C,B25,路飞意向数据源!D:D,C25)</f>
        <v>0</v>
      </c>
      <c r="V25" s="46"/>
      <c r="W25" s="20"/>
      <c r="X25" s="35"/>
    </row>
    <row r="26" spans="1:24">
      <c r="A26" s="34" t="s">
        <v>101</v>
      </c>
      <c r="B26" s="34" t="s">
        <v>102</v>
      </c>
      <c r="C26" s="34" t="s">
        <v>103</v>
      </c>
      <c r="D26" s="34" t="s">
        <v>104</v>
      </c>
      <c r="E26" s="34" t="s">
        <v>29</v>
      </c>
      <c r="F26" s="44">
        <f>IFERROR(VLOOKUP(C26,路飞话务数据源!D:Q,2,FALSE),0)</f>
        <v>0</v>
      </c>
      <c r="G26" s="44">
        <f>IFERROR(VLOOKUP(C26,路飞话务数据源!D:Q,3,FALSE),0)</f>
        <v>0</v>
      </c>
      <c r="H26" s="44">
        <f>IFERROR(VLOOKUP(C26,路飞话务数据源!D:Q,4,FALSE),0)</f>
        <v>0</v>
      </c>
      <c r="I26" s="44">
        <f>IFERROR(VLOOKUP(C26,路飞话务数据源!D:Q,5,FALSE),0)</f>
        <v>0</v>
      </c>
      <c r="J26" s="45">
        <f>IFERROR(VLOOKUP(C26,路飞话务数据源!D:Q,6,FALSE),0)</f>
        <v>0</v>
      </c>
      <c r="K26" s="44">
        <f>IFERROR(VLOOKUP(C26,路飞话务数据源!D:Q,7,FALSE),0)</f>
        <v>0</v>
      </c>
      <c r="L26" s="46">
        <f>IFERROR(VLOOKUP(C26,路飞话务数据源!D:Q,8,FALSE),0)</f>
        <v>0</v>
      </c>
      <c r="M26" s="46">
        <f>IFERROR(VLOOKUP(C26,路飞话务数据源!D:Q,9,FALSE),0)</f>
        <v>0</v>
      </c>
      <c r="N26" s="46">
        <f>IFERROR(VLOOKUP(C26,路飞话务数据源!D:Q,10,FALSE),0)</f>
        <v>1</v>
      </c>
      <c r="O26" s="46">
        <f>IFERROR(VLOOKUP(C26,路飞话务数据源!D:Q,11,FALSE),0)</f>
        <v>0</v>
      </c>
      <c r="P26" s="46">
        <f>IFERROR(VLOOKUP(C26,路飞话务数据源!D:Q,12,FALSE),0)</f>
        <v>0</v>
      </c>
      <c r="Q26" s="60">
        <f>IFERROR(VLOOKUP(C26,路飞话务数据源!D:Q,13,FALSE),0)</f>
        <v>45</v>
      </c>
      <c r="R26" s="61">
        <f ca="1" t="shared" si="0"/>
        <v>0</v>
      </c>
      <c r="S26" s="35" t="str">
        <f ca="1" t="shared" si="1"/>
        <v>1年-2年</v>
      </c>
      <c r="T26" s="34" t="s">
        <v>105</v>
      </c>
      <c r="U26" s="46">
        <f>SUMIFS(路飞意向数据源!F:F,路飞意向数据源!B:B,A26,路飞意向数据源!C:C,B26,路飞意向数据源!D:D,C26)</f>
        <v>0</v>
      </c>
      <c r="V26" s="46"/>
      <c r="W26" s="20"/>
      <c r="X26" s="35"/>
    </row>
    <row r="27" spans="1:24">
      <c r="A27" s="34" t="s">
        <v>101</v>
      </c>
      <c r="B27" s="34" t="s">
        <v>102</v>
      </c>
      <c r="C27" s="34" t="s">
        <v>106</v>
      </c>
      <c r="D27" s="34" t="s">
        <v>107</v>
      </c>
      <c r="E27" s="34" t="s">
        <v>108</v>
      </c>
      <c r="F27" s="44">
        <f>IFERROR(VLOOKUP(C27,路飞话务数据源!D:Q,2,FALSE),0)</f>
        <v>0</v>
      </c>
      <c r="G27" s="44">
        <f>IFERROR(VLOOKUP(C27,路飞话务数据源!D:Q,3,FALSE),0)</f>
        <v>0</v>
      </c>
      <c r="H27" s="44">
        <f>IFERROR(VLOOKUP(C27,路飞话务数据源!D:Q,4,FALSE),0)</f>
        <v>0</v>
      </c>
      <c r="I27" s="44">
        <f>IFERROR(VLOOKUP(C27,路飞话务数据源!D:Q,5,FALSE),0)</f>
        <v>0</v>
      </c>
      <c r="J27" s="45">
        <f>IFERROR(VLOOKUP(C27,路飞话务数据源!D:Q,6,FALSE),0)</f>
        <v>0</v>
      </c>
      <c r="K27" s="44">
        <f>IFERROR(VLOOKUP(C27,路飞话务数据源!D:Q,7,FALSE),0)</f>
        <v>0</v>
      </c>
      <c r="L27" s="46">
        <f>IFERROR(VLOOKUP(C27,路飞话务数据源!D:Q,8,FALSE),0)</f>
        <v>0</v>
      </c>
      <c r="M27" s="46">
        <f>IFERROR(VLOOKUP(C27,路飞话务数据源!D:Q,9,FALSE),0)</f>
        <v>0</v>
      </c>
      <c r="N27" s="46">
        <f>IFERROR(VLOOKUP(C27,路飞话务数据源!D:Q,10,FALSE),0)</f>
        <v>1</v>
      </c>
      <c r="O27" s="46">
        <f>IFERROR(VLOOKUP(C27,路飞话务数据源!D:Q,11,FALSE),0)</f>
        <v>0</v>
      </c>
      <c r="P27" s="46">
        <f>IFERROR(VLOOKUP(C27,路飞话务数据源!D:Q,12,FALSE),0)</f>
        <v>0</v>
      </c>
      <c r="Q27" s="60">
        <f>IFERROR(VLOOKUP(C27,路飞话务数据源!D:Q,13,FALSE),0)</f>
        <v>45</v>
      </c>
      <c r="R27" s="61">
        <f ca="1" t="shared" si="0"/>
        <v>0</v>
      </c>
      <c r="S27" s="35" t="str">
        <f ca="1" t="shared" si="1"/>
        <v>3年以上</v>
      </c>
      <c r="T27" s="34" t="s">
        <v>105</v>
      </c>
      <c r="U27" s="46">
        <f>SUMIFS(路飞意向数据源!F:F,路飞意向数据源!B:B,A27,路飞意向数据源!C:C,B27,路飞意向数据源!D:D,C27)</f>
        <v>0</v>
      </c>
      <c r="V27" s="46"/>
      <c r="W27" s="20"/>
      <c r="X27" s="35"/>
    </row>
    <row r="28" spans="1:24">
      <c r="A28" s="34" t="s">
        <v>101</v>
      </c>
      <c r="B28" s="34" t="s">
        <v>75</v>
      </c>
      <c r="C28" s="34" t="s">
        <v>109</v>
      </c>
      <c r="D28" s="34" t="s">
        <v>110</v>
      </c>
      <c r="E28" s="34" t="s">
        <v>111</v>
      </c>
      <c r="F28" s="44">
        <f>IFERROR(VLOOKUP(C28,路飞话务数据源!D:Q,2,FALSE),0)</f>
        <v>293</v>
      </c>
      <c r="G28" s="44">
        <f>IFERROR(VLOOKUP(C28,路飞话务数据源!D:Q,3,FALSE),0)</f>
        <v>125</v>
      </c>
      <c r="H28" s="44">
        <f>IFERROR(VLOOKUP(C28,路飞话务数据源!D:Q,4,FALSE),0)</f>
        <v>0.426621160409556</v>
      </c>
      <c r="I28" s="44">
        <f>IFERROR(VLOOKUP(C28,路飞话务数据源!D:Q,5,FALSE),0)</f>
        <v>46</v>
      </c>
      <c r="J28" s="45">
        <f>IFERROR(VLOOKUP(C28,路飞话务数据源!D:Q,6,FALSE),0)</f>
        <v>39</v>
      </c>
      <c r="K28" s="44">
        <f>IFERROR(VLOOKUP(C28,路飞话务数据源!D:Q,7,FALSE),0)</f>
        <v>18</v>
      </c>
      <c r="L28" s="46">
        <f>IFERROR(VLOOKUP(C28,路飞话务数据源!D:Q,8,FALSE),0)</f>
        <v>1</v>
      </c>
      <c r="M28" s="46">
        <f>IFERROR(VLOOKUP(C28,路飞话务数据源!D:Q,9,FALSE),0)</f>
        <v>68.35</v>
      </c>
      <c r="N28" s="46">
        <f>IFERROR(VLOOKUP(C28,路飞话务数据源!D:Q,10,FALSE),0)</f>
        <v>0</v>
      </c>
      <c r="O28" s="46">
        <f>IFERROR(VLOOKUP(C28,路飞话务数据源!D:Q,11,FALSE),0)</f>
        <v>0</v>
      </c>
      <c r="P28" s="46">
        <f>IFERROR(VLOOKUP(C28,路飞话务数据源!D:Q,12,FALSE),0)</f>
        <v>0</v>
      </c>
      <c r="Q28" s="60">
        <f>IFERROR(VLOOKUP(C28,路飞话务数据源!D:Q,13,FALSE),0)</f>
        <v>0</v>
      </c>
      <c r="R28" s="61">
        <f ca="1" t="shared" si="0"/>
        <v>1</v>
      </c>
      <c r="S28" s="35" t="str">
        <f ca="1" t="shared" si="1"/>
        <v>7月-12月</v>
      </c>
      <c r="T28" s="34" t="s">
        <v>112</v>
      </c>
      <c r="U28" s="46">
        <f>SUMIFS(路飞意向数据源!F:F,路飞意向数据源!B:B,A28,路飞意向数据源!C:C,B28,路飞意向数据源!D:D,C28)</f>
        <v>0</v>
      </c>
      <c r="V28" s="46"/>
      <c r="W28" s="20"/>
      <c r="X28" s="35"/>
    </row>
    <row r="29" spans="1:24">
      <c r="A29" s="34" t="s">
        <v>101</v>
      </c>
      <c r="B29" s="34" t="s">
        <v>75</v>
      </c>
      <c r="C29" s="34" t="s">
        <v>113</v>
      </c>
      <c r="D29" s="34" t="s">
        <v>114</v>
      </c>
      <c r="E29" s="34" t="s">
        <v>115</v>
      </c>
      <c r="F29" s="44">
        <f>IFERROR(VLOOKUP(C29,路飞话务数据源!D:Q,2,FALSE),0)</f>
        <v>194</v>
      </c>
      <c r="G29" s="44">
        <f>IFERROR(VLOOKUP(C29,路飞话务数据源!D:Q,3,FALSE),0)</f>
        <v>84</v>
      </c>
      <c r="H29" s="44">
        <f>IFERROR(VLOOKUP(C29,路飞话务数据源!D:Q,4,FALSE),0)</f>
        <v>0.43298969072165</v>
      </c>
      <c r="I29" s="44">
        <f>IFERROR(VLOOKUP(C29,路飞话务数据源!D:Q,5,FALSE),0)</f>
        <v>51</v>
      </c>
      <c r="J29" s="45">
        <f>IFERROR(VLOOKUP(C29,路飞话务数据源!D:Q,6,FALSE),0)</f>
        <v>41</v>
      </c>
      <c r="K29" s="44">
        <f>IFERROR(VLOOKUP(C29,路飞话务数据源!D:Q,7,FALSE),0)</f>
        <v>8</v>
      </c>
      <c r="L29" s="46">
        <f>IFERROR(VLOOKUP(C29,路飞话务数据源!D:Q,8,FALSE),0)</f>
        <v>3</v>
      </c>
      <c r="M29" s="46">
        <f>IFERROR(VLOOKUP(C29,路飞话务数据源!D:Q,9,FALSE),0)</f>
        <v>63.25</v>
      </c>
      <c r="N29" s="46">
        <f>IFERROR(VLOOKUP(C29,路飞话务数据源!D:Q,10,FALSE),0)</f>
        <v>0</v>
      </c>
      <c r="O29" s="46">
        <f>IFERROR(VLOOKUP(C29,路飞话务数据源!D:Q,11,FALSE),0)</f>
        <v>0</v>
      </c>
      <c r="P29" s="46">
        <f>IFERROR(VLOOKUP(C29,路飞话务数据源!D:Q,12,FALSE),0)</f>
        <v>0</v>
      </c>
      <c r="Q29" s="60">
        <f>IFERROR(VLOOKUP(C29,路飞话务数据源!D:Q,13,FALSE),0)</f>
        <v>0</v>
      </c>
      <c r="R29" s="61">
        <f ca="1" t="shared" si="0"/>
        <v>1</v>
      </c>
      <c r="S29" s="35" t="str">
        <f ca="1" t="shared" si="1"/>
        <v>7月-12月</v>
      </c>
      <c r="T29" s="34" t="s">
        <v>112</v>
      </c>
      <c r="U29" s="46">
        <f>SUMIFS(路飞意向数据源!F:F,路飞意向数据源!B:B,A29,路飞意向数据源!C:C,B29,路飞意向数据源!D:D,C29)</f>
        <v>2</v>
      </c>
      <c r="V29" s="46"/>
      <c r="W29" s="20"/>
      <c r="X29" s="35"/>
    </row>
    <row r="30" spans="1:24">
      <c r="A30" s="34" t="s">
        <v>101</v>
      </c>
      <c r="B30" s="34" t="s">
        <v>75</v>
      </c>
      <c r="C30" s="34" t="s">
        <v>116</v>
      </c>
      <c r="D30" s="34" t="s">
        <v>117</v>
      </c>
      <c r="E30" s="34" t="s">
        <v>118</v>
      </c>
      <c r="F30" s="44">
        <f>IFERROR(VLOOKUP(C30,路飞话务数据源!D:Q,2,FALSE),0)</f>
        <v>277</v>
      </c>
      <c r="G30" s="44">
        <f>IFERROR(VLOOKUP(C30,路飞话务数据源!D:Q,3,FALSE),0)</f>
        <v>100</v>
      </c>
      <c r="H30" s="44">
        <f>IFERROR(VLOOKUP(C30,路飞话务数据源!D:Q,4,FALSE),0)</f>
        <v>0.36101083032491</v>
      </c>
      <c r="I30" s="44">
        <f>IFERROR(VLOOKUP(C30,路飞话务数据源!D:Q,5,FALSE),0)</f>
        <v>57</v>
      </c>
      <c r="J30" s="45">
        <f>IFERROR(VLOOKUP(C30,路飞话务数据源!D:Q,6,FALSE),0)</f>
        <v>39</v>
      </c>
      <c r="K30" s="44">
        <f>IFERROR(VLOOKUP(C30,路飞话务数据源!D:Q,7,FALSE),0)</f>
        <v>27</v>
      </c>
      <c r="L30" s="46">
        <f>IFERROR(VLOOKUP(C30,路飞话务数据源!D:Q,8,FALSE),0)</f>
        <v>3</v>
      </c>
      <c r="M30" s="46">
        <f>IFERROR(VLOOKUP(C30,路飞话务数据源!D:Q,9,FALSE),0)</f>
        <v>79.9333333333333</v>
      </c>
      <c r="N30" s="46">
        <f>IFERROR(VLOOKUP(C30,路飞话务数据源!D:Q,10,FALSE),0)</f>
        <v>0</v>
      </c>
      <c r="O30" s="46">
        <f>IFERROR(VLOOKUP(C30,路飞话务数据源!D:Q,11,FALSE),0)</f>
        <v>0</v>
      </c>
      <c r="P30" s="46">
        <f>IFERROR(VLOOKUP(C30,路飞话务数据源!D:Q,12,FALSE),0)</f>
        <v>0</v>
      </c>
      <c r="Q30" s="60">
        <f>IFERROR(VLOOKUP(C30,路飞话务数据源!D:Q,13,FALSE),0)</f>
        <v>0</v>
      </c>
      <c r="R30" s="61">
        <f ca="1" t="shared" si="0"/>
        <v>1</v>
      </c>
      <c r="S30" s="35" t="str">
        <f ca="1" t="shared" si="1"/>
        <v>1-3月</v>
      </c>
      <c r="T30" s="34" t="s">
        <v>112</v>
      </c>
      <c r="U30" s="46">
        <f>SUMIFS(路飞意向数据源!F:F,路飞意向数据源!B:B,A30,路飞意向数据源!C:C,B30,路飞意向数据源!D:D,C30)</f>
        <v>0</v>
      </c>
      <c r="V30" s="46"/>
      <c r="W30" s="20"/>
      <c r="X30" s="35"/>
    </row>
    <row r="31" spans="1:24">
      <c r="A31" s="34" t="s">
        <v>101</v>
      </c>
      <c r="B31" s="34" t="s">
        <v>75</v>
      </c>
      <c r="C31" s="34" t="s">
        <v>119</v>
      </c>
      <c r="D31" s="34" t="s">
        <v>120</v>
      </c>
      <c r="E31" s="34" t="s">
        <v>121</v>
      </c>
      <c r="F31" s="44">
        <f>IFERROR(VLOOKUP(C31,路飞话务数据源!D:Q,2,FALSE),0)</f>
        <v>288</v>
      </c>
      <c r="G31" s="44">
        <f>IFERROR(VLOOKUP(C31,路飞话务数据源!D:Q,3,FALSE),0)</f>
        <v>123</v>
      </c>
      <c r="H31" s="44">
        <f>IFERROR(VLOOKUP(C31,路飞话务数据源!D:Q,4,FALSE),0)</f>
        <v>0.427083333333333</v>
      </c>
      <c r="I31" s="44">
        <f>IFERROR(VLOOKUP(C31,路飞话务数据源!D:Q,5,FALSE),0)</f>
        <v>50</v>
      </c>
      <c r="J31" s="45">
        <f>IFERROR(VLOOKUP(C31,路飞话务数据源!D:Q,6,FALSE),0)</f>
        <v>31</v>
      </c>
      <c r="K31" s="44">
        <f>IFERROR(VLOOKUP(C31,路飞话务数据源!D:Q,7,FALSE),0)</f>
        <v>16</v>
      </c>
      <c r="L31" s="46">
        <f>IFERROR(VLOOKUP(C31,路飞话务数据源!D:Q,8,FALSE),0)</f>
        <v>1</v>
      </c>
      <c r="M31" s="46">
        <f>IFERROR(VLOOKUP(C31,路飞话务数据源!D:Q,9,FALSE),0)</f>
        <v>67.25</v>
      </c>
      <c r="N31" s="46">
        <f>IFERROR(VLOOKUP(C31,路飞话务数据源!D:Q,10,FALSE),0)</f>
        <v>0</v>
      </c>
      <c r="O31" s="46">
        <v>0</v>
      </c>
      <c r="P31" s="46">
        <f>IFERROR(VLOOKUP(C31,路飞话务数据源!D:Q,12,FALSE),0)</f>
        <v>0</v>
      </c>
      <c r="Q31" s="60">
        <f>IFERROR(VLOOKUP(C31,路飞话务数据源!D:Q,13,FALSE),0)</f>
        <v>0</v>
      </c>
      <c r="R31" s="61">
        <f ca="1" t="shared" si="0"/>
        <v>1</v>
      </c>
      <c r="S31" s="35" t="str">
        <f ca="1" t="shared" si="1"/>
        <v>1-3月</v>
      </c>
      <c r="T31" s="34" t="s">
        <v>112</v>
      </c>
      <c r="U31" s="46">
        <f>SUMIFS(路飞意向数据源!F:F,路飞意向数据源!B:B,A31,路飞意向数据源!C:C,B31,路飞意向数据源!D:D,C31)</f>
        <v>0</v>
      </c>
      <c r="V31" s="46"/>
      <c r="W31" s="20"/>
      <c r="X31" s="35"/>
    </row>
    <row r="32" spans="1:24">
      <c r="A32" s="34" t="s">
        <v>101</v>
      </c>
      <c r="B32" s="34" t="s">
        <v>75</v>
      </c>
      <c r="C32" s="34" t="s">
        <v>122</v>
      </c>
      <c r="D32" s="34" t="s">
        <v>123</v>
      </c>
      <c r="E32" s="34" t="s">
        <v>124</v>
      </c>
      <c r="F32" s="44">
        <f>IFERROR(VLOOKUP(C32,路飞话务数据源!D:Q,2,FALSE),0)</f>
        <v>257</v>
      </c>
      <c r="G32" s="44">
        <f>IFERROR(VLOOKUP(C32,路飞话务数据源!D:Q,3,FALSE),0)</f>
        <v>118</v>
      </c>
      <c r="H32" s="44">
        <f>IFERROR(VLOOKUP(C32,路飞话务数据源!D:Q,4,FALSE),0)</f>
        <v>0.459143968871595</v>
      </c>
      <c r="I32" s="44">
        <f>IFERROR(VLOOKUP(C32,路飞话务数据源!D:Q,5,FALSE),0)</f>
        <v>43</v>
      </c>
      <c r="J32" s="45">
        <f>IFERROR(VLOOKUP(C32,路飞话务数据源!D:Q,6,FALSE),0)</f>
        <v>30</v>
      </c>
      <c r="K32" s="44">
        <f>IFERROR(VLOOKUP(C32,路飞话务数据源!D:Q,7,FALSE),0)</f>
        <v>10</v>
      </c>
      <c r="L32" s="46">
        <f>IFERROR(VLOOKUP(C32,路飞话务数据源!D:Q,8,FALSE),0)</f>
        <v>1</v>
      </c>
      <c r="M32" s="46">
        <f>IFERROR(VLOOKUP(C32,路飞话务数据源!D:Q,9,FALSE),0)</f>
        <v>63.5833333333333</v>
      </c>
      <c r="N32" s="46">
        <f>IFERROR(VLOOKUP(C32,路飞话务数据源!D:Q,10,FALSE),0)</f>
        <v>0</v>
      </c>
      <c r="O32" s="46">
        <f>IFERROR(VLOOKUP(C32,路飞话务数据源!D:Q,11,FALSE),0)</f>
        <v>0</v>
      </c>
      <c r="P32" s="46">
        <f>IFERROR(VLOOKUP(C32,路飞话务数据源!D:Q,12,FALSE),0)</f>
        <v>0</v>
      </c>
      <c r="Q32" s="60">
        <f>IFERROR(VLOOKUP(C32,路飞话务数据源!D:Q,13,FALSE),0)</f>
        <v>0</v>
      </c>
      <c r="R32" s="61">
        <f ca="1" t="shared" si="0"/>
        <v>1</v>
      </c>
      <c r="S32" s="35" t="str">
        <f ca="1" t="shared" si="1"/>
        <v>1-3月</v>
      </c>
      <c r="T32" s="34" t="s">
        <v>112</v>
      </c>
      <c r="U32" s="46">
        <f>SUMIFS(路飞意向数据源!F:F,路飞意向数据源!B:B,A32,路飞意向数据源!C:C,B32,路飞意向数据源!D:D,C32)</f>
        <v>0</v>
      </c>
      <c r="V32" s="46"/>
      <c r="W32" s="20"/>
      <c r="X32" s="35"/>
    </row>
    <row r="33" spans="1:24">
      <c r="A33" s="34" t="s">
        <v>51</v>
      </c>
      <c r="B33" s="34" t="s">
        <v>125</v>
      </c>
      <c r="C33" s="34" t="s">
        <v>126</v>
      </c>
      <c r="D33" s="34" t="s">
        <v>127</v>
      </c>
      <c r="E33" s="34" t="s">
        <v>128</v>
      </c>
      <c r="F33" s="44">
        <f>IFERROR(VLOOKUP(C33,路飞话务数据源!D:Q,2,FALSE),0)</f>
        <v>0</v>
      </c>
      <c r="G33" s="44">
        <f>IFERROR(VLOOKUP(C33,路飞话务数据源!D:Q,3,FALSE),0)</f>
        <v>0</v>
      </c>
      <c r="H33" s="44">
        <f>IFERROR(VLOOKUP(C33,路飞话务数据源!D:Q,4,FALSE),0)</f>
        <v>0</v>
      </c>
      <c r="I33" s="44">
        <f>IFERROR(VLOOKUP(C33,路飞话务数据源!D:Q,5,FALSE),0)</f>
        <v>0</v>
      </c>
      <c r="J33" s="45">
        <f>IFERROR(VLOOKUP(C33,路飞话务数据源!D:Q,6,FALSE),0)</f>
        <v>0</v>
      </c>
      <c r="K33" s="44">
        <f>IFERROR(VLOOKUP(C33,路飞话务数据源!D:Q,7,FALSE),0)</f>
        <v>0</v>
      </c>
      <c r="L33" s="46">
        <f>IFERROR(VLOOKUP(C33,路飞话务数据源!D:Q,8,FALSE),0)</f>
        <v>0</v>
      </c>
      <c r="M33" s="46">
        <f>IFERROR(VLOOKUP(C33,路飞话务数据源!D:Q,9,FALSE),0)</f>
        <v>0</v>
      </c>
      <c r="N33" s="46">
        <f>IFERROR(VLOOKUP(C33,路飞话务数据源!D:Q,10,FALSE),0)</f>
        <v>0</v>
      </c>
      <c r="O33" s="46">
        <f>IFERROR(VLOOKUP(C33,路飞话务数据源!D:Q,11,FALSE),0)</f>
        <v>0</v>
      </c>
      <c r="P33" s="46">
        <f>IFERROR(VLOOKUP(C33,路飞话务数据源!D:Q,12,FALSE),0)</f>
        <v>0</v>
      </c>
      <c r="Q33" s="60">
        <f>IFERROR(VLOOKUP(C33,路飞话务数据源!D:Q,13,FALSE),0)</f>
        <v>0</v>
      </c>
      <c r="R33" s="61">
        <f ca="1" t="shared" si="0"/>
        <v>0</v>
      </c>
      <c r="S33" s="35" t="str">
        <f ca="1" t="shared" si="1"/>
        <v>月内</v>
      </c>
      <c r="T33" s="34" t="s">
        <v>129</v>
      </c>
      <c r="U33" s="46">
        <f>SUMIFS(路飞意向数据源!F:F,路飞意向数据源!B:B,A33,路飞意向数据源!C:C,B33,路飞意向数据源!D:D,C33)</f>
        <v>0</v>
      </c>
      <c r="V33" s="46"/>
      <c r="W33" s="20"/>
      <c r="X33" s="35"/>
    </row>
    <row r="34" spans="1:24">
      <c r="A34" s="34" t="s">
        <v>51</v>
      </c>
      <c r="B34" s="34" t="s">
        <v>125</v>
      </c>
      <c r="C34" s="34" t="s">
        <v>130</v>
      </c>
      <c r="D34" s="34" t="s">
        <v>131</v>
      </c>
      <c r="E34" s="34" t="s">
        <v>132</v>
      </c>
      <c r="F34" s="44">
        <f>IFERROR(VLOOKUP(C34,路飞话务数据源!D:Q,2,FALSE),0)</f>
        <v>0</v>
      </c>
      <c r="G34" s="44">
        <f>IFERROR(VLOOKUP(C34,路飞话务数据源!D:Q,3,FALSE),0)</f>
        <v>0</v>
      </c>
      <c r="H34" s="44">
        <f>IFERROR(VLOOKUP(C34,路飞话务数据源!D:Q,4,FALSE),0)</f>
        <v>0</v>
      </c>
      <c r="I34" s="44">
        <f>IFERROR(VLOOKUP(C34,路飞话务数据源!D:Q,5,FALSE),0)</f>
        <v>0</v>
      </c>
      <c r="J34" s="45">
        <f>IFERROR(VLOOKUP(C34,路飞话务数据源!D:Q,6,FALSE),0)</f>
        <v>0</v>
      </c>
      <c r="K34" s="44">
        <f>IFERROR(VLOOKUP(C34,路飞话务数据源!D:Q,7,FALSE),0)</f>
        <v>0</v>
      </c>
      <c r="L34" s="46">
        <f>IFERROR(VLOOKUP(C34,路飞话务数据源!D:Q,8,FALSE),0)</f>
        <v>0</v>
      </c>
      <c r="M34" s="46">
        <f>IFERROR(VLOOKUP(C34,路飞话务数据源!D:Q,9,FALSE),0)</f>
        <v>0</v>
      </c>
      <c r="N34" s="46">
        <v>0</v>
      </c>
      <c r="O34" s="46">
        <v>0</v>
      </c>
      <c r="P34" s="46">
        <f>IFERROR(VLOOKUP(C34,路飞话务数据源!D:Q,12,FALSE),0)</f>
        <v>0</v>
      </c>
      <c r="Q34" s="60">
        <f>IFERROR(VLOOKUP(C34,路飞话务数据源!D:Q,13,FALSE),0)</f>
        <v>0</v>
      </c>
      <c r="R34" s="61">
        <f ca="1" t="shared" si="0"/>
        <v>0</v>
      </c>
      <c r="S34" s="35" t="str">
        <f ca="1" t="shared" si="1"/>
        <v>7月-12月</v>
      </c>
      <c r="T34" s="34" t="s">
        <v>129</v>
      </c>
      <c r="U34" s="46">
        <f>SUMIFS(路飞意向数据源!F:F,路飞意向数据源!B:B,A34,路飞意向数据源!C:C,B34,路飞意向数据源!D:D,C34)</f>
        <v>0</v>
      </c>
      <c r="V34" s="46"/>
      <c r="W34" s="20"/>
      <c r="X34" s="35"/>
    </row>
    <row r="35" spans="1:24">
      <c r="A35" s="34" t="s">
        <v>51</v>
      </c>
      <c r="B35" s="34" t="s">
        <v>125</v>
      </c>
      <c r="C35" s="34" t="s">
        <v>133</v>
      </c>
      <c r="D35" s="34" t="s">
        <v>134</v>
      </c>
      <c r="E35" s="34" t="s">
        <v>135</v>
      </c>
      <c r="F35" s="44">
        <f>IFERROR(VLOOKUP(C35,路飞话务数据源!D:Q,2,FALSE),0)</f>
        <v>0</v>
      </c>
      <c r="G35" s="44">
        <f>IFERROR(VLOOKUP(C35,路飞话务数据源!D:Q,3,FALSE),0)</f>
        <v>0</v>
      </c>
      <c r="H35" s="44">
        <f>IFERROR(VLOOKUP(C35,路飞话务数据源!D:Q,4,FALSE),0)</f>
        <v>0</v>
      </c>
      <c r="I35" s="44">
        <f>IFERROR(VLOOKUP(C35,路飞话务数据源!D:Q,5,FALSE),0)</f>
        <v>0</v>
      </c>
      <c r="J35" s="45">
        <f>IFERROR(VLOOKUP(C35,路飞话务数据源!D:Q,6,FALSE),0)</f>
        <v>0</v>
      </c>
      <c r="K35" s="44">
        <f>IFERROR(VLOOKUP(C35,路飞话务数据源!D:Q,7,FALSE),0)</f>
        <v>0</v>
      </c>
      <c r="L35" s="46">
        <f>IFERROR(VLOOKUP(C35,路飞话务数据源!D:Q,8,FALSE),0)</f>
        <v>0</v>
      </c>
      <c r="M35" s="46">
        <f>IFERROR(VLOOKUP(C35,路飞话务数据源!D:Q,9,FALSE),0)</f>
        <v>0</v>
      </c>
      <c r="N35" s="46">
        <f>IFERROR(VLOOKUP(C35,路飞话务数据源!D:Q,10,FALSE),0)</f>
        <v>0</v>
      </c>
      <c r="O35" s="46">
        <f>IFERROR(VLOOKUP(C35,路飞话务数据源!D:Q,11,FALSE),0)</f>
        <v>0</v>
      </c>
      <c r="P35" s="46">
        <f>IFERROR(VLOOKUP(C35,路飞话务数据源!D:Q,12,FALSE),0)</f>
        <v>0</v>
      </c>
      <c r="Q35" s="60">
        <f>IFERROR(VLOOKUP(C35,路飞话务数据源!D:Q,13,FALSE),0)</f>
        <v>0</v>
      </c>
      <c r="R35" s="61">
        <f ca="1" t="shared" si="0"/>
        <v>0</v>
      </c>
      <c r="S35" s="35" t="str">
        <f ca="1" t="shared" si="1"/>
        <v>4月-6月</v>
      </c>
      <c r="T35" s="34" t="s">
        <v>129</v>
      </c>
      <c r="U35" s="46">
        <f>SUMIFS(路飞意向数据源!F:F,路飞意向数据源!B:B,A35,路飞意向数据源!C:C,B35,路飞意向数据源!D:D,C35)</f>
        <v>0</v>
      </c>
      <c r="V35" s="46"/>
      <c r="W35" s="20"/>
      <c r="X35" s="35"/>
    </row>
    <row r="36" spans="1:24">
      <c r="A36" s="34" t="s">
        <v>51</v>
      </c>
      <c r="B36" s="34" t="s">
        <v>125</v>
      </c>
      <c r="C36" s="34" t="s">
        <v>136</v>
      </c>
      <c r="D36" s="34" t="s">
        <v>137</v>
      </c>
      <c r="E36" s="34" t="s">
        <v>138</v>
      </c>
      <c r="F36" s="44">
        <f>IFERROR(VLOOKUP(C36,路飞话务数据源!D:Q,2,FALSE),0)</f>
        <v>0</v>
      </c>
      <c r="G36" s="44">
        <f>IFERROR(VLOOKUP(C36,路飞话务数据源!D:Q,3,FALSE),0)</f>
        <v>0</v>
      </c>
      <c r="H36" s="44">
        <f>IFERROR(VLOOKUP(C36,路飞话务数据源!D:Q,4,FALSE),0)</f>
        <v>0</v>
      </c>
      <c r="I36" s="44">
        <f>IFERROR(VLOOKUP(C36,路飞话务数据源!D:Q,5,FALSE),0)</f>
        <v>0</v>
      </c>
      <c r="J36" s="45">
        <f>IFERROR(VLOOKUP(C36,路飞话务数据源!D:Q,6,FALSE),0)</f>
        <v>0</v>
      </c>
      <c r="K36" s="44">
        <f>IFERROR(VLOOKUP(C36,路飞话务数据源!D:Q,7,FALSE),0)</f>
        <v>0</v>
      </c>
      <c r="L36" s="46">
        <f>IFERROR(VLOOKUP(C36,路飞话务数据源!D:Q,8,FALSE),0)</f>
        <v>0</v>
      </c>
      <c r="M36" s="46">
        <f>IFERROR(VLOOKUP(C36,路飞话务数据源!D:Q,9,FALSE),0)</f>
        <v>0</v>
      </c>
      <c r="N36" s="46">
        <f>IFERROR(VLOOKUP(C36,路飞话务数据源!D:Q,10,FALSE),0)</f>
        <v>0</v>
      </c>
      <c r="O36" s="46">
        <f>IFERROR(VLOOKUP(C36,路飞话务数据源!D:Q,11,FALSE),0)</f>
        <v>0</v>
      </c>
      <c r="P36" s="46">
        <f>IFERROR(VLOOKUP(C36,路飞话务数据源!D:Q,12,FALSE),0)</f>
        <v>0</v>
      </c>
      <c r="Q36" s="60">
        <f>IFERROR(VLOOKUP(C36,路飞话务数据源!D:Q,13,FALSE),0)</f>
        <v>0</v>
      </c>
      <c r="R36" s="61">
        <f ca="1" t="shared" si="0"/>
        <v>0</v>
      </c>
      <c r="S36" s="35" t="str">
        <f ca="1" t="shared" si="1"/>
        <v>1-3月</v>
      </c>
      <c r="T36" s="34" t="s">
        <v>129</v>
      </c>
      <c r="U36" s="46">
        <f>SUMIFS(路飞意向数据源!F:F,路飞意向数据源!B:B,A36,路飞意向数据源!C:C,B36,路飞意向数据源!D:D,C36)</f>
        <v>0</v>
      </c>
      <c r="V36" s="46"/>
      <c r="W36" s="20"/>
      <c r="X36" s="35"/>
    </row>
    <row r="37" spans="1:24">
      <c r="A37" s="34" t="s">
        <v>51</v>
      </c>
      <c r="B37" s="34" t="s">
        <v>125</v>
      </c>
      <c r="C37" s="34" t="s">
        <v>139</v>
      </c>
      <c r="D37" s="34" t="s">
        <v>140</v>
      </c>
      <c r="E37" s="34" t="s">
        <v>141</v>
      </c>
      <c r="F37" s="44">
        <f>IFERROR(VLOOKUP(C37,路飞话务数据源!D:Q,2,FALSE),0)</f>
        <v>0</v>
      </c>
      <c r="G37" s="44">
        <f>IFERROR(VLOOKUP(C37,路飞话务数据源!D:Q,3,FALSE),0)</f>
        <v>0</v>
      </c>
      <c r="H37" s="44">
        <f>IFERROR(VLOOKUP(C37,路飞话务数据源!D:Q,4,FALSE),0)</f>
        <v>0</v>
      </c>
      <c r="I37" s="44">
        <f>IFERROR(VLOOKUP(C37,路飞话务数据源!D:Q,5,FALSE),0)</f>
        <v>0</v>
      </c>
      <c r="J37" s="45">
        <f>IFERROR(VLOOKUP(C37,路飞话务数据源!D:Q,6,FALSE),0)</f>
        <v>0</v>
      </c>
      <c r="K37" s="44">
        <f>IFERROR(VLOOKUP(C37,路飞话务数据源!D:Q,7,FALSE),0)</f>
        <v>0</v>
      </c>
      <c r="L37" s="46">
        <f>IFERROR(VLOOKUP(C37,路飞话务数据源!D:Q,8,FALSE),0)</f>
        <v>0</v>
      </c>
      <c r="M37" s="46">
        <f>IFERROR(VLOOKUP(C37,路飞话务数据源!D:Q,9,FALSE),0)</f>
        <v>0</v>
      </c>
      <c r="N37" s="46">
        <f>IFERROR(VLOOKUP(C37,路飞话务数据源!D:Q,10,FALSE),0)</f>
        <v>0</v>
      </c>
      <c r="O37" s="46">
        <f>IFERROR(VLOOKUP(C37,路飞话务数据源!D:Q,11,FALSE),0)</f>
        <v>0</v>
      </c>
      <c r="P37" s="46">
        <f>IFERROR(VLOOKUP(C37,路飞话务数据源!D:Q,12,FALSE),0)</f>
        <v>0</v>
      </c>
      <c r="Q37" s="60">
        <f>IFERROR(VLOOKUP(C37,路飞话务数据源!D:Q,13,FALSE),0)</f>
        <v>0</v>
      </c>
      <c r="R37" s="61">
        <f ca="1" t="shared" si="0"/>
        <v>0</v>
      </c>
      <c r="S37" s="35" t="str">
        <f ca="1" t="shared" si="1"/>
        <v>1-3月</v>
      </c>
      <c r="T37" s="34" t="s">
        <v>129</v>
      </c>
      <c r="U37" s="46">
        <f>SUMIFS(路飞意向数据源!F:F,路飞意向数据源!B:B,A37,路飞意向数据源!C:C,B37,路飞意向数据源!D:D,C37)</f>
        <v>0</v>
      </c>
      <c r="V37" s="46"/>
      <c r="W37" s="20"/>
      <c r="X37" s="35"/>
    </row>
    <row r="38" spans="1:24">
      <c r="A38" s="34" t="s">
        <v>51</v>
      </c>
      <c r="B38" s="34" t="s">
        <v>125</v>
      </c>
      <c r="C38" s="34" t="s">
        <v>142</v>
      </c>
      <c r="D38" s="34" t="s">
        <v>143</v>
      </c>
      <c r="E38" s="34" t="s">
        <v>144</v>
      </c>
      <c r="F38" s="44">
        <f>IFERROR(VLOOKUP(C38,路飞话务数据源!D:Q,2,FALSE),0)</f>
        <v>2</v>
      </c>
      <c r="G38" s="44">
        <f>IFERROR(VLOOKUP(C38,路飞话务数据源!D:Q,3,FALSE),0)</f>
        <v>0</v>
      </c>
      <c r="H38" s="44">
        <f>IFERROR(VLOOKUP(C38,路飞话务数据源!D:Q,4,FALSE),0)</f>
        <v>0</v>
      </c>
      <c r="I38" s="44">
        <f>IFERROR(VLOOKUP(C38,路飞话务数据源!D:Q,5,FALSE),0)</f>
        <v>0</v>
      </c>
      <c r="J38" s="45">
        <f>IFERROR(VLOOKUP(C38,路飞话务数据源!D:Q,6,FALSE),0)</f>
        <v>0</v>
      </c>
      <c r="K38" s="44">
        <f>IFERROR(VLOOKUP(C38,路飞话务数据源!D:Q,7,FALSE),0)</f>
        <v>0</v>
      </c>
      <c r="L38" s="46">
        <f>IFERROR(VLOOKUP(C38,路飞话务数据源!D:Q,8,FALSE),0)</f>
        <v>0</v>
      </c>
      <c r="M38" s="46">
        <f>IFERROR(VLOOKUP(C38,路飞话务数据源!D:Q,9,FALSE),0)</f>
        <v>0</v>
      </c>
      <c r="N38" s="46">
        <f>IFERROR(VLOOKUP(C38,路飞话务数据源!D:Q,10,FALSE),0)</f>
        <v>0</v>
      </c>
      <c r="O38" s="46">
        <f>IFERROR(VLOOKUP(C38,路飞话务数据源!D:Q,11,FALSE),0)</f>
        <v>0</v>
      </c>
      <c r="P38" s="46">
        <f>IFERROR(VLOOKUP(C38,路飞话务数据源!D:Q,12,FALSE),0)</f>
        <v>0</v>
      </c>
      <c r="Q38" s="60">
        <f>IFERROR(VLOOKUP(C38,路飞话务数据源!D:Q,13,FALSE),0)</f>
        <v>0</v>
      </c>
      <c r="R38" s="61">
        <f ca="1" t="shared" si="0"/>
        <v>0</v>
      </c>
      <c r="S38" s="35" t="str">
        <f ca="1" t="shared" si="1"/>
        <v>1-3月</v>
      </c>
      <c r="T38" s="34" t="s">
        <v>129</v>
      </c>
      <c r="U38" s="46">
        <f>SUMIFS(路飞意向数据源!F:F,路飞意向数据源!B:B,A38,路飞意向数据源!C:C,B38,路飞意向数据源!D:D,C38)</f>
        <v>0</v>
      </c>
      <c r="V38" s="46"/>
      <c r="W38" s="20"/>
      <c r="X38" s="35"/>
    </row>
    <row r="39" spans="1:24">
      <c r="A39" s="34" t="s">
        <v>51</v>
      </c>
      <c r="B39" s="34" t="s">
        <v>125</v>
      </c>
      <c r="C39" s="34" t="s">
        <v>145</v>
      </c>
      <c r="D39" s="34" t="s">
        <v>146</v>
      </c>
      <c r="E39" s="34" t="s">
        <v>147</v>
      </c>
      <c r="F39" s="44">
        <f>IFERROR(VLOOKUP(C39,路飞话务数据源!D:Q,2,FALSE),0)</f>
        <v>0</v>
      </c>
      <c r="G39" s="44">
        <f>IFERROR(VLOOKUP(C39,路飞话务数据源!D:Q,3,FALSE),0)</f>
        <v>0</v>
      </c>
      <c r="H39" s="44">
        <f>IFERROR(VLOOKUP(C39,路飞话务数据源!D:Q,4,FALSE),0)</f>
        <v>0</v>
      </c>
      <c r="I39" s="44">
        <f>IFERROR(VLOOKUP(C39,路飞话务数据源!D:Q,5,FALSE),0)</f>
        <v>0</v>
      </c>
      <c r="J39" s="45">
        <f>IFERROR(VLOOKUP(C39,路飞话务数据源!D:Q,6,FALSE),0)</f>
        <v>0</v>
      </c>
      <c r="K39" s="44">
        <f>IFERROR(VLOOKUP(C39,路飞话务数据源!D:Q,7,FALSE),0)</f>
        <v>0</v>
      </c>
      <c r="L39" s="46">
        <f>IFERROR(VLOOKUP(C39,路飞话务数据源!D:Q,8,FALSE),0)</f>
        <v>0</v>
      </c>
      <c r="M39" s="46">
        <f>IFERROR(VLOOKUP(C39,路飞话务数据源!D:Q,9,FALSE),0)</f>
        <v>0</v>
      </c>
      <c r="N39" s="46">
        <f>IFERROR(VLOOKUP(C39,路飞话务数据源!D:Q,10,FALSE),0)</f>
        <v>0</v>
      </c>
      <c r="O39" s="46">
        <f>IFERROR(VLOOKUP(C39,路飞话务数据源!D:Q,11,FALSE),0)</f>
        <v>0</v>
      </c>
      <c r="P39" s="46">
        <f>IFERROR(VLOOKUP(C39,路飞话务数据源!D:Q,12,FALSE),0)</f>
        <v>0</v>
      </c>
      <c r="Q39" s="60">
        <f>IFERROR(VLOOKUP(C39,路飞话务数据源!D:Q,13,FALSE),0)</f>
        <v>0</v>
      </c>
      <c r="R39" s="61">
        <f ca="1" t="shared" si="0"/>
        <v>0</v>
      </c>
      <c r="S39" s="35" t="str">
        <f ca="1" t="shared" si="1"/>
        <v>1-3月</v>
      </c>
      <c r="T39" s="34" t="s">
        <v>129</v>
      </c>
      <c r="U39" s="46">
        <f>SUMIFS(路飞意向数据源!F:F,路飞意向数据源!B:B,A39,路飞意向数据源!C:C,B39,路飞意向数据源!D:D,C39)</f>
        <v>0</v>
      </c>
      <c r="V39" s="46"/>
      <c r="W39" s="20"/>
      <c r="X39" s="35"/>
    </row>
    <row r="40" spans="1:24">
      <c r="A40" s="34" t="s">
        <v>51</v>
      </c>
      <c r="B40" s="34" t="s">
        <v>125</v>
      </c>
      <c r="C40" s="34" t="s">
        <v>148</v>
      </c>
      <c r="D40" s="34" t="s">
        <v>149</v>
      </c>
      <c r="E40" s="34" t="s">
        <v>150</v>
      </c>
      <c r="F40" s="44">
        <f>IFERROR(VLOOKUP(C40,路飞话务数据源!D:Q,2,FALSE),0)</f>
        <v>0</v>
      </c>
      <c r="G40" s="44">
        <f>IFERROR(VLOOKUP(C40,路飞话务数据源!D:Q,3,FALSE),0)</f>
        <v>0</v>
      </c>
      <c r="H40" s="44">
        <f>IFERROR(VLOOKUP(C40,路飞话务数据源!D:Q,4,FALSE),0)</f>
        <v>0</v>
      </c>
      <c r="I40" s="44">
        <f>IFERROR(VLOOKUP(C40,路飞话务数据源!D:Q,5,FALSE),0)</f>
        <v>0</v>
      </c>
      <c r="J40" s="45">
        <f>IFERROR(VLOOKUP(C40,路飞话务数据源!D:Q,6,FALSE),0)</f>
        <v>0</v>
      </c>
      <c r="K40" s="44">
        <f>IFERROR(VLOOKUP(C40,路飞话务数据源!D:Q,7,FALSE),0)</f>
        <v>0</v>
      </c>
      <c r="L40" s="46">
        <f>IFERROR(VLOOKUP(C40,路飞话务数据源!D:Q,8,FALSE),0)</f>
        <v>0</v>
      </c>
      <c r="M40" s="46">
        <f>IFERROR(VLOOKUP(C40,路飞话务数据源!D:Q,9,FALSE),0)</f>
        <v>0</v>
      </c>
      <c r="N40" s="46">
        <f>IFERROR(VLOOKUP(C40,路飞话务数据源!D:Q,10,FALSE),0)</f>
        <v>0</v>
      </c>
      <c r="O40" s="46">
        <f>IFERROR(VLOOKUP(C40,路飞话务数据源!D:Q,11,FALSE),0)</f>
        <v>0</v>
      </c>
      <c r="P40" s="46">
        <f>IFERROR(VLOOKUP(C40,路飞话务数据源!D:Q,12,FALSE),0)</f>
        <v>0</v>
      </c>
      <c r="Q40" s="60">
        <f>IFERROR(VLOOKUP(C40,路飞话务数据源!D:Q,13,FALSE),0)</f>
        <v>0</v>
      </c>
      <c r="R40" s="61">
        <f ca="1" t="shared" si="0"/>
        <v>0</v>
      </c>
      <c r="S40" s="35" t="str">
        <f ca="1" t="shared" si="1"/>
        <v>3年以上</v>
      </c>
      <c r="T40" s="34" t="s">
        <v>129</v>
      </c>
      <c r="U40" s="46">
        <f>SUMIFS(路飞意向数据源!F:F,路飞意向数据源!B:B,A40,路飞意向数据源!C:C,B40,路飞意向数据源!D:D,C40)</f>
        <v>0</v>
      </c>
      <c r="V40" s="46"/>
      <c r="W40" s="20"/>
      <c r="X40" s="35"/>
    </row>
    <row r="41" spans="1:24">
      <c r="A41" s="34" t="s">
        <v>51</v>
      </c>
      <c r="B41" s="34" t="s">
        <v>151</v>
      </c>
      <c r="C41" s="34" t="s">
        <v>152</v>
      </c>
      <c r="D41" s="34" t="s">
        <v>153</v>
      </c>
      <c r="E41" s="34" t="s">
        <v>94</v>
      </c>
      <c r="F41" s="44">
        <f>IFERROR(VLOOKUP(C41,路飞话务数据源!D:Q,2,FALSE),0)</f>
        <v>62</v>
      </c>
      <c r="G41" s="44">
        <f>IFERROR(VLOOKUP(C41,路飞话务数据源!D:Q,3,FALSE),0)</f>
        <v>30</v>
      </c>
      <c r="H41" s="44">
        <f>IFERROR(VLOOKUP(C41,路飞话务数据源!D:Q,4,FALSE),0)</f>
        <v>0.483870967741935</v>
      </c>
      <c r="I41" s="44">
        <f>IFERROR(VLOOKUP(C41,路飞话务数据源!D:Q,5,FALSE),0)</f>
        <v>10</v>
      </c>
      <c r="J41" s="45">
        <f>IFERROR(VLOOKUP(C41,路飞话务数据源!D:Q,6,FALSE),0)</f>
        <v>6</v>
      </c>
      <c r="K41" s="44">
        <f>IFERROR(VLOOKUP(C41,路飞话务数据源!D:Q,7,FALSE),0)</f>
        <v>6</v>
      </c>
      <c r="L41" s="46">
        <f>IFERROR(VLOOKUP(C41,路飞话务数据源!D:Q,8,FALSE),0)</f>
        <v>0</v>
      </c>
      <c r="M41" s="46">
        <f>IFERROR(VLOOKUP(C41,路飞话务数据源!D:Q,9,FALSE),0)</f>
        <v>15.2166666666667</v>
      </c>
      <c r="N41" s="46">
        <f>IFERROR(VLOOKUP(C41,路飞话务数据源!D:Q,10,FALSE),0)</f>
        <v>2</v>
      </c>
      <c r="O41" s="46">
        <f>IFERROR(VLOOKUP(C41,路飞话务数据源!D:Q,11,FALSE),0)</f>
        <v>0</v>
      </c>
      <c r="P41" s="46">
        <f>IFERROR(VLOOKUP(C41,路飞话务数据源!D:Q,12,FALSE),0)</f>
        <v>0</v>
      </c>
      <c r="Q41" s="60">
        <f>IFERROR(VLOOKUP(C41,路飞话务数据源!D:Q,13,FALSE),0)</f>
        <v>87</v>
      </c>
      <c r="R41" s="61">
        <f ca="1" t="shared" si="0"/>
        <v>1</v>
      </c>
      <c r="S41" s="35" t="str">
        <f ca="1" t="shared" si="1"/>
        <v>1-3月</v>
      </c>
      <c r="T41" s="34" t="s">
        <v>154</v>
      </c>
      <c r="U41" s="46">
        <f>SUMIFS(路飞意向数据源!F:F,路飞意向数据源!B:B,A41,路飞意向数据源!C:C,B41,路飞意向数据源!D:D,C41)</f>
        <v>3</v>
      </c>
      <c r="V41" s="46"/>
      <c r="W41" s="20"/>
      <c r="X41" s="35"/>
    </row>
    <row r="42" spans="1:24">
      <c r="A42" s="34" t="s">
        <v>51</v>
      </c>
      <c r="B42" s="34" t="s">
        <v>151</v>
      </c>
      <c r="C42" s="34" t="s">
        <v>155</v>
      </c>
      <c r="D42" s="34" t="s">
        <v>156</v>
      </c>
      <c r="E42" s="34" t="s">
        <v>157</v>
      </c>
      <c r="F42" s="44">
        <f>IFERROR(VLOOKUP(C42,路飞话务数据源!D:Q,2,FALSE),0)</f>
        <v>127</v>
      </c>
      <c r="G42" s="44">
        <f>IFERROR(VLOOKUP(C42,路飞话务数据源!D:Q,3,FALSE),0)</f>
        <v>66</v>
      </c>
      <c r="H42" s="44">
        <f>IFERROR(VLOOKUP(C42,路飞话务数据源!D:Q,4,FALSE),0)</f>
        <v>0.519685039370079</v>
      </c>
      <c r="I42" s="44">
        <f>IFERROR(VLOOKUP(C42,路飞话务数据源!D:Q,5,FALSE),0)</f>
        <v>24</v>
      </c>
      <c r="J42" s="45">
        <f>IFERROR(VLOOKUP(C42,路飞话务数据源!D:Q,6,FALSE),0)</f>
        <v>19</v>
      </c>
      <c r="K42" s="44">
        <f>IFERROR(VLOOKUP(C42,路飞话务数据源!D:Q,7,FALSE),0)</f>
        <v>9</v>
      </c>
      <c r="L42" s="46">
        <f>IFERROR(VLOOKUP(C42,路飞话务数据源!D:Q,8,FALSE),0)</f>
        <v>0</v>
      </c>
      <c r="M42" s="46">
        <f>IFERROR(VLOOKUP(C42,路飞话务数据源!D:Q,9,FALSE),0)</f>
        <v>36.35</v>
      </c>
      <c r="N42" s="46">
        <f>IFERROR(VLOOKUP(C42,路飞话务数据源!D:Q,10,FALSE),0)</f>
        <v>0</v>
      </c>
      <c r="O42" s="46">
        <f>IFERROR(VLOOKUP(C42,路飞话务数据源!D:Q,11,FALSE),0)</f>
        <v>0</v>
      </c>
      <c r="P42" s="46">
        <f>IFERROR(VLOOKUP(C42,路飞话务数据源!D:Q,12,FALSE),0)</f>
        <v>0</v>
      </c>
      <c r="Q42" s="60">
        <f>IFERROR(VLOOKUP(C42,路飞话务数据源!D:Q,13,FALSE),0)</f>
        <v>0</v>
      </c>
      <c r="R42" s="61">
        <f ca="1" t="shared" si="0"/>
        <v>1</v>
      </c>
      <c r="S42" s="35" t="str">
        <f ca="1" t="shared" si="1"/>
        <v>4月-6月</v>
      </c>
      <c r="T42" s="34" t="s">
        <v>154</v>
      </c>
      <c r="U42" s="46">
        <f>SUMIFS(路飞意向数据源!F:F,路飞意向数据源!B:B,A42,路飞意向数据源!C:C,B42,路飞意向数据源!D:D,C42)</f>
        <v>0</v>
      </c>
      <c r="V42" s="46"/>
      <c r="W42" s="20"/>
      <c r="X42" s="35"/>
    </row>
    <row r="43" spans="1:24">
      <c r="A43" s="34" t="s">
        <v>51</v>
      </c>
      <c r="B43" s="34" t="s">
        <v>151</v>
      </c>
      <c r="C43" s="34" t="s">
        <v>158</v>
      </c>
      <c r="D43" s="34" t="s">
        <v>159</v>
      </c>
      <c r="E43" s="34" t="s">
        <v>160</v>
      </c>
      <c r="F43" s="44">
        <f>IFERROR(VLOOKUP(C43,路飞话务数据源!D:Q,2,FALSE),0)</f>
        <v>69</v>
      </c>
      <c r="G43" s="44">
        <f>IFERROR(VLOOKUP(C43,路飞话务数据源!D:Q,3,FALSE),0)</f>
        <v>33</v>
      </c>
      <c r="H43" s="44">
        <f>IFERROR(VLOOKUP(C43,路飞话务数据源!D:Q,4,FALSE),0)</f>
        <v>0.478260869565217</v>
      </c>
      <c r="I43" s="44">
        <f>IFERROR(VLOOKUP(C43,路飞话务数据源!D:Q,5,FALSE),0)</f>
        <v>17</v>
      </c>
      <c r="J43" s="45">
        <f>IFERROR(VLOOKUP(C43,路飞话务数据源!D:Q,6,FALSE),0)</f>
        <v>15</v>
      </c>
      <c r="K43" s="44">
        <f>IFERROR(VLOOKUP(C43,路飞话务数据源!D:Q,7,FALSE),0)</f>
        <v>5</v>
      </c>
      <c r="L43" s="46">
        <f>IFERROR(VLOOKUP(C43,路飞话务数据源!D:Q,8,FALSE),0)</f>
        <v>1</v>
      </c>
      <c r="M43" s="46">
        <f>IFERROR(VLOOKUP(C43,路飞话务数据源!D:Q,9,FALSE),0)</f>
        <v>26.4333333333333</v>
      </c>
      <c r="N43" s="46">
        <f>IFERROR(VLOOKUP(C43,路飞话务数据源!D:Q,10,FALSE),0)</f>
        <v>1</v>
      </c>
      <c r="O43" s="46">
        <f>IFERROR(VLOOKUP(C43,路飞话务数据源!D:Q,11,FALSE),0)</f>
        <v>1</v>
      </c>
      <c r="P43" s="46">
        <f>IFERROR(VLOOKUP(C43,路飞话务数据源!D:Q,12,FALSE),0)</f>
        <v>1</v>
      </c>
      <c r="Q43" s="60">
        <f>IFERROR(VLOOKUP(C43,路飞话务数据源!D:Q,13,FALSE),0)</f>
        <v>22</v>
      </c>
      <c r="R43" s="61">
        <f ca="1" t="shared" si="0"/>
        <v>1</v>
      </c>
      <c r="S43" s="35" t="str">
        <f ca="1" t="shared" si="1"/>
        <v>1年-2年</v>
      </c>
      <c r="T43" s="34" t="s">
        <v>154</v>
      </c>
      <c r="U43" s="46">
        <f>SUMIFS(路飞意向数据源!F:F,路飞意向数据源!B:B,A43,路飞意向数据源!C:C,B43,路飞意向数据源!D:D,C43)</f>
        <v>1</v>
      </c>
      <c r="V43" s="46"/>
      <c r="W43" s="20"/>
      <c r="X43" s="35"/>
    </row>
    <row r="44" spans="1:24">
      <c r="A44" s="34" t="s">
        <v>51</v>
      </c>
      <c r="B44" s="34" t="s">
        <v>151</v>
      </c>
      <c r="C44" s="34" t="s">
        <v>161</v>
      </c>
      <c r="D44" s="34" t="s">
        <v>162</v>
      </c>
      <c r="E44" s="34" t="s">
        <v>108</v>
      </c>
      <c r="F44" s="44">
        <f>IFERROR(VLOOKUP(C44,路飞话务数据源!D:Q,2,FALSE),0)</f>
        <v>341</v>
      </c>
      <c r="G44" s="44">
        <f>IFERROR(VLOOKUP(C44,路飞话务数据源!D:Q,3,FALSE),0)</f>
        <v>146</v>
      </c>
      <c r="H44" s="44">
        <f>IFERROR(VLOOKUP(C44,路飞话务数据源!D:Q,4,FALSE),0)</f>
        <v>0.428152492668622</v>
      </c>
      <c r="I44" s="44">
        <f>IFERROR(VLOOKUP(C44,路飞话务数据源!D:Q,5,FALSE),0)</f>
        <v>51</v>
      </c>
      <c r="J44" s="45">
        <f>IFERROR(VLOOKUP(C44,路飞话务数据源!D:Q,6,FALSE),0)</f>
        <v>31</v>
      </c>
      <c r="K44" s="44">
        <f>IFERROR(VLOOKUP(C44,路飞话务数据源!D:Q,7,FALSE),0)</f>
        <v>19</v>
      </c>
      <c r="L44" s="46">
        <f>IFERROR(VLOOKUP(C44,路飞话务数据源!D:Q,8,FALSE),0)</f>
        <v>2</v>
      </c>
      <c r="M44" s="46">
        <f>IFERROR(VLOOKUP(C44,路飞话务数据源!D:Q,9,FALSE),0)</f>
        <v>77.7666666666667</v>
      </c>
      <c r="N44" s="46">
        <f>IFERROR(VLOOKUP(C44,路飞话务数据源!D:Q,10,FALSE),0)</f>
        <v>0</v>
      </c>
      <c r="O44" s="46">
        <f>IFERROR(VLOOKUP(C44,路飞话务数据源!D:Q,11,FALSE),0)</f>
        <v>0</v>
      </c>
      <c r="P44" s="46">
        <f>IFERROR(VLOOKUP(C44,路飞话务数据源!D:Q,12,FALSE),0)</f>
        <v>0</v>
      </c>
      <c r="Q44" s="60">
        <f>IFERROR(VLOOKUP(C44,路飞话务数据源!D:Q,13,FALSE),0)</f>
        <v>0</v>
      </c>
      <c r="R44" s="61">
        <f ca="1" t="shared" si="0"/>
        <v>1</v>
      </c>
      <c r="S44" s="35" t="str">
        <f ca="1" t="shared" si="1"/>
        <v>3年以上</v>
      </c>
      <c r="T44" s="34" t="s">
        <v>154</v>
      </c>
      <c r="U44" s="46">
        <f>SUMIFS(路飞意向数据源!F:F,路飞意向数据源!B:B,A44,路飞意向数据源!C:C,B44,路飞意向数据源!D:D,C44)</f>
        <v>0</v>
      </c>
      <c r="V44" s="46"/>
      <c r="W44" s="20"/>
      <c r="X44" s="35"/>
    </row>
    <row r="45" spans="1:24">
      <c r="A45" s="34" t="s">
        <v>51</v>
      </c>
      <c r="B45" s="34" t="s">
        <v>151</v>
      </c>
      <c r="C45" s="34" t="s">
        <v>163</v>
      </c>
      <c r="D45" s="34" t="s">
        <v>164</v>
      </c>
      <c r="E45" s="34" t="s">
        <v>165</v>
      </c>
      <c r="F45" s="44">
        <f>IFERROR(VLOOKUP(C45,路飞话务数据源!D:Q,2,FALSE),0)</f>
        <v>119</v>
      </c>
      <c r="G45" s="44">
        <f>IFERROR(VLOOKUP(C45,路飞话务数据源!D:Q,3,FALSE),0)</f>
        <v>50</v>
      </c>
      <c r="H45" s="44">
        <f>IFERROR(VLOOKUP(C45,路飞话务数据源!D:Q,4,FALSE),0)</f>
        <v>0.420168067226891</v>
      </c>
      <c r="I45" s="44">
        <f>IFERROR(VLOOKUP(C45,路飞话务数据源!D:Q,5,FALSE),0)</f>
        <v>27</v>
      </c>
      <c r="J45" s="45">
        <f>IFERROR(VLOOKUP(C45,路飞话务数据源!D:Q,6,FALSE),0)</f>
        <v>21</v>
      </c>
      <c r="K45" s="44">
        <f>IFERROR(VLOOKUP(C45,路飞话务数据源!D:Q,7,FALSE),0)</f>
        <v>12</v>
      </c>
      <c r="L45" s="46">
        <f>IFERROR(VLOOKUP(C45,路飞话务数据源!D:Q,8,FALSE),0)</f>
        <v>2</v>
      </c>
      <c r="M45" s="46">
        <f>IFERROR(VLOOKUP(C45,路飞话务数据源!D:Q,9,FALSE),0)</f>
        <v>38.05</v>
      </c>
      <c r="N45" s="46">
        <f>IFERROR(VLOOKUP(C45,路飞话务数据源!D:Q,10,FALSE),0)</f>
        <v>0</v>
      </c>
      <c r="O45" s="46">
        <f>IFERROR(VLOOKUP(C45,路飞话务数据源!D:Q,11,FALSE),0)</f>
        <v>0</v>
      </c>
      <c r="P45" s="46">
        <f>IFERROR(VLOOKUP(C45,路飞话务数据源!D:Q,12,FALSE),0)</f>
        <v>0</v>
      </c>
      <c r="Q45" s="60">
        <f>IFERROR(VLOOKUP(C45,路飞话务数据源!D:Q,13,FALSE),0)</f>
        <v>0</v>
      </c>
      <c r="R45" s="61">
        <f ca="1" t="shared" si="0"/>
        <v>1</v>
      </c>
      <c r="S45" s="35" t="str">
        <f ca="1" t="shared" si="1"/>
        <v>7月-12月</v>
      </c>
      <c r="T45" s="34" t="s">
        <v>154</v>
      </c>
      <c r="U45" s="46">
        <f>SUMIFS(路飞意向数据源!F:F,路飞意向数据源!B:B,A45,路飞意向数据源!C:C,B45,路飞意向数据源!D:D,C45)</f>
        <v>0</v>
      </c>
      <c r="V45" s="46"/>
      <c r="W45" s="20"/>
      <c r="X45" s="35"/>
    </row>
    <row r="46" spans="1:24">
      <c r="A46" s="34" t="s">
        <v>51</v>
      </c>
      <c r="B46" s="34" t="s">
        <v>151</v>
      </c>
      <c r="C46" s="34" t="s">
        <v>166</v>
      </c>
      <c r="D46" s="34" t="s">
        <v>167</v>
      </c>
      <c r="E46" s="34" t="s">
        <v>168</v>
      </c>
      <c r="F46" s="44">
        <f>IFERROR(VLOOKUP(C46,路飞话务数据源!D:Q,2,FALSE),0)</f>
        <v>195</v>
      </c>
      <c r="G46" s="44">
        <f>IFERROR(VLOOKUP(C46,路飞话务数据源!D:Q,3,FALSE),0)</f>
        <v>99</v>
      </c>
      <c r="H46" s="44">
        <f>IFERROR(VLOOKUP(C46,路飞话务数据源!D:Q,4,FALSE),0)</f>
        <v>0.507692307692308</v>
      </c>
      <c r="I46" s="44">
        <f>IFERROR(VLOOKUP(C46,路飞话务数据源!D:Q,5,FALSE),0)</f>
        <v>29</v>
      </c>
      <c r="J46" s="45">
        <f>IFERROR(VLOOKUP(C46,路飞话务数据源!D:Q,6,FALSE),0)</f>
        <v>18</v>
      </c>
      <c r="K46" s="44">
        <f>IFERROR(VLOOKUP(C46,路飞话务数据源!D:Q,7,FALSE),0)</f>
        <v>12</v>
      </c>
      <c r="L46" s="46">
        <f>IFERROR(VLOOKUP(C46,路飞话务数据源!D:Q,8,FALSE),0)</f>
        <v>0</v>
      </c>
      <c r="M46" s="46">
        <f>IFERROR(VLOOKUP(C46,路飞话务数据源!D:Q,9,FALSE),0)</f>
        <v>47.4333333333333</v>
      </c>
      <c r="N46" s="46">
        <f>IFERROR(VLOOKUP(C46,路飞话务数据源!D:Q,10,FALSE),0)</f>
        <v>0</v>
      </c>
      <c r="O46" s="46">
        <f>IFERROR(VLOOKUP(C46,路飞话务数据源!D:Q,11,FALSE),0)</f>
        <v>0</v>
      </c>
      <c r="P46" s="46">
        <f>IFERROR(VLOOKUP(C46,路飞话务数据源!D:Q,12,FALSE),0)</f>
        <v>0</v>
      </c>
      <c r="Q46" s="60">
        <f>IFERROR(VLOOKUP(C46,路飞话务数据源!D:Q,13,FALSE),0)</f>
        <v>0</v>
      </c>
      <c r="R46" s="61">
        <v>0</v>
      </c>
      <c r="S46" s="35" t="str">
        <f ca="1" t="shared" si="1"/>
        <v>月内</v>
      </c>
      <c r="T46" s="34" t="s">
        <v>154</v>
      </c>
      <c r="U46" s="46">
        <f>SUMIFS(路飞意向数据源!F:F,路飞意向数据源!B:B,A46,路飞意向数据源!C:C,B46,路飞意向数据源!D:D,C46)</f>
        <v>0</v>
      </c>
      <c r="V46" s="46"/>
      <c r="W46" s="20"/>
      <c r="X46" s="35"/>
    </row>
    <row r="47" spans="1:24">
      <c r="A47" s="34" t="s">
        <v>51</v>
      </c>
      <c r="B47" s="34" t="s">
        <v>151</v>
      </c>
      <c r="C47" s="34" t="s">
        <v>169</v>
      </c>
      <c r="D47" s="34" t="s">
        <v>170</v>
      </c>
      <c r="E47" s="34" t="s">
        <v>171</v>
      </c>
      <c r="F47" s="44">
        <f>IFERROR(VLOOKUP(C47,路飞话务数据源!D:Q,2,FALSE),0)</f>
        <v>181</v>
      </c>
      <c r="G47" s="44">
        <f>IFERROR(VLOOKUP(C47,路飞话务数据源!D:Q,3,FALSE),0)</f>
        <v>112</v>
      </c>
      <c r="H47" s="44">
        <f>IFERROR(VLOOKUP(C47,路飞话务数据源!D:Q,4,FALSE),0)</f>
        <v>0.61878453038674</v>
      </c>
      <c r="I47" s="44">
        <f>IFERROR(VLOOKUP(C47,路飞话务数据源!D:Q,5,FALSE),0)</f>
        <v>54</v>
      </c>
      <c r="J47" s="45">
        <f>IFERROR(VLOOKUP(C47,路飞话务数据源!D:Q,6,FALSE),0)</f>
        <v>35</v>
      </c>
      <c r="K47" s="44">
        <f>IFERROR(VLOOKUP(C47,路飞话务数据源!D:Q,7,FALSE),0)</f>
        <v>24</v>
      </c>
      <c r="L47" s="46">
        <f>IFERROR(VLOOKUP(C47,路飞话务数据源!D:Q,8,FALSE),0)</f>
        <v>2</v>
      </c>
      <c r="M47" s="46">
        <f>IFERROR(VLOOKUP(C47,路飞话务数据源!D:Q,9,FALSE),0)</f>
        <v>82.7</v>
      </c>
      <c r="N47" s="46">
        <f>IFERROR(VLOOKUP(C47,路飞话务数据源!D:Q,10,FALSE),0)</f>
        <v>0</v>
      </c>
      <c r="O47" s="46">
        <f>IFERROR(VLOOKUP(C47,路飞话务数据源!D:Q,11,FALSE),0)</f>
        <v>0</v>
      </c>
      <c r="P47" s="46">
        <f>IFERROR(VLOOKUP(C47,路飞话务数据源!D:Q,12,FALSE),0)</f>
        <v>0</v>
      </c>
      <c r="Q47" s="60">
        <f>IFERROR(VLOOKUP(C47,路飞话务数据源!D:Q,13,FALSE),0)</f>
        <v>0</v>
      </c>
      <c r="R47" s="61">
        <f ca="1" t="shared" ref="R47:R69" si="2">IF(OR(TODAY()-E47&lt;=7,F47&lt;5),0,1)</f>
        <v>1</v>
      </c>
      <c r="S47" s="35" t="str">
        <f ca="1" t="shared" si="1"/>
        <v>月内</v>
      </c>
      <c r="T47" s="34" t="s">
        <v>154</v>
      </c>
      <c r="U47" s="46">
        <f>SUMIFS(路飞意向数据源!F:F,路飞意向数据源!B:B,A47,路飞意向数据源!C:C,B47,路飞意向数据源!D:D,C47)</f>
        <v>0</v>
      </c>
      <c r="V47" s="46"/>
      <c r="W47" s="20"/>
      <c r="X47" s="35"/>
    </row>
    <row r="48" spans="1:24">
      <c r="A48" s="34" t="s">
        <v>51</v>
      </c>
      <c r="B48" s="34" t="s">
        <v>151</v>
      </c>
      <c r="C48" s="34" t="s">
        <v>172</v>
      </c>
      <c r="D48" s="34" t="s">
        <v>173</v>
      </c>
      <c r="E48" s="34" t="s">
        <v>174</v>
      </c>
      <c r="F48" s="44">
        <f>IFERROR(VLOOKUP(C48,路飞话务数据源!D:Q,2,FALSE),0)</f>
        <v>160</v>
      </c>
      <c r="G48" s="44">
        <f>IFERROR(VLOOKUP(C48,路飞话务数据源!D:Q,3,FALSE),0)</f>
        <v>78</v>
      </c>
      <c r="H48" s="44">
        <f>IFERROR(VLOOKUP(C48,路飞话务数据源!D:Q,4,FALSE),0)</f>
        <v>0.4875</v>
      </c>
      <c r="I48" s="44">
        <f>IFERROR(VLOOKUP(C48,路飞话务数据源!D:Q,5,FALSE),0)</f>
        <v>37</v>
      </c>
      <c r="J48" s="45">
        <f>IFERROR(VLOOKUP(C48,路飞话务数据源!D:Q,6,FALSE),0)</f>
        <v>24</v>
      </c>
      <c r="K48" s="44">
        <f>IFERROR(VLOOKUP(C48,路飞话务数据源!D:Q,7,FALSE),0)</f>
        <v>13</v>
      </c>
      <c r="L48" s="46">
        <f>IFERROR(VLOOKUP(C48,路飞话务数据源!D:Q,8,FALSE),0)</f>
        <v>2</v>
      </c>
      <c r="M48" s="46">
        <f>IFERROR(VLOOKUP(C48,路飞话务数据源!D:Q,9,FALSE),0)</f>
        <v>75.05</v>
      </c>
      <c r="N48" s="46">
        <f>IFERROR(VLOOKUP(C48,路飞话务数据源!D:Q,10,FALSE),0)</f>
        <v>0</v>
      </c>
      <c r="O48" s="46">
        <f>IFERROR(VLOOKUP(C48,路飞话务数据源!D:Q,11,FALSE),0)</f>
        <v>0</v>
      </c>
      <c r="P48" s="46">
        <f>IFERROR(VLOOKUP(C48,路飞话务数据源!D:Q,12,FALSE),0)</f>
        <v>0</v>
      </c>
      <c r="Q48" s="60">
        <f>IFERROR(VLOOKUP(C48,路飞话务数据源!D:Q,13,FALSE),0)</f>
        <v>0</v>
      </c>
      <c r="R48" s="61">
        <f ca="1" t="shared" si="2"/>
        <v>1</v>
      </c>
      <c r="S48" s="35" t="str">
        <f ca="1" t="shared" si="1"/>
        <v>4月-6月</v>
      </c>
      <c r="T48" s="34" t="s">
        <v>154</v>
      </c>
      <c r="U48" s="46">
        <f>SUMIFS(路飞意向数据源!F:F,路飞意向数据源!B:B,A48,路飞意向数据源!C:C,B48,路飞意向数据源!D:D,C48)</f>
        <v>0</v>
      </c>
      <c r="V48" s="46"/>
      <c r="W48" s="20"/>
      <c r="X48" s="35"/>
    </row>
    <row r="49" spans="1:24">
      <c r="A49" s="34" t="s">
        <v>51</v>
      </c>
      <c r="B49" s="34" t="s">
        <v>151</v>
      </c>
      <c r="C49" s="34" t="s">
        <v>175</v>
      </c>
      <c r="D49" s="34" t="s">
        <v>176</v>
      </c>
      <c r="E49" s="34" t="s">
        <v>174</v>
      </c>
      <c r="F49" s="44">
        <f>IFERROR(VLOOKUP(C49,路飞话务数据源!D:Q,2,FALSE),0)</f>
        <v>192</v>
      </c>
      <c r="G49" s="44">
        <f>IFERROR(VLOOKUP(C49,路飞话务数据源!D:Q,3,FALSE),0)</f>
        <v>99</v>
      </c>
      <c r="H49" s="44">
        <f>IFERROR(VLOOKUP(C49,路飞话务数据源!D:Q,4,FALSE),0)</f>
        <v>0.515625</v>
      </c>
      <c r="I49" s="44">
        <f>IFERROR(VLOOKUP(C49,路飞话务数据源!D:Q,5,FALSE),0)</f>
        <v>26</v>
      </c>
      <c r="J49" s="45">
        <f>IFERROR(VLOOKUP(C49,路飞话务数据源!D:Q,6,FALSE),0)</f>
        <v>13</v>
      </c>
      <c r="K49" s="44">
        <f>IFERROR(VLOOKUP(C49,路飞话务数据源!D:Q,7,FALSE),0)</f>
        <v>5</v>
      </c>
      <c r="L49" s="46">
        <f>IFERROR(VLOOKUP(C49,路飞话务数据源!D:Q,8,FALSE),0)</f>
        <v>1</v>
      </c>
      <c r="M49" s="46">
        <f>IFERROR(VLOOKUP(C49,路飞话务数据源!D:Q,9,FALSE),0)</f>
        <v>45.7166666666667</v>
      </c>
      <c r="N49" s="46">
        <f>IFERROR(VLOOKUP(C49,路飞话务数据源!D:Q,10,FALSE),0)</f>
        <v>0</v>
      </c>
      <c r="O49" s="46">
        <f>IFERROR(VLOOKUP(C49,路飞话务数据源!D:Q,11,FALSE),0)</f>
        <v>0</v>
      </c>
      <c r="P49" s="46">
        <f>IFERROR(VLOOKUP(C49,路飞话务数据源!D:Q,12,FALSE),0)</f>
        <v>0</v>
      </c>
      <c r="Q49" s="60">
        <f>IFERROR(VLOOKUP(C49,路飞话务数据源!D:Q,13,FALSE),0)</f>
        <v>0</v>
      </c>
      <c r="R49" s="61">
        <f ca="1" t="shared" si="2"/>
        <v>1</v>
      </c>
      <c r="S49" s="35" t="str">
        <f ca="1" t="shared" si="1"/>
        <v>4月-6月</v>
      </c>
      <c r="T49" s="34" t="s">
        <v>154</v>
      </c>
      <c r="U49" s="46">
        <f>SUMIFS(路飞意向数据源!F:F,路飞意向数据源!B:B,A49,路飞意向数据源!C:C,B49,路飞意向数据源!D:D,C49)</f>
        <v>0</v>
      </c>
      <c r="V49" s="46"/>
      <c r="W49" s="20"/>
      <c r="X49" s="35"/>
    </row>
    <row r="50" spans="1:24">
      <c r="A50" s="34" t="s">
        <v>21</v>
      </c>
      <c r="B50" s="34" t="s">
        <v>125</v>
      </c>
      <c r="C50" s="34" t="s">
        <v>177</v>
      </c>
      <c r="D50" s="34" t="s">
        <v>178</v>
      </c>
      <c r="E50" s="34" t="s">
        <v>94</v>
      </c>
      <c r="F50" s="44">
        <f>IFERROR(VLOOKUP(C50,路飞话务数据源!D:Q,2,FALSE),0)</f>
        <v>32</v>
      </c>
      <c r="G50" s="44">
        <f>IFERROR(VLOOKUP(C50,路飞话务数据源!D:Q,3,FALSE),0)</f>
        <v>19</v>
      </c>
      <c r="H50" s="44">
        <f>IFERROR(VLOOKUP(C50,路飞话务数据源!D:Q,4,FALSE),0)</f>
        <v>0.59375</v>
      </c>
      <c r="I50" s="44">
        <f>IFERROR(VLOOKUP(C50,路飞话务数据源!D:Q,5,FALSE),0)</f>
        <v>7</v>
      </c>
      <c r="J50" s="45">
        <f>IFERROR(VLOOKUP(C50,路飞话务数据源!D:Q,6,FALSE),0)</f>
        <v>4</v>
      </c>
      <c r="K50" s="44">
        <f>IFERROR(VLOOKUP(C50,路飞话务数据源!D:Q,7,FALSE),0)</f>
        <v>3</v>
      </c>
      <c r="L50" s="46">
        <f>IFERROR(VLOOKUP(C50,路飞话务数据源!D:Q,8,FALSE),0)</f>
        <v>0</v>
      </c>
      <c r="M50" s="46">
        <f>IFERROR(VLOOKUP(C50,路飞话务数据源!D:Q,9,FALSE),0)</f>
        <v>10.7833333333333</v>
      </c>
      <c r="N50" s="46">
        <f>IFERROR(VLOOKUP(C50,路飞话务数据源!D:Q,10,FALSE),0)</f>
        <v>0</v>
      </c>
      <c r="O50" s="46">
        <f>IFERROR(VLOOKUP(C50,路飞话务数据源!D:Q,11,FALSE),0)</f>
        <v>0</v>
      </c>
      <c r="P50" s="46">
        <f>IFERROR(VLOOKUP(C50,路飞话务数据源!D:Q,12,FALSE),0)</f>
        <v>0</v>
      </c>
      <c r="Q50" s="60">
        <f>IFERROR(VLOOKUP(C50,路飞话务数据源!D:Q,13,FALSE),0)</f>
        <v>0</v>
      </c>
      <c r="R50" s="61">
        <f ca="1" t="shared" si="2"/>
        <v>1</v>
      </c>
      <c r="S50" s="35" t="str">
        <f ca="1" t="shared" si="1"/>
        <v>1-3月</v>
      </c>
      <c r="T50" s="34" t="s">
        <v>179</v>
      </c>
      <c r="U50" s="46">
        <f>SUMIFS(路飞意向数据源!F:F,路飞意向数据源!B:B,A50,路飞意向数据源!C:C,B50,路飞意向数据源!D:D,C50)</f>
        <v>0</v>
      </c>
      <c r="V50" s="46"/>
      <c r="W50" s="20"/>
      <c r="X50" s="35"/>
    </row>
    <row r="51" spans="1:24">
      <c r="A51" s="34" t="s">
        <v>21</v>
      </c>
      <c r="B51" s="34" t="s">
        <v>125</v>
      </c>
      <c r="C51" s="34" t="s">
        <v>180</v>
      </c>
      <c r="D51" s="34" t="s">
        <v>181</v>
      </c>
      <c r="E51" s="34" t="s">
        <v>182</v>
      </c>
      <c r="F51" s="44">
        <f>IFERROR(VLOOKUP(C51,路飞话务数据源!D:Q,2,FALSE),0)</f>
        <v>0</v>
      </c>
      <c r="G51" s="44">
        <f>IFERROR(VLOOKUP(C51,路飞话务数据源!D:Q,3,FALSE),0)</f>
        <v>0</v>
      </c>
      <c r="H51" s="44">
        <f>IFERROR(VLOOKUP(C51,路飞话务数据源!D:Q,4,FALSE),0)</f>
        <v>0</v>
      </c>
      <c r="I51" s="44">
        <f>IFERROR(VLOOKUP(C51,路飞话务数据源!D:Q,5,FALSE),0)</f>
        <v>0</v>
      </c>
      <c r="J51" s="45">
        <f>IFERROR(VLOOKUP(C51,路飞话务数据源!D:Q,6,FALSE),0)</f>
        <v>0</v>
      </c>
      <c r="K51" s="44">
        <f>IFERROR(VLOOKUP(C51,路飞话务数据源!D:Q,7,FALSE),0)</f>
        <v>0</v>
      </c>
      <c r="L51" s="46">
        <f>IFERROR(VLOOKUP(C51,路飞话务数据源!D:Q,8,FALSE),0)</f>
        <v>0</v>
      </c>
      <c r="M51" s="46">
        <f>IFERROR(VLOOKUP(C51,路飞话务数据源!D:Q,9,FALSE),0)</f>
        <v>0</v>
      </c>
      <c r="N51" s="46">
        <f>IFERROR(VLOOKUP(C51,路飞话务数据源!D:Q,10,FALSE),0)</f>
        <v>0</v>
      </c>
      <c r="O51" s="46">
        <f>IFERROR(VLOOKUP(C51,路飞话务数据源!D:Q,11,FALSE),0)</f>
        <v>0</v>
      </c>
      <c r="P51" s="46">
        <f>IFERROR(VLOOKUP(C51,路飞话务数据源!D:Q,12,FALSE),0)</f>
        <v>0</v>
      </c>
      <c r="Q51" s="60">
        <f>IFERROR(VLOOKUP(C51,路飞话务数据源!D:Q,13,FALSE),0)</f>
        <v>0</v>
      </c>
      <c r="R51" s="61">
        <f ca="1" t="shared" si="2"/>
        <v>0</v>
      </c>
      <c r="S51" s="35" t="str">
        <f ca="1" t="shared" si="1"/>
        <v>4月-6月</v>
      </c>
      <c r="T51" s="34" t="s">
        <v>179</v>
      </c>
      <c r="U51" s="46">
        <f>SUMIFS(路飞意向数据源!F:F,路飞意向数据源!B:B,A51,路飞意向数据源!C:C,B51,路飞意向数据源!D:D,C51)</f>
        <v>0</v>
      </c>
      <c r="V51" s="46"/>
      <c r="W51" s="20"/>
      <c r="X51" s="35"/>
    </row>
    <row r="52" spans="1:24">
      <c r="A52" s="34" t="s">
        <v>21</v>
      </c>
      <c r="B52" s="34" t="s">
        <v>125</v>
      </c>
      <c r="C52" s="34" t="s">
        <v>183</v>
      </c>
      <c r="D52" s="34" t="s">
        <v>184</v>
      </c>
      <c r="E52" s="34" t="s">
        <v>185</v>
      </c>
      <c r="F52" s="44">
        <f>IFERROR(VLOOKUP(C52,路飞话务数据源!D:Q,2,FALSE),0)</f>
        <v>4</v>
      </c>
      <c r="G52" s="44">
        <f>IFERROR(VLOOKUP(C52,路飞话务数据源!D:Q,3,FALSE),0)</f>
        <v>2</v>
      </c>
      <c r="H52" s="44">
        <f>IFERROR(VLOOKUP(C52,路飞话务数据源!D:Q,4,FALSE),0)</f>
        <v>0.5</v>
      </c>
      <c r="I52" s="44">
        <f>IFERROR(VLOOKUP(C52,路飞话务数据源!D:Q,5,FALSE),0)</f>
        <v>1</v>
      </c>
      <c r="J52" s="45">
        <f>IFERROR(VLOOKUP(C52,路飞话务数据源!D:Q,6,FALSE),0)</f>
        <v>0</v>
      </c>
      <c r="K52" s="44">
        <f>IFERROR(VLOOKUP(C52,路飞话务数据源!D:Q,7,FALSE),0)</f>
        <v>0</v>
      </c>
      <c r="L52" s="46">
        <f>IFERROR(VLOOKUP(C52,路飞话务数据源!D:Q,8,FALSE),0)</f>
        <v>0</v>
      </c>
      <c r="M52" s="46">
        <f>IFERROR(VLOOKUP(C52,路飞话务数据源!D:Q,9,FALSE),0)</f>
        <v>0.65</v>
      </c>
      <c r="N52" s="46">
        <f>IFERROR(VLOOKUP(C52,路飞话务数据源!D:Q,10,FALSE),0)</f>
        <v>0</v>
      </c>
      <c r="O52" s="46">
        <f>IFERROR(VLOOKUP(C52,路飞话务数据源!D:Q,11,FALSE),0)</f>
        <v>0</v>
      </c>
      <c r="P52" s="46">
        <f>IFERROR(VLOOKUP(C52,路飞话务数据源!D:Q,12,FALSE),0)</f>
        <v>0</v>
      </c>
      <c r="Q52" s="60">
        <f>IFERROR(VLOOKUP(C52,路飞话务数据源!D:Q,13,FALSE),0)</f>
        <v>0</v>
      </c>
      <c r="R52" s="61">
        <f ca="1" t="shared" si="2"/>
        <v>0</v>
      </c>
      <c r="S52" s="35" t="str">
        <f ca="1" t="shared" si="1"/>
        <v>4月-6月</v>
      </c>
      <c r="T52" s="34" t="s">
        <v>179</v>
      </c>
      <c r="U52" s="46">
        <f>SUMIFS(路飞意向数据源!F:F,路飞意向数据源!B:B,A52,路飞意向数据源!C:C,B52,路飞意向数据源!D:D,C52)</f>
        <v>0</v>
      </c>
      <c r="V52" s="46"/>
      <c r="W52" s="20"/>
      <c r="X52" s="35"/>
    </row>
    <row r="53" spans="1:24">
      <c r="A53" s="34" t="s">
        <v>21</v>
      </c>
      <c r="B53" s="34" t="s">
        <v>125</v>
      </c>
      <c r="C53" s="34" t="s">
        <v>186</v>
      </c>
      <c r="D53" s="34" t="s">
        <v>187</v>
      </c>
      <c r="E53" s="34" t="s">
        <v>188</v>
      </c>
      <c r="F53" s="44">
        <f>IFERROR(VLOOKUP(C53,路飞话务数据源!D:Q,2,FALSE),0)</f>
        <v>0</v>
      </c>
      <c r="G53" s="44">
        <f>IFERROR(VLOOKUP(C53,路飞话务数据源!D:Q,3,FALSE),0)</f>
        <v>0</v>
      </c>
      <c r="H53" s="44">
        <f>IFERROR(VLOOKUP(C53,路飞话务数据源!D:Q,4,FALSE),0)</f>
        <v>0</v>
      </c>
      <c r="I53" s="44">
        <f>IFERROR(VLOOKUP(C53,路飞话务数据源!D:Q,5,FALSE),0)</f>
        <v>0</v>
      </c>
      <c r="J53" s="45">
        <f>IFERROR(VLOOKUP(C53,路飞话务数据源!D:Q,6,FALSE),0)</f>
        <v>0</v>
      </c>
      <c r="K53" s="44">
        <f>IFERROR(VLOOKUP(C53,路飞话务数据源!D:Q,7,FALSE),0)</f>
        <v>0</v>
      </c>
      <c r="L53" s="46">
        <f>IFERROR(VLOOKUP(C53,路飞话务数据源!D:Q,8,FALSE),0)</f>
        <v>0</v>
      </c>
      <c r="M53" s="46">
        <f>IFERROR(VLOOKUP(C53,路飞话务数据源!D:Q,9,FALSE),0)</f>
        <v>0</v>
      </c>
      <c r="N53" s="46">
        <f>IFERROR(VLOOKUP(C53,路飞话务数据源!D:Q,10,FALSE),0)</f>
        <v>0</v>
      </c>
      <c r="O53" s="46">
        <f>IFERROR(VLOOKUP(C53,路飞话务数据源!D:Q,11,FALSE),0)</f>
        <v>0</v>
      </c>
      <c r="P53" s="46">
        <f>IFERROR(VLOOKUP(C53,路飞话务数据源!D:Q,12,FALSE),0)</f>
        <v>0</v>
      </c>
      <c r="Q53" s="60">
        <f>IFERROR(VLOOKUP(C53,路飞话务数据源!D:Q,13,FALSE),0)</f>
        <v>0</v>
      </c>
      <c r="R53" s="61">
        <f ca="1" t="shared" si="2"/>
        <v>0</v>
      </c>
      <c r="S53" s="35" t="str">
        <f ca="1" t="shared" si="1"/>
        <v>1-3月</v>
      </c>
      <c r="T53" s="34" t="s">
        <v>179</v>
      </c>
      <c r="U53" s="46">
        <f>SUMIFS(路飞意向数据源!F:F,路飞意向数据源!B:B,A53,路飞意向数据源!C:C,B53,路飞意向数据源!D:D,C53)</f>
        <v>0</v>
      </c>
      <c r="V53" s="46"/>
      <c r="W53" s="20"/>
      <c r="X53" s="35"/>
    </row>
    <row r="54" spans="1:24">
      <c r="A54" s="34" t="s">
        <v>21</v>
      </c>
      <c r="B54" s="34" t="s">
        <v>125</v>
      </c>
      <c r="C54" s="34" t="s">
        <v>189</v>
      </c>
      <c r="D54" s="34" t="s">
        <v>190</v>
      </c>
      <c r="E54" s="34" t="s">
        <v>94</v>
      </c>
      <c r="F54" s="44">
        <f>IFERROR(VLOOKUP(C54,路飞话务数据源!D:Q,2,FALSE),0)</f>
        <v>0</v>
      </c>
      <c r="G54" s="44">
        <f>IFERROR(VLOOKUP(C54,路飞话务数据源!D:Q,3,FALSE),0)</f>
        <v>0</v>
      </c>
      <c r="H54" s="44">
        <f>IFERROR(VLOOKUP(C54,路飞话务数据源!D:Q,4,FALSE),0)</f>
        <v>0</v>
      </c>
      <c r="I54" s="44">
        <f>IFERROR(VLOOKUP(C54,路飞话务数据源!D:Q,5,FALSE),0)</f>
        <v>0</v>
      </c>
      <c r="J54" s="45">
        <f>IFERROR(VLOOKUP(C54,路飞话务数据源!D:Q,6,FALSE),0)</f>
        <v>0</v>
      </c>
      <c r="K54" s="44">
        <f>IFERROR(VLOOKUP(C54,路飞话务数据源!D:Q,7,FALSE),0)</f>
        <v>0</v>
      </c>
      <c r="L54" s="46">
        <f>IFERROR(VLOOKUP(C54,路飞话务数据源!D:Q,8,FALSE),0)</f>
        <v>0</v>
      </c>
      <c r="M54" s="46">
        <f>IFERROR(VLOOKUP(C54,路飞话务数据源!D:Q,9,FALSE),0)</f>
        <v>0</v>
      </c>
      <c r="N54" s="46">
        <f>IFERROR(VLOOKUP(C54,路飞话务数据源!D:Q,10,FALSE),0)</f>
        <v>0</v>
      </c>
      <c r="O54" s="46">
        <f>IFERROR(VLOOKUP(C54,路飞话务数据源!D:Q,11,FALSE),0)</f>
        <v>0</v>
      </c>
      <c r="P54" s="46">
        <f>IFERROR(VLOOKUP(C54,路飞话务数据源!D:Q,12,FALSE),0)</f>
        <v>0</v>
      </c>
      <c r="Q54" s="60">
        <f>IFERROR(VLOOKUP(C54,路飞话务数据源!D:Q,13,FALSE),0)</f>
        <v>0</v>
      </c>
      <c r="R54" s="61">
        <f ca="1" t="shared" si="2"/>
        <v>0</v>
      </c>
      <c r="S54" s="35" t="str">
        <f ca="1" t="shared" si="1"/>
        <v>1-3月</v>
      </c>
      <c r="T54" s="34" t="s">
        <v>179</v>
      </c>
      <c r="U54" s="46">
        <f>SUMIFS(路飞意向数据源!F:F,路飞意向数据源!B:B,A54,路飞意向数据源!C:C,B54,路飞意向数据源!D:D,C54)</f>
        <v>0</v>
      </c>
      <c r="V54" s="46"/>
      <c r="W54" s="20"/>
      <c r="X54" s="35"/>
    </row>
    <row r="55" spans="1:24">
      <c r="A55" s="34" t="s">
        <v>21</v>
      </c>
      <c r="B55" s="34" t="s">
        <v>125</v>
      </c>
      <c r="C55" s="34" t="s">
        <v>191</v>
      </c>
      <c r="D55" s="34" t="s">
        <v>192</v>
      </c>
      <c r="E55" s="34" t="s">
        <v>193</v>
      </c>
      <c r="F55" s="44">
        <f>IFERROR(VLOOKUP(C55,路飞话务数据源!D:Q,2,FALSE),0)</f>
        <v>15</v>
      </c>
      <c r="G55" s="44">
        <f>IFERROR(VLOOKUP(C55,路飞话务数据源!D:Q,3,FALSE),0)</f>
        <v>8</v>
      </c>
      <c r="H55" s="44">
        <f>IFERROR(VLOOKUP(C55,路飞话务数据源!D:Q,4,FALSE),0)</f>
        <v>0.533333333333333</v>
      </c>
      <c r="I55" s="44">
        <f>IFERROR(VLOOKUP(C55,路飞话务数据源!D:Q,5,FALSE),0)</f>
        <v>0</v>
      </c>
      <c r="J55" s="45">
        <f>IFERROR(VLOOKUP(C55,路飞话务数据源!D:Q,6,FALSE),0)</f>
        <v>0</v>
      </c>
      <c r="K55" s="44">
        <f>IFERROR(VLOOKUP(C55,路飞话务数据源!D:Q,7,FALSE),0)</f>
        <v>0</v>
      </c>
      <c r="L55" s="46">
        <f>IFERROR(VLOOKUP(C55,路飞话务数据源!D:Q,8,FALSE),0)</f>
        <v>0</v>
      </c>
      <c r="M55" s="46">
        <f>IFERROR(VLOOKUP(C55,路飞话务数据源!D:Q,9,FALSE),0)</f>
        <v>2.01666666666667</v>
      </c>
      <c r="N55" s="46">
        <f>IFERROR(VLOOKUP(C55,路飞话务数据源!D:Q,10,FALSE),0)</f>
        <v>0</v>
      </c>
      <c r="O55" s="46">
        <f>IFERROR(VLOOKUP(C55,路飞话务数据源!D:Q,11,FALSE),0)</f>
        <v>0</v>
      </c>
      <c r="P55" s="46">
        <f>IFERROR(VLOOKUP(C55,路飞话务数据源!D:Q,12,FALSE),0)</f>
        <v>0</v>
      </c>
      <c r="Q55" s="60">
        <f>IFERROR(VLOOKUP(C55,路飞话务数据源!D:Q,13,FALSE),0)</f>
        <v>0</v>
      </c>
      <c r="R55" s="61">
        <f ca="1" t="shared" si="2"/>
        <v>1</v>
      </c>
      <c r="S55" s="35" t="str">
        <f ca="1" t="shared" si="1"/>
        <v>1-3月</v>
      </c>
      <c r="T55" s="34" t="s">
        <v>179</v>
      </c>
      <c r="U55" s="46">
        <f>SUMIFS(路飞意向数据源!F:F,路飞意向数据源!B:B,A55,路飞意向数据源!C:C,B55,路飞意向数据源!D:D,C55)</f>
        <v>0</v>
      </c>
      <c r="V55" s="46"/>
      <c r="W55" s="20"/>
      <c r="X55" s="35"/>
    </row>
    <row r="56" spans="1:24">
      <c r="A56" s="34" t="s">
        <v>21</v>
      </c>
      <c r="B56" s="34" t="s">
        <v>125</v>
      </c>
      <c r="C56" s="34" t="s">
        <v>194</v>
      </c>
      <c r="D56" s="34" t="s">
        <v>195</v>
      </c>
      <c r="E56" s="34" t="s">
        <v>196</v>
      </c>
      <c r="F56" s="44">
        <f>IFERROR(VLOOKUP(C56,路飞话务数据源!D:Q,2,FALSE),0)</f>
        <v>0</v>
      </c>
      <c r="G56" s="44">
        <f>IFERROR(VLOOKUP(C56,路飞话务数据源!D:Q,3,FALSE),0)</f>
        <v>0</v>
      </c>
      <c r="H56" s="44">
        <f>IFERROR(VLOOKUP(C56,路飞话务数据源!D:Q,4,FALSE),0)</f>
        <v>0</v>
      </c>
      <c r="I56" s="44">
        <f>IFERROR(VLOOKUP(C56,路飞话务数据源!D:Q,5,FALSE),0)</f>
        <v>0</v>
      </c>
      <c r="J56" s="45">
        <f>IFERROR(VLOOKUP(C56,路飞话务数据源!D:Q,6,FALSE),0)</f>
        <v>0</v>
      </c>
      <c r="K56" s="44">
        <f>IFERROR(VLOOKUP(C56,路飞话务数据源!D:Q,7,FALSE),0)</f>
        <v>0</v>
      </c>
      <c r="L56" s="46">
        <f>IFERROR(VLOOKUP(C56,路飞话务数据源!D:Q,8,FALSE),0)</f>
        <v>0</v>
      </c>
      <c r="M56" s="46">
        <f>IFERROR(VLOOKUP(C56,路飞话务数据源!D:Q,9,FALSE),0)</f>
        <v>0</v>
      </c>
      <c r="N56" s="46">
        <f>IFERROR(VLOOKUP(C56,路飞话务数据源!D:Q,10,FALSE),0)</f>
        <v>0</v>
      </c>
      <c r="O56" s="46">
        <f>IFERROR(VLOOKUP(C56,路飞话务数据源!D:Q,11,FALSE),0)</f>
        <v>0</v>
      </c>
      <c r="P56" s="46">
        <f>IFERROR(VLOOKUP(C56,路飞话务数据源!D:Q,12,FALSE),0)</f>
        <v>0</v>
      </c>
      <c r="Q56" s="60">
        <f>IFERROR(VLOOKUP(C56,路飞话务数据源!D:Q,13,FALSE),0)</f>
        <v>0</v>
      </c>
      <c r="R56" s="61">
        <f ca="1" t="shared" si="2"/>
        <v>0</v>
      </c>
      <c r="S56" s="35" t="str">
        <f ca="1" t="shared" si="1"/>
        <v>1-3月</v>
      </c>
      <c r="T56" s="34" t="s">
        <v>179</v>
      </c>
      <c r="U56" s="46">
        <f>SUMIFS(路飞意向数据源!F:F,路飞意向数据源!B:B,A56,路飞意向数据源!C:C,B56,路飞意向数据源!D:D,C56)</f>
        <v>0</v>
      </c>
      <c r="V56" s="46"/>
      <c r="W56" s="20"/>
      <c r="X56" s="35"/>
    </row>
    <row r="57" spans="1:24">
      <c r="A57" s="34" t="s">
        <v>21</v>
      </c>
      <c r="B57" s="34" t="s">
        <v>125</v>
      </c>
      <c r="C57" s="34" t="s">
        <v>197</v>
      </c>
      <c r="D57" s="34" t="s">
        <v>198</v>
      </c>
      <c r="E57" s="34" t="s">
        <v>118</v>
      </c>
      <c r="F57" s="44">
        <f>IFERROR(VLOOKUP(C57,路飞话务数据源!D:Q,2,FALSE),0)</f>
        <v>0</v>
      </c>
      <c r="G57" s="44">
        <f>IFERROR(VLOOKUP(C57,路飞话务数据源!D:Q,3,FALSE),0)</f>
        <v>0</v>
      </c>
      <c r="H57" s="44">
        <f>IFERROR(VLOOKUP(C57,路飞话务数据源!D:Q,4,FALSE),0)</f>
        <v>0</v>
      </c>
      <c r="I57" s="44">
        <f>IFERROR(VLOOKUP(C57,路飞话务数据源!D:Q,5,FALSE),0)</f>
        <v>0</v>
      </c>
      <c r="J57" s="45">
        <f>IFERROR(VLOOKUP(C57,路飞话务数据源!D:Q,6,FALSE),0)</f>
        <v>0</v>
      </c>
      <c r="K57" s="44">
        <f>IFERROR(VLOOKUP(C57,路飞话务数据源!D:Q,7,FALSE),0)</f>
        <v>0</v>
      </c>
      <c r="L57" s="46">
        <f>IFERROR(VLOOKUP(C57,路飞话务数据源!D:Q,8,FALSE),0)</f>
        <v>0</v>
      </c>
      <c r="M57" s="46">
        <f>IFERROR(VLOOKUP(C57,路飞话务数据源!D:Q,9,FALSE),0)</f>
        <v>0</v>
      </c>
      <c r="N57" s="46">
        <f>IFERROR(VLOOKUP(C57,路飞话务数据源!D:Q,10,FALSE),0)</f>
        <v>0</v>
      </c>
      <c r="O57" s="46">
        <f>IFERROR(VLOOKUP(C57,路飞话务数据源!D:Q,11,FALSE),0)</f>
        <v>0</v>
      </c>
      <c r="P57" s="46">
        <f>IFERROR(VLOOKUP(C57,路飞话务数据源!D:Q,12,FALSE),0)</f>
        <v>0</v>
      </c>
      <c r="Q57" s="60">
        <f>IFERROR(VLOOKUP(C57,路飞话务数据源!D:Q,13,FALSE),0)</f>
        <v>0</v>
      </c>
      <c r="R57" s="61">
        <f ca="1" t="shared" si="2"/>
        <v>0</v>
      </c>
      <c r="S57" s="35" t="str">
        <f ca="1" t="shared" si="1"/>
        <v>1-3月</v>
      </c>
      <c r="T57" s="34" t="s">
        <v>179</v>
      </c>
      <c r="U57" s="46">
        <f>SUMIFS(路飞意向数据源!F:F,路飞意向数据源!B:B,A57,路飞意向数据源!C:C,B57,路飞意向数据源!D:D,C57)</f>
        <v>0</v>
      </c>
      <c r="V57" s="46"/>
      <c r="W57" s="20"/>
      <c r="X57" s="35"/>
    </row>
    <row r="58" spans="1:24">
      <c r="A58" s="34" t="s">
        <v>21</v>
      </c>
      <c r="B58" s="34" t="s">
        <v>75</v>
      </c>
      <c r="C58" s="34" t="s">
        <v>199</v>
      </c>
      <c r="D58" s="34" t="s">
        <v>200</v>
      </c>
      <c r="E58" s="34" t="s">
        <v>201</v>
      </c>
      <c r="F58" s="44">
        <f>IFERROR(VLOOKUP(C58,路飞话务数据源!D:Q,2,FALSE),0)</f>
        <v>217</v>
      </c>
      <c r="G58" s="44">
        <f>IFERROR(VLOOKUP(C58,路飞话务数据源!D:Q,3,FALSE),0)</f>
        <v>96</v>
      </c>
      <c r="H58" s="44">
        <f>IFERROR(VLOOKUP(C58,路飞话务数据源!D:Q,4,FALSE),0)</f>
        <v>0.442396313364055</v>
      </c>
      <c r="I58" s="44">
        <f>IFERROR(VLOOKUP(C58,路飞话务数据源!D:Q,5,FALSE),0)</f>
        <v>38</v>
      </c>
      <c r="J58" s="45">
        <f>IFERROR(VLOOKUP(C58,路飞话务数据源!D:Q,6,FALSE),0)</f>
        <v>29</v>
      </c>
      <c r="K58" s="44">
        <f>IFERROR(VLOOKUP(C58,路飞话务数据源!D:Q,7,FALSE),0)</f>
        <v>22</v>
      </c>
      <c r="L58" s="46">
        <f>IFERROR(VLOOKUP(C58,路飞话务数据源!D:Q,8,FALSE),0)</f>
        <v>3</v>
      </c>
      <c r="M58" s="46">
        <f>IFERROR(VLOOKUP(C58,路飞话务数据源!D:Q,9,FALSE),0)</f>
        <v>64.45</v>
      </c>
      <c r="N58" s="46">
        <f>IFERROR(VLOOKUP(C58,路飞话务数据源!D:Q,10,FALSE),0)</f>
        <v>0</v>
      </c>
      <c r="O58" s="46">
        <f>IFERROR(VLOOKUP(C58,路飞话务数据源!D:Q,11,FALSE),0)</f>
        <v>0</v>
      </c>
      <c r="P58" s="46">
        <f>IFERROR(VLOOKUP(C58,路飞话务数据源!D:Q,12,FALSE),0)</f>
        <v>0</v>
      </c>
      <c r="Q58" s="60">
        <f>IFERROR(VLOOKUP(C58,路飞话务数据源!D:Q,13,FALSE),0)</f>
        <v>0</v>
      </c>
      <c r="R58" s="61">
        <f ca="1" t="shared" si="2"/>
        <v>1</v>
      </c>
      <c r="S58" s="35" t="str">
        <f ca="1" t="shared" si="1"/>
        <v>1年-2年</v>
      </c>
      <c r="T58" s="34" t="s">
        <v>202</v>
      </c>
      <c r="U58" s="46">
        <f>SUMIFS(路飞意向数据源!F:F,路飞意向数据源!B:B,A58,路飞意向数据源!C:C,B58,路飞意向数据源!D:D,C58)</f>
        <v>1</v>
      </c>
      <c r="V58" s="46"/>
      <c r="W58" s="20"/>
      <c r="X58" s="35"/>
    </row>
    <row r="59" spans="1:24">
      <c r="A59" s="34" t="s">
        <v>21</v>
      </c>
      <c r="B59" s="34" t="s">
        <v>75</v>
      </c>
      <c r="C59" s="34" t="s">
        <v>203</v>
      </c>
      <c r="D59" s="34" t="s">
        <v>204</v>
      </c>
      <c r="E59" s="34" t="s">
        <v>205</v>
      </c>
      <c r="F59" s="44">
        <f>IFERROR(VLOOKUP(C59,路飞话务数据源!D:Q,2,FALSE),0)</f>
        <v>155</v>
      </c>
      <c r="G59" s="44">
        <f>IFERROR(VLOOKUP(C59,路飞话务数据源!D:Q,3,FALSE),0)</f>
        <v>63</v>
      </c>
      <c r="H59" s="44">
        <f>IFERROR(VLOOKUP(C59,路飞话务数据源!D:Q,4,FALSE),0)</f>
        <v>0.406451612903226</v>
      </c>
      <c r="I59" s="44">
        <f>IFERROR(VLOOKUP(C59,路飞话务数据源!D:Q,5,FALSE),0)</f>
        <v>16</v>
      </c>
      <c r="J59" s="45">
        <f>IFERROR(VLOOKUP(C59,路飞话务数据源!D:Q,6,FALSE),0)</f>
        <v>15</v>
      </c>
      <c r="K59" s="44">
        <f>IFERROR(VLOOKUP(C59,路飞话务数据源!D:Q,7,FALSE),0)</f>
        <v>9</v>
      </c>
      <c r="L59" s="46">
        <f>IFERROR(VLOOKUP(C59,路飞话务数据源!D:Q,8,FALSE),0)</f>
        <v>1</v>
      </c>
      <c r="M59" s="46">
        <f>IFERROR(VLOOKUP(C59,路飞话务数据源!D:Q,9,FALSE),0)</f>
        <v>32.85</v>
      </c>
      <c r="N59" s="46">
        <f>IFERROR(VLOOKUP(C59,路飞话务数据源!D:Q,10,FALSE),0)</f>
        <v>0</v>
      </c>
      <c r="O59" s="46">
        <f>IFERROR(VLOOKUP(C59,路飞话务数据源!D:Q,11,FALSE),0)</f>
        <v>0</v>
      </c>
      <c r="P59" s="46">
        <f>IFERROR(VLOOKUP(C59,路飞话务数据源!D:Q,12,FALSE),0)</f>
        <v>0</v>
      </c>
      <c r="Q59" s="60">
        <f>IFERROR(VLOOKUP(C59,路飞话务数据源!D:Q,13,FALSE),0)</f>
        <v>0</v>
      </c>
      <c r="R59" s="61">
        <f ca="1" t="shared" si="2"/>
        <v>1</v>
      </c>
      <c r="S59" s="35" t="str">
        <f ca="1" t="shared" si="1"/>
        <v>1年-2年</v>
      </c>
      <c r="T59" s="34" t="s">
        <v>202</v>
      </c>
      <c r="U59" s="46">
        <f>SUMIFS(路飞意向数据源!F:F,路飞意向数据源!B:B,A59,路飞意向数据源!C:C,B59,路飞意向数据源!D:D,C59)</f>
        <v>0</v>
      </c>
      <c r="V59" s="46"/>
      <c r="W59" s="20"/>
      <c r="X59" s="35"/>
    </row>
    <row r="60" spans="1:24">
      <c r="A60" s="34" t="s">
        <v>21</v>
      </c>
      <c r="B60" s="34" t="s">
        <v>75</v>
      </c>
      <c r="C60" s="34" t="s">
        <v>206</v>
      </c>
      <c r="D60" s="34" t="s">
        <v>207</v>
      </c>
      <c r="E60" s="34" t="s">
        <v>208</v>
      </c>
      <c r="F60" s="44">
        <f>IFERROR(VLOOKUP(C60,路飞话务数据源!D:Q,2,FALSE),0)</f>
        <v>108</v>
      </c>
      <c r="G60" s="44">
        <f>IFERROR(VLOOKUP(C60,路飞话务数据源!D:Q,3,FALSE),0)</f>
        <v>54</v>
      </c>
      <c r="H60" s="44">
        <f>IFERROR(VLOOKUP(C60,路飞话务数据源!D:Q,4,FALSE),0)</f>
        <v>0.5</v>
      </c>
      <c r="I60" s="44">
        <f>IFERROR(VLOOKUP(C60,路飞话务数据源!D:Q,5,FALSE),0)</f>
        <v>21</v>
      </c>
      <c r="J60" s="45">
        <f>IFERROR(VLOOKUP(C60,路飞话务数据源!D:Q,6,FALSE),0)</f>
        <v>18</v>
      </c>
      <c r="K60" s="44">
        <f>IFERROR(VLOOKUP(C60,路飞话务数据源!D:Q,7,FALSE),0)</f>
        <v>12</v>
      </c>
      <c r="L60" s="46">
        <f>IFERROR(VLOOKUP(C60,路飞话务数据源!D:Q,8,FALSE),0)</f>
        <v>2</v>
      </c>
      <c r="M60" s="46">
        <f>IFERROR(VLOOKUP(C60,路飞话务数据源!D:Q,9,FALSE),0)</f>
        <v>41.7666666666667</v>
      </c>
      <c r="N60" s="46">
        <f>IFERROR(VLOOKUP(C60,路飞话务数据源!D:Q,10,FALSE),0)</f>
        <v>1</v>
      </c>
      <c r="O60" s="46">
        <f>IFERROR(VLOOKUP(C60,路飞话务数据源!D:Q,11,FALSE),0)</f>
        <v>1</v>
      </c>
      <c r="P60" s="46">
        <f>IFERROR(VLOOKUP(C60,路飞话务数据源!D:Q,12,FALSE),0)</f>
        <v>1</v>
      </c>
      <c r="Q60" s="60">
        <f>IFERROR(VLOOKUP(C60,路飞话务数据源!D:Q,13,FALSE),0)</f>
        <v>91</v>
      </c>
      <c r="R60" s="61">
        <f ca="1" t="shared" si="2"/>
        <v>1</v>
      </c>
      <c r="S60" s="35" t="str">
        <f ca="1" t="shared" si="1"/>
        <v>4月-6月</v>
      </c>
      <c r="T60" s="34" t="s">
        <v>202</v>
      </c>
      <c r="U60" s="46">
        <f>SUMIFS(路飞意向数据源!F:F,路飞意向数据源!B:B,A60,路飞意向数据源!C:C,B60,路飞意向数据源!D:D,C60)</f>
        <v>3</v>
      </c>
      <c r="V60" s="46"/>
      <c r="W60" s="20"/>
      <c r="X60" s="35"/>
    </row>
    <row r="61" spans="1:24">
      <c r="A61" s="34" t="s">
        <v>21</v>
      </c>
      <c r="B61" s="34" t="s">
        <v>75</v>
      </c>
      <c r="C61" s="34" t="s">
        <v>209</v>
      </c>
      <c r="D61" s="34" t="s">
        <v>210</v>
      </c>
      <c r="E61" s="34" t="s">
        <v>211</v>
      </c>
      <c r="F61" s="44">
        <f>IFERROR(VLOOKUP(C61,路飞话务数据源!D:Q,2,FALSE),0)</f>
        <v>0</v>
      </c>
      <c r="G61" s="44">
        <f>IFERROR(VLOOKUP(C61,路飞话务数据源!D:Q,3,FALSE),0)</f>
        <v>0</v>
      </c>
      <c r="H61" s="44">
        <f>IFERROR(VLOOKUP(C61,路飞话务数据源!D:Q,4,FALSE),0)</f>
        <v>0</v>
      </c>
      <c r="I61" s="44">
        <f>IFERROR(VLOOKUP(C61,路飞话务数据源!D:Q,5,FALSE),0)</f>
        <v>0</v>
      </c>
      <c r="J61" s="45">
        <f>IFERROR(VLOOKUP(C61,路飞话务数据源!D:Q,6,FALSE),0)</f>
        <v>0</v>
      </c>
      <c r="K61" s="44">
        <f>IFERROR(VLOOKUP(C61,路飞话务数据源!D:Q,7,FALSE),0)</f>
        <v>0</v>
      </c>
      <c r="L61" s="46">
        <f>IFERROR(VLOOKUP(C61,路飞话务数据源!D:Q,8,FALSE),0)</f>
        <v>0</v>
      </c>
      <c r="M61" s="46">
        <f>IFERROR(VLOOKUP(C61,路飞话务数据源!D:Q,9,FALSE),0)</f>
        <v>0</v>
      </c>
      <c r="N61" s="46">
        <f>IFERROR(VLOOKUP(C61,路飞话务数据源!D:Q,10,FALSE),0)</f>
        <v>0</v>
      </c>
      <c r="O61" s="46">
        <f>IFERROR(VLOOKUP(C61,路飞话务数据源!D:Q,11,FALSE),0)</f>
        <v>0</v>
      </c>
      <c r="P61" s="46">
        <f>IFERROR(VLOOKUP(C61,路飞话务数据源!D:Q,12,FALSE),0)</f>
        <v>0</v>
      </c>
      <c r="Q61" s="60">
        <f>IFERROR(VLOOKUP(C61,路飞话务数据源!D:Q,13,FALSE),0)</f>
        <v>0</v>
      </c>
      <c r="R61" s="61">
        <f ca="1" t="shared" si="2"/>
        <v>0</v>
      </c>
      <c r="S61" s="35" t="str">
        <f ca="1" t="shared" si="1"/>
        <v>4月-6月</v>
      </c>
      <c r="T61" s="34" t="s">
        <v>202</v>
      </c>
      <c r="U61" s="46">
        <f>SUMIFS(路飞意向数据源!F:F,路飞意向数据源!B:B,A61,路飞意向数据源!C:C,B61,路飞意向数据源!D:D,C61)</f>
        <v>0</v>
      </c>
      <c r="V61" s="46"/>
      <c r="W61" s="20"/>
      <c r="X61" s="35"/>
    </row>
    <row r="62" spans="1:24">
      <c r="A62" s="34" t="s">
        <v>21</v>
      </c>
      <c r="B62" s="34" t="s">
        <v>75</v>
      </c>
      <c r="C62" s="34" t="s">
        <v>212</v>
      </c>
      <c r="D62" s="34" t="s">
        <v>213</v>
      </c>
      <c r="E62" s="34" t="s">
        <v>214</v>
      </c>
      <c r="F62" s="44">
        <f>IFERROR(VLOOKUP(C62,路飞话务数据源!D:Q,2,FALSE),0)</f>
        <v>256</v>
      </c>
      <c r="G62" s="44">
        <f>IFERROR(VLOOKUP(C62,路飞话务数据源!D:Q,3,FALSE),0)</f>
        <v>111</v>
      </c>
      <c r="H62" s="44">
        <f>IFERROR(VLOOKUP(C62,路飞话务数据源!D:Q,4,FALSE),0)</f>
        <v>0.43359375</v>
      </c>
      <c r="I62" s="44">
        <f>IFERROR(VLOOKUP(C62,路飞话务数据源!D:Q,5,FALSE),0)</f>
        <v>11</v>
      </c>
      <c r="J62" s="45">
        <f>IFERROR(VLOOKUP(C62,路飞话务数据源!D:Q,6,FALSE),0)</f>
        <v>7</v>
      </c>
      <c r="K62" s="44">
        <f>IFERROR(VLOOKUP(C62,路飞话务数据源!D:Q,7,FALSE),0)</f>
        <v>4</v>
      </c>
      <c r="L62" s="46">
        <f>IFERROR(VLOOKUP(C62,路飞话务数据源!D:Q,8,FALSE),0)</f>
        <v>0</v>
      </c>
      <c r="M62" s="46">
        <f>IFERROR(VLOOKUP(C62,路飞话务数据源!D:Q,9,FALSE),0)</f>
        <v>37.1666666666667</v>
      </c>
      <c r="N62" s="46">
        <f>IFERROR(VLOOKUP(C62,路飞话务数据源!D:Q,10,FALSE),0)</f>
        <v>0</v>
      </c>
      <c r="O62" s="46">
        <f>IFERROR(VLOOKUP(C62,路飞话务数据源!D:Q,11,FALSE),0)</f>
        <v>0</v>
      </c>
      <c r="P62" s="46">
        <f>IFERROR(VLOOKUP(C62,路飞话务数据源!D:Q,12,FALSE),0)</f>
        <v>0</v>
      </c>
      <c r="Q62" s="60">
        <f>IFERROR(VLOOKUP(C62,路飞话务数据源!D:Q,13,FALSE),0)</f>
        <v>0</v>
      </c>
      <c r="R62" s="61">
        <f ca="1" t="shared" si="2"/>
        <v>1</v>
      </c>
      <c r="S62" s="35" t="str">
        <f ca="1" t="shared" si="1"/>
        <v>1-3月</v>
      </c>
      <c r="T62" s="34" t="s">
        <v>202</v>
      </c>
      <c r="U62" s="46">
        <f>SUMIFS(路飞意向数据源!F:F,路飞意向数据源!B:B,A62,路飞意向数据源!C:C,B62,路飞意向数据源!D:D,C62)</f>
        <v>0</v>
      </c>
      <c r="V62" s="46"/>
      <c r="W62" s="20"/>
      <c r="X62" s="35"/>
    </row>
    <row r="63" spans="1:24">
      <c r="A63" s="34" t="s">
        <v>21</v>
      </c>
      <c r="B63" s="34" t="s">
        <v>75</v>
      </c>
      <c r="C63" s="34" t="s">
        <v>215</v>
      </c>
      <c r="D63" s="34" t="s">
        <v>216</v>
      </c>
      <c r="E63" s="34" t="s">
        <v>118</v>
      </c>
      <c r="F63" s="44">
        <f>IFERROR(VLOOKUP(C63,路飞话务数据源!D:Q,2,FALSE),0)</f>
        <v>186</v>
      </c>
      <c r="G63" s="44">
        <f>IFERROR(VLOOKUP(C63,路飞话务数据源!D:Q,3,FALSE),0)</f>
        <v>70</v>
      </c>
      <c r="H63" s="44">
        <f>IFERROR(VLOOKUP(C63,路飞话务数据源!D:Q,4,FALSE),0)</f>
        <v>0.376344086021505</v>
      </c>
      <c r="I63" s="44">
        <f>IFERROR(VLOOKUP(C63,路飞话务数据源!D:Q,5,FALSE),0)</f>
        <v>30</v>
      </c>
      <c r="J63" s="45">
        <f>IFERROR(VLOOKUP(C63,路飞话务数据源!D:Q,6,FALSE),0)</f>
        <v>20</v>
      </c>
      <c r="K63" s="44">
        <f>IFERROR(VLOOKUP(C63,路飞话务数据源!D:Q,7,FALSE),0)</f>
        <v>17</v>
      </c>
      <c r="L63" s="46">
        <f>IFERROR(VLOOKUP(C63,路飞话务数据源!D:Q,8,FALSE),0)</f>
        <v>4</v>
      </c>
      <c r="M63" s="46">
        <f>IFERROR(VLOOKUP(C63,路飞话务数据源!D:Q,9,FALSE),0)</f>
        <v>53</v>
      </c>
      <c r="N63" s="46">
        <f>IFERROR(VLOOKUP(C63,路飞话务数据源!D:Q,10,FALSE),0)</f>
        <v>0</v>
      </c>
      <c r="O63" s="46">
        <f>IFERROR(VLOOKUP(C63,路飞话务数据源!D:Q,11,FALSE),0)</f>
        <v>0</v>
      </c>
      <c r="P63" s="46">
        <f>IFERROR(VLOOKUP(C63,路飞话务数据源!D:Q,12,FALSE),0)</f>
        <v>0</v>
      </c>
      <c r="Q63" s="60">
        <f>IFERROR(VLOOKUP(C63,路飞话务数据源!D:Q,13,FALSE),0)</f>
        <v>0</v>
      </c>
      <c r="R63" s="61">
        <f ca="1" t="shared" si="2"/>
        <v>1</v>
      </c>
      <c r="S63" s="35" t="str">
        <f ca="1" t="shared" si="1"/>
        <v>1-3月</v>
      </c>
      <c r="T63" s="34" t="s">
        <v>202</v>
      </c>
      <c r="U63" s="46">
        <f>SUMIFS(路飞意向数据源!F:F,路飞意向数据源!B:B,A63,路飞意向数据源!C:C,B63,路飞意向数据源!D:D,C63)</f>
        <v>0</v>
      </c>
      <c r="V63" s="46"/>
      <c r="W63" s="20"/>
      <c r="X63" s="35"/>
    </row>
    <row r="64" spans="1:24">
      <c r="A64" s="34" t="s">
        <v>21</v>
      </c>
      <c r="B64" s="34" t="s">
        <v>75</v>
      </c>
      <c r="C64" s="34" t="s">
        <v>217</v>
      </c>
      <c r="D64" s="34" t="s">
        <v>218</v>
      </c>
      <c r="E64" s="34" t="s">
        <v>219</v>
      </c>
      <c r="F64" s="44">
        <f>IFERROR(VLOOKUP(C64,路飞话务数据源!D:Q,2,FALSE),0)</f>
        <v>0</v>
      </c>
      <c r="G64" s="44">
        <f>IFERROR(VLOOKUP(C64,路飞话务数据源!D:Q,3,FALSE),0)</f>
        <v>0</v>
      </c>
      <c r="H64" s="44">
        <f>IFERROR(VLOOKUP(C64,路飞话务数据源!D:Q,4,FALSE),0)</f>
        <v>0</v>
      </c>
      <c r="I64" s="44">
        <f>IFERROR(VLOOKUP(C64,路飞话务数据源!D:Q,5,FALSE),0)</f>
        <v>0</v>
      </c>
      <c r="J64" s="45">
        <f>IFERROR(VLOOKUP(C64,路飞话务数据源!D:Q,6,FALSE),0)</f>
        <v>0</v>
      </c>
      <c r="K64" s="44">
        <f>IFERROR(VLOOKUP(C64,路飞话务数据源!D:Q,7,FALSE),0)</f>
        <v>0</v>
      </c>
      <c r="L64" s="46">
        <f>IFERROR(VLOOKUP(C64,路飞话务数据源!D:Q,8,FALSE),0)</f>
        <v>0</v>
      </c>
      <c r="M64" s="46">
        <f>IFERROR(VLOOKUP(C64,路飞话务数据源!D:Q,9,FALSE),0)</f>
        <v>0</v>
      </c>
      <c r="N64" s="46">
        <f>IFERROR(VLOOKUP(C64,路飞话务数据源!D:Q,10,FALSE),0)</f>
        <v>0</v>
      </c>
      <c r="O64" s="46">
        <f>IFERROR(VLOOKUP(C64,路飞话务数据源!D:Q,11,FALSE),0)</f>
        <v>0</v>
      </c>
      <c r="P64" s="46">
        <f>IFERROR(VLOOKUP(C64,路飞话务数据源!D:Q,12,FALSE),0)</f>
        <v>0</v>
      </c>
      <c r="Q64" s="60">
        <f>IFERROR(VLOOKUP(C64,路飞话务数据源!D:Q,13,FALSE),0)</f>
        <v>0</v>
      </c>
      <c r="R64" s="61">
        <f ca="1" t="shared" si="2"/>
        <v>0</v>
      </c>
      <c r="S64" s="35" t="str">
        <f ca="1" t="shared" si="1"/>
        <v>1-3月</v>
      </c>
      <c r="T64" s="34" t="s">
        <v>202</v>
      </c>
      <c r="U64" s="46">
        <f>SUMIFS(路飞意向数据源!F:F,路飞意向数据源!B:B,A64,路飞意向数据源!C:C,B64,路飞意向数据源!D:D,C64)</f>
        <v>0</v>
      </c>
      <c r="V64" s="46"/>
      <c r="W64" s="20"/>
      <c r="X64" s="35"/>
    </row>
    <row r="65" spans="1:24">
      <c r="A65" s="34" t="s">
        <v>21</v>
      </c>
      <c r="B65" s="34" t="s">
        <v>75</v>
      </c>
      <c r="C65" s="34" t="s">
        <v>220</v>
      </c>
      <c r="D65" s="34" t="s">
        <v>221</v>
      </c>
      <c r="E65" s="34" t="s">
        <v>219</v>
      </c>
      <c r="F65" s="44">
        <f>IFERROR(VLOOKUP(C65,路飞话务数据源!D:Q,2,FALSE),0)</f>
        <v>246</v>
      </c>
      <c r="G65" s="44">
        <f>IFERROR(VLOOKUP(C65,路飞话务数据源!D:Q,3,FALSE),0)</f>
        <v>100</v>
      </c>
      <c r="H65" s="44">
        <f>IFERROR(VLOOKUP(C65,路飞话务数据源!D:Q,4,FALSE),0)</f>
        <v>0.40650406504065</v>
      </c>
      <c r="I65" s="44">
        <f>IFERROR(VLOOKUP(C65,路飞话务数据源!D:Q,5,FALSE),0)</f>
        <v>20</v>
      </c>
      <c r="J65" s="45">
        <f>IFERROR(VLOOKUP(C65,路飞话务数据源!D:Q,6,FALSE),0)</f>
        <v>11</v>
      </c>
      <c r="K65" s="44">
        <f>IFERROR(VLOOKUP(C65,路飞话务数据源!D:Q,7,FALSE),0)</f>
        <v>7</v>
      </c>
      <c r="L65" s="46">
        <f>IFERROR(VLOOKUP(C65,路飞话务数据源!D:Q,8,FALSE),0)</f>
        <v>0</v>
      </c>
      <c r="M65" s="46">
        <f>IFERROR(VLOOKUP(C65,路飞话务数据源!D:Q,9,FALSE),0)</f>
        <v>43</v>
      </c>
      <c r="N65" s="46">
        <f>IFERROR(VLOOKUP(C65,路飞话务数据源!D:Q,10,FALSE),0)</f>
        <v>0</v>
      </c>
      <c r="O65" s="46">
        <f>IFERROR(VLOOKUP(C65,路飞话务数据源!D:Q,11,FALSE),0)</f>
        <v>0</v>
      </c>
      <c r="P65" s="46">
        <f>IFERROR(VLOOKUP(C65,路飞话务数据源!D:Q,12,FALSE),0)</f>
        <v>0</v>
      </c>
      <c r="Q65" s="60">
        <f>IFERROR(VLOOKUP(C65,路飞话务数据源!D:Q,13,FALSE),0)</f>
        <v>0</v>
      </c>
      <c r="R65" s="61">
        <f ca="1" t="shared" si="2"/>
        <v>1</v>
      </c>
      <c r="S65" s="35" t="str">
        <f ca="1" t="shared" si="1"/>
        <v>1-3月</v>
      </c>
      <c r="T65" s="34" t="s">
        <v>202</v>
      </c>
      <c r="U65" s="46">
        <f>SUMIFS(路飞意向数据源!F:F,路飞意向数据源!B:B,A65,路飞意向数据源!C:C,B65,路飞意向数据源!D:D,C65)</f>
        <v>1</v>
      </c>
      <c r="V65" s="46"/>
      <c r="W65" s="20"/>
      <c r="X65" s="35"/>
    </row>
    <row r="66" spans="1:24">
      <c r="A66" s="34" t="s">
        <v>21</v>
      </c>
      <c r="B66" s="34" t="s">
        <v>75</v>
      </c>
      <c r="C66" s="34" t="s">
        <v>222</v>
      </c>
      <c r="D66" s="34" t="s">
        <v>223</v>
      </c>
      <c r="E66" s="34" t="s">
        <v>124</v>
      </c>
      <c r="F66" s="44">
        <f>IFERROR(VLOOKUP(C66,路飞话务数据源!D:Q,2,FALSE),0)</f>
        <v>242</v>
      </c>
      <c r="G66" s="44">
        <f>IFERROR(VLOOKUP(C66,路飞话务数据源!D:Q,3,FALSE),0)</f>
        <v>102</v>
      </c>
      <c r="H66" s="44">
        <f>IFERROR(VLOOKUP(C66,路飞话务数据源!D:Q,4,FALSE),0)</f>
        <v>0.421487603305785</v>
      </c>
      <c r="I66" s="44">
        <f>IFERROR(VLOOKUP(C66,路飞话务数据源!D:Q,5,FALSE),0)</f>
        <v>35</v>
      </c>
      <c r="J66" s="45">
        <f>IFERROR(VLOOKUP(C66,路飞话务数据源!D:Q,6,FALSE),0)</f>
        <v>22</v>
      </c>
      <c r="K66" s="44">
        <f>IFERROR(VLOOKUP(C66,路飞话务数据源!D:Q,7,FALSE),0)</f>
        <v>14</v>
      </c>
      <c r="L66" s="46">
        <f>IFERROR(VLOOKUP(C66,路飞话务数据源!D:Q,8,FALSE),0)</f>
        <v>3</v>
      </c>
      <c r="M66" s="46">
        <f>IFERROR(VLOOKUP(C66,路飞话务数据源!D:Q,9,FALSE),0)</f>
        <v>63.3833333333333</v>
      </c>
      <c r="N66" s="46">
        <f>IFERROR(VLOOKUP(C66,路飞话务数据源!D:Q,10,FALSE),0)</f>
        <v>0</v>
      </c>
      <c r="O66" s="46">
        <f>IFERROR(VLOOKUP(C66,路飞话务数据源!D:Q,11,FALSE),0)</f>
        <v>0</v>
      </c>
      <c r="P66" s="46">
        <f>IFERROR(VLOOKUP(C66,路飞话务数据源!D:Q,12,FALSE),0)</f>
        <v>0</v>
      </c>
      <c r="Q66" s="60">
        <f>IFERROR(VLOOKUP(C66,路飞话务数据源!D:Q,13,FALSE),0)</f>
        <v>0</v>
      </c>
      <c r="R66" s="61">
        <f ca="1" t="shared" si="2"/>
        <v>1</v>
      </c>
      <c r="S66" s="35" t="str">
        <f ca="1" t="shared" ref="S66:S129" si="3">IF(DATEDIF(E66,TODAY(),"M")&gt;=12*3,"3年以上",IF(AND(DATEDIF(E66,TODAY(),"M")&gt;=12*2,DATEDIF(E66,TODAY(),"M")&lt;12*3),"2年-3年",IF(AND(DATEDIF(E66,TODAY(),"M")&gt;=12,DATEDIF(E66,TODAY(),"M")&lt;12*3),"1年-2年",IF(AND(DATEDIF(E66,TODAY(),"M")&lt;12,DATEDIF(E66,TODAY(),"M")&gt;=7),"7月-12月",IF(AND(DATEDIF(E66,TODAY(),"M")&lt;7,DATEDIF(E66,TODAY(),"M")&gt;=3),"4月-6月",IF(DATEDIF(E66,TODAY(),"M")=0,"月内","1-3月"))))))</f>
        <v>1-3月</v>
      </c>
      <c r="T66" s="34" t="s">
        <v>202</v>
      </c>
      <c r="U66" s="46">
        <f>SUMIFS(路飞意向数据源!F:F,路飞意向数据源!B:B,A66,路飞意向数据源!C:C,B66,路飞意向数据源!D:D,C66)</f>
        <v>0</v>
      </c>
      <c r="V66" s="46"/>
      <c r="W66" s="20"/>
      <c r="X66" s="35"/>
    </row>
    <row r="67" spans="1:24">
      <c r="A67" s="34" t="s">
        <v>51</v>
      </c>
      <c r="B67" s="34" t="s">
        <v>224</v>
      </c>
      <c r="C67" s="34" t="s">
        <v>225</v>
      </c>
      <c r="D67" s="34" t="s">
        <v>226</v>
      </c>
      <c r="E67" s="34" t="s">
        <v>168</v>
      </c>
      <c r="F67" s="44">
        <f>IFERROR(VLOOKUP(C67,路飞话务数据源!D:Q,2,FALSE),0)</f>
        <v>77</v>
      </c>
      <c r="G67" s="44">
        <f>IFERROR(VLOOKUP(C67,路飞话务数据源!D:Q,3,FALSE),0)</f>
        <v>45</v>
      </c>
      <c r="H67" s="44">
        <f>IFERROR(VLOOKUP(C67,路飞话务数据源!D:Q,4,FALSE),0)</f>
        <v>0.584415584415584</v>
      </c>
      <c r="I67" s="44">
        <f>IFERROR(VLOOKUP(C67,路飞话务数据源!D:Q,5,FALSE),0)</f>
        <v>14</v>
      </c>
      <c r="J67" s="45">
        <f>IFERROR(VLOOKUP(C67,路飞话务数据源!D:Q,6,FALSE),0)</f>
        <v>8</v>
      </c>
      <c r="K67" s="44">
        <f>IFERROR(VLOOKUP(C67,路飞话务数据源!D:Q,7,FALSE),0)</f>
        <v>5</v>
      </c>
      <c r="L67" s="46">
        <f>IFERROR(VLOOKUP(C67,路飞话务数据源!D:Q,8,FALSE),0)</f>
        <v>3</v>
      </c>
      <c r="M67" s="46">
        <f>IFERROR(VLOOKUP(C67,路飞话务数据源!D:Q,9,FALSE),0)</f>
        <v>32.85</v>
      </c>
      <c r="N67" s="46">
        <f>IFERROR(VLOOKUP(C67,路飞话务数据源!D:Q,10,FALSE),0)</f>
        <v>0</v>
      </c>
      <c r="O67" s="46">
        <f>IFERROR(VLOOKUP(C67,路飞话务数据源!D:Q,11,FALSE),0)</f>
        <v>0</v>
      </c>
      <c r="P67" s="46">
        <f>IFERROR(VLOOKUP(C67,路飞话务数据源!D:Q,12,FALSE),0)</f>
        <v>0</v>
      </c>
      <c r="Q67" s="60">
        <f>IFERROR(VLOOKUP(C67,路飞话务数据源!D:Q,13,FALSE),0)</f>
        <v>0</v>
      </c>
      <c r="R67" s="61">
        <f ca="1" t="shared" si="2"/>
        <v>1</v>
      </c>
      <c r="S67" s="35" t="str">
        <f ca="1" t="shared" si="3"/>
        <v>月内</v>
      </c>
      <c r="T67" s="34" t="s">
        <v>227</v>
      </c>
      <c r="U67" s="46">
        <f>SUMIFS(路飞意向数据源!F:F,路飞意向数据源!B:B,A67,路飞意向数据源!C:C,B67,路飞意向数据源!D:D,C67)</f>
        <v>1</v>
      </c>
      <c r="V67" s="46"/>
      <c r="W67" s="20"/>
      <c r="X67" s="35"/>
    </row>
    <row r="68" spans="1:24">
      <c r="A68" s="34" t="s">
        <v>51</v>
      </c>
      <c r="B68" s="34" t="s">
        <v>224</v>
      </c>
      <c r="C68" s="34" t="s">
        <v>228</v>
      </c>
      <c r="D68" s="34" t="s">
        <v>229</v>
      </c>
      <c r="E68" s="34" t="s">
        <v>230</v>
      </c>
      <c r="F68" s="44">
        <f>IFERROR(VLOOKUP(C68,路飞话务数据源!D:Q,2,FALSE),0)</f>
        <v>170</v>
      </c>
      <c r="G68" s="44">
        <f>IFERROR(VLOOKUP(C68,路飞话务数据源!D:Q,3,FALSE),0)</f>
        <v>74</v>
      </c>
      <c r="H68" s="44">
        <f>IFERROR(VLOOKUP(C68,路飞话务数据源!D:Q,4,FALSE),0)</f>
        <v>0.435294117647059</v>
      </c>
      <c r="I68" s="44">
        <f>IFERROR(VLOOKUP(C68,路飞话务数据源!D:Q,5,FALSE),0)</f>
        <v>36</v>
      </c>
      <c r="J68" s="45">
        <f>IFERROR(VLOOKUP(C68,路飞话务数据源!D:Q,6,FALSE),0)</f>
        <v>30</v>
      </c>
      <c r="K68" s="44">
        <f>IFERROR(VLOOKUP(C68,路飞话务数据源!D:Q,7,FALSE),0)</f>
        <v>12</v>
      </c>
      <c r="L68" s="46">
        <f>IFERROR(VLOOKUP(C68,路飞话务数据源!D:Q,8,FALSE),0)</f>
        <v>0</v>
      </c>
      <c r="M68" s="46">
        <f>IFERROR(VLOOKUP(C68,路飞话务数据源!D:Q,9,FALSE),0)</f>
        <v>44.9666666666667</v>
      </c>
      <c r="N68" s="46">
        <f>IFERROR(VLOOKUP(C68,路飞话务数据源!D:Q,10,FALSE),0)</f>
        <v>0</v>
      </c>
      <c r="O68" s="46">
        <f>IFERROR(VLOOKUP(C68,路飞话务数据源!D:Q,11,FALSE),0)</f>
        <v>0</v>
      </c>
      <c r="P68" s="46">
        <f>IFERROR(VLOOKUP(C68,路飞话务数据源!D:Q,12,FALSE),0)</f>
        <v>0</v>
      </c>
      <c r="Q68" s="60">
        <f>IFERROR(VLOOKUP(C68,路飞话务数据源!D:Q,13,FALSE),0)</f>
        <v>0</v>
      </c>
      <c r="R68" s="61">
        <f ca="1" t="shared" si="2"/>
        <v>1</v>
      </c>
      <c r="S68" s="35" t="str">
        <f ca="1" t="shared" si="3"/>
        <v>1-3月</v>
      </c>
      <c r="T68" s="34" t="s">
        <v>227</v>
      </c>
      <c r="U68" s="46">
        <f>SUMIFS(路飞意向数据源!F:F,路飞意向数据源!B:B,A68,路飞意向数据源!C:C,B68,路飞意向数据源!D:D,C68)</f>
        <v>0</v>
      </c>
      <c r="V68" s="46"/>
      <c r="W68" s="20"/>
      <c r="X68" s="35"/>
    </row>
    <row r="69" spans="1:24">
      <c r="A69" s="34" t="s">
        <v>51</v>
      </c>
      <c r="B69" s="34" t="s">
        <v>224</v>
      </c>
      <c r="C69" s="34" t="s">
        <v>231</v>
      </c>
      <c r="D69" s="34" t="s">
        <v>232</v>
      </c>
      <c r="E69" s="34" t="s">
        <v>44</v>
      </c>
      <c r="F69" s="44">
        <f>IFERROR(VLOOKUP(C69,路飞话务数据源!D:Q,2,FALSE),0)</f>
        <v>129</v>
      </c>
      <c r="G69" s="44">
        <f>IFERROR(VLOOKUP(C69,路飞话务数据源!D:Q,3,FALSE),0)</f>
        <v>66</v>
      </c>
      <c r="H69" s="44">
        <f>IFERROR(VLOOKUP(C69,路飞话务数据源!D:Q,4,FALSE),0)</f>
        <v>0.511627906976744</v>
      </c>
      <c r="I69" s="44">
        <f>IFERROR(VLOOKUP(C69,路飞话务数据源!D:Q,5,FALSE),0)</f>
        <v>33</v>
      </c>
      <c r="J69" s="45">
        <f>IFERROR(VLOOKUP(C69,路飞话务数据源!D:Q,6,FALSE),0)</f>
        <v>23</v>
      </c>
      <c r="K69" s="44">
        <f>IFERROR(VLOOKUP(C69,路飞话务数据源!D:Q,7,FALSE),0)</f>
        <v>16</v>
      </c>
      <c r="L69" s="46">
        <f>IFERROR(VLOOKUP(C69,路飞话务数据源!D:Q,8,FALSE),0)</f>
        <v>2</v>
      </c>
      <c r="M69" s="46">
        <f>IFERROR(VLOOKUP(C69,路飞话务数据源!D:Q,9,FALSE),0)</f>
        <v>47.2</v>
      </c>
      <c r="N69" s="46">
        <f>IFERROR(VLOOKUP(C69,路飞话务数据源!D:Q,10,FALSE),0)</f>
        <v>1</v>
      </c>
      <c r="O69" s="46">
        <f>IFERROR(VLOOKUP(C69,路飞话务数据源!D:Q,11,FALSE),0)</f>
        <v>0</v>
      </c>
      <c r="P69" s="46">
        <f>IFERROR(VLOOKUP(C69,路飞话务数据源!D:Q,12,FALSE),0)</f>
        <v>0</v>
      </c>
      <c r="Q69" s="60">
        <f>IFERROR(VLOOKUP(C69,路飞话务数据源!D:Q,13,FALSE),0)</f>
        <v>161</v>
      </c>
      <c r="R69" s="61">
        <f ca="1" t="shared" si="2"/>
        <v>1</v>
      </c>
      <c r="S69" s="35" t="str">
        <f ca="1" t="shared" si="3"/>
        <v>1-3月</v>
      </c>
      <c r="T69" s="34" t="s">
        <v>227</v>
      </c>
      <c r="U69" s="46">
        <f>SUMIFS(路飞意向数据源!F:F,路飞意向数据源!B:B,A69,路飞意向数据源!C:C,B69,路飞意向数据源!D:D,C69)</f>
        <v>1</v>
      </c>
      <c r="V69" s="46"/>
      <c r="W69" s="20"/>
      <c r="X69" s="35"/>
    </row>
    <row r="70" spans="1:24">
      <c r="A70" s="34" t="s">
        <v>51</v>
      </c>
      <c r="B70" s="34" t="s">
        <v>224</v>
      </c>
      <c r="C70" s="34" t="s">
        <v>233</v>
      </c>
      <c r="D70" s="34" t="s">
        <v>234</v>
      </c>
      <c r="E70" s="34" t="s">
        <v>44</v>
      </c>
      <c r="F70" s="44">
        <f>IFERROR(VLOOKUP(C70,路飞话务数据源!D:Q,2,FALSE),0)</f>
        <v>0</v>
      </c>
      <c r="G70" s="44">
        <f>IFERROR(VLOOKUP(C70,路飞话务数据源!D:Q,3,FALSE),0)</f>
        <v>0</v>
      </c>
      <c r="H70" s="44">
        <f>IFERROR(VLOOKUP(C70,路飞话务数据源!D:Q,4,FALSE),0)</f>
        <v>0</v>
      </c>
      <c r="I70" s="44">
        <f>IFERROR(VLOOKUP(C70,路飞话务数据源!D:Q,5,FALSE),0)</f>
        <v>0</v>
      </c>
      <c r="J70" s="45">
        <f>IFERROR(VLOOKUP(C70,路飞话务数据源!D:Q,6,FALSE),0)</f>
        <v>0</v>
      </c>
      <c r="K70" s="44">
        <f>IFERROR(VLOOKUP(C70,路飞话务数据源!D:Q,7,FALSE),0)</f>
        <v>0</v>
      </c>
      <c r="L70" s="46">
        <f>IFERROR(VLOOKUP(C70,路飞话务数据源!D:Q,8,FALSE),0)</f>
        <v>0</v>
      </c>
      <c r="M70" s="46">
        <f>IFERROR(VLOOKUP(C70,路飞话务数据源!D:Q,9,FALSE),0)</f>
        <v>0</v>
      </c>
      <c r="N70" s="46">
        <f>IFERROR(VLOOKUP(C70,路飞话务数据源!D:Q,10,FALSE),0)</f>
        <v>0</v>
      </c>
      <c r="O70" s="46">
        <f>IFERROR(VLOOKUP(C70,路飞话务数据源!D:Q,11,FALSE),0)</f>
        <v>0</v>
      </c>
      <c r="P70" s="46">
        <f>IFERROR(VLOOKUP(C70,路飞话务数据源!D:Q,12,FALSE),0)</f>
        <v>0</v>
      </c>
      <c r="Q70" s="60">
        <f>IFERROR(VLOOKUP(C70,路飞话务数据源!D:Q,13,FALSE),0)</f>
        <v>0</v>
      </c>
      <c r="R70" s="61">
        <v>0</v>
      </c>
      <c r="S70" s="35" t="str">
        <f ca="1" t="shared" si="3"/>
        <v>1-3月</v>
      </c>
      <c r="T70" s="34" t="s">
        <v>227</v>
      </c>
      <c r="U70" s="46">
        <f>SUMIFS(路飞意向数据源!F:F,路飞意向数据源!B:B,A70,路飞意向数据源!C:C,B70,路飞意向数据源!D:D,C70)</f>
        <v>0</v>
      </c>
      <c r="V70" s="46"/>
      <c r="W70" s="20"/>
      <c r="X70" s="35"/>
    </row>
    <row r="71" spans="1:24">
      <c r="A71" s="34" t="s">
        <v>51</v>
      </c>
      <c r="B71" s="34" t="s">
        <v>224</v>
      </c>
      <c r="C71" s="34" t="s">
        <v>235</v>
      </c>
      <c r="D71" s="34" t="s">
        <v>236</v>
      </c>
      <c r="E71" s="34" t="s">
        <v>88</v>
      </c>
      <c r="F71" s="44">
        <f>IFERROR(VLOOKUP(C71,路飞话务数据源!D:Q,2,FALSE),0)</f>
        <v>292</v>
      </c>
      <c r="G71" s="44">
        <f>IFERROR(VLOOKUP(C71,路飞话务数据源!D:Q,3,FALSE),0)</f>
        <v>120</v>
      </c>
      <c r="H71" s="44">
        <f>IFERROR(VLOOKUP(C71,路飞话务数据源!D:Q,4,FALSE),0)</f>
        <v>0.410958904109589</v>
      </c>
      <c r="I71" s="44">
        <f>IFERROR(VLOOKUP(C71,路飞话务数据源!D:Q,5,FALSE),0)</f>
        <v>38</v>
      </c>
      <c r="J71" s="45">
        <f>IFERROR(VLOOKUP(C71,路飞话务数据源!D:Q,6,FALSE),0)</f>
        <v>28</v>
      </c>
      <c r="K71" s="44">
        <f>IFERROR(VLOOKUP(C71,路飞话务数据源!D:Q,7,FALSE),0)</f>
        <v>15</v>
      </c>
      <c r="L71" s="46">
        <f>IFERROR(VLOOKUP(C71,路飞话务数据源!D:Q,8,FALSE),0)</f>
        <v>0</v>
      </c>
      <c r="M71" s="46">
        <f>IFERROR(VLOOKUP(C71,路飞话务数据源!D:Q,9,FALSE),0)</f>
        <v>59.4166666666667</v>
      </c>
      <c r="N71" s="46">
        <f>IFERROR(VLOOKUP(C71,路飞话务数据源!D:Q,10,FALSE),0)</f>
        <v>0</v>
      </c>
      <c r="O71" s="46">
        <f>IFERROR(VLOOKUP(C71,路飞话务数据源!D:Q,11,FALSE),0)</f>
        <v>0</v>
      </c>
      <c r="P71" s="46">
        <f>IFERROR(VLOOKUP(C71,路飞话务数据源!D:Q,12,FALSE),0)</f>
        <v>0</v>
      </c>
      <c r="Q71" s="60">
        <f>IFERROR(VLOOKUP(C71,路飞话务数据源!D:Q,13,FALSE),0)</f>
        <v>0</v>
      </c>
      <c r="R71" s="61">
        <f ca="1" t="shared" ref="R71:R121" si="4">IF(OR(TODAY()-E71&lt;=7,F71&lt;5),0,1)</f>
        <v>1</v>
      </c>
      <c r="S71" s="35" t="str">
        <f ca="1" t="shared" si="3"/>
        <v>1-3月</v>
      </c>
      <c r="T71" s="34" t="s">
        <v>227</v>
      </c>
      <c r="U71" s="46">
        <f>SUMIFS(路飞意向数据源!F:F,路飞意向数据源!B:B,A71,路飞意向数据源!C:C,B71,路飞意向数据源!D:D,C71)</f>
        <v>0</v>
      </c>
      <c r="V71" s="46"/>
      <c r="W71" s="20"/>
      <c r="X71" s="35"/>
    </row>
    <row r="72" spans="1:24">
      <c r="A72" s="34" t="s">
        <v>51</v>
      </c>
      <c r="B72" s="34" t="s">
        <v>224</v>
      </c>
      <c r="C72" s="34" t="s">
        <v>237</v>
      </c>
      <c r="D72" s="34" t="s">
        <v>238</v>
      </c>
      <c r="E72" s="34" t="s">
        <v>88</v>
      </c>
      <c r="F72" s="44">
        <f>IFERROR(VLOOKUP(C72,路飞话务数据源!D:Q,2,FALSE),0)</f>
        <v>280</v>
      </c>
      <c r="G72" s="44">
        <f>IFERROR(VLOOKUP(C72,路飞话务数据源!D:Q,3,FALSE),0)</f>
        <v>138</v>
      </c>
      <c r="H72" s="44">
        <f>IFERROR(VLOOKUP(C72,路飞话务数据源!D:Q,4,FALSE),0)</f>
        <v>0.492857142857143</v>
      </c>
      <c r="I72" s="44">
        <f>IFERROR(VLOOKUP(C72,路飞话务数据源!D:Q,5,FALSE),0)</f>
        <v>50</v>
      </c>
      <c r="J72" s="45">
        <f>IFERROR(VLOOKUP(C72,路飞话务数据源!D:Q,6,FALSE),0)</f>
        <v>35</v>
      </c>
      <c r="K72" s="44">
        <f>IFERROR(VLOOKUP(C72,路飞话务数据源!D:Q,7,FALSE),0)</f>
        <v>18</v>
      </c>
      <c r="L72" s="46">
        <f>IFERROR(VLOOKUP(C72,路飞话务数据源!D:Q,8,FALSE),0)</f>
        <v>0</v>
      </c>
      <c r="M72" s="46">
        <f>IFERROR(VLOOKUP(C72,路飞话务数据源!D:Q,9,FALSE),0)</f>
        <v>68.8166666666667</v>
      </c>
      <c r="N72" s="46">
        <f>IFERROR(VLOOKUP(C72,路飞话务数据源!D:Q,10,FALSE),0)</f>
        <v>0</v>
      </c>
      <c r="O72" s="46">
        <f>IFERROR(VLOOKUP(C72,路飞话务数据源!D:Q,11,FALSE),0)</f>
        <v>0</v>
      </c>
      <c r="P72" s="46">
        <f>IFERROR(VLOOKUP(C72,路飞话务数据源!D:Q,12,FALSE),0)</f>
        <v>0</v>
      </c>
      <c r="Q72" s="60">
        <f>IFERROR(VLOOKUP(C72,路飞话务数据源!D:Q,13,FALSE),0)</f>
        <v>0</v>
      </c>
      <c r="R72" s="61">
        <f ca="1" t="shared" si="4"/>
        <v>1</v>
      </c>
      <c r="S72" s="35" t="str">
        <f ca="1" t="shared" si="3"/>
        <v>1-3月</v>
      </c>
      <c r="T72" s="34" t="s">
        <v>227</v>
      </c>
      <c r="U72" s="46">
        <f>SUMIFS(路飞意向数据源!F:F,路飞意向数据源!B:B,A72,路飞意向数据源!C:C,B72,路飞意向数据源!D:D,C72)</f>
        <v>0</v>
      </c>
      <c r="V72" s="46"/>
      <c r="W72" s="20"/>
      <c r="X72" s="35"/>
    </row>
    <row r="73" spans="1:24">
      <c r="A73" s="34" t="s">
        <v>51</v>
      </c>
      <c r="B73" s="34" t="s">
        <v>224</v>
      </c>
      <c r="C73" s="34" t="s">
        <v>239</v>
      </c>
      <c r="D73" s="34" t="s">
        <v>240</v>
      </c>
      <c r="E73" s="34" t="s">
        <v>241</v>
      </c>
      <c r="F73" s="44">
        <f>IFERROR(VLOOKUP(C73,路飞话务数据源!D:Q,2,FALSE),0)</f>
        <v>178</v>
      </c>
      <c r="G73" s="44">
        <f>IFERROR(VLOOKUP(C73,路飞话务数据源!D:Q,3,FALSE),0)</f>
        <v>89</v>
      </c>
      <c r="H73" s="44">
        <f>IFERROR(VLOOKUP(C73,路飞话务数据源!D:Q,4,FALSE),0)</f>
        <v>0.5</v>
      </c>
      <c r="I73" s="44">
        <f>IFERROR(VLOOKUP(C73,路飞话务数据源!D:Q,5,FALSE),0)</f>
        <v>45</v>
      </c>
      <c r="J73" s="45">
        <f>IFERROR(VLOOKUP(C73,路飞话务数据源!D:Q,6,FALSE),0)</f>
        <v>37</v>
      </c>
      <c r="K73" s="44">
        <f>IFERROR(VLOOKUP(C73,路飞话务数据源!D:Q,7,FALSE),0)</f>
        <v>24</v>
      </c>
      <c r="L73" s="46">
        <f>IFERROR(VLOOKUP(C73,路飞话务数据源!D:Q,8,FALSE),0)</f>
        <v>1</v>
      </c>
      <c r="M73" s="46">
        <f>IFERROR(VLOOKUP(C73,路飞话务数据源!D:Q,9,FALSE),0)</f>
        <v>63.9833333333333</v>
      </c>
      <c r="N73" s="46">
        <f>IFERROR(VLOOKUP(C73,路飞话务数据源!D:Q,10,FALSE),0)</f>
        <v>0</v>
      </c>
      <c r="O73" s="46">
        <f>IFERROR(VLOOKUP(C73,路飞话务数据源!D:Q,11,FALSE),0)</f>
        <v>0</v>
      </c>
      <c r="P73" s="46">
        <f>IFERROR(VLOOKUP(C73,路飞话务数据源!D:Q,12,FALSE),0)</f>
        <v>0</v>
      </c>
      <c r="Q73" s="60">
        <f>IFERROR(VLOOKUP(C73,路飞话务数据源!D:Q,13,FALSE),0)</f>
        <v>0</v>
      </c>
      <c r="R73" s="61">
        <f ca="1" t="shared" si="4"/>
        <v>1</v>
      </c>
      <c r="S73" s="35" t="str">
        <f ca="1" t="shared" si="3"/>
        <v>1年-2年</v>
      </c>
      <c r="T73" s="34" t="s">
        <v>227</v>
      </c>
      <c r="U73" s="46">
        <f>SUMIFS(路飞意向数据源!F:F,路飞意向数据源!B:B,A73,路飞意向数据源!C:C,B73,路飞意向数据源!D:D,C73)</f>
        <v>1</v>
      </c>
      <c r="V73" s="46"/>
      <c r="W73" s="20"/>
      <c r="X73" s="35"/>
    </row>
    <row r="74" spans="1:24">
      <c r="A74" s="34" t="s">
        <v>51</v>
      </c>
      <c r="B74" s="34" t="s">
        <v>224</v>
      </c>
      <c r="C74" s="34" t="s">
        <v>242</v>
      </c>
      <c r="D74" s="34" t="s">
        <v>243</v>
      </c>
      <c r="E74" s="34" t="s">
        <v>244</v>
      </c>
      <c r="F74" s="44">
        <f>IFERROR(VLOOKUP(C74,路飞话务数据源!D:Q,2,FALSE),0)</f>
        <v>226</v>
      </c>
      <c r="G74" s="44">
        <f>IFERROR(VLOOKUP(C74,路飞话务数据源!D:Q,3,FALSE),0)</f>
        <v>115</v>
      </c>
      <c r="H74" s="44">
        <f>IFERROR(VLOOKUP(C74,路飞话务数据源!D:Q,4,FALSE),0)</f>
        <v>0.508849557522124</v>
      </c>
      <c r="I74" s="44">
        <f>IFERROR(VLOOKUP(C74,路飞话务数据源!D:Q,5,FALSE),0)</f>
        <v>41</v>
      </c>
      <c r="J74" s="45">
        <f>IFERROR(VLOOKUP(C74,路飞话务数据源!D:Q,6,FALSE),0)</f>
        <v>33</v>
      </c>
      <c r="K74" s="44">
        <f>IFERROR(VLOOKUP(C74,路飞话务数据源!D:Q,7,FALSE),0)</f>
        <v>18</v>
      </c>
      <c r="L74" s="46">
        <f>IFERROR(VLOOKUP(C74,路飞话务数据源!D:Q,8,FALSE),0)</f>
        <v>2</v>
      </c>
      <c r="M74" s="46">
        <f>IFERROR(VLOOKUP(C74,路飞话务数据源!D:Q,9,FALSE),0)</f>
        <v>67.9666666666667</v>
      </c>
      <c r="N74" s="46">
        <f>IFERROR(VLOOKUP(C74,路飞话务数据源!D:Q,10,FALSE),0)</f>
        <v>0</v>
      </c>
      <c r="O74" s="46">
        <f>IFERROR(VLOOKUP(C74,路飞话务数据源!D:Q,11,FALSE),0)</f>
        <v>0</v>
      </c>
      <c r="P74" s="46">
        <f>IFERROR(VLOOKUP(C74,路飞话务数据源!D:Q,12,FALSE),0)</f>
        <v>0</v>
      </c>
      <c r="Q74" s="60">
        <f>IFERROR(VLOOKUP(C74,路飞话务数据源!D:Q,13,FALSE),0)</f>
        <v>0</v>
      </c>
      <c r="R74" s="61">
        <f ca="1" t="shared" si="4"/>
        <v>1</v>
      </c>
      <c r="S74" s="35" t="str">
        <f ca="1" t="shared" si="3"/>
        <v>7月-12月</v>
      </c>
      <c r="T74" s="34" t="s">
        <v>227</v>
      </c>
      <c r="U74" s="46">
        <f>SUMIFS(路飞意向数据源!F:F,路飞意向数据源!B:B,A74,路飞意向数据源!C:C,B74,路飞意向数据源!D:D,C74)</f>
        <v>1</v>
      </c>
      <c r="V74" s="46"/>
      <c r="W74" s="20"/>
      <c r="X74" s="35"/>
    </row>
    <row r="75" spans="1:24">
      <c r="A75" s="34" t="s">
        <v>51</v>
      </c>
      <c r="B75" s="34" t="s">
        <v>224</v>
      </c>
      <c r="C75" s="34" t="s">
        <v>245</v>
      </c>
      <c r="D75" s="34" t="s">
        <v>246</v>
      </c>
      <c r="E75" s="34" t="s">
        <v>247</v>
      </c>
      <c r="F75" s="44">
        <f>IFERROR(VLOOKUP(C75,路飞话务数据源!D:Q,2,FALSE),0)</f>
        <v>133</v>
      </c>
      <c r="G75" s="44">
        <f>IFERROR(VLOOKUP(C75,路飞话务数据源!D:Q,3,FALSE),0)</f>
        <v>55</v>
      </c>
      <c r="H75" s="44">
        <f>IFERROR(VLOOKUP(C75,路飞话务数据源!D:Q,4,FALSE),0)</f>
        <v>0.413533834586466</v>
      </c>
      <c r="I75" s="44">
        <f>IFERROR(VLOOKUP(C75,路飞话务数据源!D:Q,5,FALSE),0)</f>
        <v>19</v>
      </c>
      <c r="J75" s="45">
        <f>IFERROR(VLOOKUP(C75,路飞话务数据源!D:Q,6,FALSE),0)</f>
        <v>15</v>
      </c>
      <c r="K75" s="44">
        <f>IFERROR(VLOOKUP(C75,路飞话务数据源!D:Q,7,FALSE),0)</f>
        <v>8</v>
      </c>
      <c r="L75" s="46">
        <f>IFERROR(VLOOKUP(C75,路飞话务数据源!D:Q,8,FALSE),0)</f>
        <v>3</v>
      </c>
      <c r="M75" s="46">
        <f>IFERROR(VLOOKUP(C75,路飞话务数据源!D:Q,9,FALSE),0)</f>
        <v>42</v>
      </c>
      <c r="N75" s="46">
        <f>IFERROR(VLOOKUP(C75,路飞话务数据源!D:Q,10,FALSE),0)</f>
        <v>0</v>
      </c>
      <c r="O75" s="46">
        <f>IFERROR(VLOOKUP(C75,路飞话务数据源!D:Q,11,FALSE),0)</f>
        <v>0</v>
      </c>
      <c r="P75" s="46">
        <f>IFERROR(VLOOKUP(C75,路飞话务数据源!D:Q,12,FALSE),0)</f>
        <v>0</v>
      </c>
      <c r="Q75" s="60">
        <f>IFERROR(VLOOKUP(C75,路飞话务数据源!D:Q,13,FALSE),0)</f>
        <v>0</v>
      </c>
      <c r="R75" s="61">
        <f ca="1" t="shared" si="4"/>
        <v>1</v>
      </c>
      <c r="S75" s="35" t="str">
        <f ca="1" t="shared" si="3"/>
        <v>1年-2年</v>
      </c>
      <c r="T75" s="34" t="s">
        <v>227</v>
      </c>
      <c r="U75" s="46">
        <f>SUMIFS(路飞意向数据源!F:F,路飞意向数据源!B:B,A75,路飞意向数据源!C:C,B75,路飞意向数据源!D:D,C75)</f>
        <v>1</v>
      </c>
      <c r="V75" s="46"/>
      <c r="W75" s="20"/>
      <c r="X75" s="35"/>
    </row>
    <row r="76" spans="1:24">
      <c r="A76" s="34" t="s">
        <v>21</v>
      </c>
      <c r="B76" s="34" t="s">
        <v>52</v>
      </c>
      <c r="C76" s="34" t="s">
        <v>248</v>
      </c>
      <c r="D76" s="34" t="s">
        <v>249</v>
      </c>
      <c r="E76" s="34" t="s">
        <v>250</v>
      </c>
      <c r="F76" s="44">
        <f>IFERROR(VLOOKUP(C76,路飞话务数据源!D:Q,2,FALSE),0)</f>
        <v>0</v>
      </c>
      <c r="G76" s="44">
        <f>IFERROR(VLOOKUP(C76,路飞话务数据源!D:Q,3,FALSE),0)</f>
        <v>0</v>
      </c>
      <c r="H76" s="44">
        <f>IFERROR(VLOOKUP(C76,路飞话务数据源!D:Q,4,FALSE),0)</f>
        <v>0</v>
      </c>
      <c r="I76" s="44">
        <f>IFERROR(VLOOKUP(C76,路飞话务数据源!D:Q,5,FALSE),0)</f>
        <v>0</v>
      </c>
      <c r="J76" s="45">
        <f>IFERROR(VLOOKUP(C76,路飞话务数据源!D:Q,6,FALSE),0)</f>
        <v>0</v>
      </c>
      <c r="K76" s="44">
        <f>IFERROR(VLOOKUP(C76,路飞话务数据源!D:Q,7,FALSE),0)</f>
        <v>0</v>
      </c>
      <c r="L76" s="46">
        <f>IFERROR(VLOOKUP(C76,路飞话务数据源!D:Q,8,FALSE),0)</f>
        <v>0</v>
      </c>
      <c r="M76" s="46">
        <f>IFERROR(VLOOKUP(C76,路飞话务数据源!D:Q,9,FALSE),0)</f>
        <v>0</v>
      </c>
      <c r="N76" s="46">
        <f>IFERROR(VLOOKUP(C76,路飞话务数据源!D:Q,10,FALSE),0)</f>
        <v>0</v>
      </c>
      <c r="O76" s="46">
        <f>IFERROR(VLOOKUP(C76,路飞话务数据源!D:Q,11,FALSE),0)</f>
        <v>0</v>
      </c>
      <c r="P76" s="46">
        <f>IFERROR(VLOOKUP(C76,路飞话务数据源!D:Q,12,FALSE),0)</f>
        <v>0</v>
      </c>
      <c r="Q76" s="60">
        <f>IFERROR(VLOOKUP(C76,路飞话务数据源!D:Q,13,FALSE),0)</f>
        <v>0</v>
      </c>
      <c r="R76" s="61">
        <f ca="1" t="shared" si="4"/>
        <v>0</v>
      </c>
      <c r="S76" s="35" t="str">
        <f ca="1" t="shared" si="3"/>
        <v>3年以上</v>
      </c>
      <c r="T76" s="34" t="s">
        <v>251</v>
      </c>
      <c r="U76" s="46">
        <f>SUMIFS(路飞意向数据源!F:F,路飞意向数据源!B:B,A76,路飞意向数据源!C:C,B76,路飞意向数据源!D:D,C76)</f>
        <v>0</v>
      </c>
      <c r="V76" s="46"/>
      <c r="W76" s="20"/>
      <c r="X76" s="35"/>
    </row>
    <row r="77" spans="1:24">
      <c r="A77" s="34" t="s">
        <v>21</v>
      </c>
      <c r="B77" s="34" t="s">
        <v>52</v>
      </c>
      <c r="C77" s="34" t="s">
        <v>252</v>
      </c>
      <c r="D77" s="34" t="s">
        <v>253</v>
      </c>
      <c r="E77" s="34" t="s">
        <v>254</v>
      </c>
      <c r="F77" s="44">
        <f>IFERROR(VLOOKUP(C77,路飞话务数据源!D:Q,2,FALSE),0)</f>
        <v>0</v>
      </c>
      <c r="G77" s="44">
        <f>IFERROR(VLOOKUP(C77,路飞话务数据源!D:Q,3,FALSE),0)</f>
        <v>0</v>
      </c>
      <c r="H77" s="44">
        <f>IFERROR(VLOOKUP(C77,路飞话务数据源!D:Q,4,FALSE),0)</f>
        <v>0</v>
      </c>
      <c r="I77" s="44">
        <f>IFERROR(VLOOKUP(C77,路飞话务数据源!D:Q,5,FALSE),0)</f>
        <v>0</v>
      </c>
      <c r="J77" s="45">
        <f>IFERROR(VLOOKUP(C77,路飞话务数据源!D:Q,6,FALSE),0)</f>
        <v>0</v>
      </c>
      <c r="K77" s="44">
        <f>IFERROR(VLOOKUP(C77,路飞话务数据源!D:Q,7,FALSE),0)</f>
        <v>0</v>
      </c>
      <c r="L77" s="46">
        <f>IFERROR(VLOOKUP(C77,路飞话务数据源!D:Q,8,FALSE),0)</f>
        <v>0</v>
      </c>
      <c r="M77" s="46">
        <f>IFERROR(VLOOKUP(C77,路飞话务数据源!D:Q,9,FALSE),0)</f>
        <v>0</v>
      </c>
      <c r="N77" s="46">
        <f>IFERROR(VLOOKUP(C77,路飞话务数据源!D:Q,10,FALSE),0)</f>
        <v>0</v>
      </c>
      <c r="O77" s="46">
        <f>IFERROR(VLOOKUP(C77,路飞话务数据源!D:Q,11,FALSE),0)</f>
        <v>0</v>
      </c>
      <c r="P77" s="46">
        <f>IFERROR(VLOOKUP(C77,路飞话务数据源!D:Q,12,FALSE),0)</f>
        <v>0</v>
      </c>
      <c r="Q77" s="60">
        <f>IFERROR(VLOOKUP(C77,路飞话务数据源!D:Q,13,FALSE),0)</f>
        <v>0</v>
      </c>
      <c r="R77" s="61">
        <f ca="1" t="shared" si="4"/>
        <v>0</v>
      </c>
      <c r="S77" s="35" t="str">
        <f ca="1" t="shared" si="3"/>
        <v>3年以上</v>
      </c>
      <c r="T77" s="34" t="s">
        <v>251</v>
      </c>
      <c r="U77" s="46">
        <f>SUMIFS(路飞意向数据源!F:F,路飞意向数据源!B:B,A77,路飞意向数据源!C:C,B77,路飞意向数据源!D:D,C77)</f>
        <v>0</v>
      </c>
      <c r="V77" s="46"/>
      <c r="W77" s="20"/>
      <c r="X77" s="35"/>
    </row>
    <row r="78" spans="1:24">
      <c r="A78" s="34" t="s">
        <v>21</v>
      </c>
      <c r="B78" s="34" t="s">
        <v>52</v>
      </c>
      <c r="C78" s="34" t="s">
        <v>255</v>
      </c>
      <c r="D78" s="34" t="s">
        <v>256</v>
      </c>
      <c r="E78" s="34" t="s">
        <v>257</v>
      </c>
      <c r="F78" s="44">
        <f>IFERROR(VLOOKUP(C78,路飞话务数据源!D:Q,2,FALSE),0)</f>
        <v>1</v>
      </c>
      <c r="G78" s="44">
        <f>IFERROR(VLOOKUP(C78,路飞话务数据源!D:Q,3,FALSE),0)</f>
        <v>0</v>
      </c>
      <c r="H78" s="44">
        <f>IFERROR(VLOOKUP(C78,路飞话务数据源!D:Q,4,FALSE),0)</f>
        <v>0</v>
      </c>
      <c r="I78" s="44">
        <f>IFERROR(VLOOKUP(C78,路飞话务数据源!D:Q,5,FALSE),0)</f>
        <v>0</v>
      </c>
      <c r="J78" s="45">
        <f>IFERROR(VLOOKUP(C78,路飞话务数据源!D:Q,6,FALSE),0)</f>
        <v>0</v>
      </c>
      <c r="K78" s="44">
        <f>IFERROR(VLOOKUP(C78,路飞话务数据源!D:Q,7,FALSE),0)</f>
        <v>0</v>
      </c>
      <c r="L78" s="46">
        <f>IFERROR(VLOOKUP(C78,路飞话务数据源!D:Q,8,FALSE),0)</f>
        <v>0</v>
      </c>
      <c r="M78" s="46">
        <f>IFERROR(VLOOKUP(C78,路飞话务数据源!D:Q,9,FALSE),0)</f>
        <v>0</v>
      </c>
      <c r="N78" s="46">
        <f>IFERROR(VLOOKUP(C78,路飞话务数据源!D:Q,10,FALSE),0)</f>
        <v>0</v>
      </c>
      <c r="O78" s="46">
        <f>IFERROR(VLOOKUP(C78,路飞话务数据源!D:Q,11,FALSE),0)</f>
        <v>0</v>
      </c>
      <c r="P78" s="46">
        <f>IFERROR(VLOOKUP(C78,路飞话务数据源!D:Q,12,FALSE),0)</f>
        <v>0</v>
      </c>
      <c r="Q78" s="60">
        <f>IFERROR(VLOOKUP(C78,路飞话务数据源!D:Q,13,FALSE),0)</f>
        <v>0</v>
      </c>
      <c r="R78" s="61">
        <f ca="1" t="shared" si="4"/>
        <v>0</v>
      </c>
      <c r="S78" s="35" t="str">
        <f ca="1" t="shared" si="3"/>
        <v>3年以上</v>
      </c>
      <c r="T78" s="34" t="s">
        <v>251</v>
      </c>
      <c r="U78" s="46">
        <f>SUMIFS(路飞意向数据源!F:F,路飞意向数据源!B:B,A78,路飞意向数据源!C:C,B78,路飞意向数据源!D:D,C78)</f>
        <v>1</v>
      </c>
      <c r="V78" s="46"/>
      <c r="W78" s="20"/>
      <c r="X78" s="35"/>
    </row>
    <row r="79" spans="1:24">
      <c r="A79" s="34" t="s">
        <v>21</v>
      </c>
      <c r="B79" s="34" t="s">
        <v>52</v>
      </c>
      <c r="C79" s="34" t="s">
        <v>258</v>
      </c>
      <c r="D79" s="34" t="s">
        <v>259</v>
      </c>
      <c r="E79" s="34" t="s">
        <v>260</v>
      </c>
      <c r="F79" s="44">
        <f>IFERROR(VLOOKUP(C79,路飞话务数据源!D:Q,2,FALSE),0)</f>
        <v>0</v>
      </c>
      <c r="G79" s="44">
        <f>IFERROR(VLOOKUP(C79,路飞话务数据源!D:Q,3,FALSE),0)</f>
        <v>0</v>
      </c>
      <c r="H79" s="44">
        <f>IFERROR(VLOOKUP(C79,路飞话务数据源!D:Q,4,FALSE),0)</f>
        <v>0</v>
      </c>
      <c r="I79" s="44">
        <f>IFERROR(VLOOKUP(C79,路飞话务数据源!D:Q,5,FALSE),0)</f>
        <v>0</v>
      </c>
      <c r="J79" s="45">
        <f>IFERROR(VLOOKUP(C79,路飞话务数据源!D:Q,6,FALSE),0)</f>
        <v>0</v>
      </c>
      <c r="K79" s="44">
        <f>IFERROR(VLOOKUP(C79,路飞话务数据源!D:Q,7,FALSE),0)</f>
        <v>0</v>
      </c>
      <c r="L79" s="46">
        <f>IFERROR(VLOOKUP(C79,路飞话务数据源!D:Q,8,FALSE),0)</f>
        <v>0</v>
      </c>
      <c r="M79" s="46">
        <f>IFERROR(VLOOKUP(C79,路飞话务数据源!D:Q,9,FALSE),0)</f>
        <v>0</v>
      </c>
      <c r="N79" s="46">
        <f>IFERROR(VLOOKUP(C79,路飞话务数据源!D:Q,10,FALSE),0)</f>
        <v>0</v>
      </c>
      <c r="O79" s="46">
        <f>IFERROR(VLOOKUP(C79,路飞话务数据源!D:Q,11,FALSE),0)</f>
        <v>0</v>
      </c>
      <c r="P79" s="46">
        <f>IFERROR(VLOOKUP(C79,路飞话务数据源!D:Q,12,FALSE),0)</f>
        <v>0</v>
      </c>
      <c r="Q79" s="60">
        <f>IFERROR(VLOOKUP(C79,路飞话务数据源!D:Q,13,FALSE),0)</f>
        <v>0</v>
      </c>
      <c r="R79" s="61">
        <f ca="1" t="shared" si="4"/>
        <v>0</v>
      </c>
      <c r="S79" s="35" t="str">
        <f ca="1" t="shared" si="3"/>
        <v>1-3月</v>
      </c>
      <c r="T79" s="34" t="s">
        <v>251</v>
      </c>
      <c r="U79" s="46">
        <f>SUMIFS(路飞意向数据源!F:F,路飞意向数据源!B:B,A79,路飞意向数据源!C:C,B79,路飞意向数据源!D:D,C79)</f>
        <v>0</v>
      </c>
      <c r="V79" s="46"/>
      <c r="W79" s="20"/>
      <c r="X79" s="35"/>
    </row>
    <row r="80" spans="1:24">
      <c r="A80" s="34" t="s">
        <v>21</v>
      </c>
      <c r="B80" s="34" t="s">
        <v>52</v>
      </c>
      <c r="C80" s="34" t="s">
        <v>261</v>
      </c>
      <c r="D80" s="34" t="s">
        <v>262</v>
      </c>
      <c r="E80" s="34" t="s">
        <v>263</v>
      </c>
      <c r="F80" s="44">
        <f>IFERROR(VLOOKUP(C80,路飞话务数据源!D:Q,2,FALSE),0)</f>
        <v>32</v>
      </c>
      <c r="G80" s="44">
        <f>IFERROR(VLOOKUP(C80,路飞话务数据源!D:Q,3,FALSE),0)</f>
        <v>10</v>
      </c>
      <c r="H80" s="44">
        <f>IFERROR(VLOOKUP(C80,路飞话务数据源!D:Q,4,FALSE),0)</f>
        <v>0.3125</v>
      </c>
      <c r="I80" s="44">
        <f>IFERROR(VLOOKUP(C80,路飞话务数据源!D:Q,5,FALSE),0)</f>
        <v>3</v>
      </c>
      <c r="J80" s="45">
        <f>IFERROR(VLOOKUP(C80,路飞话务数据源!D:Q,6,FALSE),0)</f>
        <v>1</v>
      </c>
      <c r="K80" s="44">
        <f>IFERROR(VLOOKUP(C80,路飞话务数据源!D:Q,7,FALSE),0)</f>
        <v>0</v>
      </c>
      <c r="L80" s="46">
        <f>IFERROR(VLOOKUP(C80,路飞话务数据源!D:Q,8,FALSE),0)</f>
        <v>0</v>
      </c>
      <c r="M80" s="46">
        <f>IFERROR(VLOOKUP(C80,路飞话务数据源!D:Q,9,FALSE),0)</f>
        <v>3.8</v>
      </c>
      <c r="N80" s="46">
        <f>IFERROR(VLOOKUP(C80,路飞话务数据源!D:Q,10,FALSE),0)</f>
        <v>0</v>
      </c>
      <c r="O80" s="46">
        <f>IFERROR(VLOOKUP(C80,路飞话务数据源!D:Q,11,FALSE),0)</f>
        <v>0</v>
      </c>
      <c r="P80" s="46">
        <f>IFERROR(VLOOKUP(C80,路飞话务数据源!D:Q,12,FALSE),0)</f>
        <v>0</v>
      </c>
      <c r="Q80" s="60">
        <f>IFERROR(VLOOKUP(C80,路飞话务数据源!D:Q,13,FALSE),0)</f>
        <v>0</v>
      </c>
      <c r="R80" s="61">
        <f ca="1" t="shared" si="4"/>
        <v>1</v>
      </c>
      <c r="S80" s="35" t="str">
        <f ca="1" t="shared" si="3"/>
        <v>2年-3年</v>
      </c>
      <c r="T80" s="34" t="s">
        <v>251</v>
      </c>
      <c r="U80" s="46">
        <f>SUMIFS(路飞意向数据源!F:F,路飞意向数据源!B:B,A80,路飞意向数据源!C:C,B80,路飞意向数据源!D:D,C80)</f>
        <v>0</v>
      </c>
      <c r="V80" s="46"/>
      <c r="W80" s="20"/>
      <c r="X80" s="35"/>
    </row>
    <row r="81" spans="1:24">
      <c r="A81" s="34" t="s">
        <v>21</v>
      </c>
      <c r="B81" s="34" t="s">
        <v>264</v>
      </c>
      <c r="C81" s="34" t="s">
        <v>265</v>
      </c>
      <c r="D81" s="34" t="s">
        <v>266</v>
      </c>
      <c r="E81" s="34" t="s">
        <v>267</v>
      </c>
      <c r="F81" s="44">
        <f>IFERROR(VLOOKUP(C81,路飞话务数据源!D:Q,2,FALSE),0)</f>
        <v>28</v>
      </c>
      <c r="G81" s="44">
        <f>IFERROR(VLOOKUP(C81,路飞话务数据源!D:Q,3,FALSE),0)</f>
        <v>13</v>
      </c>
      <c r="H81" s="44">
        <f>IFERROR(VLOOKUP(C81,路飞话务数据源!D:Q,4,FALSE),0)</f>
        <v>0.464285714285714</v>
      </c>
      <c r="I81" s="44">
        <f>IFERROR(VLOOKUP(C81,路飞话务数据源!D:Q,5,FALSE),0)</f>
        <v>7</v>
      </c>
      <c r="J81" s="45">
        <f>IFERROR(VLOOKUP(C81,路飞话务数据源!D:Q,6,FALSE),0)</f>
        <v>7</v>
      </c>
      <c r="K81" s="44">
        <f>IFERROR(VLOOKUP(C81,路飞话务数据源!D:Q,7,FALSE),0)</f>
        <v>4</v>
      </c>
      <c r="L81" s="46">
        <f>IFERROR(VLOOKUP(C81,路飞话务数据源!D:Q,8,FALSE),0)</f>
        <v>0</v>
      </c>
      <c r="M81" s="46">
        <f>IFERROR(VLOOKUP(C81,路飞话务数据源!D:Q,9,FALSE),0)</f>
        <v>10.5333333333333</v>
      </c>
      <c r="N81" s="46">
        <f>IFERROR(VLOOKUP(C81,路飞话务数据源!D:Q,10,FALSE),0)</f>
        <v>0</v>
      </c>
      <c r="O81" s="46">
        <f>IFERROR(VLOOKUP(C81,路飞话务数据源!D:Q,11,FALSE),0)</f>
        <v>0</v>
      </c>
      <c r="P81" s="46">
        <f>IFERROR(VLOOKUP(C81,路飞话务数据源!D:Q,12,FALSE),0)</f>
        <v>0</v>
      </c>
      <c r="Q81" s="60">
        <f>IFERROR(VLOOKUP(C81,路飞话务数据源!D:Q,13,FALSE),0)</f>
        <v>0</v>
      </c>
      <c r="R81" s="61">
        <f ca="1" t="shared" si="4"/>
        <v>1</v>
      </c>
      <c r="S81" s="35" t="str">
        <f ca="1" t="shared" si="3"/>
        <v>7月-12月</v>
      </c>
      <c r="T81" s="34" t="s">
        <v>268</v>
      </c>
      <c r="U81" s="46">
        <f>SUMIFS(路飞意向数据源!F:F,路飞意向数据源!B:B,A81,路飞意向数据源!C:C,B81,路飞意向数据源!D:D,C81)</f>
        <v>0</v>
      </c>
      <c r="V81" s="46"/>
      <c r="W81" s="20"/>
      <c r="X81" s="35"/>
    </row>
    <row r="82" spans="1:24">
      <c r="A82" s="34" t="s">
        <v>21</v>
      </c>
      <c r="B82" s="34" t="s">
        <v>264</v>
      </c>
      <c r="C82" s="34" t="s">
        <v>269</v>
      </c>
      <c r="D82" s="34" t="s">
        <v>270</v>
      </c>
      <c r="E82" s="34" t="s">
        <v>271</v>
      </c>
      <c r="F82" s="44">
        <f>IFERROR(VLOOKUP(C82,路飞话务数据源!D:Q,2,FALSE),0)</f>
        <v>7</v>
      </c>
      <c r="G82" s="44">
        <f>IFERROR(VLOOKUP(C82,路飞话务数据源!D:Q,3,FALSE),0)</f>
        <v>2</v>
      </c>
      <c r="H82" s="44">
        <f>IFERROR(VLOOKUP(C82,路飞话务数据源!D:Q,4,FALSE),0)</f>
        <v>0.285714285714286</v>
      </c>
      <c r="I82" s="44">
        <f>IFERROR(VLOOKUP(C82,路飞话务数据源!D:Q,5,FALSE),0)</f>
        <v>2</v>
      </c>
      <c r="J82" s="45">
        <f>IFERROR(VLOOKUP(C82,路飞话务数据源!D:Q,6,FALSE),0)</f>
        <v>2</v>
      </c>
      <c r="K82" s="44">
        <f>IFERROR(VLOOKUP(C82,路飞话务数据源!D:Q,7,FALSE),0)</f>
        <v>2</v>
      </c>
      <c r="L82" s="46">
        <f>IFERROR(VLOOKUP(C82,路飞话务数据源!D:Q,8,FALSE),0)</f>
        <v>2</v>
      </c>
      <c r="M82" s="46">
        <f>IFERROR(VLOOKUP(C82,路飞话务数据源!D:Q,9,FALSE),0)</f>
        <v>11.4166666666667</v>
      </c>
      <c r="N82" s="46">
        <f>IFERROR(VLOOKUP(C82,路飞话务数据源!D:Q,10,FALSE),0)</f>
        <v>0</v>
      </c>
      <c r="O82" s="46">
        <f>IFERROR(VLOOKUP(C82,路飞话务数据源!D:Q,11,FALSE),0)</f>
        <v>0</v>
      </c>
      <c r="P82" s="46">
        <f>IFERROR(VLOOKUP(C82,路飞话务数据源!D:Q,12,FALSE),0)</f>
        <v>0</v>
      </c>
      <c r="Q82" s="60">
        <f>IFERROR(VLOOKUP(C82,路飞话务数据源!D:Q,13,FALSE),0)</f>
        <v>0</v>
      </c>
      <c r="R82" s="61">
        <f ca="1" t="shared" si="4"/>
        <v>1</v>
      </c>
      <c r="S82" s="35" t="str">
        <f ca="1" t="shared" si="3"/>
        <v>7月-12月</v>
      </c>
      <c r="T82" s="34" t="s">
        <v>268</v>
      </c>
      <c r="U82" s="46">
        <f>SUMIFS(路飞意向数据源!F:F,路飞意向数据源!B:B,A82,路飞意向数据源!C:C,B82,路飞意向数据源!D:D,C82)</f>
        <v>1</v>
      </c>
      <c r="V82" s="46"/>
      <c r="W82" s="20"/>
      <c r="X82" s="35"/>
    </row>
    <row r="83" spans="1:24">
      <c r="A83" s="34" t="s">
        <v>21</v>
      </c>
      <c r="B83" s="34" t="s">
        <v>264</v>
      </c>
      <c r="C83" s="34" t="s">
        <v>272</v>
      </c>
      <c r="D83" s="34" t="s">
        <v>273</v>
      </c>
      <c r="E83" s="34" t="s">
        <v>205</v>
      </c>
      <c r="F83" s="44">
        <f>IFERROR(VLOOKUP(C83,路飞话务数据源!D:Q,2,FALSE),0)</f>
        <v>95</v>
      </c>
      <c r="G83" s="44">
        <f>IFERROR(VLOOKUP(C83,路飞话务数据源!D:Q,3,FALSE),0)</f>
        <v>35</v>
      </c>
      <c r="H83" s="44">
        <f>IFERROR(VLOOKUP(C83,路飞话务数据源!D:Q,4,FALSE),0)</f>
        <v>0.368421052631579</v>
      </c>
      <c r="I83" s="44">
        <f>IFERROR(VLOOKUP(C83,路飞话务数据源!D:Q,5,FALSE),0)</f>
        <v>17</v>
      </c>
      <c r="J83" s="45">
        <f>IFERROR(VLOOKUP(C83,路飞话务数据源!D:Q,6,FALSE),0)</f>
        <v>15</v>
      </c>
      <c r="K83" s="44">
        <f>IFERROR(VLOOKUP(C83,路飞话务数据源!D:Q,7,FALSE),0)</f>
        <v>12</v>
      </c>
      <c r="L83" s="46">
        <f>IFERROR(VLOOKUP(C83,路飞话务数据源!D:Q,8,FALSE),0)</f>
        <v>5</v>
      </c>
      <c r="M83" s="46">
        <f>IFERROR(VLOOKUP(C83,路飞话务数据源!D:Q,9,FALSE),0)</f>
        <v>42.65</v>
      </c>
      <c r="N83" s="46">
        <f>IFERROR(VLOOKUP(C83,路飞话务数据源!D:Q,10,FALSE),0)</f>
        <v>0</v>
      </c>
      <c r="O83" s="46">
        <f>IFERROR(VLOOKUP(C83,路飞话务数据源!D:Q,11,FALSE),0)</f>
        <v>0</v>
      </c>
      <c r="P83" s="46">
        <f>IFERROR(VLOOKUP(C83,路飞话务数据源!D:Q,12,FALSE),0)</f>
        <v>0</v>
      </c>
      <c r="Q83" s="60">
        <f>IFERROR(VLOOKUP(C83,路飞话务数据源!D:Q,13,FALSE),0)</f>
        <v>0</v>
      </c>
      <c r="R83" s="61">
        <f ca="1" t="shared" si="4"/>
        <v>1</v>
      </c>
      <c r="S83" s="35" t="str">
        <f ca="1" t="shared" si="3"/>
        <v>1年-2年</v>
      </c>
      <c r="T83" s="34" t="s">
        <v>268</v>
      </c>
      <c r="U83" s="46">
        <f>SUMIFS(路飞意向数据源!F:F,路飞意向数据源!B:B,A83,路飞意向数据源!C:C,B83,路飞意向数据源!D:D,C83)</f>
        <v>2</v>
      </c>
      <c r="V83" s="46"/>
      <c r="W83" s="20"/>
      <c r="X83" s="35"/>
    </row>
    <row r="84" spans="1:24">
      <c r="A84" s="34" t="s">
        <v>21</v>
      </c>
      <c r="B84" s="34" t="s">
        <v>264</v>
      </c>
      <c r="C84" s="34" t="s">
        <v>274</v>
      </c>
      <c r="D84" s="34" t="s">
        <v>275</v>
      </c>
      <c r="E84" s="34" t="s">
        <v>276</v>
      </c>
      <c r="F84" s="44">
        <f>IFERROR(VLOOKUP(C84,路飞话务数据源!D:Q,2,FALSE),0)</f>
        <v>120</v>
      </c>
      <c r="G84" s="44">
        <f>IFERROR(VLOOKUP(C84,路飞话务数据源!D:Q,3,FALSE),0)</f>
        <v>52</v>
      </c>
      <c r="H84" s="44">
        <f>IFERROR(VLOOKUP(C84,路飞话务数据源!D:Q,4,FALSE),0)</f>
        <v>0.433333333333333</v>
      </c>
      <c r="I84" s="44">
        <f>IFERROR(VLOOKUP(C84,路飞话务数据源!D:Q,5,FALSE),0)</f>
        <v>28</v>
      </c>
      <c r="J84" s="45">
        <f>IFERROR(VLOOKUP(C84,路飞话务数据源!D:Q,6,FALSE),0)</f>
        <v>19</v>
      </c>
      <c r="K84" s="44">
        <f>IFERROR(VLOOKUP(C84,路飞话务数据源!D:Q,7,FALSE),0)</f>
        <v>11</v>
      </c>
      <c r="L84" s="46">
        <f>IFERROR(VLOOKUP(C84,路飞话务数据源!D:Q,8,FALSE),0)</f>
        <v>2</v>
      </c>
      <c r="M84" s="46">
        <f>IFERROR(VLOOKUP(C84,路飞话务数据源!D:Q,9,FALSE),0)</f>
        <v>46.4666666666667</v>
      </c>
      <c r="N84" s="46">
        <f>IFERROR(VLOOKUP(C84,路飞话务数据源!D:Q,10,FALSE),0)</f>
        <v>0</v>
      </c>
      <c r="O84" s="46">
        <f>IFERROR(VLOOKUP(C84,路飞话务数据源!D:Q,11,FALSE),0)</f>
        <v>0</v>
      </c>
      <c r="P84" s="46">
        <f>IFERROR(VLOOKUP(C84,路飞话务数据源!D:Q,12,FALSE),0)</f>
        <v>0</v>
      </c>
      <c r="Q84" s="60">
        <f>IFERROR(VLOOKUP(C84,路飞话务数据源!D:Q,13,FALSE),0)</f>
        <v>0</v>
      </c>
      <c r="R84" s="61">
        <f ca="1" t="shared" si="4"/>
        <v>1</v>
      </c>
      <c r="S84" s="35" t="str">
        <f ca="1" t="shared" si="3"/>
        <v>4月-6月</v>
      </c>
      <c r="T84" s="34" t="s">
        <v>268</v>
      </c>
      <c r="U84" s="46">
        <f>SUMIFS(路飞意向数据源!F:F,路飞意向数据源!B:B,A84,路飞意向数据源!C:C,B84,路飞意向数据源!D:D,C84)</f>
        <v>0</v>
      </c>
      <c r="V84" s="46"/>
      <c r="W84" s="20"/>
      <c r="X84" s="35"/>
    </row>
    <row r="85" spans="1:24">
      <c r="A85" s="34" t="s">
        <v>21</v>
      </c>
      <c r="B85" s="34" t="s">
        <v>264</v>
      </c>
      <c r="C85" s="34" t="s">
        <v>277</v>
      </c>
      <c r="D85" s="34" t="s">
        <v>278</v>
      </c>
      <c r="E85" s="34" t="s">
        <v>279</v>
      </c>
      <c r="F85" s="44">
        <f>IFERROR(VLOOKUP(C85,路飞话务数据源!D:Q,2,FALSE),0)</f>
        <v>0</v>
      </c>
      <c r="G85" s="44">
        <f>IFERROR(VLOOKUP(C85,路飞话务数据源!D:Q,3,FALSE),0)</f>
        <v>0</v>
      </c>
      <c r="H85" s="44">
        <f>IFERROR(VLOOKUP(C85,路飞话务数据源!D:Q,4,FALSE),0)</f>
        <v>0</v>
      </c>
      <c r="I85" s="44">
        <f>IFERROR(VLOOKUP(C85,路飞话务数据源!D:Q,5,FALSE),0)</f>
        <v>0</v>
      </c>
      <c r="J85" s="45">
        <f>IFERROR(VLOOKUP(C85,路飞话务数据源!D:Q,6,FALSE),0)</f>
        <v>0</v>
      </c>
      <c r="K85" s="44">
        <f>IFERROR(VLOOKUP(C85,路飞话务数据源!D:Q,7,FALSE),0)</f>
        <v>0</v>
      </c>
      <c r="L85" s="46">
        <f>IFERROR(VLOOKUP(C85,路飞话务数据源!D:Q,8,FALSE),0)</f>
        <v>0</v>
      </c>
      <c r="M85" s="46">
        <f>IFERROR(VLOOKUP(C85,路飞话务数据源!D:Q,9,FALSE),0)</f>
        <v>0</v>
      </c>
      <c r="N85" s="46">
        <f>IFERROR(VLOOKUP(C85,路飞话务数据源!D:Q,10,FALSE),0)</f>
        <v>0</v>
      </c>
      <c r="O85" s="46">
        <f>IFERROR(VLOOKUP(C85,路飞话务数据源!D:Q,11,FALSE),0)</f>
        <v>0</v>
      </c>
      <c r="P85" s="46">
        <f>IFERROR(VLOOKUP(C85,路飞话务数据源!D:Q,12,FALSE),0)</f>
        <v>0</v>
      </c>
      <c r="Q85" s="60">
        <f>IFERROR(VLOOKUP(C85,路飞话务数据源!D:Q,13,FALSE),0)</f>
        <v>0</v>
      </c>
      <c r="R85" s="61">
        <f ca="1" t="shared" si="4"/>
        <v>0</v>
      </c>
      <c r="S85" s="35" t="str">
        <f ca="1" t="shared" si="3"/>
        <v>2年-3年</v>
      </c>
      <c r="T85" s="34" t="s">
        <v>268</v>
      </c>
      <c r="U85" s="46">
        <f>SUMIFS(路飞意向数据源!F:F,路飞意向数据源!B:B,A85,路飞意向数据源!C:C,B85,路飞意向数据源!D:D,C85)</f>
        <v>0</v>
      </c>
      <c r="V85" s="46"/>
      <c r="W85" s="20"/>
      <c r="X85" s="35"/>
    </row>
    <row r="86" spans="1:24">
      <c r="A86" s="34" t="s">
        <v>21</v>
      </c>
      <c r="B86" s="34" t="s">
        <v>264</v>
      </c>
      <c r="C86" s="34" t="s">
        <v>280</v>
      </c>
      <c r="D86" s="34" t="s">
        <v>281</v>
      </c>
      <c r="E86" s="34" t="s">
        <v>282</v>
      </c>
      <c r="F86" s="44">
        <f>IFERROR(VLOOKUP(C86,路飞话务数据源!D:Q,2,FALSE),0)</f>
        <v>98</v>
      </c>
      <c r="G86" s="44">
        <f>IFERROR(VLOOKUP(C86,路飞话务数据源!D:Q,3,FALSE),0)</f>
        <v>43</v>
      </c>
      <c r="H86" s="44">
        <f>IFERROR(VLOOKUP(C86,路飞话务数据源!D:Q,4,FALSE),0)</f>
        <v>0.438775510204082</v>
      </c>
      <c r="I86" s="44">
        <f>IFERROR(VLOOKUP(C86,路飞话务数据源!D:Q,5,FALSE),0)</f>
        <v>24</v>
      </c>
      <c r="J86" s="45">
        <f>IFERROR(VLOOKUP(C86,路飞话务数据源!D:Q,6,FALSE),0)</f>
        <v>20</v>
      </c>
      <c r="K86" s="44">
        <f>IFERROR(VLOOKUP(C86,路飞话务数据源!D:Q,7,FALSE),0)</f>
        <v>13</v>
      </c>
      <c r="L86" s="46">
        <f>IFERROR(VLOOKUP(C86,路飞话务数据源!D:Q,8,FALSE),0)</f>
        <v>1</v>
      </c>
      <c r="M86" s="46">
        <f>IFERROR(VLOOKUP(C86,路飞话务数据源!D:Q,9,FALSE),0)</f>
        <v>33.45</v>
      </c>
      <c r="N86" s="46">
        <f>IFERROR(VLOOKUP(C86,路飞话务数据源!D:Q,10,FALSE),0)</f>
        <v>0</v>
      </c>
      <c r="O86" s="46">
        <f>IFERROR(VLOOKUP(C86,路飞话务数据源!D:Q,11,FALSE),0)</f>
        <v>0</v>
      </c>
      <c r="P86" s="46">
        <f>IFERROR(VLOOKUP(C86,路飞话务数据源!D:Q,12,FALSE),0)</f>
        <v>0</v>
      </c>
      <c r="Q86" s="60">
        <f>IFERROR(VLOOKUP(C86,路飞话务数据源!D:Q,13,FALSE),0)</f>
        <v>0</v>
      </c>
      <c r="R86" s="61">
        <f ca="1" t="shared" si="4"/>
        <v>1</v>
      </c>
      <c r="S86" s="35" t="str">
        <f ca="1" t="shared" si="3"/>
        <v>1-3月</v>
      </c>
      <c r="T86" s="34" t="s">
        <v>268</v>
      </c>
      <c r="U86" s="46">
        <f>SUMIFS(路飞意向数据源!F:F,路飞意向数据源!B:B,A86,路飞意向数据源!C:C,B86,路飞意向数据源!D:D,C86)</f>
        <v>1</v>
      </c>
      <c r="V86" s="46"/>
      <c r="W86" s="20"/>
      <c r="X86" s="35"/>
    </row>
    <row r="87" spans="1:24">
      <c r="A87" s="34" t="s">
        <v>21</v>
      </c>
      <c r="B87" s="34" t="s">
        <v>264</v>
      </c>
      <c r="C87" s="34" t="s">
        <v>283</v>
      </c>
      <c r="D87" s="34" t="s">
        <v>284</v>
      </c>
      <c r="E87" s="34" t="s">
        <v>193</v>
      </c>
      <c r="F87" s="44">
        <f>IFERROR(VLOOKUP(C87,路飞话务数据源!D:Q,2,FALSE),0)</f>
        <v>147</v>
      </c>
      <c r="G87" s="44">
        <f>IFERROR(VLOOKUP(C87,路飞话务数据源!D:Q,3,FALSE),0)</f>
        <v>66</v>
      </c>
      <c r="H87" s="44">
        <f>IFERROR(VLOOKUP(C87,路飞话务数据源!D:Q,4,FALSE),0)</f>
        <v>0.448979591836735</v>
      </c>
      <c r="I87" s="44">
        <f>IFERROR(VLOOKUP(C87,路飞话务数据源!D:Q,5,FALSE),0)</f>
        <v>28</v>
      </c>
      <c r="J87" s="45">
        <f>IFERROR(VLOOKUP(C87,路飞话务数据源!D:Q,6,FALSE),0)</f>
        <v>24</v>
      </c>
      <c r="K87" s="44">
        <f>IFERROR(VLOOKUP(C87,路飞话务数据源!D:Q,7,FALSE),0)</f>
        <v>16</v>
      </c>
      <c r="L87" s="46">
        <f>IFERROR(VLOOKUP(C87,路飞话务数据源!D:Q,8,FALSE),0)</f>
        <v>2</v>
      </c>
      <c r="M87" s="46">
        <f>IFERROR(VLOOKUP(C87,路飞话务数据源!D:Q,9,FALSE),0)</f>
        <v>52.85</v>
      </c>
      <c r="N87" s="46">
        <f>IFERROR(VLOOKUP(C87,路飞话务数据源!D:Q,10,FALSE),0)</f>
        <v>0</v>
      </c>
      <c r="O87" s="46">
        <f>IFERROR(VLOOKUP(C87,路飞话务数据源!D:Q,11,FALSE),0)</f>
        <v>0</v>
      </c>
      <c r="P87" s="46">
        <f>IFERROR(VLOOKUP(C87,路飞话务数据源!D:Q,12,FALSE),0)</f>
        <v>0</v>
      </c>
      <c r="Q87" s="60">
        <f>IFERROR(VLOOKUP(C87,路飞话务数据源!D:Q,13,FALSE),0)</f>
        <v>0</v>
      </c>
      <c r="R87" s="61">
        <f ca="1" t="shared" si="4"/>
        <v>1</v>
      </c>
      <c r="S87" s="35" t="str">
        <f ca="1" t="shared" si="3"/>
        <v>1-3月</v>
      </c>
      <c r="T87" s="34" t="s">
        <v>268</v>
      </c>
      <c r="U87" s="46">
        <f>SUMIFS(路飞意向数据源!F:F,路飞意向数据源!B:B,A87,路飞意向数据源!C:C,B87,路飞意向数据源!D:D,C87)</f>
        <v>0</v>
      </c>
      <c r="V87" s="46"/>
      <c r="W87" s="20"/>
      <c r="X87" s="35"/>
    </row>
    <row r="88" spans="1:24">
      <c r="A88" s="34" t="s">
        <v>21</v>
      </c>
      <c r="B88" s="34" t="s">
        <v>264</v>
      </c>
      <c r="C88" s="34" t="s">
        <v>285</v>
      </c>
      <c r="D88" s="34" t="s">
        <v>286</v>
      </c>
      <c r="E88" s="34" t="s">
        <v>94</v>
      </c>
      <c r="F88" s="44">
        <f>IFERROR(VLOOKUP(C88,路飞话务数据源!D:Q,2,FALSE),0)</f>
        <v>16</v>
      </c>
      <c r="G88" s="44">
        <f>IFERROR(VLOOKUP(C88,路飞话务数据源!D:Q,3,FALSE),0)</f>
        <v>9</v>
      </c>
      <c r="H88" s="44">
        <f>IFERROR(VLOOKUP(C88,路飞话务数据源!D:Q,4,FALSE),0)</f>
        <v>0.5625</v>
      </c>
      <c r="I88" s="44">
        <f>IFERROR(VLOOKUP(C88,路飞话务数据源!D:Q,5,FALSE),0)</f>
        <v>4</v>
      </c>
      <c r="J88" s="45">
        <f>IFERROR(VLOOKUP(C88,路飞话务数据源!D:Q,6,FALSE),0)</f>
        <v>4</v>
      </c>
      <c r="K88" s="44">
        <f>IFERROR(VLOOKUP(C88,路飞话务数据源!D:Q,7,FALSE),0)</f>
        <v>3</v>
      </c>
      <c r="L88" s="46">
        <f>IFERROR(VLOOKUP(C88,路飞话务数据源!D:Q,8,FALSE),0)</f>
        <v>0</v>
      </c>
      <c r="M88" s="46">
        <f>IFERROR(VLOOKUP(C88,路飞话务数据源!D:Q,9,FALSE),0)</f>
        <v>7.45</v>
      </c>
      <c r="N88" s="46">
        <f>IFERROR(VLOOKUP(C88,路飞话务数据源!D:Q,10,FALSE),0)</f>
        <v>1</v>
      </c>
      <c r="O88" s="46">
        <f>IFERROR(VLOOKUP(C88,路飞话务数据源!D:Q,11,FALSE),0)</f>
        <v>1</v>
      </c>
      <c r="P88" s="46">
        <f>IFERROR(VLOOKUP(C88,路飞话务数据源!D:Q,12,FALSE),0)</f>
        <v>1</v>
      </c>
      <c r="Q88" s="60">
        <f>IFERROR(VLOOKUP(C88,路飞话务数据源!D:Q,13,FALSE),0)</f>
        <v>176</v>
      </c>
      <c r="R88" s="61">
        <f ca="1" t="shared" si="4"/>
        <v>1</v>
      </c>
      <c r="S88" s="35" t="str">
        <f ca="1" t="shared" si="3"/>
        <v>1-3月</v>
      </c>
      <c r="T88" s="34" t="s">
        <v>268</v>
      </c>
      <c r="U88" s="46">
        <f>SUMIFS(路飞意向数据源!F:F,路飞意向数据源!B:B,A88,路飞意向数据源!C:C,B88,路飞意向数据源!D:D,C88)</f>
        <v>1</v>
      </c>
      <c r="V88" s="46"/>
      <c r="W88" s="20"/>
      <c r="X88" s="35"/>
    </row>
    <row r="89" spans="1:24">
      <c r="A89" s="34" t="s">
        <v>21</v>
      </c>
      <c r="B89" s="34" t="s">
        <v>264</v>
      </c>
      <c r="C89" s="34" t="s">
        <v>287</v>
      </c>
      <c r="D89" s="34" t="s">
        <v>288</v>
      </c>
      <c r="E89" s="34" t="s">
        <v>289</v>
      </c>
      <c r="F89" s="44">
        <f>IFERROR(VLOOKUP(C89,路飞话务数据源!D:Q,2,FALSE),0)</f>
        <v>151</v>
      </c>
      <c r="G89" s="44">
        <f>IFERROR(VLOOKUP(C89,路飞话务数据源!D:Q,3,FALSE),0)</f>
        <v>64</v>
      </c>
      <c r="H89" s="44">
        <f>IFERROR(VLOOKUP(C89,路飞话务数据源!D:Q,4,FALSE),0)</f>
        <v>0.423841059602649</v>
      </c>
      <c r="I89" s="44">
        <f>IFERROR(VLOOKUP(C89,路飞话务数据源!D:Q,5,FALSE),0)</f>
        <v>27</v>
      </c>
      <c r="J89" s="45">
        <f>IFERROR(VLOOKUP(C89,路飞话务数据源!D:Q,6,FALSE),0)</f>
        <v>20</v>
      </c>
      <c r="K89" s="44">
        <f>IFERROR(VLOOKUP(C89,路飞话务数据源!D:Q,7,FALSE),0)</f>
        <v>10</v>
      </c>
      <c r="L89" s="46">
        <f>IFERROR(VLOOKUP(C89,路飞话务数据源!D:Q,8,FALSE),0)</f>
        <v>4</v>
      </c>
      <c r="M89" s="46">
        <f>IFERROR(VLOOKUP(C89,路飞话务数据源!D:Q,9,FALSE),0)</f>
        <v>67.5333333333333</v>
      </c>
      <c r="N89" s="46">
        <f>IFERROR(VLOOKUP(C89,路飞话务数据源!D:Q,10,FALSE),0)</f>
        <v>0</v>
      </c>
      <c r="O89" s="46">
        <f>IFERROR(VLOOKUP(C89,路飞话务数据源!D:Q,11,FALSE),0)</f>
        <v>0</v>
      </c>
      <c r="P89" s="46">
        <f>IFERROR(VLOOKUP(C89,路飞话务数据源!D:Q,12,FALSE),0)</f>
        <v>0</v>
      </c>
      <c r="Q89" s="60">
        <f>IFERROR(VLOOKUP(C89,路飞话务数据源!D:Q,13,FALSE),0)</f>
        <v>0</v>
      </c>
      <c r="R89" s="61">
        <f ca="1" t="shared" si="4"/>
        <v>1</v>
      </c>
      <c r="S89" s="35" t="str">
        <f ca="1" t="shared" si="3"/>
        <v>4月-6月</v>
      </c>
      <c r="T89" s="34" t="s">
        <v>268</v>
      </c>
      <c r="U89" s="46">
        <f>SUMIFS(路飞意向数据源!F:F,路飞意向数据源!B:B,A89,路飞意向数据源!C:C,B89,路飞意向数据源!D:D,C89)</f>
        <v>0</v>
      </c>
      <c r="V89" s="46"/>
      <c r="W89" s="20"/>
      <c r="X89" s="35"/>
    </row>
    <row r="90" spans="1:24">
      <c r="A90" s="34" t="s">
        <v>21</v>
      </c>
      <c r="B90" s="34" t="s">
        <v>264</v>
      </c>
      <c r="C90" s="34" t="s">
        <v>290</v>
      </c>
      <c r="D90" s="34" t="s">
        <v>291</v>
      </c>
      <c r="E90" s="34" t="s">
        <v>292</v>
      </c>
      <c r="F90" s="44">
        <f>IFERROR(VLOOKUP(C90,路飞话务数据源!D:Q,2,FALSE),0)</f>
        <v>61</v>
      </c>
      <c r="G90" s="44">
        <f>IFERROR(VLOOKUP(C90,路飞话务数据源!D:Q,3,FALSE),0)</f>
        <v>28</v>
      </c>
      <c r="H90" s="44">
        <f>IFERROR(VLOOKUP(C90,路飞话务数据源!D:Q,4,FALSE),0)</f>
        <v>0.459016393442623</v>
      </c>
      <c r="I90" s="44">
        <f>IFERROR(VLOOKUP(C90,路飞话务数据源!D:Q,5,FALSE),0)</f>
        <v>15</v>
      </c>
      <c r="J90" s="45">
        <f>IFERROR(VLOOKUP(C90,路飞话务数据源!D:Q,6,FALSE),0)</f>
        <v>12</v>
      </c>
      <c r="K90" s="44">
        <f>IFERROR(VLOOKUP(C90,路飞话务数据源!D:Q,7,FALSE),0)</f>
        <v>9</v>
      </c>
      <c r="L90" s="46">
        <f>IFERROR(VLOOKUP(C90,路飞话务数据源!D:Q,8,FALSE),0)</f>
        <v>2</v>
      </c>
      <c r="M90" s="46">
        <f>IFERROR(VLOOKUP(C90,路飞话务数据源!D:Q,9,FALSE),0)</f>
        <v>30.15</v>
      </c>
      <c r="N90" s="46">
        <f>IFERROR(VLOOKUP(C90,路飞话务数据源!D:Q,10,FALSE),0)</f>
        <v>0</v>
      </c>
      <c r="O90" s="46">
        <f>IFERROR(VLOOKUP(C90,路飞话务数据源!D:Q,11,FALSE),0)</f>
        <v>0</v>
      </c>
      <c r="P90" s="46">
        <f>IFERROR(VLOOKUP(C90,路飞话务数据源!D:Q,12,FALSE),0)</f>
        <v>0</v>
      </c>
      <c r="Q90" s="60">
        <f>IFERROR(VLOOKUP(C90,路飞话务数据源!D:Q,13,FALSE),0)</f>
        <v>0</v>
      </c>
      <c r="R90" s="61">
        <f ca="1" t="shared" si="4"/>
        <v>1</v>
      </c>
      <c r="S90" s="35" t="str">
        <f ca="1" t="shared" si="3"/>
        <v>1年-2年</v>
      </c>
      <c r="T90" s="34" t="s">
        <v>268</v>
      </c>
      <c r="U90" s="46">
        <f>SUMIFS(路飞意向数据源!F:F,路飞意向数据源!B:B,A90,路飞意向数据源!C:C,B90,路飞意向数据源!D:D,C90)</f>
        <v>0</v>
      </c>
      <c r="V90" s="46"/>
      <c r="W90" s="20"/>
      <c r="X90" s="35"/>
    </row>
    <row r="91" spans="1:24">
      <c r="A91" s="34" t="s">
        <v>51</v>
      </c>
      <c r="B91" s="34" t="s">
        <v>22</v>
      </c>
      <c r="C91" s="34" t="s">
        <v>293</v>
      </c>
      <c r="D91" s="34" t="s">
        <v>294</v>
      </c>
      <c r="E91" s="34" t="s">
        <v>29</v>
      </c>
      <c r="F91" s="44">
        <f>IFERROR(VLOOKUP(C91,路飞话务数据源!D:Q,2,FALSE),0)</f>
        <v>27</v>
      </c>
      <c r="G91" s="44">
        <f>IFERROR(VLOOKUP(C91,路飞话务数据源!D:Q,3,FALSE),0)</f>
        <v>8</v>
      </c>
      <c r="H91" s="44">
        <f>IFERROR(VLOOKUP(C91,路飞话务数据源!D:Q,4,FALSE),0)</f>
        <v>0.296296296296296</v>
      </c>
      <c r="I91" s="44">
        <f>IFERROR(VLOOKUP(C91,路飞话务数据源!D:Q,5,FALSE),0)</f>
        <v>5</v>
      </c>
      <c r="J91" s="45">
        <f>IFERROR(VLOOKUP(C91,路飞话务数据源!D:Q,6,FALSE),0)</f>
        <v>3</v>
      </c>
      <c r="K91" s="44">
        <f>IFERROR(VLOOKUP(C91,路飞话务数据源!D:Q,7,FALSE),0)</f>
        <v>3</v>
      </c>
      <c r="L91" s="46">
        <f>IFERROR(VLOOKUP(C91,路飞话务数据源!D:Q,8,FALSE),0)</f>
        <v>1</v>
      </c>
      <c r="M91" s="46">
        <f>IFERROR(VLOOKUP(C91,路飞话务数据源!D:Q,9,FALSE),0)</f>
        <v>10.5666666666667</v>
      </c>
      <c r="N91" s="46">
        <f>IFERROR(VLOOKUP(C91,路飞话务数据源!D:Q,10,FALSE),0)</f>
        <v>0</v>
      </c>
      <c r="O91" s="46">
        <f>IFERROR(VLOOKUP(C91,路飞话务数据源!D:Q,11,FALSE),0)</f>
        <v>0</v>
      </c>
      <c r="P91" s="46">
        <f>IFERROR(VLOOKUP(C91,路飞话务数据源!D:Q,12,FALSE),0)</f>
        <v>0</v>
      </c>
      <c r="Q91" s="60">
        <f>IFERROR(VLOOKUP(C91,路飞话务数据源!D:Q,13,FALSE),0)</f>
        <v>0</v>
      </c>
      <c r="R91" s="61">
        <f ca="1" t="shared" si="4"/>
        <v>1</v>
      </c>
      <c r="S91" s="35" t="str">
        <f ca="1" t="shared" si="3"/>
        <v>1年-2年</v>
      </c>
      <c r="T91" s="34" t="s">
        <v>295</v>
      </c>
      <c r="U91" s="46">
        <f>SUMIFS(路飞意向数据源!F:F,路飞意向数据源!B:B,A91,路飞意向数据源!C:C,B91,路飞意向数据源!D:D,C91)</f>
        <v>0</v>
      </c>
      <c r="V91" s="46"/>
      <c r="W91" s="20"/>
      <c r="X91" s="35"/>
    </row>
    <row r="92" spans="1:24">
      <c r="A92" s="34" t="s">
        <v>51</v>
      </c>
      <c r="B92" s="34" t="s">
        <v>22</v>
      </c>
      <c r="C92" s="34" t="s">
        <v>296</v>
      </c>
      <c r="D92" s="34" t="s">
        <v>297</v>
      </c>
      <c r="E92" s="34" t="s">
        <v>298</v>
      </c>
      <c r="F92" s="44">
        <f>IFERROR(VLOOKUP(C92,路飞话务数据源!D:Q,2,FALSE),0)</f>
        <v>18</v>
      </c>
      <c r="G92" s="44">
        <f>IFERROR(VLOOKUP(C92,路飞话务数据源!D:Q,3,FALSE),0)</f>
        <v>6</v>
      </c>
      <c r="H92" s="44">
        <f>IFERROR(VLOOKUP(C92,路飞话务数据源!D:Q,4,FALSE),0)</f>
        <v>0.333333333333333</v>
      </c>
      <c r="I92" s="44">
        <f>IFERROR(VLOOKUP(C92,路飞话务数据源!D:Q,5,FALSE),0)</f>
        <v>4</v>
      </c>
      <c r="J92" s="45">
        <f>IFERROR(VLOOKUP(C92,路飞话务数据源!D:Q,6,FALSE),0)</f>
        <v>4</v>
      </c>
      <c r="K92" s="44">
        <f>IFERROR(VLOOKUP(C92,路飞话务数据源!D:Q,7,FALSE),0)</f>
        <v>1</v>
      </c>
      <c r="L92" s="46">
        <f>IFERROR(VLOOKUP(C92,路飞话务数据源!D:Q,8,FALSE),0)</f>
        <v>0</v>
      </c>
      <c r="M92" s="46">
        <f>IFERROR(VLOOKUP(C92,路飞话务数据源!D:Q,9,FALSE),0)</f>
        <v>4.36666666666667</v>
      </c>
      <c r="N92" s="46">
        <f>IFERROR(VLOOKUP(C92,路飞话务数据源!D:Q,10,FALSE),0)</f>
        <v>0</v>
      </c>
      <c r="O92" s="46">
        <f>IFERROR(VLOOKUP(C92,路飞话务数据源!D:Q,11,FALSE),0)</f>
        <v>0</v>
      </c>
      <c r="P92" s="46">
        <f>IFERROR(VLOOKUP(C92,路飞话务数据源!D:Q,12,FALSE),0)</f>
        <v>0</v>
      </c>
      <c r="Q92" s="60">
        <f>IFERROR(VLOOKUP(C92,路飞话务数据源!D:Q,13,FALSE),0)</f>
        <v>0</v>
      </c>
      <c r="R92" s="61">
        <f ca="1" t="shared" si="4"/>
        <v>1</v>
      </c>
      <c r="S92" s="35" t="str">
        <f ca="1" t="shared" si="3"/>
        <v>1年-2年</v>
      </c>
      <c r="T92" s="34" t="s">
        <v>295</v>
      </c>
      <c r="U92" s="46">
        <f>SUMIFS(路飞意向数据源!F:F,路飞意向数据源!B:B,A92,路飞意向数据源!C:C,B92,路飞意向数据源!D:D,C92)</f>
        <v>0</v>
      </c>
      <c r="V92" s="46"/>
      <c r="W92" s="20"/>
      <c r="X92" s="35"/>
    </row>
    <row r="93" spans="1:24">
      <c r="A93" s="34" t="s">
        <v>51</v>
      </c>
      <c r="B93" s="34" t="s">
        <v>22</v>
      </c>
      <c r="C93" s="34" t="s">
        <v>299</v>
      </c>
      <c r="D93" s="34" t="s">
        <v>300</v>
      </c>
      <c r="E93" s="34" t="s">
        <v>301</v>
      </c>
      <c r="F93" s="44">
        <f>IFERROR(VLOOKUP(C93,路飞话务数据源!D:Q,2,FALSE),0)</f>
        <v>14</v>
      </c>
      <c r="G93" s="44">
        <f>IFERROR(VLOOKUP(C93,路飞话务数据源!D:Q,3,FALSE),0)</f>
        <v>5</v>
      </c>
      <c r="H93" s="44">
        <f>IFERROR(VLOOKUP(C93,路飞话务数据源!D:Q,4,FALSE),0)</f>
        <v>0.357142857142857</v>
      </c>
      <c r="I93" s="44">
        <f>IFERROR(VLOOKUP(C93,路飞话务数据源!D:Q,5,FALSE),0)</f>
        <v>4</v>
      </c>
      <c r="J93" s="45">
        <f>IFERROR(VLOOKUP(C93,路飞话务数据源!D:Q,6,FALSE),0)</f>
        <v>4</v>
      </c>
      <c r="K93" s="44">
        <f>IFERROR(VLOOKUP(C93,路飞话务数据源!D:Q,7,FALSE),0)</f>
        <v>4</v>
      </c>
      <c r="L93" s="46">
        <f>IFERROR(VLOOKUP(C93,路飞话务数据源!D:Q,8,FALSE),0)</f>
        <v>0</v>
      </c>
      <c r="M93" s="46">
        <f>IFERROR(VLOOKUP(C93,路飞话务数据源!D:Q,9,FALSE),0)</f>
        <v>8.58333333333333</v>
      </c>
      <c r="N93" s="46">
        <f>IFERROR(VLOOKUP(C93,路飞话务数据源!D:Q,10,FALSE),0)</f>
        <v>0</v>
      </c>
      <c r="O93" s="46">
        <f>IFERROR(VLOOKUP(C93,路飞话务数据源!D:Q,11,FALSE),0)</f>
        <v>0</v>
      </c>
      <c r="P93" s="46">
        <f>IFERROR(VLOOKUP(C93,路飞话务数据源!D:Q,12,FALSE),0)</f>
        <v>0</v>
      </c>
      <c r="Q93" s="60">
        <f>IFERROR(VLOOKUP(C93,路飞话务数据源!D:Q,13,FALSE),0)</f>
        <v>0</v>
      </c>
      <c r="R93" s="61">
        <f ca="1" t="shared" si="4"/>
        <v>1</v>
      </c>
      <c r="S93" s="35" t="str">
        <f ca="1" t="shared" si="3"/>
        <v>2年-3年</v>
      </c>
      <c r="T93" s="34" t="s">
        <v>295</v>
      </c>
      <c r="U93" s="46">
        <f>SUMIFS(路飞意向数据源!F:F,路飞意向数据源!B:B,A93,路飞意向数据源!C:C,B93,路飞意向数据源!D:D,C93)</f>
        <v>0</v>
      </c>
      <c r="V93" s="46"/>
      <c r="W93" s="20"/>
      <c r="X93" s="35"/>
    </row>
    <row r="94" spans="1:24">
      <c r="A94" s="34" t="s">
        <v>51</v>
      </c>
      <c r="B94" s="34" t="s">
        <v>22</v>
      </c>
      <c r="C94" s="34" t="s">
        <v>302</v>
      </c>
      <c r="D94" s="34" t="s">
        <v>303</v>
      </c>
      <c r="E94" s="34" t="s">
        <v>304</v>
      </c>
      <c r="F94" s="44">
        <f>IFERROR(VLOOKUP(C94,路飞话务数据源!D:Q,2,FALSE),0)</f>
        <v>42</v>
      </c>
      <c r="G94" s="44">
        <f>IFERROR(VLOOKUP(C94,路飞话务数据源!D:Q,3,FALSE),0)</f>
        <v>22</v>
      </c>
      <c r="H94" s="44">
        <f>IFERROR(VLOOKUP(C94,路飞话务数据源!D:Q,4,FALSE),0)</f>
        <v>0.523809523809524</v>
      </c>
      <c r="I94" s="44">
        <f>IFERROR(VLOOKUP(C94,路飞话务数据源!D:Q,5,FALSE),0)</f>
        <v>12</v>
      </c>
      <c r="J94" s="45">
        <f>IFERROR(VLOOKUP(C94,路飞话务数据源!D:Q,6,FALSE),0)</f>
        <v>10</v>
      </c>
      <c r="K94" s="44">
        <f>IFERROR(VLOOKUP(C94,路飞话务数据源!D:Q,7,FALSE),0)</f>
        <v>7</v>
      </c>
      <c r="L94" s="46">
        <f>IFERROR(VLOOKUP(C94,路飞话务数据源!D:Q,8,FALSE),0)</f>
        <v>0</v>
      </c>
      <c r="M94" s="46">
        <f>IFERROR(VLOOKUP(C94,路飞话务数据源!D:Q,9,FALSE),0)</f>
        <v>16.8666666666667</v>
      </c>
      <c r="N94" s="46">
        <f>IFERROR(VLOOKUP(C94,路飞话务数据源!D:Q,10,FALSE),0)</f>
        <v>0</v>
      </c>
      <c r="O94" s="46">
        <f>IFERROR(VLOOKUP(C94,路飞话务数据源!D:Q,11,FALSE),0)</f>
        <v>0</v>
      </c>
      <c r="P94" s="46">
        <f>IFERROR(VLOOKUP(C94,路飞话务数据源!D:Q,12,FALSE),0)</f>
        <v>0</v>
      </c>
      <c r="Q94" s="60">
        <f>IFERROR(VLOOKUP(C94,路飞话务数据源!D:Q,13,FALSE),0)</f>
        <v>0</v>
      </c>
      <c r="R94" s="61">
        <f ca="1" t="shared" si="4"/>
        <v>1</v>
      </c>
      <c r="S94" s="35" t="str">
        <f ca="1" t="shared" si="3"/>
        <v>3年以上</v>
      </c>
      <c r="T94" s="34" t="s">
        <v>295</v>
      </c>
      <c r="U94" s="46">
        <f>SUMIFS(路飞意向数据源!F:F,路飞意向数据源!B:B,A94,路飞意向数据源!C:C,B94,路飞意向数据源!D:D,C94)</f>
        <v>0</v>
      </c>
      <c r="V94" s="46"/>
      <c r="W94" s="20"/>
      <c r="X94" s="35"/>
    </row>
    <row r="95" spans="1:24">
      <c r="A95" s="34" t="s">
        <v>51</v>
      </c>
      <c r="B95" s="34" t="s">
        <v>22</v>
      </c>
      <c r="C95" s="34" t="s">
        <v>305</v>
      </c>
      <c r="D95" s="34" t="s">
        <v>306</v>
      </c>
      <c r="E95" s="34" t="s">
        <v>94</v>
      </c>
      <c r="F95" s="44">
        <f>IFERROR(VLOOKUP(C95,路飞话务数据源!D:Q,2,FALSE),0)</f>
        <v>20</v>
      </c>
      <c r="G95" s="44">
        <f>IFERROR(VLOOKUP(C95,路飞话务数据源!D:Q,3,FALSE),0)</f>
        <v>5</v>
      </c>
      <c r="H95" s="44">
        <f>IFERROR(VLOOKUP(C95,路飞话务数据源!D:Q,4,FALSE),0)</f>
        <v>0.25</v>
      </c>
      <c r="I95" s="44">
        <f>IFERROR(VLOOKUP(C95,路飞话务数据源!D:Q,5,FALSE),0)</f>
        <v>5</v>
      </c>
      <c r="J95" s="45">
        <f>IFERROR(VLOOKUP(C95,路飞话务数据源!D:Q,6,FALSE),0)</f>
        <v>4</v>
      </c>
      <c r="K95" s="44">
        <f>IFERROR(VLOOKUP(C95,路飞话务数据源!D:Q,7,FALSE),0)</f>
        <v>2</v>
      </c>
      <c r="L95" s="46">
        <f>IFERROR(VLOOKUP(C95,路飞话务数据源!D:Q,8,FALSE),0)</f>
        <v>0</v>
      </c>
      <c r="M95" s="46">
        <f>IFERROR(VLOOKUP(C95,路飞话务数据源!D:Q,9,FALSE),0)</f>
        <v>6</v>
      </c>
      <c r="N95" s="46">
        <f>IFERROR(VLOOKUP(C95,路飞话务数据源!D:Q,10,FALSE),0)</f>
        <v>0</v>
      </c>
      <c r="O95" s="46">
        <f>IFERROR(VLOOKUP(C95,路飞话务数据源!D:Q,11,FALSE),0)</f>
        <v>0</v>
      </c>
      <c r="P95" s="46">
        <f>IFERROR(VLOOKUP(C95,路飞话务数据源!D:Q,12,FALSE),0)</f>
        <v>0</v>
      </c>
      <c r="Q95" s="60">
        <f>IFERROR(VLOOKUP(C95,路飞话务数据源!D:Q,13,FALSE),0)</f>
        <v>0</v>
      </c>
      <c r="R95" s="61">
        <f ca="1" t="shared" si="4"/>
        <v>1</v>
      </c>
      <c r="S95" s="35" t="str">
        <f ca="1" t="shared" si="3"/>
        <v>1-3月</v>
      </c>
      <c r="T95" s="34" t="s">
        <v>295</v>
      </c>
      <c r="U95" s="46">
        <f>SUMIFS(路飞意向数据源!F:F,路飞意向数据源!B:B,A95,路飞意向数据源!C:C,B95,路飞意向数据源!D:D,C95)</f>
        <v>0</v>
      </c>
      <c r="V95" s="46"/>
      <c r="W95" s="20"/>
      <c r="X95" s="35"/>
    </row>
    <row r="96" spans="1:24">
      <c r="A96" s="34" t="s">
        <v>51</v>
      </c>
      <c r="B96" s="34" t="s">
        <v>22</v>
      </c>
      <c r="C96" s="34" t="s">
        <v>307</v>
      </c>
      <c r="D96" s="34" t="s">
        <v>308</v>
      </c>
      <c r="E96" s="34" t="s">
        <v>309</v>
      </c>
      <c r="F96" s="44">
        <f>IFERROR(VLOOKUP(C96,路飞话务数据源!D:Q,2,FALSE),0)</f>
        <v>35</v>
      </c>
      <c r="G96" s="44">
        <f>IFERROR(VLOOKUP(C96,路飞话务数据源!D:Q,3,FALSE),0)</f>
        <v>13</v>
      </c>
      <c r="H96" s="44">
        <f>IFERROR(VLOOKUP(C96,路飞话务数据源!D:Q,4,FALSE),0)</f>
        <v>0.371428571428571</v>
      </c>
      <c r="I96" s="44">
        <f>IFERROR(VLOOKUP(C96,路飞话务数据源!D:Q,5,FALSE),0)</f>
        <v>6</v>
      </c>
      <c r="J96" s="45">
        <f>IFERROR(VLOOKUP(C96,路飞话务数据源!D:Q,6,FALSE),0)</f>
        <v>4</v>
      </c>
      <c r="K96" s="44">
        <f>IFERROR(VLOOKUP(C96,路飞话务数据源!D:Q,7,FALSE),0)</f>
        <v>1</v>
      </c>
      <c r="L96" s="46">
        <f>IFERROR(VLOOKUP(C96,路飞话务数据源!D:Q,8,FALSE),0)</f>
        <v>0</v>
      </c>
      <c r="M96" s="46">
        <f>IFERROR(VLOOKUP(C96,路飞话务数据源!D:Q,9,FALSE),0)</f>
        <v>6.58333333333333</v>
      </c>
      <c r="N96" s="46">
        <f>IFERROR(VLOOKUP(C96,路飞话务数据源!D:Q,10,FALSE),0)</f>
        <v>0</v>
      </c>
      <c r="O96" s="46">
        <f>IFERROR(VLOOKUP(C96,路飞话务数据源!D:Q,11,FALSE),0)</f>
        <v>0</v>
      </c>
      <c r="P96" s="46">
        <f>IFERROR(VLOOKUP(C96,路飞话务数据源!D:Q,12,FALSE),0)</f>
        <v>0</v>
      </c>
      <c r="Q96" s="60">
        <f>IFERROR(VLOOKUP(C96,路飞话务数据源!D:Q,13,FALSE),0)</f>
        <v>0</v>
      </c>
      <c r="R96" s="61">
        <f ca="1" t="shared" si="4"/>
        <v>1</v>
      </c>
      <c r="S96" s="35" t="str">
        <f ca="1" t="shared" si="3"/>
        <v>1年-2年</v>
      </c>
      <c r="T96" s="34" t="s">
        <v>295</v>
      </c>
      <c r="U96" s="46">
        <f>SUMIFS(路飞意向数据源!F:F,路飞意向数据源!B:B,A96,路飞意向数据源!C:C,B96,路飞意向数据源!D:D,C96)</f>
        <v>0</v>
      </c>
      <c r="V96" s="46"/>
      <c r="W96" s="20"/>
      <c r="X96" s="35"/>
    </row>
    <row r="97" spans="1:24">
      <c r="A97" s="34" t="s">
        <v>51</v>
      </c>
      <c r="B97" s="34" t="s">
        <v>22</v>
      </c>
      <c r="C97" s="34" t="s">
        <v>310</v>
      </c>
      <c r="D97" s="34" t="s">
        <v>311</v>
      </c>
      <c r="E97" s="34" t="s">
        <v>312</v>
      </c>
      <c r="F97" s="44">
        <f>IFERROR(VLOOKUP(C97,路飞话务数据源!D:Q,2,FALSE),0)</f>
        <v>251</v>
      </c>
      <c r="G97" s="44">
        <f>IFERROR(VLOOKUP(C97,路飞话务数据源!D:Q,3,FALSE),0)</f>
        <v>94</v>
      </c>
      <c r="H97" s="44">
        <f>IFERROR(VLOOKUP(C97,路飞话务数据源!D:Q,4,FALSE),0)</f>
        <v>0.374501992031873</v>
      </c>
      <c r="I97" s="44">
        <f>IFERROR(VLOOKUP(C97,路飞话务数据源!D:Q,5,FALSE),0)</f>
        <v>46</v>
      </c>
      <c r="J97" s="45">
        <f>IFERROR(VLOOKUP(C97,路飞话务数据源!D:Q,6,FALSE),0)</f>
        <v>31</v>
      </c>
      <c r="K97" s="44">
        <f>IFERROR(VLOOKUP(C97,路飞话务数据源!D:Q,7,FALSE),0)</f>
        <v>24</v>
      </c>
      <c r="L97" s="46">
        <f>IFERROR(VLOOKUP(C97,路飞话务数据源!D:Q,8,FALSE),0)</f>
        <v>2</v>
      </c>
      <c r="M97" s="46">
        <f>IFERROR(VLOOKUP(C97,路飞话务数据源!D:Q,9,FALSE),0)</f>
        <v>69.6166666666667</v>
      </c>
      <c r="N97" s="46">
        <f>IFERROR(VLOOKUP(C97,路飞话务数据源!D:Q,10,FALSE),0)</f>
        <v>0</v>
      </c>
      <c r="O97" s="46">
        <f>IFERROR(VLOOKUP(C97,路飞话务数据源!D:Q,11,FALSE),0)</f>
        <v>0</v>
      </c>
      <c r="P97" s="46">
        <f>IFERROR(VLOOKUP(C97,路飞话务数据源!D:Q,12,FALSE),0)</f>
        <v>0</v>
      </c>
      <c r="Q97" s="60">
        <f>IFERROR(VLOOKUP(C97,路飞话务数据源!D:Q,13,FALSE),0)</f>
        <v>0</v>
      </c>
      <c r="R97" s="61">
        <f ca="1" t="shared" si="4"/>
        <v>1</v>
      </c>
      <c r="S97" s="35" t="str">
        <f ca="1" t="shared" si="3"/>
        <v>月内</v>
      </c>
      <c r="T97" s="34" t="s">
        <v>295</v>
      </c>
      <c r="U97" s="46">
        <f>SUMIFS(路飞意向数据源!F:F,路飞意向数据源!B:B,A97,路飞意向数据源!C:C,B97,路飞意向数据源!D:D,C97)</f>
        <v>0</v>
      </c>
      <c r="V97" s="46"/>
      <c r="W97" s="20"/>
      <c r="X97" s="35"/>
    </row>
    <row r="98" spans="1:24">
      <c r="A98" s="34" t="s">
        <v>51</v>
      </c>
      <c r="B98" s="34" t="s">
        <v>22</v>
      </c>
      <c r="C98" s="34" t="s">
        <v>313</v>
      </c>
      <c r="D98" s="34" t="s">
        <v>314</v>
      </c>
      <c r="E98" s="34" t="s">
        <v>315</v>
      </c>
      <c r="F98" s="44">
        <f>IFERROR(VLOOKUP(C98,路飞话务数据源!D:Q,2,FALSE),0)</f>
        <v>10</v>
      </c>
      <c r="G98" s="44">
        <f>IFERROR(VLOOKUP(C98,路飞话务数据源!D:Q,3,FALSE),0)</f>
        <v>3</v>
      </c>
      <c r="H98" s="44">
        <f>IFERROR(VLOOKUP(C98,路飞话务数据源!D:Q,4,FALSE),0)</f>
        <v>0.3</v>
      </c>
      <c r="I98" s="44">
        <f>IFERROR(VLOOKUP(C98,路飞话务数据源!D:Q,5,FALSE),0)</f>
        <v>2</v>
      </c>
      <c r="J98" s="45">
        <f>IFERROR(VLOOKUP(C98,路飞话务数据源!D:Q,6,FALSE),0)</f>
        <v>1</v>
      </c>
      <c r="K98" s="44">
        <f>IFERROR(VLOOKUP(C98,路飞话务数据源!D:Q,7,FALSE),0)</f>
        <v>0</v>
      </c>
      <c r="L98" s="46">
        <f>IFERROR(VLOOKUP(C98,路飞话务数据源!D:Q,8,FALSE),0)</f>
        <v>0</v>
      </c>
      <c r="M98" s="46">
        <f>IFERROR(VLOOKUP(C98,路飞话务数据源!D:Q,9,FALSE),0)</f>
        <v>1.46666666666667</v>
      </c>
      <c r="N98" s="46">
        <f>IFERROR(VLOOKUP(C98,路飞话务数据源!D:Q,10,FALSE),0)</f>
        <v>0</v>
      </c>
      <c r="O98" s="46">
        <f>IFERROR(VLOOKUP(C98,路飞话务数据源!D:Q,11,FALSE),0)</f>
        <v>0</v>
      </c>
      <c r="P98" s="46">
        <f>IFERROR(VLOOKUP(C98,路飞话务数据源!D:Q,12,FALSE),0)</f>
        <v>0</v>
      </c>
      <c r="Q98" s="60">
        <f>IFERROR(VLOOKUP(C98,路飞话务数据源!D:Q,13,FALSE),0)</f>
        <v>0</v>
      </c>
      <c r="R98" s="61">
        <f ca="1" t="shared" si="4"/>
        <v>1</v>
      </c>
      <c r="S98" s="35" t="str">
        <f ca="1" t="shared" si="3"/>
        <v>3年以上</v>
      </c>
      <c r="T98" s="34" t="s">
        <v>295</v>
      </c>
      <c r="U98" s="46">
        <f>SUMIFS(路飞意向数据源!F:F,路飞意向数据源!B:B,A98,路飞意向数据源!C:C,B98,路飞意向数据源!D:D,C98)</f>
        <v>0</v>
      </c>
      <c r="V98" s="46"/>
      <c r="W98" s="20"/>
      <c r="X98" s="35"/>
    </row>
    <row r="99" spans="1:24">
      <c r="A99" s="34" t="s">
        <v>101</v>
      </c>
      <c r="B99" s="34" t="s">
        <v>151</v>
      </c>
      <c r="C99" s="34" t="s">
        <v>316</v>
      </c>
      <c r="D99" s="34" t="s">
        <v>317</v>
      </c>
      <c r="E99" s="34" t="s">
        <v>318</v>
      </c>
      <c r="F99" s="44">
        <f>IFERROR(VLOOKUP(C99,路飞话务数据源!D:Q,2,FALSE),0)</f>
        <v>89</v>
      </c>
      <c r="G99" s="44">
        <f>IFERROR(VLOOKUP(C99,路飞话务数据源!D:Q,3,FALSE),0)</f>
        <v>40</v>
      </c>
      <c r="H99" s="44">
        <f>IFERROR(VLOOKUP(C99,路飞话务数据源!D:Q,4,FALSE),0)</f>
        <v>0.449438202247191</v>
      </c>
      <c r="I99" s="44">
        <f>IFERROR(VLOOKUP(C99,路飞话务数据源!D:Q,5,FALSE),0)</f>
        <v>20</v>
      </c>
      <c r="J99" s="45">
        <f>IFERROR(VLOOKUP(C99,路飞话务数据源!D:Q,6,FALSE),0)</f>
        <v>15</v>
      </c>
      <c r="K99" s="44">
        <f>IFERROR(VLOOKUP(C99,路飞话务数据源!D:Q,7,FALSE),0)</f>
        <v>10</v>
      </c>
      <c r="L99" s="46">
        <f>IFERROR(VLOOKUP(C99,路飞话务数据源!D:Q,8,FALSE),0)</f>
        <v>2</v>
      </c>
      <c r="M99" s="46">
        <f>IFERROR(VLOOKUP(C99,路飞话务数据源!D:Q,9,FALSE),0)</f>
        <v>39.0666666666667</v>
      </c>
      <c r="N99" s="46">
        <f>IFERROR(VLOOKUP(C99,路飞话务数据源!D:Q,10,FALSE),0)</f>
        <v>0</v>
      </c>
      <c r="O99" s="46">
        <f>IFERROR(VLOOKUP(C99,路飞话务数据源!D:Q,11,FALSE),0)</f>
        <v>0</v>
      </c>
      <c r="P99" s="46">
        <f>IFERROR(VLOOKUP(C99,路飞话务数据源!D:Q,12,FALSE),0)</f>
        <v>0</v>
      </c>
      <c r="Q99" s="60">
        <f>IFERROR(VLOOKUP(C99,路飞话务数据源!D:Q,13,FALSE),0)</f>
        <v>0</v>
      </c>
      <c r="R99" s="61">
        <f ca="1" t="shared" si="4"/>
        <v>1</v>
      </c>
      <c r="S99" s="35" t="str">
        <f ca="1" t="shared" si="3"/>
        <v>3年以上</v>
      </c>
      <c r="T99" s="34" t="s">
        <v>319</v>
      </c>
      <c r="U99" s="46">
        <f>SUMIFS(路飞意向数据源!F:F,路飞意向数据源!B:B,A99,路飞意向数据源!C:C,B99,路飞意向数据源!D:D,C99)</f>
        <v>0</v>
      </c>
      <c r="V99" s="46"/>
      <c r="W99" s="20"/>
      <c r="X99" s="35"/>
    </row>
    <row r="100" spans="1:24">
      <c r="A100" s="34" t="s">
        <v>101</v>
      </c>
      <c r="B100" s="34" t="s">
        <v>151</v>
      </c>
      <c r="C100" s="34" t="s">
        <v>320</v>
      </c>
      <c r="D100" s="34" t="s">
        <v>321</v>
      </c>
      <c r="E100" s="34" t="s">
        <v>322</v>
      </c>
      <c r="F100" s="44">
        <f>IFERROR(VLOOKUP(C100,路飞话务数据源!D:Q,2,FALSE),0)</f>
        <v>237</v>
      </c>
      <c r="G100" s="44">
        <f>IFERROR(VLOOKUP(C100,路飞话务数据源!D:Q,3,FALSE),0)</f>
        <v>117</v>
      </c>
      <c r="H100" s="44">
        <f>IFERROR(VLOOKUP(C100,路飞话务数据源!D:Q,4,FALSE),0)</f>
        <v>0.493670886075949</v>
      </c>
      <c r="I100" s="44">
        <f>IFERROR(VLOOKUP(C100,路飞话务数据源!D:Q,5,FALSE),0)</f>
        <v>43</v>
      </c>
      <c r="J100" s="45">
        <f>IFERROR(VLOOKUP(C100,路飞话务数据源!D:Q,6,FALSE),0)</f>
        <v>31</v>
      </c>
      <c r="K100" s="44">
        <f>IFERROR(VLOOKUP(C100,路飞话务数据源!D:Q,7,FALSE),0)</f>
        <v>17</v>
      </c>
      <c r="L100" s="46">
        <f>IFERROR(VLOOKUP(C100,路飞话务数据源!D:Q,8,FALSE),0)</f>
        <v>1</v>
      </c>
      <c r="M100" s="46">
        <f>IFERROR(VLOOKUP(C100,路飞话务数据源!D:Q,9,FALSE),0)</f>
        <v>66.9833333333333</v>
      </c>
      <c r="N100" s="46">
        <f>IFERROR(VLOOKUP(C100,路飞话务数据源!D:Q,10,FALSE),0)</f>
        <v>0</v>
      </c>
      <c r="O100" s="46">
        <f>IFERROR(VLOOKUP(C100,路飞话务数据源!D:Q,11,FALSE),0)</f>
        <v>0</v>
      </c>
      <c r="P100" s="46">
        <f>IFERROR(VLOOKUP(C100,路飞话务数据源!D:Q,12,FALSE),0)</f>
        <v>0</v>
      </c>
      <c r="Q100" s="60">
        <f>IFERROR(VLOOKUP(C100,路飞话务数据源!D:Q,13,FALSE),0)</f>
        <v>0</v>
      </c>
      <c r="R100" s="61">
        <f ca="1" t="shared" si="4"/>
        <v>1</v>
      </c>
      <c r="S100" s="35" t="str">
        <f ca="1" t="shared" si="3"/>
        <v>7月-12月</v>
      </c>
      <c r="T100" s="34" t="s">
        <v>319</v>
      </c>
      <c r="U100" s="46">
        <f>SUMIFS(路飞意向数据源!F:F,路飞意向数据源!B:B,A100,路飞意向数据源!C:C,B100,路飞意向数据源!D:D,C100)</f>
        <v>0</v>
      </c>
      <c r="V100" s="46"/>
      <c r="W100" s="20"/>
      <c r="X100" s="35"/>
    </row>
    <row r="101" spans="1:24">
      <c r="A101" s="34" t="s">
        <v>101</v>
      </c>
      <c r="B101" s="34" t="s">
        <v>151</v>
      </c>
      <c r="C101" s="34" t="s">
        <v>323</v>
      </c>
      <c r="D101" s="34" t="s">
        <v>324</v>
      </c>
      <c r="E101" s="34" t="s">
        <v>325</v>
      </c>
      <c r="F101" s="44">
        <f>IFERROR(VLOOKUP(C101,路飞话务数据源!D:Q,2,FALSE),0)</f>
        <v>80</v>
      </c>
      <c r="G101" s="44">
        <f>IFERROR(VLOOKUP(C101,路飞话务数据源!D:Q,3,FALSE),0)</f>
        <v>35</v>
      </c>
      <c r="H101" s="44">
        <f>IFERROR(VLOOKUP(C101,路飞话务数据源!D:Q,4,FALSE),0)</f>
        <v>0.4375</v>
      </c>
      <c r="I101" s="44">
        <f>IFERROR(VLOOKUP(C101,路飞话务数据源!D:Q,5,FALSE),0)</f>
        <v>27</v>
      </c>
      <c r="J101" s="45">
        <f>IFERROR(VLOOKUP(C101,路飞话务数据源!D:Q,6,FALSE),0)</f>
        <v>23</v>
      </c>
      <c r="K101" s="44">
        <f>IFERROR(VLOOKUP(C101,路飞话务数据源!D:Q,7,FALSE),0)</f>
        <v>18</v>
      </c>
      <c r="L101" s="46">
        <f>IFERROR(VLOOKUP(C101,路飞话务数据源!D:Q,8,FALSE),0)</f>
        <v>0</v>
      </c>
      <c r="M101" s="46">
        <f>IFERROR(VLOOKUP(C101,路飞话务数据源!D:Q,9,FALSE),0)</f>
        <v>38.0333333333333</v>
      </c>
      <c r="N101" s="46">
        <f>IFERROR(VLOOKUP(C101,路飞话务数据源!D:Q,10,FALSE),0)</f>
        <v>0</v>
      </c>
      <c r="O101" s="46">
        <f>IFERROR(VLOOKUP(C101,路飞话务数据源!D:Q,11,FALSE),0)</f>
        <v>0</v>
      </c>
      <c r="P101" s="46">
        <f>IFERROR(VLOOKUP(C101,路飞话务数据源!D:Q,12,FALSE),0)</f>
        <v>0</v>
      </c>
      <c r="Q101" s="60">
        <f>IFERROR(VLOOKUP(C101,路飞话务数据源!D:Q,13,FALSE),0)</f>
        <v>0</v>
      </c>
      <c r="R101" s="61">
        <f ca="1" t="shared" si="4"/>
        <v>1</v>
      </c>
      <c r="S101" s="35" t="str">
        <f ca="1" t="shared" si="3"/>
        <v>4月-6月</v>
      </c>
      <c r="T101" s="34" t="s">
        <v>319</v>
      </c>
      <c r="U101" s="46">
        <f>SUMIFS(路飞意向数据源!F:F,路飞意向数据源!B:B,A101,路飞意向数据源!C:C,B101,路飞意向数据源!D:D,C101)</f>
        <v>2</v>
      </c>
      <c r="V101" s="46"/>
      <c r="W101" s="20"/>
      <c r="X101" s="35"/>
    </row>
    <row r="102" spans="1:24">
      <c r="A102" s="34" t="s">
        <v>101</v>
      </c>
      <c r="B102" s="34" t="s">
        <v>151</v>
      </c>
      <c r="C102" s="34" t="s">
        <v>326</v>
      </c>
      <c r="D102" s="34" t="s">
        <v>327</v>
      </c>
      <c r="E102" s="34" t="s">
        <v>141</v>
      </c>
      <c r="F102" s="44">
        <f>IFERROR(VLOOKUP(C102,路飞话务数据源!D:Q,2,FALSE),0)</f>
        <v>0</v>
      </c>
      <c r="G102" s="44">
        <f>IFERROR(VLOOKUP(C102,路飞话务数据源!D:Q,3,FALSE),0)</f>
        <v>0</v>
      </c>
      <c r="H102" s="44">
        <f>IFERROR(VLOOKUP(C102,路飞话务数据源!D:Q,4,FALSE),0)</f>
        <v>0</v>
      </c>
      <c r="I102" s="44">
        <f>IFERROR(VLOOKUP(C102,路飞话务数据源!D:Q,5,FALSE),0)</f>
        <v>0</v>
      </c>
      <c r="J102" s="45">
        <f>IFERROR(VLOOKUP(C102,路飞话务数据源!D:Q,6,FALSE),0)</f>
        <v>0</v>
      </c>
      <c r="K102" s="44">
        <f>IFERROR(VLOOKUP(C102,路飞话务数据源!D:Q,7,FALSE),0)</f>
        <v>0</v>
      </c>
      <c r="L102" s="46">
        <f>IFERROR(VLOOKUP(C102,路飞话务数据源!D:Q,8,FALSE),0)</f>
        <v>0</v>
      </c>
      <c r="M102" s="46">
        <f>IFERROR(VLOOKUP(C102,路飞话务数据源!D:Q,9,FALSE),0)</f>
        <v>0</v>
      </c>
      <c r="N102" s="46">
        <f>IFERROR(VLOOKUP(C102,路飞话务数据源!D:Q,10,FALSE),0)</f>
        <v>0</v>
      </c>
      <c r="O102" s="46">
        <f>IFERROR(VLOOKUP(C102,路飞话务数据源!D:Q,11,FALSE),0)</f>
        <v>0</v>
      </c>
      <c r="P102" s="46">
        <f>IFERROR(VLOOKUP(C102,路飞话务数据源!D:Q,12,FALSE),0)</f>
        <v>0</v>
      </c>
      <c r="Q102" s="60">
        <f>IFERROR(VLOOKUP(C102,路飞话务数据源!D:Q,13,FALSE),0)</f>
        <v>0</v>
      </c>
      <c r="R102" s="61">
        <f ca="1" t="shared" si="4"/>
        <v>0</v>
      </c>
      <c r="S102" s="35" t="str">
        <f ca="1" t="shared" si="3"/>
        <v>1-3月</v>
      </c>
      <c r="T102" s="34" t="s">
        <v>319</v>
      </c>
      <c r="U102" s="46">
        <f>SUMIFS(路飞意向数据源!F:F,路飞意向数据源!B:B,A102,路飞意向数据源!C:C,B102,路飞意向数据源!D:D,C102)</f>
        <v>0</v>
      </c>
      <c r="V102" s="46"/>
      <c r="W102" s="20"/>
      <c r="X102" s="35"/>
    </row>
    <row r="103" spans="1:24">
      <c r="A103" s="34" t="s">
        <v>101</v>
      </c>
      <c r="B103" s="34" t="s">
        <v>151</v>
      </c>
      <c r="C103" s="34" t="s">
        <v>328</v>
      </c>
      <c r="D103" s="34" t="s">
        <v>329</v>
      </c>
      <c r="E103" s="34" t="s">
        <v>330</v>
      </c>
      <c r="F103" s="44">
        <f>IFERROR(VLOOKUP(C103,路飞话务数据源!D:Q,2,FALSE),0)</f>
        <v>180</v>
      </c>
      <c r="G103" s="44">
        <f>IFERROR(VLOOKUP(C103,路飞话务数据源!D:Q,3,FALSE),0)</f>
        <v>78</v>
      </c>
      <c r="H103" s="44">
        <f>IFERROR(VLOOKUP(C103,路飞话务数据源!D:Q,4,FALSE),0)</f>
        <v>0.433333333333333</v>
      </c>
      <c r="I103" s="44">
        <f>IFERROR(VLOOKUP(C103,路飞话务数据源!D:Q,5,FALSE),0)</f>
        <v>35</v>
      </c>
      <c r="J103" s="45">
        <f>IFERROR(VLOOKUP(C103,路飞话务数据源!D:Q,6,FALSE),0)</f>
        <v>28</v>
      </c>
      <c r="K103" s="44">
        <f>IFERROR(VLOOKUP(C103,路飞话务数据源!D:Q,7,FALSE),0)</f>
        <v>15</v>
      </c>
      <c r="L103" s="46">
        <f>IFERROR(VLOOKUP(C103,路飞话务数据源!D:Q,8,FALSE),0)</f>
        <v>4</v>
      </c>
      <c r="M103" s="46">
        <f>IFERROR(VLOOKUP(C103,路飞话务数据源!D:Q,9,FALSE),0)</f>
        <v>58.5833333333333</v>
      </c>
      <c r="N103" s="46">
        <f>IFERROR(VLOOKUP(C103,路飞话务数据源!D:Q,10,FALSE),0)</f>
        <v>0</v>
      </c>
      <c r="O103" s="46">
        <f>IFERROR(VLOOKUP(C103,路飞话务数据源!D:Q,11,FALSE),0)</f>
        <v>0</v>
      </c>
      <c r="P103" s="46">
        <f>IFERROR(VLOOKUP(C103,路飞话务数据源!D:Q,12,FALSE),0)</f>
        <v>0</v>
      </c>
      <c r="Q103" s="60">
        <f>IFERROR(VLOOKUP(C103,路飞话务数据源!D:Q,13,FALSE),0)</f>
        <v>0</v>
      </c>
      <c r="R103" s="61">
        <f ca="1" t="shared" si="4"/>
        <v>1</v>
      </c>
      <c r="S103" s="35" t="str">
        <f ca="1" t="shared" si="3"/>
        <v>1-3月</v>
      </c>
      <c r="T103" s="34" t="s">
        <v>319</v>
      </c>
      <c r="U103" s="46">
        <f>SUMIFS(路飞意向数据源!F:F,路飞意向数据源!B:B,A103,路飞意向数据源!C:C,B103,路飞意向数据源!D:D,C103)</f>
        <v>1</v>
      </c>
      <c r="V103" s="46"/>
      <c r="W103" s="20"/>
      <c r="X103" s="35"/>
    </row>
    <row r="104" spans="1:24">
      <c r="A104" s="34" t="s">
        <v>101</v>
      </c>
      <c r="B104" s="34" t="s">
        <v>151</v>
      </c>
      <c r="C104" s="34" t="s">
        <v>331</v>
      </c>
      <c r="D104" s="34" t="s">
        <v>332</v>
      </c>
      <c r="E104" s="34" t="s">
        <v>333</v>
      </c>
      <c r="F104" s="44">
        <f>IFERROR(VLOOKUP(C104,路飞话务数据源!D:Q,2,FALSE),0)</f>
        <v>267</v>
      </c>
      <c r="G104" s="44">
        <f>IFERROR(VLOOKUP(C104,路飞话务数据源!D:Q,3,FALSE),0)</f>
        <v>118</v>
      </c>
      <c r="H104" s="44">
        <f>IFERROR(VLOOKUP(C104,路飞话务数据源!D:Q,4,FALSE),0)</f>
        <v>0.441947565543071</v>
      </c>
      <c r="I104" s="44">
        <f>IFERROR(VLOOKUP(C104,路飞话务数据源!D:Q,5,FALSE),0)</f>
        <v>53</v>
      </c>
      <c r="J104" s="45">
        <f>IFERROR(VLOOKUP(C104,路飞话务数据源!D:Q,6,FALSE),0)</f>
        <v>39</v>
      </c>
      <c r="K104" s="44">
        <f>IFERROR(VLOOKUP(C104,路飞话务数据源!D:Q,7,FALSE),0)</f>
        <v>15</v>
      </c>
      <c r="L104" s="46">
        <f>IFERROR(VLOOKUP(C104,路飞话务数据源!D:Q,8,FALSE),0)</f>
        <v>0</v>
      </c>
      <c r="M104" s="46">
        <f>IFERROR(VLOOKUP(C104,路飞话务数据源!D:Q,9,FALSE),0)</f>
        <v>68</v>
      </c>
      <c r="N104" s="46">
        <f>IFERROR(VLOOKUP(C104,路飞话务数据源!D:Q,10,FALSE),0)</f>
        <v>0</v>
      </c>
      <c r="O104" s="46">
        <f>IFERROR(VLOOKUP(C104,路飞话务数据源!D:Q,11,FALSE),0)</f>
        <v>0</v>
      </c>
      <c r="P104" s="46">
        <f>IFERROR(VLOOKUP(C104,路飞话务数据源!D:Q,12,FALSE),0)</f>
        <v>0</v>
      </c>
      <c r="Q104" s="60">
        <f>IFERROR(VLOOKUP(C104,路飞话务数据源!D:Q,13,FALSE),0)</f>
        <v>0</v>
      </c>
      <c r="R104" s="61">
        <f ca="1" t="shared" si="4"/>
        <v>1</v>
      </c>
      <c r="S104" s="35" t="str">
        <f ca="1" t="shared" si="3"/>
        <v>1-3月</v>
      </c>
      <c r="T104" s="34" t="s">
        <v>319</v>
      </c>
      <c r="U104" s="46">
        <f>SUMIFS(路飞意向数据源!F:F,路飞意向数据源!B:B,A104,路飞意向数据源!C:C,B104,路飞意向数据源!D:D,C104)</f>
        <v>0</v>
      </c>
      <c r="V104" s="46"/>
      <c r="W104" s="20"/>
      <c r="X104" s="35"/>
    </row>
    <row r="105" spans="1:24">
      <c r="A105" s="34" t="s">
        <v>101</v>
      </c>
      <c r="B105" s="34" t="s">
        <v>151</v>
      </c>
      <c r="C105" s="34" t="s">
        <v>334</v>
      </c>
      <c r="D105" s="34" t="s">
        <v>335</v>
      </c>
      <c r="E105" s="34" t="s">
        <v>336</v>
      </c>
      <c r="F105" s="44">
        <f>IFERROR(VLOOKUP(C105,路飞话务数据源!D:Q,2,FALSE),0)</f>
        <v>283</v>
      </c>
      <c r="G105" s="44">
        <f>IFERROR(VLOOKUP(C105,路飞话务数据源!D:Q,3,FALSE),0)</f>
        <v>158</v>
      </c>
      <c r="H105" s="44">
        <f>IFERROR(VLOOKUP(C105,路飞话务数据源!D:Q,4,FALSE),0)</f>
        <v>0.558303886925795</v>
      </c>
      <c r="I105" s="44">
        <f>IFERROR(VLOOKUP(C105,路飞话务数据源!D:Q,5,FALSE),0)</f>
        <v>70</v>
      </c>
      <c r="J105" s="45">
        <f>IFERROR(VLOOKUP(C105,路飞话务数据源!D:Q,6,FALSE),0)</f>
        <v>44</v>
      </c>
      <c r="K105" s="44">
        <f>IFERROR(VLOOKUP(C105,路飞话务数据源!D:Q,7,FALSE),0)</f>
        <v>28</v>
      </c>
      <c r="L105" s="46">
        <f>IFERROR(VLOOKUP(C105,路飞话务数据源!D:Q,8,FALSE),0)</f>
        <v>0</v>
      </c>
      <c r="M105" s="46">
        <f>IFERROR(VLOOKUP(C105,路飞话务数据源!D:Q,9,FALSE),0)</f>
        <v>97.3166666666667</v>
      </c>
      <c r="N105" s="46">
        <f>IFERROR(VLOOKUP(C105,路飞话务数据源!D:Q,10,FALSE),0)</f>
        <v>0</v>
      </c>
      <c r="O105" s="46">
        <f>IFERROR(VLOOKUP(C105,路飞话务数据源!D:Q,11,FALSE),0)</f>
        <v>0</v>
      </c>
      <c r="P105" s="46">
        <f>IFERROR(VLOOKUP(C105,路飞话务数据源!D:Q,12,FALSE),0)</f>
        <v>0</v>
      </c>
      <c r="Q105" s="60">
        <f>IFERROR(VLOOKUP(C105,路飞话务数据源!D:Q,13,FALSE),0)</f>
        <v>0</v>
      </c>
      <c r="R105" s="61">
        <f ca="1" t="shared" si="4"/>
        <v>1</v>
      </c>
      <c r="S105" s="35" t="str">
        <f ca="1" t="shared" si="3"/>
        <v>月内</v>
      </c>
      <c r="T105" s="34" t="s">
        <v>319</v>
      </c>
      <c r="U105" s="46">
        <f>SUMIFS(路飞意向数据源!F:F,路飞意向数据源!B:B,A105,路飞意向数据源!C:C,B105,路飞意向数据源!D:D,C105)</f>
        <v>0</v>
      </c>
      <c r="V105" s="46"/>
      <c r="W105" s="20"/>
      <c r="X105" s="35"/>
    </row>
    <row r="106" spans="1:24">
      <c r="A106" s="34" t="s">
        <v>101</v>
      </c>
      <c r="B106" s="34" t="s">
        <v>151</v>
      </c>
      <c r="C106" s="34" t="s">
        <v>337</v>
      </c>
      <c r="D106" s="34" t="s">
        <v>338</v>
      </c>
      <c r="E106" s="34" t="s">
        <v>339</v>
      </c>
      <c r="F106" s="44">
        <f>IFERROR(VLOOKUP(C106,路飞话务数据源!D:Q,2,FALSE),0)</f>
        <v>266</v>
      </c>
      <c r="G106" s="44">
        <f>IFERROR(VLOOKUP(C106,路飞话务数据源!D:Q,3,FALSE),0)</f>
        <v>135</v>
      </c>
      <c r="H106" s="44">
        <f>IFERROR(VLOOKUP(C106,路飞话务数据源!D:Q,4,FALSE),0)</f>
        <v>0.507518796992481</v>
      </c>
      <c r="I106" s="44">
        <f>IFERROR(VLOOKUP(C106,路飞话务数据源!D:Q,5,FALSE),0)</f>
        <v>52</v>
      </c>
      <c r="J106" s="45">
        <f>IFERROR(VLOOKUP(C106,路飞话务数据源!D:Q,6,FALSE),0)</f>
        <v>28</v>
      </c>
      <c r="K106" s="44">
        <f>IFERROR(VLOOKUP(C106,路飞话务数据源!D:Q,7,FALSE),0)</f>
        <v>24</v>
      </c>
      <c r="L106" s="46">
        <f>IFERROR(VLOOKUP(C106,路飞话务数据源!D:Q,8,FALSE),0)</f>
        <v>1</v>
      </c>
      <c r="M106" s="46">
        <f>IFERROR(VLOOKUP(C106,路飞话务数据源!D:Q,9,FALSE),0)</f>
        <v>72.85</v>
      </c>
      <c r="N106" s="46">
        <f>IFERROR(VLOOKUP(C106,路飞话务数据源!D:Q,10,FALSE),0)</f>
        <v>0</v>
      </c>
      <c r="O106" s="46">
        <f>IFERROR(VLOOKUP(C106,路飞话务数据源!D:Q,11,FALSE),0)</f>
        <v>0</v>
      </c>
      <c r="P106" s="46">
        <f>IFERROR(VLOOKUP(C106,路飞话务数据源!D:Q,12,FALSE),0)</f>
        <v>0</v>
      </c>
      <c r="Q106" s="60">
        <f>IFERROR(VLOOKUP(C106,路飞话务数据源!D:Q,13,FALSE),0)</f>
        <v>0</v>
      </c>
      <c r="R106" s="61">
        <f ca="1" t="shared" si="4"/>
        <v>1</v>
      </c>
      <c r="S106" s="35" t="str">
        <f ca="1" t="shared" si="3"/>
        <v>月内</v>
      </c>
      <c r="T106" s="34" t="s">
        <v>319</v>
      </c>
      <c r="U106" s="46">
        <f>SUMIFS(路飞意向数据源!F:F,路飞意向数据源!B:B,A106,路飞意向数据源!C:C,B106,路飞意向数据源!D:D,C106)</f>
        <v>0</v>
      </c>
      <c r="V106" s="46"/>
      <c r="W106" s="20"/>
      <c r="X106" s="35"/>
    </row>
    <row r="107" spans="1:24">
      <c r="A107" s="34" t="s">
        <v>101</v>
      </c>
      <c r="B107" s="34" t="s">
        <v>22</v>
      </c>
      <c r="C107" s="34" t="s">
        <v>340</v>
      </c>
      <c r="D107" s="34" t="s">
        <v>341</v>
      </c>
      <c r="E107" s="34" t="s">
        <v>157</v>
      </c>
      <c r="F107" s="44">
        <f>IFERROR(VLOOKUP(C107,路飞话务数据源!D:Q,2,FALSE),0)</f>
        <v>35</v>
      </c>
      <c r="G107" s="44">
        <f>IFERROR(VLOOKUP(C107,路飞话务数据源!D:Q,3,FALSE),0)</f>
        <v>21</v>
      </c>
      <c r="H107" s="44">
        <f>IFERROR(VLOOKUP(C107,路飞话务数据源!D:Q,4,FALSE),0)</f>
        <v>0.6</v>
      </c>
      <c r="I107" s="44">
        <f>IFERROR(VLOOKUP(C107,路飞话务数据源!D:Q,5,FALSE),0)</f>
        <v>13</v>
      </c>
      <c r="J107" s="45">
        <f>IFERROR(VLOOKUP(C107,路飞话务数据源!D:Q,6,FALSE),0)</f>
        <v>11</v>
      </c>
      <c r="K107" s="44">
        <f>IFERROR(VLOOKUP(C107,路飞话务数据源!D:Q,7,FALSE),0)</f>
        <v>8</v>
      </c>
      <c r="L107" s="46">
        <f>IFERROR(VLOOKUP(C107,路飞话务数据源!D:Q,8,FALSE),0)</f>
        <v>1</v>
      </c>
      <c r="M107" s="46">
        <f>IFERROR(VLOOKUP(C107,路飞话务数据源!D:Q,9,FALSE),0)</f>
        <v>22.7166666666667</v>
      </c>
      <c r="N107" s="46">
        <f>IFERROR(VLOOKUP(C107,路飞话务数据源!D:Q,10,FALSE),0)</f>
        <v>0</v>
      </c>
      <c r="O107" s="46">
        <f>IFERROR(VLOOKUP(C107,路飞话务数据源!D:Q,11,FALSE),0)</f>
        <v>0</v>
      </c>
      <c r="P107" s="46">
        <f>IFERROR(VLOOKUP(C107,路飞话务数据源!D:Q,12,FALSE),0)</f>
        <v>0</v>
      </c>
      <c r="Q107" s="60">
        <f>IFERROR(VLOOKUP(C107,路飞话务数据源!D:Q,13,FALSE),0)</f>
        <v>0</v>
      </c>
      <c r="R107" s="61">
        <f ca="1" t="shared" si="4"/>
        <v>1</v>
      </c>
      <c r="S107" s="35" t="str">
        <f ca="1" t="shared" si="3"/>
        <v>4月-6月</v>
      </c>
      <c r="T107" s="34" t="s">
        <v>342</v>
      </c>
      <c r="U107" s="46">
        <f>SUMIFS(路飞意向数据源!F:F,路飞意向数据源!B:B,A107,路飞意向数据源!C:C,B107,路飞意向数据源!D:D,C107)</f>
        <v>5</v>
      </c>
      <c r="V107" s="46"/>
      <c r="W107" s="20"/>
      <c r="X107" s="35"/>
    </row>
    <row r="108" spans="1:24">
      <c r="A108" s="34" t="s">
        <v>101</v>
      </c>
      <c r="B108" s="34" t="s">
        <v>22</v>
      </c>
      <c r="C108" s="34" t="s">
        <v>343</v>
      </c>
      <c r="D108" s="34" t="s">
        <v>344</v>
      </c>
      <c r="E108" s="34" t="s">
        <v>345</v>
      </c>
      <c r="F108" s="44">
        <f>IFERROR(VLOOKUP(C108,路飞话务数据源!D:Q,2,FALSE),0)</f>
        <v>148</v>
      </c>
      <c r="G108" s="44">
        <f>IFERROR(VLOOKUP(C108,路飞话务数据源!D:Q,3,FALSE),0)</f>
        <v>50</v>
      </c>
      <c r="H108" s="44">
        <f>IFERROR(VLOOKUP(C108,路飞话务数据源!D:Q,4,FALSE),0)</f>
        <v>0.337837837837838</v>
      </c>
      <c r="I108" s="44">
        <f>IFERROR(VLOOKUP(C108,路飞话务数据源!D:Q,5,FALSE),0)</f>
        <v>21</v>
      </c>
      <c r="J108" s="45">
        <f>IFERROR(VLOOKUP(C108,路飞话务数据源!D:Q,6,FALSE),0)</f>
        <v>17</v>
      </c>
      <c r="K108" s="44">
        <f>IFERROR(VLOOKUP(C108,路飞话务数据源!D:Q,7,FALSE),0)</f>
        <v>8</v>
      </c>
      <c r="L108" s="46">
        <f>IFERROR(VLOOKUP(C108,路飞话务数据源!D:Q,8,FALSE),0)</f>
        <v>1</v>
      </c>
      <c r="M108" s="46">
        <f>IFERROR(VLOOKUP(C108,路飞话务数据源!D:Q,9,FALSE),0)</f>
        <v>30.3833333333333</v>
      </c>
      <c r="N108" s="46">
        <f>IFERROR(VLOOKUP(C108,路飞话务数据源!D:Q,10,FALSE),0)</f>
        <v>0</v>
      </c>
      <c r="O108" s="46">
        <f>IFERROR(VLOOKUP(C108,路飞话务数据源!D:Q,11,FALSE),0)</f>
        <v>0</v>
      </c>
      <c r="P108" s="46">
        <f>IFERROR(VLOOKUP(C108,路飞话务数据源!D:Q,12,FALSE),0)</f>
        <v>0</v>
      </c>
      <c r="Q108" s="60">
        <f>IFERROR(VLOOKUP(C108,路飞话务数据源!D:Q,13,FALSE),0)</f>
        <v>0</v>
      </c>
      <c r="R108" s="61">
        <f ca="1" t="shared" si="4"/>
        <v>1</v>
      </c>
      <c r="S108" s="35" t="str">
        <f ca="1" t="shared" si="3"/>
        <v>1-3月</v>
      </c>
      <c r="T108" s="34" t="s">
        <v>342</v>
      </c>
      <c r="U108" s="46">
        <f>SUMIFS(路飞意向数据源!F:F,路飞意向数据源!B:B,A108,路飞意向数据源!C:C,B108,路飞意向数据源!D:D,C108)</f>
        <v>0</v>
      </c>
      <c r="V108" s="46"/>
      <c r="W108" s="20"/>
      <c r="X108" s="35"/>
    </row>
    <row r="109" spans="1:24">
      <c r="A109" s="34" t="s">
        <v>101</v>
      </c>
      <c r="B109" s="34" t="s">
        <v>22</v>
      </c>
      <c r="C109" s="34" t="s">
        <v>346</v>
      </c>
      <c r="D109" s="34" t="s">
        <v>347</v>
      </c>
      <c r="E109" s="34" t="s">
        <v>348</v>
      </c>
      <c r="F109" s="44">
        <f>IFERROR(VLOOKUP(C109,路飞话务数据源!D:Q,2,FALSE),0)</f>
        <v>13</v>
      </c>
      <c r="G109" s="44">
        <f>IFERROR(VLOOKUP(C109,路飞话务数据源!D:Q,3,FALSE),0)</f>
        <v>4</v>
      </c>
      <c r="H109" s="44">
        <f>IFERROR(VLOOKUP(C109,路飞话务数据源!D:Q,4,FALSE),0)</f>
        <v>0.307692307692308</v>
      </c>
      <c r="I109" s="44">
        <f>IFERROR(VLOOKUP(C109,路飞话务数据源!D:Q,5,FALSE),0)</f>
        <v>4</v>
      </c>
      <c r="J109" s="45">
        <f>IFERROR(VLOOKUP(C109,路飞话务数据源!D:Q,6,FALSE),0)</f>
        <v>2</v>
      </c>
      <c r="K109" s="44">
        <f>IFERROR(VLOOKUP(C109,路飞话务数据源!D:Q,7,FALSE),0)</f>
        <v>2</v>
      </c>
      <c r="L109" s="46">
        <f>IFERROR(VLOOKUP(C109,路飞话务数据源!D:Q,8,FALSE),0)</f>
        <v>0</v>
      </c>
      <c r="M109" s="46">
        <f>IFERROR(VLOOKUP(C109,路飞话务数据源!D:Q,9,FALSE),0)</f>
        <v>6.38333333333333</v>
      </c>
      <c r="N109" s="46">
        <f>IFERROR(VLOOKUP(C109,路飞话务数据源!D:Q,10,FALSE),0)</f>
        <v>1</v>
      </c>
      <c r="O109" s="46">
        <f>IFERROR(VLOOKUP(C109,路飞话务数据源!D:Q,11,FALSE),0)</f>
        <v>0</v>
      </c>
      <c r="P109" s="46">
        <f>IFERROR(VLOOKUP(C109,路飞话务数据源!D:Q,12,FALSE),0)</f>
        <v>0</v>
      </c>
      <c r="Q109" s="60">
        <f>IFERROR(VLOOKUP(C109,路飞话务数据源!D:Q,13,FALSE),0)</f>
        <v>0</v>
      </c>
      <c r="R109" s="61">
        <f ca="1" t="shared" si="4"/>
        <v>1</v>
      </c>
      <c r="S109" s="35" t="str">
        <f ca="1" t="shared" si="3"/>
        <v>3年以上</v>
      </c>
      <c r="T109" s="34" t="s">
        <v>342</v>
      </c>
      <c r="U109" s="46">
        <f>SUMIFS(路飞意向数据源!F:F,路飞意向数据源!B:B,A109,路飞意向数据源!C:C,B109,路飞意向数据源!D:D,C109)</f>
        <v>0</v>
      </c>
      <c r="V109" s="46"/>
      <c r="W109" s="20"/>
      <c r="X109" s="35"/>
    </row>
    <row r="110" spans="1:24">
      <c r="A110" s="34" t="s">
        <v>101</v>
      </c>
      <c r="B110" s="34" t="s">
        <v>22</v>
      </c>
      <c r="C110" s="34" t="s">
        <v>349</v>
      </c>
      <c r="D110" s="34" t="s">
        <v>350</v>
      </c>
      <c r="E110" s="34" t="s">
        <v>351</v>
      </c>
      <c r="F110" s="44">
        <f>IFERROR(VLOOKUP(C110,路飞话务数据源!D:Q,2,FALSE),0)</f>
        <v>0</v>
      </c>
      <c r="G110" s="44">
        <f>IFERROR(VLOOKUP(C110,路飞话务数据源!D:Q,3,FALSE),0)</f>
        <v>0</v>
      </c>
      <c r="H110" s="44">
        <f>IFERROR(VLOOKUP(C110,路飞话务数据源!D:Q,4,FALSE),0)</f>
        <v>0</v>
      </c>
      <c r="I110" s="44">
        <f>IFERROR(VLOOKUP(C110,路飞话务数据源!D:Q,5,FALSE),0)</f>
        <v>0</v>
      </c>
      <c r="J110" s="45">
        <f>IFERROR(VLOOKUP(C110,路飞话务数据源!D:Q,6,FALSE),0)</f>
        <v>0</v>
      </c>
      <c r="K110" s="44">
        <f>IFERROR(VLOOKUP(C110,路飞话务数据源!D:Q,7,FALSE),0)</f>
        <v>0</v>
      </c>
      <c r="L110" s="46">
        <f>IFERROR(VLOOKUP(C110,路飞话务数据源!D:Q,8,FALSE),0)</f>
        <v>0</v>
      </c>
      <c r="M110" s="46">
        <f>IFERROR(VLOOKUP(C110,路飞话务数据源!D:Q,9,FALSE),0)</f>
        <v>0</v>
      </c>
      <c r="N110" s="46">
        <f>IFERROR(VLOOKUP(C110,路飞话务数据源!D:Q,10,FALSE),0)</f>
        <v>0</v>
      </c>
      <c r="O110" s="46">
        <f>IFERROR(VLOOKUP(C110,路飞话务数据源!D:Q,11,FALSE),0)</f>
        <v>0</v>
      </c>
      <c r="P110" s="46">
        <f>IFERROR(VLOOKUP(C110,路飞话务数据源!D:Q,12,FALSE),0)</f>
        <v>0</v>
      </c>
      <c r="Q110" s="60">
        <f>IFERROR(VLOOKUP(C110,路飞话务数据源!D:Q,13,FALSE),0)</f>
        <v>0</v>
      </c>
      <c r="R110" s="61">
        <f ca="1" t="shared" si="4"/>
        <v>0</v>
      </c>
      <c r="S110" s="35" t="str">
        <f ca="1" t="shared" si="3"/>
        <v>3年以上</v>
      </c>
      <c r="T110" s="34" t="s">
        <v>342</v>
      </c>
      <c r="U110" s="46">
        <f>SUMIFS(路飞意向数据源!F:F,路飞意向数据源!B:B,A110,路飞意向数据源!C:C,B110,路飞意向数据源!D:D,C110)</f>
        <v>0</v>
      </c>
      <c r="V110" s="46"/>
      <c r="W110" s="20"/>
      <c r="X110" s="35"/>
    </row>
    <row r="111" spans="1:24">
      <c r="A111" s="34" t="s">
        <v>101</v>
      </c>
      <c r="B111" s="34" t="s">
        <v>22</v>
      </c>
      <c r="C111" s="34" t="s">
        <v>352</v>
      </c>
      <c r="D111" s="34" t="s">
        <v>353</v>
      </c>
      <c r="E111" s="34" t="s">
        <v>354</v>
      </c>
      <c r="F111" s="44">
        <f>IFERROR(VLOOKUP(C111,路飞话务数据源!D:Q,2,FALSE),0)</f>
        <v>17</v>
      </c>
      <c r="G111" s="44">
        <f>IFERROR(VLOOKUP(C111,路飞话务数据源!D:Q,3,FALSE),0)</f>
        <v>13</v>
      </c>
      <c r="H111" s="44">
        <f>IFERROR(VLOOKUP(C111,路飞话务数据源!D:Q,4,FALSE),0)</f>
        <v>0.764705882352941</v>
      </c>
      <c r="I111" s="44">
        <f>IFERROR(VLOOKUP(C111,路飞话务数据源!D:Q,5,FALSE),0)</f>
        <v>11</v>
      </c>
      <c r="J111" s="45">
        <f>IFERROR(VLOOKUP(C111,路飞话务数据源!D:Q,6,FALSE),0)</f>
        <v>11</v>
      </c>
      <c r="K111" s="44">
        <f>IFERROR(VLOOKUP(C111,路飞话务数据源!D:Q,7,FALSE),0)</f>
        <v>9</v>
      </c>
      <c r="L111" s="46">
        <f>IFERROR(VLOOKUP(C111,路飞话务数据源!D:Q,8,FALSE),0)</f>
        <v>1</v>
      </c>
      <c r="M111" s="46">
        <f>IFERROR(VLOOKUP(C111,路飞话务数据源!D:Q,9,FALSE),0)</f>
        <v>20.85</v>
      </c>
      <c r="N111" s="46">
        <f>IFERROR(VLOOKUP(C111,路飞话务数据源!D:Q,10,FALSE),0)</f>
        <v>1</v>
      </c>
      <c r="O111" s="46">
        <f>IFERROR(VLOOKUP(C111,路飞话务数据源!D:Q,11,FALSE),0)</f>
        <v>0</v>
      </c>
      <c r="P111" s="46">
        <f>IFERROR(VLOOKUP(C111,路飞话务数据源!D:Q,12,FALSE),0)</f>
        <v>0</v>
      </c>
      <c r="Q111" s="60">
        <f>IFERROR(VLOOKUP(C111,路飞话务数据源!D:Q,13,FALSE),0)</f>
        <v>0</v>
      </c>
      <c r="R111" s="61">
        <f ca="1" t="shared" si="4"/>
        <v>1</v>
      </c>
      <c r="S111" s="35" t="str">
        <f ca="1" t="shared" si="3"/>
        <v>3年以上</v>
      </c>
      <c r="T111" s="34" t="s">
        <v>342</v>
      </c>
      <c r="U111" s="46">
        <f>SUMIFS(路飞意向数据源!F:F,路飞意向数据源!B:B,A111,路飞意向数据源!C:C,B111,路飞意向数据源!D:D,C111)</f>
        <v>0</v>
      </c>
      <c r="V111" s="46"/>
      <c r="W111" s="20"/>
      <c r="X111" s="35"/>
    </row>
    <row r="112" spans="1:24">
      <c r="A112" s="34" t="s">
        <v>101</v>
      </c>
      <c r="B112" s="34" t="s">
        <v>22</v>
      </c>
      <c r="C112" s="34" t="s">
        <v>355</v>
      </c>
      <c r="D112" s="34" t="s">
        <v>356</v>
      </c>
      <c r="E112" s="34" t="s">
        <v>357</v>
      </c>
      <c r="F112" s="44">
        <f>IFERROR(VLOOKUP(C112,路飞话务数据源!D:Q,2,FALSE),0)</f>
        <v>48</v>
      </c>
      <c r="G112" s="44">
        <f>IFERROR(VLOOKUP(C112,路飞话务数据源!D:Q,3,FALSE),0)</f>
        <v>32</v>
      </c>
      <c r="H112" s="44">
        <f>IFERROR(VLOOKUP(C112,路飞话务数据源!D:Q,4,FALSE),0)</f>
        <v>0.666666666666667</v>
      </c>
      <c r="I112" s="44">
        <f>IFERROR(VLOOKUP(C112,路飞话务数据源!D:Q,5,FALSE),0)</f>
        <v>21</v>
      </c>
      <c r="J112" s="45">
        <f>IFERROR(VLOOKUP(C112,路飞话务数据源!D:Q,6,FALSE),0)</f>
        <v>14</v>
      </c>
      <c r="K112" s="44">
        <f>IFERROR(VLOOKUP(C112,路飞话务数据源!D:Q,7,FALSE),0)</f>
        <v>7</v>
      </c>
      <c r="L112" s="46">
        <f>IFERROR(VLOOKUP(C112,路飞话务数据源!D:Q,8,FALSE),0)</f>
        <v>1</v>
      </c>
      <c r="M112" s="46">
        <f>IFERROR(VLOOKUP(C112,路飞话务数据源!D:Q,9,FALSE),0)</f>
        <v>25.95</v>
      </c>
      <c r="N112" s="46">
        <f>IFERROR(VLOOKUP(C112,路飞话务数据源!D:Q,10,FALSE),0)</f>
        <v>0</v>
      </c>
      <c r="O112" s="46">
        <f>IFERROR(VLOOKUP(C112,路飞话务数据源!D:Q,11,FALSE),0)</f>
        <v>0</v>
      </c>
      <c r="P112" s="46">
        <f>IFERROR(VLOOKUP(C112,路飞话务数据源!D:Q,12,FALSE),0)</f>
        <v>0</v>
      </c>
      <c r="Q112" s="60">
        <f>IFERROR(VLOOKUP(C112,路飞话务数据源!D:Q,13,FALSE),0)</f>
        <v>0</v>
      </c>
      <c r="R112" s="61">
        <f ca="1" t="shared" si="4"/>
        <v>1</v>
      </c>
      <c r="S112" s="35" t="str">
        <f ca="1" t="shared" si="3"/>
        <v>3年以上</v>
      </c>
      <c r="T112" s="34" t="s">
        <v>342</v>
      </c>
      <c r="U112" s="46">
        <f>SUMIFS(路飞意向数据源!F:F,路飞意向数据源!B:B,A112,路飞意向数据源!C:C,B112,路飞意向数据源!D:D,C112)</f>
        <v>0</v>
      </c>
      <c r="V112" s="46"/>
      <c r="W112" s="20"/>
      <c r="X112" s="35"/>
    </row>
    <row r="113" spans="1:24">
      <c r="A113" s="34" t="s">
        <v>101</v>
      </c>
      <c r="B113" s="34" t="s">
        <v>22</v>
      </c>
      <c r="C113" s="34" t="s">
        <v>358</v>
      </c>
      <c r="D113" s="34" t="s">
        <v>359</v>
      </c>
      <c r="E113" s="34" t="s">
        <v>360</v>
      </c>
      <c r="F113" s="44">
        <f>IFERROR(VLOOKUP(C113,路飞话务数据源!D:Q,2,FALSE),0)</f>
        <v>50</v>
      </c>
      <c r="G113" s="44">
        <f>IFERROR(VLOOKUP(C113,路飞话务数据源!D:Q,3,FALSE),0)</f>
        <v>33</v>
      </c>
      <c r="H113" s="44">
        <f>IFERROR(VLOOKUP(C113,路飞话务数据源!D:Q,4,FALSE),0)</f>
        <v>0.66</v>
      </c>
      <c r="I113" s="44">
        <f>IFERROR(VLOOKUP(C113,路飞话务数据源!D:Q,5,FALSE),0)</f>
        <v>20</v>
      </c>
      <c r="J113" s="45">
        <f>IFERROR(VLOOKUP(C113,路飞话务数据源!D:Q,6,FALSE),0)</f>
        <v>18</v>
      </c>
      <c r="K113" s="44">
        <f>IFERROR(VLOOKUP(C113,路飞话务数据源!D:Q,7,FALSE),0)</f>
        <v>13</v>
      </c>
      <c r="L113" s="46">
        <f>IFERROR(VLOOKUP(C113,路飞话务数据源!D:Q,8,FALSE),0)</f>
        <v>4</v>
      </c>
      <c r="M113" s="46">
        <f>IFERROR(VLOOKUP(C113,路飞话务数据源!D:Q,9,FALSE),0)</f>
        <v>44.8666666666667</v>
      </c>
      <c r="N113" s="46">
        <f>IFERROR(VLOOKUP(C113,路飞话务数据源!D:Q,10,FALSE),0)</f>
        <v>0</v>
      </c>
      <c r="O113" s="46">
        <f>IFERROR(VLOOKUP(C113,路飞话务数据源!D:Q,11,FALSE),0)</f>
        <v>0</v>
      </c>
      <c r="P113" s="46">
        <f>IFERROR(VLOOKUP(C113,路飞话务数据源!D:Q,12,FALSE),0)</f>
        <v>0</v>
      </c>
      <c r="Q113" s="60">
        <f>IFERROR(VLOOKUP(C113,路飞话务数据源!D:Q,13,FALSE),0)</f>
        <v>0</v>
      </c>
      <c r="R113" s="61">
        <f ca="1" t="shared" si="4"/>
        <v>1</v>
      </c>
      <c r="S113" s="35" t="str">
        <f ca="1" t="shared" si="3"/>
        <v>3年以上</v>
      </c>
      <c r="T113" s="34" t="s">
        <v>342</v>
      </c>
      <c r="U113" s="46">
        <f>SUMIFS(路飞意向数据源!F:F,路飞意向数据源!B:B,A113,路飞意向数据源!C:C,B113,路飞意向数据源!D:D,C113)</f>
        <v>0</v>
      </c>
      <c r="V113" s="46"/>
      <c r="W113" s="20"/>
      <c r="X113" s="35"/>
    </row>
    <row r="114" spans="1:24">
      <c r="A114" s="34" t="s">
        <v>101</v>
      </c>
      <c r="B114" s="34" t="s">
        <v>22</v>
      </c>
      <c r="C114" s="34" t="s">
        <v>361</v>
      </c>
      <c r="D114" s="34" t="s">
        <v>362</v>
      </c>
      <c r="E114" s="34" t="s">
        <v>363</v>
      </c>
      <c r="F114" s="44">
        <f>IFERROR(VLOOKUP(C114,路飞话务数据源!D:Q,2,FALSE),0)</f>
        <v>63</v>
      </c>
      <c r="G114" s="44">
        <f>IFERROR(VLOOKUP(C114,路飞话务数据源!D:Q,3,FALSE),0)</f>
        <v>35</v>
      </c>
      <c r="H114" s="44">
        <f>IFERROR(VLOOKUP(C114,路飞话务数据源!D:Q,4,FALSE),0)</f>
        <v>0.555555555555556</v>
      </c>
      <c r="I114" s="44">
        <f>IFERROR(VLOOKUP(C114,路飞话务数据源!D:Q,5,FALSE),0)</f>
        <v>20</v>
      </c>
      <c r="J114" s="45">
        <f>IFERROR(VLOOKUP(C114,路飞话务数据源!D:Q,6,FALSE),0)</f>
        <v>13</v>
      </c>
      <c r="K114" s="44">
        <f>IFERROR(VLOOKUP(C114,路飞话务数据源!D:Q,7,FALSE),0)</f>
        <v>5</v>
      </c>
      <c r="L114" s="46">
        <f>IFERROR(VLOOKUP(C114,路飞话务数据源!D:Q,8,FALSE),0)</f>
        <v>0</v>
      </c>
      <c r="M114" s="46">
        <f>IFERROR(VLOOKUP(C114,路飞话务数据源!D:Q,9,FALSE),0)</f>
        <v>22.4833333333333</v>
      </c>
      <c r="N114" s="46">
        <f>IFERROR(VLOOKUP(C114,路飞话务数据源!D:Q,10,FALSE),0)</f>
        <v>0</v>
      </c>
      <c r="O114" s="46">
        <f>IFERROR(VLOOKUP(C114,路飞话务数据源!D:Q,11,FALSE),0)</f>
        <v>0</v>
      </c>
      <c r="P114" s="46">
        <f>IFERROR(VLOOKUP(C114,路飞话务数据源!D:Q,12,FALSE),0)</f>
        <v>0</v>
      </c>
      <c r="Q114" s="60">
        <f>IFERROR(VLOOKUP(C114,路飞话务数据源!D:Q,13,FALSE),0)</f>
        <v>0</v>
      </c>
      <c r="R114" s="61">
        <f ca="1" t="shared" si="4"/>
        <v>1</v>
      </c>
      <c r="S114" s="35" t="str">
        <f ca="1" t="shared" si="3"/>
        <v>4月-6月</v>
      </c>
      <c r="T114" s="34" t="s">
        <v>342</v>
      </c>
      <c r="U114" s="46">
        <f>SUMIFS(路飞意向数据源!F:F,路飞意向数据源!B:B,A114,路飞意向数据源!C:C,B114,路飞意向数据源!D:D,C114)</f>
        <v>1</v>
      </c>
      <c r="V114" s="46"/>
      <c r="W114" s="20"/>
      <c r="X114" s="35"/>
    </row>
    <row r="115" spans="1:24">
      <c r="A115" s="34" t="s">
        <v>101</v>
      </c>
      <c r="B115" s="34" t="s">
        <v>52</v>
      </c>
      <c r="C115" s="34" t="s">
        <v>364</v>
      </c>
      <c r="D115" s="34" t="s">
        <v>365</v>
      </c>
      <c r="E115" s="34" t="s">
        <v>366</v>
      </c>
      <c r="F115" s="44">
        <f>IFERROR(VLOOKUP(C115,路飞话务数据源!D:Q,2,FALSE),0)</f>
        <v>8</v>
      </c>
      <c r="G115" s="44">
        <f>IFERROR(VLOOKUP(C115,路飞话务数据源!D:Q,3,FALSE),0)</f>
        <v>5</v>
      </c>
      <c r="H115" s="44">
        <f>IFERROR(VLOOKUP(C115,路飞话务数据源!D:Q,4,FALSE),0)</f>
        <v>0.625</v>
      </c>
      <c r="I115" s="44">
        <f>IFERROR(VLOOKUP(C115,路飞话务数据源!D:Q,5,FALSE),0)</f>
        <v>2</v>
      </c>
      <c r="J115" s="45">
        <f>IFERROR(VLOOKUP(C115,路飞话务数据源!D:Q,6,FALSE),0)</f>
        <v>2</v>
      </c>
      <c r="K115" s="44">
        <f>IFERROR(VLOOKUP(C115,路飞话务数据源!D:Q,7,FALSE),0)</f>
        <v>1</v>
      </c>
      <c r="L115" s="46">
        <f>IFERROR(VLOOKUP(C115,路飞话务数据源!D:Q,8,FALSE),0)</f>
        <v>0</v>
      </c>
      <c r="M115" s="46">
        <f>IFERROR(VLOOKUP(C115,路飞话务数据源!D:Q,9,FALSE),0)</f>
        <v>2.9</v>
      </c>
      <c r="N115" s="46">
        <f>IFERROR(VLOOKUP(C115,路飞话务数据源!D:Q,10,FALSE),0)</f>
        <v>0</v>
      </c>
      <c r="O115" s="46">
        <f>IFERROR(VLOOKUP(C115,路飞话务数据源!D:Q,11,FALSE),0)</f>
        <v>0</v>
      </c>
      <c r="P115" s="46">
        <f>IFERROR(VLOOKUP(C115,路飞话务数据源!D:Q,12,FALSE),0)</f>
        <v>0</v>
      </c>
      <c r="Q115" s="60">
        <f>IFERROR(VLOOKUP(C115,路飞话务数据源!D:Q,13,FALSE),0)</f>
        <v>0</v>
      </c>
      <c r="R115" s="61">
        <f ca="1" t="shared" si="4"/>
        <v>1</v>
      </c>
      <c r="S115" s="35" t="str">
        <f ca="1" t="shared" si="3"/>
        <v>3年以上</v>
      </c>
      <c r="T115" s="34" t="s">
        <v>367</v>
      </c>
      <c r="U115" s="46">
        <f>SUMIFS(路飞意向数据源!F:F,路飞意向数据源!B:B,A115,路飞意向数据源!C:C,B115,路飞意向数据源!D:D,C115)</f>
        <v>0</v>
      </c>
      <c r="V115" s="46"/>
      <c r="W115" s="20"/>
      <c r="X115" s="35"/>
    </row>
    <row r="116" spans="1:24">
      <c r="A116" s="34" t="s">
        <v>101</v>
      </c>
      <c r="B116" s="34" t="s">
        <v>52</v>
      </c>
      <c r="C116" s="34" t="s">
        <v>368</v>
      </c>
      <c r="D116" s="34" t="s">
        <v>369</v>
      </c>
      <c r="E116" s="34" t="s">
        <v>370</v>
      </c>
      <c r="F116" s="44">
        <f>IFERROR(VLOOKUP(C116,路飞话务数据源!D:Q,2,FALSE),0)</f>
        <v>3</v>
      </c>
      <c r="G116" s="44">
        <f>IFERROR(VLOOKUP(C116,路飞话务数据源!D:Q,3,FALSE),0)</f>
        <v>0</v>
      </c>
      <c r="H116" s="44">
        <f>IFERROR(VLOOKUP(C116,路飞话务数据源!D:Q,4,FALSE),0)</f>
        <v>0</v>
      </c>
      <c r="I116" s="44">
        <f>IFERROR(VLOOKUP(C116,路飞话务数据源!D:Q,5,FALSE),0)</f>
        <v>0</v>
      </c>
      <c r="J116" s="45">
        <f>IFERROR(VLOOKUP(C116,路飞话务数据源!D:Q,6,FALSE),0)</f>
        <v>0</v>
      </c>
      <c r="K116" s="44">
        <f>IFERROR(VLOOKUP(C116,路飞话务数据源!D:Q,7,FALSE),0)</f>
        <v>0</v>
      </c>
      <c r="L116" s="46">
        <f>IFERROR(VLOOKUP(C116,路飞话务数据源!D:Q,8,FALSE),0)</f>
        <v>0</v>
      </c>
      <c r="M116" s="46">
        <f>IFERROR(VLOOKUP(C116,路飞话务数据源!D:Q,9,FALSE),0)</f>
        <v>0</v>
      </c>
      <c r="N116" s="46">
        <f>IFERROR(VLOOKUP(C116,路飞话务数据源!D:Q,10,FALSE),0)</f>
        <v>0</v>
      </c>
      <c r="O116" s="46">
        <f>IFERROR(VLOOKUP(C116,路飞话务数据源!D:Q,11,FALSE),0)</f>
        <v>0</v>
      </c>
      <c r="P116" s="46">
        <f>IFERROR(VLOOKUP(C116,路飞话务数据源!D:Q,12,FALSE),0)</f>
        <v>0</v>
      </c>
      <c r="Q116" s="60">
        <f>IFERROR(VLOOKUP(C116,路飞话务数据源!D:Q,13,FALSE),0)</f>
        <v>0</v>
      </c>
      <c r="R116" s="61">
        <f ca="1" t="shared" si="4"/>
        <v>0</v>
      </c>
      <c r="S116" s="35" t="str">
        <f ca="1" t="shared" si="3"/>
        <v>3年以上</v>
      </c>
      <c r="T116" s="34" t="s">
        <v>367</v>
      </c>
      <c r="U116" s="46">
        <f>SUMIFS(路飞意向数据源!F:F,路飞意向数据源!B:B,A116,路飞意向数据源!C:C,B116,路飞意向数据源!D:D,C116)</f>
        <v>0</v>
      </c>
      <c r="V116" s="46"/>
      <c r="W116" s="20"/>
      <c r="X116" s="35"/>
    </row>
    <row r="117" spans="1:24">
      <c r="A117" s="34" t="s">
        <v>101</v>
      </c>
      <c r="B117" s="34" t="s">
        <v>52</v>
      </c>
      <c r="C117" s="34" t="s">
        <v>371</v>
      </c>
      <c r="D117" s="34" t="s">
        <v>372</v>
      </c>
      <c r="E117" s="34" t="s">
        <v>373</v>
      </c>
      <c r="F117" s="44">
        <f>IFERROR(VLOOKUP(C117,路飞话务数据源!D:Q,2,FALSE),0)</f>
        <v>16</v>
      </c>
      <c r="G117" s="44">
        <f>IFERROR(VLOOKUP(C117,路飞话务数据源!D:Q,3,FALSE),0)</f>
        <v>5</v>
      </c>
      <c r="H117" s="44">
        <f>IFERROR(VLOOKUP(C117,路飞话务数据源!D:Q,4,FALSE),0)</f>
        <v>0.3125</v>
      </c>
      <c r="I117" s="44">
        <f>IFERROR(VLOOKUP(C117,路飞话务数据源!D:Q,5,FALSE),0)</f>
        <v>3</v>
      </c>
      <c r="J117" s="45">
        <f>IFERROR(VLOOKUP(C117,路飞话务数据源!D:Q,6,FALSE),0)</f>
        <v>0</v>
      </c>
      <c r="K117" s="44">
        <f>IFERROR(VLOOKUP(C117,路飞话务数据源!D:Q,7,FALSE),0)</f>
        <v>0</v>
      </c>
      <c r="L117" s="46">
        <f>IFERROR(VLOOKUP(C117,路飞话务数据源!D:Q,8,FALSE),0)</f>
        <v>0</v>
      </c>
      <c r="M117" s="46">
        <f>IFERROR(VLOOKUP(C117,路飞话务数据源!D:Q,9,FALSE),0)</f>
        <v>2.51666666666667</v>
      </c>
      <c r="N117" s="46">
        <f>IFERROR(VLOOKUP(C117,路飞话务数据源!D:Q,10,FALSE),0)</f>
        <v>0</v>
      </c>
      <c r="O117" s="46">
        <f>IFERROR(VLOOKUP(C117,路飞话务数据源!D:Q,11,FALSE),0)</f>
        <v>0</v>
      </c>
      <c r="P117" s="46">
        <f>IFERROR(VLOOKUP(C117,路飞话务数据源!D:Q,12,FALSE),0)</f>
        <v>0</v>
      </c>
      <c r="Q117" s="60">
        <f>IFERROR(VLOOKUP(C117,路飞话务数据源!D:Q,13,FALSE),0)</f>
        <v>0</v>
      </c>
      <c r="R117" s="61">
        <f ca="1" t="shared" si="4"/>
        <v>1</v>
      </c>
      <c r="S117" s="35" t="str">
        <f ca="1" t="shared" si="3"/>
        <v>3年以上</v>
      </c>
      <c r="T117" s="34" t="s">
        <v>367</v>
      </c>
      <c r="U117" s="46">
        <f>SUMIFS(路飞意向数据源!F:F,路飞意向数据源!B:B,A117,路飞意向数据源!C:C,B117,路飞意向数据源!D:D,C117)</f>
        <v>0</v>
      </c>
      <c r="V117" s="46"/>
      <c r="W117" s="20"/>
      <c r="X117" s="35"/>
    </row>
    <row r="118" spans="1:24">
      <c r="A118" s="34" t="s">
        <v>101</v>
      </c>
      <c r="B118" s="34" t="s">
        <v>52</v>
      </c>
      <c r="C118" s="34" t="s">
        <v>374</v>
      </c>
      <c r="D118" s="34" t="s">
        <v>375</v>
      </c>
      <c r="E118" s="34" t="s">
        <v>376</v>
      </c>
      <c r="F118" s="44">
        <f>IFERROR(VLOOKUP(C118,路飞话务数据源!D:Q,2,FALSE),0)</f>
        <v>5</v>
      </c>
      <c r="G118" s="44">
        <f>IFERROR(VLOOKUP(C118,路飞话务数据源!D:Q,3,FALSE),0)</f>
        <v>3</v>
      </c>
      <c r="H118" s="44">
        <f>IFERROR(VLOOKUP(C118,路飞话务数据源!D:Q,4,FALSE),0)</f>
        <v>0.6</v>
      </c>
      <c r="I118" s="44">
        <f>IFERROR(VLOOKUP(C118,路飞话务数据源!D:Q,5,FALSE),0)</f>
        <v>0</v>
      </c>
      <c r="J118" s="45">
        <f>IFERROR(VLOOKUP(C118,路飞话务数据源!D:Q,6,FALSE),0)</f>
        <v>0</v>
      </c>
      <c r="K118" s="44">
        <f>IFERROR(VLOOKUP(C118,路飞话务数据源!D:Q,7,FALSE),0)</f>
        <v>0</v>
      </c>
      <c r="L118" s="46">
        <f>IFERROR(VLOOKUP(C118,路飞话务数据源!D:Q,8,FALSE),0)</f>
        <v>0</v>
      </c>
      <c r="M118" s="46">
        <f>IFERROR(VLOOKUP(C118,路飞话务数据源!D:Q,9,FALSE),0)</f>
        <v>0.816666666666667</v>
      </c>
      <c r="N118" s="46">
        <f>IFERROR(VLOOKUP(C118,路飞话务数据源!D:Q,10,FALSE),0)</f>
        <v>1</v>
      </c>
      <c r="O118" s="46">
        <f>IFERROR(VLOOKUP(C118,路飞话务数据源!D:Q,11,FALSE),0)</f>
        <v>0</v>
      </c>
      <c r="P118" s="46">
        <f>IFERROR(VLOOKUP(C118,路飞话务数据源!D:Q,12,FALSE),0)</f>
        <v>0</v>
      </c>
      <c r="Q118" s="60">
        <f>IFERROR(VLOOKUP(C118,路飞话务数据源!D:Q,13,FALSE),0)</f>
        <v>44</v>
      </c>
      <c r="R118" s="61">
        <f ca="1" t="shared" si="4"/>
        <v>1</v>
      </c>
      <c r="S118" s="35" t="str">
        <f ca="1" t="shared" si="3"/>
        <v>3年以上</v>
      </c>
      <c r="T118" s="34" t="s">
        <v>367</v>
      </c>
      <c r="U118" s="46">
        <f>SUMIFS(路飞意向数据源!F:F,路飞意向数据源!B:B,A118,路飞意向数据源!C:C,B118,路飞意向数据源!D:D,C118)</f>
        <v>0</v>
      </c>
      <c r="V118" s="46"/>
      <c r="W118" s="20"/>
      <c r="X118" s="35"/>
    </row>
    <row r="119" spans="1:24">
      <c r="A119" s="34" t="s">
        <v>101</v>
      </c>
      <c r="B119" s="34" t="s">
        <v>52</v>
      </c>
      <c r="C119" s="34" t="s">
        <v>377</v>
      </c>
      <c r="D119" s="34" t="s">
        <v>378</v>
      </c>
      <c r="E119" s="34" t="s">
        <v>379</v>
      </c>
      <c r="F119" s="44">
        <f>IFERROR(VLOOKUP(C119,路飞话务数据源!D:Q,2,FALSE),0)</f>
        <v>0</v>
      </c>
      <c r="G119" s="44">
        <f>IFERROR(VLOOKUP(C119,路飞话务数据源!D:Q,3,FALSE),0)</f>
        <v>0</v>
      </c>
      <c r="H119" s="44">
        <f>IFERROR(VLOOKUP(C119,路飞话务数据源!D:Q,4,FALSE),0)</f>
        <v>0</v>
      </c>
      <c r="I119" s="44">
        <f>IFERROR(VLOOKUP(C119,路飞话务数据源!D:Q,5,FALSE),0)</f>
        <v>0</v>
      </c>
      <c r="J119" s="45">
        <f>IFERROR(VLOOKUP(C119,路飞话务数据源!D:Q,6,FALSE),0)</f>
        <v>0</v>
      </c>
      <c r="K119" s="44">
        <f>IFERROR(VLOOKUP(C119,路飞话务数据源!D:Q,7,FALSE),0)</f>
        <v>0</v>
      </c>
      <c r="L119" s="46">
        <f>IFERROR(VLOOKUP(C119,路飞话务数据源!D:Q,8,FALSE),0)</f>
        <v>0</v>
      </c>
      <c r="M119" s="46">
        <f>IFERROR(VLOOKUP(C119,路飞话务数据源!D:Q,9,FALSE),0)</f>
        <v>0</v>
      </c>
      <c r="N119" s="46">
        <f>IFERROR(VLOOKUP(C119,路飞话务数据源!D:Q,10,FALSE),0)</f>
        <v>0</v>
      </c>
      <c r="O119" s="46">
        <f>IFERROR(VLOOKUP(C119,路飞话务数据源!D:Q,11,FALSE),0)</f>
        <v>0</v>
      </c>
      <c r="P119" s="46">
        <f>IFERROR(VLOOKUP(C119,路飞话务数据源!D:Q,12,FALSE),0)</f>
        <v>0</v>
      </c>
      <c r="Q119" s="60">
        <f>IFERROR(VLOOKUP(C119,路飞话务数据源!D:Q,13,FALSE),0)</f>
        <v>0</v>
      </c>
      <c r="R119" s="61">
        <f ca="1" t="shared" si="4"/>
        <v>0</v>
      </c>
      <c r="S119" s="35" t="str">
        <f ca="1" t="shared" si="3"/>
        <v>3年以上</v>
      </c>
      <c r="T119" s="34" t="s">
        <v>367</v>
      </c>
      <c r="U119" s="46">
        <f>SUMIFS(路飞意向数据源!F:F,路飞意向数据源!B:B,A119,路飞意向数据源!C:C,B119,路飞意向数据源!D:D,C119)</f>
        <v>0</v>
      </c>
      <c r="V119" s="46"/>
      <c r="W119" s="20"/>
      <c r="X119" s="35"/>
    </row>
    <row r="120" spans="1:24">
      <c r="A120" s="34" t="s">
        <v>101</v>
      </c>
      <c r="B120" s="34" t="s">
        <v>52</v>
      </c>
      <c r="C120" s="34" t="s">
        <v>380</v>
      </c>
      <c r="D120" s="34" t="s">
        <v>381</v>
      </c>
      <c r="E120" s="34" t="s">
        <v>382</v>
      </c>
      <c r="F120" s="44">
        <f>IFERROR(VLOOKUP(C120,路飞话务数据源!D:Q,2,FALSE),0)</f>
        <v>3</v>
      </c>
      <c r="G120" s="44">
        <f>IFERROR(VLOOKUP(C120,路飞话务数据源!D:Q,3,FALSE),0)</f>
        <v>2</v>
      </c>
      <c r="H120" s="44">
        <f>IFERROR(VLOOKUP(C120,路飞话务数据源!D:Q,4,FALSE),0)</f>
        <v>0.666666666666667</v>
      </c>
      <c r="I120" s="44">
        <f>IFERROR(VLOOKUP(C120,路飞话务数据源!D:Q,5,FALSE),0)</f>
        <v>1</v>
      </c>
      <c r="J120" s="45">
        <f>IFERROR(VLOOKUP(C120,路飞话务数据源!D:Q,6,FALSE),0)</f>
        <v>1</v>
      </c>
      <c r="K120" s="44">
        <f>IFERROR(VLOOKUP(C120,路飞话务数据源!D:Q,7,FALSE),0)</f>
        <v>1</v>
      </c>
      <c r="L120" s="46">
        <f>IFERROR(VLOOKUP(C120,路飞话务数据源!D:Q,8,FALSE),0)</f>
        <v>0</v>
      </c>
      <c r="M120" s="46">
        <f>IFERROR(VLOOKUP(C120,路飞话务数据源!D:Q,9,FALSE),0)</f>
        <v>3.05</v>
      </c>
      <c r="N120" s="46">
        <f>IFERROR(VLOOKUP(C120,路飞话务数据源!D:Q,10,FALSE),0)</f>
        <v>0</v>
      </c>
      <c r="O120" s="46">
        <f>IFERROR(VLOOKUP(C120,路飞话务数据源!D:Q,11,FALSE),0)</f>
        <v>0</v>
      </c>
      <c r="P120" s="46">
        <f>IFERROR(VLOOKUP(C120,路飞话务数据源!D:Q,12,FALSE),0)</f>
        <v>0</v>
      </c>
      <c r="Q120" s="60">
        <f>IFERROR(VLOOKUP(C120,路飞话务数据源!D:Q,13,FALSE),0)</f>
        <v>0</v>
      </c>
      <c r="R120" s="61">
        <f ca="1" t="shared" si="4"/>
        <v>0</v>
      </c>
      <c r="S120" s="35" t="str">
        <f ca="1" t="shared" si="3"/>
        <v>3年以上</v>
      </c>
      <c r="T120" s="34" t="s">
        <v>367</v>
      </c>
      <c r="U120" s="46">
        <f>SUMIFS(路飞意向数据源!F:F,路飞意向数据源!B:B,A120,路飞意向数据源!C:C,B120,路飞意向数据源!D:D,C120)</f>
        <v>0</v>
      </c>
      <c r="V120" s="46"/>
      <c r="W120" s="20"/>
      <c r="X120" s="35"/>
    </row>
    <row r="121" spans="1:24">
      <c r="A121" s="34" t="s">
        <v>101</v>
      </c>
      <c r="B121" s="34" t="s">
        <v>52</v>
      </c>
      <c r="C121" s="34" t="s">
        <v>383</v>
      </c>
      <c r="D121" s="34" t="s">
        <v>384</v>
      </c>
      <c r="E121" s="34" t="s">
        <v>385</v>
      </c>
      <c r="F121" s="44">
        <f>IFERROR(VLOOKUP(C121,路飞话务数据源!D:Q,2,FALSE),0)</f>
        <v>3</v>
      </c>
      <c r="G121" s="44">
        <f>IFERROR(VLOOKUP(C121,路飞话务数据源!D:Q,3,FALSE),0)</f>
        <v>0</v>
      </c>
      <c r="H121" s="44">
        <f>IFERROR(VLOOKUP(C121,路飞话务数据源!D:Q,4,FALSE),0)</f>
        <v>0</v>
      </c>
      <c r="I121" s="44">
        <f>IFERROR(VLOOKUP(C121,路飞话务数据源!D:Q,5,FALSE),0)</f>
        <v>0</v>
      </c>
      <c r="J121" s="45">
        <f>IFERROR(VLOOKUP(C121,路飞话务数据源!D:Q,6,FALSE),0)</f>
        <v>0</v>
      </c>
      <c r="K121" s="44">
        <f>IFERROR(VLOOKUP(C121,路飞话务数据源!D:Q,7,FALSE),0)</f>
        <v>0</v>
      </c>
      <c r="L121" s="46">
        <f>IFERROR(VLOOKUP(C121,路飞话务数据源!D:Q,8,FALSE),0)</f>
        <v>0</v>
      </c>
      <c r="M121" s="46">
        <f>IFERROR(VLOOKUP(C121,路飞话务数据源!D:Q,9,FALSE),0)</f>
        <v>0</v>
      </c>
      <c r="N121" s="46">
        <f>IFERROR(VLOOKUP(C121,路飞话务数据源!D:Q,10,FALSE),0)</f>
        <v>0</v>
      </c>
      <c r="O121" s="46">
        <f>IFERROR(VLOOKUP(C121,路飞话务数据源!D:Q,11,FALSE),0)</f>
        <v>0</v>
      </c>
      <c r="P121" s="46">
        <f>IFERROR(VLOOKUP(C121,路飞话务数据源!D:Q,12,FALSE),0)</f>
        <v>0</v>
      </c>
      <c r="Q121" s="60">
        <f>IFERROR(VLOOKUP(C121,路飞话务数据源!D:Q,13,FALSE),0)</f>
        <v>0</v>
      </c>
      <c r="R121" s="61">
        <f ca="1" t="shared" si="4"/>
        <v>0</v>
      </c>
      <c r="S121" s="35" t="str">
        <f ca="1" t="shared" si="3"/>
        <v>3年以上</v>
      </c>
      <c r="T121" s="34" t="s">
        <v>367</v>
      </c>
      <c r="U121" s="46">
        <f>SUMIFS(路飞意向数据源!F:F,路飞意向数据源!B:B,A121,路飞意向数据源!C:C,B121,路飞意向数据源!D:D,C121)</f>
        <v>0</v>
      </c>
      <c r="V121" s="46"/>
      <c r="W121" s="20"/>
      <c r="X121" s="35"/>
    </row>
    <row r="122" spans="1:24">
      <c r="A122" s="34" t="s">
        <v>101</v>
      </c>
      <c r="B122" s="34" t="s">
        <v>224</v>
      </c>
      <c r="C122" s="34" t="s">
        <v>386</v>
      </c>
      <c r="D122" s="34" t="s">
        <v>387</v>
      </c>
      <c r="E122" s="34" t="s">
        <v>128</v>
      </c>
      <c r="F122" s="44">
        <f>IFERROR(VLOOKUP(C122,路飞话务数据源!D:Q,2,FALSE),0)</f>
        <v>193</v>
      </c>
      <c r="G122" s="44">
        <f>IFERROR(VLOOKUP(C122,路飞话务数据源!D:Q,3,FALSE),0)</f>
        <v>82</v>
      </c>
      <c r="H122" s="44">
        <f>IFERROR(VLOOKUP(C122,路飞话务数据源!D:Q,4,FALSE),0)</f>
        <v>0.424870466321244</v>
      </c>
      <c r="I122" s="44">
        <f>IFERROR(VLOOKUP(C122,路飞话务数据源!D:Q,5,FALSE),0)</f>
        <v>37</v>
      </c>
      <c r="J122" s="45">
        <f>IFERROR(VLOOKUP(C122,路飞话务数据源!D:Q,6,FALSE),0)</f>
        <v>30</v>
      </c>
      <c r="K122" s="44">
        <f>IFERROR(VLOOKUP(C122,路飞话务数据源!D:Q,7,FALSE),0)</f>
        <v>15</v>
      </c>
      <c r="L122" s="46">
        <f>IFERROR(VLOOKUP(C122,路飞话务数据源!D:Q,8,FALSE),0)</f>
        <v>1</v>
      </c>
      <c r="M122" s="46">
        <f>IFERROR(VLOOKUP(C122,路飞话务数据源!D:Q,9,FALSE),0)</f>
        <v>52.3833333333333</v>
      </c>
      <c r="N122" s="46">
        <f>IFERROR(VLOOKUP(C122,路飞话务数据源!D:Q,10,FALSE),0)</f>
        <v>0</v>
      </c>
      <c r="O122" s="46">
        <f>IFERROR(VLOOKUP(C122,路飞话务数据源!D:Q,11,FALSE),0)</f>
        <v>0</v>
      </c>
      <c r="P122" s="46">
        <f>IFERROR(VLOOKUP(C122,路飞话务数据源!D:Q,12,FALSE),0)</f>
        <v>0</v>
      </c>
      <c r="Q122" s="60">
        <f>IFERROR(VLOOKUP(C122,路飞话务数据源!D:Q,13,FALSE),0)</f>
        <v>0</v>
      </c>
      <c r="R122" s="61">
        <v>1</v>
      </c>
      <c r="S122" s="35" t="str">
        <f ca="1" t="shared" si="3"/>
        <v>月内</v>
      </c>
      <c r="T122" s="34" t="s">
        <v>388</v>
      </c>
      <c r="U122" s="46">
        <f>SUMIFS(路飞意向数据源!F:F,路飞意向数据源!B:B,A122,路飞意向数据源!C:C,B122,路飞意向数据源!D:D,C122)</f>
        <v>0</v>
      </c>
      <c r="V122" s="46"/>
      <c r="W122" s="20"/>
      <c r="X122" s="35"/>
    </row>
    <row r="123" spans="1:24">
      <c r="A123" s="34" t="s">
        <v>101</v>
      </c>
      <c r="B123" s="34" t="s">
        <v>224</v>
      </c>
      <c r="C123" s="34" t="s">
        <v>389</v>
      </c>
      <c r="D123" s="34" t="s">
        <v>390</v>
      </c>
      <c r="E123" s="34" t="s">
        <v>108</v>
      </c>
      <c r="F123" s="44">
        <f>IFERROR(VLOOKUP(C123,路飞话务数据源!D:Q,2,FALSE),0)</f>
        <v>44</v>
      </c>
      <c r="G123" s="44">
        <f>IFERROR(VLOOKUP(C123,路飞话务数据源!D:Q,3,FALSE),0)</f>
        <v>25</v>
      </c>
      <c r="H123" s="44">
        <f>IFERROR(VLOOKUP(C123,路飞话务数据源!D:Q,4,FALSE),0)</f>
        <v>0.568181818181818</v>
      </c>
      <c r="I123" s="44">
        <f>IFERROR(VLOOKUP(C123,路飞话务数据源!D:Q,5,FALSE),0)</f>
        <v>14</v>
      </c>
      <c r="J123" s="45">
        <f>IFERROR(VLOOKUP(C123,路飞话务数据源!D:Q,6,FALSE),0)</f>
        <v>9</v>
      </c>
      <c r="K123" s="44">
        <f>IFERROR(VLOOKUP(C123,路飞话务数据源!D:Q,7,FALSE),0)</f>
        <v>5</v>
      </c>
      <c r="L123" s="46">
        <f>IFERROR(VLOOKUP(C123,路飞话务数据源!D:Q,8,FALSE),0)</f>
        <v>0</v>
      </c>
      <c r="M123" s="46">
        <f>IFERROR(VLOOKUP(C123,路飞话务数据源!D:Q,9,FALSE),0)</f>
        <v>20.7666666666667</v>
      </c>
      <c r="N123" s="46">
        <f>IFERROR(VLOOKUP(C123,路飞话务数据源!D:Q,10,FALSE),0)</f>
        <v>0</v>
      </c>
      <c r="O123" s="46">
        <f>IFERROR(VLOOKUP(C123,路飞话务数据源!D:Q,11,FALSE),0)</f>
        <v>0</v>
      </c>
      <c r="P123" s="46">
        <f>IFERROR(VLOOKUP(C123,路飞话务数据源!D:Q,12,FALSE),0)</f>
        <v>0</v>
      </c>
      <c r="Q123" s="60">
        <f>IFERROR(VLOOKUP(C123,路飞话务数据源!D:Q,13,FALSE),0)</f>
        <v>0</v>
      </c>
      <c r="R123" s="61">
        <v>0</v>
      </c>
      <c r="S123" s="35" t="str">
        <f ca="1" t="shared" si="3"/>
        <v>3年以上</v>
      </c>
      <c r="T123" s="34" t="s">
        <v>388</v>
      </c>
      <c r="U123" s="46">
        <f>SUMIFS(路飞意向数据源!F:F,路飞意向数据源!B:B,A123,路飞意向数据源!C:C,B123,路飞意向数据源!D:D,C123)</f>
        <v>3</v>
      </c>
      <c r="V123" s="46"/>
      <c r="W123" s="20"/>
      <c r="X123" s="35"/>
    </row>
    <row r="124" spans="1:24">
      <c r="A124" s="34" t="s">
        <v>101</v>
      </c>
      <c r="B124" s="34" t="s">
        <v>224</v>
      </c>
      <c r="C124" s="34" t="s">
        <v>391</v>
      </c>
      <c r="D124" s="34" t="s">
        <v>392</v>
      </c>
      <c r="E124" s="34" t="s">
        <v>393</v>
      </c>
      <c r="F124" s="44">
        <f>IFERROR(VLOOKUP(C124,路飞话务数据源!D:Q,2,FALSE),0)</f>
        <v>293</v>
      </c>
      <c r="G124" s="44">
        <f>IFERROR(VLOOKUP(C124,路飞话务数据源!D:Q,3,FALSE),0)</f>
        <v>131</v>
      </c>
      <c r="H124" s="44">
        <f>IFERROR(VLOOKUP(C124,路飞话务数据源!D:Q,4,FALSE),0)</f>
        <v>0.447098976109215</v>
      </c>
      <c r="I124" s="44">
        <f>IFERROR(VLOOKUP(C124,路飞话务数据源!D:Q,5,FALSE),0)</f>
        <v>55</v>
      </c>
      <c r="J124" s="45">
        <f>IFERROR(VLOOKUP(C124,路飞话务数据源!D:Q,6,FALSE),0)</f>
        <v>36</v>
      </c>
      <c r="K124" s="44">
        <f>IFERROR(VLOOKUP(C124,路飞话务数据源!D:Q,7,FALSE),0)</f>
        <v>24</v>
      </c>
      <c r="L124" s="46">
        <f>IFERROR(VLOOKUP(C124,路飞话务数据源!D:Q,8,FALSE),0)</f>
        <v>6</v>
      </c>
      <c r="M124" s="46">
        <f>IFERROR(VLOOKUP(C124,路飞话务数据源!D:Q,9,FALSE),0)</f>
        <v>95.4666666666667</v>
      </c>
      <c r="N124" s="46">
        <f>IFERROR(VLOOKUP(C124,路飞话务数据源!D:Q,10,FALSE),0)</f>
        <v>0</v>
      </c>
      <c r="O124" s="46">
        <f>IFERROR(VLOOKUP(C124,路飞话务数据源!D:Q,11,FALSE),0)</f>
        <v>0</v>
      </c>
      <c r="P124" s="46">
        <f>IFERROR(VLOOKUP(C124,路飞话务数据源!D:Q,12,FALSE),0)</f>
        <v>0</v>
      </c>
      <c r="Q124" s="60">
        <f>IFERROR(VLOOKUP(C124,路飞话务数据源!D:Q,13,FALSE),0)</f>
        <v>0</v>
      </c>
      <c r="R124" s="61">
        <v>1</v>
      </c>
      <c r="S124" s="35" t="str">
        <f ca="1" t="shared" si="3"/>
        <v>月内</v>
      </c>
      <c r="T124" s="34" t="s">
        <v>388</v>
      </c>
      <c r="U124" s="46">
        <f>SUMIFS(路飞意向数据源!F:F,路飞意向数据源!B:B,A124,路飞意向数据源!C:C,B124,路飞意向数据源!D:D,C124)</f>
        <v>0</v>
      </c>
      <c r="V124" s="46"/>
      <c r="W124" s="20"/>
      <c r="X124" s="35"/>
    </row>
    <row r="125" spans="1:24">
      <c r="A125" s="34" t="s">
        <v>101</v>
      </c>
      <c r="B125" s="34" t="s">
        <v>224</v>
      </c>
      <c r="C125" s="34" t="s">
        <v>394</v>
      </c>
      <c r="D125" s="34" t="s">
        <v>395</v>
      </c>
      <c r="E125" s="34" t="s">
        <v>393</v>
      </c>
      <c r="F125" s="44">
        <f>IFERROR(VLOOKUP(C125,路飞话务数据源!D:Q,2,FALSE),0)</f>
        <v>267</v>
      </c>
      <c r="G125" s="44">
        <f>IFERROR(VLOOKUP(C125,路飞话务数据源!D:Q,3,FALSE),0)</f>
        <v>102</v>
      </c>
      <c r="H125" s="44">
        <f>IFERROR(VLOOKUP(C125,路飞话务数据源!D:Q,4,FALSE),0)</f>
        <v>0.382022471910112</v>
      </c>
      <c r="I125" s="44">
        <f>IFERROR(VLOOKUP(C125,路飞话务数据源!D:Q,5,FALSE),0)</f>
        <v>53</v>
      </c>
      <c r="J125" s="45">
        <f>IFERROR(VLOOKUP(C125,路飞话务数据源!D:Q,6,FALSE),0)</f>
        <v>25</v>
      </c>
      <c r="K125" s="44">
        <f>IFERROR(VLOOKUP(C125,路飞话务数据源!D:Q,7,FALSE),0)</f>
        <v>15</v>
      </c>
      <c r="L125" s="46">
        <f>IFERROR(VLOOKUP(C125,路飞话务数据源!D:Q,8,FALSE),0)</f>
        <v>1</v>
      </c>
      <c r="M125" s="46">
        <f>IFERROR(VLOOKUP(C125,路飞话务数据源!D:Q,9,FALSE),0)</f>
        <v>62.8833333333333</v>
      </c>
      <c r="N125" s="46">
        <f>IFERROR(VLOOKUP(C125,路飞话务数据源!D:Q,10,FALSE),0)</f>
        <v>0</v>
      </c>
      <c r="O125" s="46">
        <f>IFERROR(VLOOKUP(C125,路飞话务数据源!D:Q,11,FALSE),0)</f>
        <v>0</v>
      </c>
      <c r="P125" s="46">
        <f>IFERROR(VLOOKUP(C125,路飞话务数据源!D:Q,12,FALSE),0)</f>
        <v>0</v>
      </c>
      <c r="Q125" s="60">
        <f>IFERROR(VLOOKUP(C125,路飞话务数据源!D:Q,13,FALSE),0)</f>
        <v>0</v>
      </c>
      <c r="R125" s="61">
        <v>1</v>
      </c>
      <c r="S125" s="35" t="str">
        <f ca="1" t="shared" si="3"/>
        <v>月内</v>
      </c>
      <c r="T125" s="34" t="s">
        <v>388</v>
      </c>
      <c r="U125" s="46">
        <f>SUMIFS(路飞意向数据源!F:F,路飞意向数据源!B:B,A125,路飞意向数据源!C:C,B125,路飞意向数据源!D:D,C125)</f>
        <v>0</v>
      </c>
      <c r="V125" s="46"/>
      <c r="W125" s="20"/>
      <c r="X125" s="35"/>
    </row>
    <row r="126" spans="1:24">
      <c r="A126" s="34" t="s">
        <v>101</v>
      </c>
      <c r="B126" s="34" t="s">
        <v>224</v>
      </c>
      <c r="C126" s="34" t="s">
        <v>396</v>
      </c>
      <c r="D126" s="34" t="s">
        <v>397</v>
      </c>
      <c r="E126" s="34" t="s">
        <v>219</v>
      </c>
      <c r="F126" s="44">
        <f>IFERROR(VLOOKUP(C126,路飞话务数据源!D:Q,2,FALSE),0)</f>
        <v>353</v>
      </c>
      <c r="G126" s="44">
        <f>IFERROR(VLOOKUP(C126,路飞话务数据源!D:Q,3,FALSE),0)</f>
        <v>137</v>
      </c>
      <c r="H126" s="44">
        <f>IFERROR(VLOOKUP(C126,路飞话务数据源!D:Q,4,FALSE),0)</f>
        <v>0.388101983002833</v>
      </c>
      <c r="I126" s="44">
        <f>IFERROR(VLOOKUP(C126,路飞话务数据源!D:Q,5,FALSE),0)</f>
        <v>54</v>
      </c>
      <c r="J126" s="45">
        <f>IFERROR(VLOOKUP(C126,路飞话务数据源!D:Q,6,FALSE),0)</f>
        <v>38</v>
      </c>
      <c r="K126" s="44">
        <f>IFERROR(VLOOKUP(C126,路飞话务数据源!D:Q,7,FALSE),0)</f>
        <v>22</v>
      </c>
      <c r="L126" s="46">
        <f>IFERROR(VLOOKUP(C126,路飞话务数据源!D:Q,8,FALSE),0)</f>
        <v>0</v>
      </c>
      <c r="M126" s="46">
        <f>IFERROR(VLOOKUP(C126,路飞话务数据源!D:Q,9,FALSE),0)</f>
        <v>75.4666666666667</v>
      </c>
      <c r="N126" s="46">
        <f>IFERROR(VLOOKUP(C126,路飞话务数据源!D:Q,10,FALSE),0)</f>
        <v>0</v>
      </c>
      <c r="O126" s="46">
        <f>IFERROR(VLOOKUP(C126,路飞话务数据源!D:Q,11,FALSE),0)</f>
        <v>0</v>
      </c>
      <c r="P126" s="46">
        <f>IFERROR(VLOOKUP(C126,路飞话务数据源!D:Q,12,FALSE),0)</f>
        <v>0</v>
      </c>
      <c r="Q126" s="60">
        <f>IFERROR(VLOOKUP(C126,路飞话务数据源!D:Q,13,FALSE),0)</f>
        <v>0</v>
      </c>
      <c r="R126" s="61">
        <f ca="1" t="shared" ref="R126:R152" si="5">IF(OR(TODAY()-E126&lt;=7,F126&lt;5),0,1)</f>
        <v>1</v>
      </c>
      <c r="S126" s="35" t="str">
        <f ca="1" t="shared" si="3"/>
        <v>1-3月</v>
      </c>
      <c r="T126" s="34" t="s">
        <v>388</v>
      </c>
      <c r="U126" s="46">
        <f>SUMIFS(路飞意向数据源!F:F,路飞意向数据源!B:B,A126,路飞意向数据源!C:C,B126,路飞意向数据源!D:D,C126)</f>
        <v>0</v>
      </c>
      <c r="V126" s="46"/>
      <c r="W126" s="20"/>
      <c r="X126" s="35"/>
    </row>
    <row r="127" spans="1:24">
      <c r="A127" s="34" t="s">
        <v>101</v>
      </c>
      <c r="B127" s="34" t="s">
        <v>224</v>
      </c>
      <c r="C127" s="34" t="s">
        <v>398</v>
      </c>
      <c r="D127" s="34" t="s">
        <v>399</v>
      </c>
      <c r="E127" s="34" t="s">
        <v>196</v>
      </c>
      <c r="F127" s="44">
        <f>IFERROR(VLOOKUP(C127,路飞话务数据源!D:Q,2,FALSE),0)</f>
        <v>127</v>
      </c>
      <c r="G127" s="44">
        <f>IFERROR(VLOOKUP(C127,路飞话务数据源!D:Q,3,FALSE),0)</f>
        <v>31</v>
      </c>
      <c r="H127" s="44">
        <f>IFERROR(VLOOKUP(C127,路飞话务数据源!D:Q,4,FALSE),0)</f>
        <v>0.244094488188976</v>
      </c>
      <c r="I127" s="44">
        <f>IFERROR(VLOOKUP(C127,路飞话务数据源!D:Q,5,FALSE),0)</f>
        <v>20</v>
      </c>
      <c r="J127" s="45">
        <f>IFERROR(VLOOKUP(C127,路飞话务数据源!D:Q,6,FALSE),0)</f>
        <v>18</v>
      </c>
      <c r="K127" s="44">
        <f>IFERROR(VLOOKUP(C127,路飞话务数据源!D:Q,7,FALSE),0)</f>
        <v>8</v>
      </c>
      <c r="L127" s="46">
        <f>IFERROR(VLOOKUP(C127,路飞话务数据源!D:Q,8,FALSE),0)</f>
        <v>1</v>
      </c>
      <c r="M127" s="46">
        <f>IFERROR(VLOOKUP(C127,路飞话务数据源!D:Q,9,FALSE),0)</f>
        <v>28.2166666666667</v>
      </c>
      <c r="N127" s="46">
        <f>IFERROR(VLOOKUP(C127,路飞话务数据源!D:Q,10,FALSE),0)</f>
        <v>0</v>
      </c>
      <c r="O127" s="46">
        <f>IFERROR(VLOOKUP(C127,路飞话务数据源!D:Q,11,FALSE),0)</f>
        <v>0</v>
      </c>
      <c r="P127" s="46">
        <f>IFERROR(VLOOKUP(C127,路飞话务数据源!D:Q,12,FALSE),0)</f>
        <v>0</v>
      </c>
      <c r="Q127" s="60">
        <f>IFERROR(VLOOKUP(C127,路飞话务数据源!D:Q,13,FALSE),0)</f>
        <v>0</v>
      </c>
      <c r="R127" s="61">
        <f ca="1" t="shared" si="5"/>
        <v>1</v>
      </c>
      <c r="S127" s="35" t="str">
        <f ca="1" t="shared" si="3"/>
        <v>1-3月</v>
      </c>
      <c r="T127" s="34" t="s">
        <v>388</v>
      </c>
      <c r="U127" s="46">
        <f>SUMIFS(路飞意向数据源!F:F,路飞意向数据源!B:B,A127,路飞意向数据源!C:C,B127,路飞意向数据源!D:D,C127)</f>
        <v>0</v>
      </c>
      <c r="V127" s="46"/>
      <c r="W127" s="20"/>
      <c r="X127" s="35"/>
    </row>
    <row r="128" spans="1:24">
      <c r="A128" s="34" t="s">
        <v>101</v>
      </c>
      <c r="B128" s="34" t="s">
        <v>224</v>
      </c>
      <c r="C128" s="34" t="s">
        <v>400</v>
      </c>
      <c r="D128" s="34" t="s">
        <v>401</v>
      </c>
      <c r="E128" s="34" t="s">
        <v>402</v>
      </c>
      <c r="F128" s="44">
        <f>IFERROR(VLOOKUP(C128,路飞话务数据源!D:Q,2,FALSE),0)</f>
        <v>191</v>
      </c>
      <c r="G128" s="44">
        <f>IFERROR(VLOOKUP(C128,路飞话务数据源!D:Q,3,FALSE),0)</f>
        <v>45</v>
      </c>
      <c r="H128" s="44">
        <f>IFERROR(VLOOKUP(C128,路飞话务数据源!D:Q,4,FALSE),0)</f>
        <v>0.235602094240838</v>
      </c>
      <c r="I128" s="44">
        <f>IFERROR(VLOOKUP(C128,路飞话务数据源!D:Q,5,FALSE),0)</f>
        <v>26</v>
      </c>
      <c r="J128" s="45">
        <f>IFERROR(VLOOKUP(C128,路飞话务数据源!D:Q,6,FALSE),0)</f>
        <v>23</v>
      </c>
      <c r="K128" s="44">
        <f>IFERROR(VLOOKUP(C128,路飞话务数据源!D:Q,7,FALSE),0)</f>
        <v>5</v>
      </c>
      <c r="L128" s="46">
        <f>IFERROR(VLOOKUP(C128,路飞话务数据源!D:Q,8,FALSE),0)</f>
        <v>1</v>
      </c>
      <c r="M128" s="46">
        <f>IFERROR(VLOOKUP(C128,路飞话务数据源!D:Q,9,FALSE),0)</f>
        <v>31.35</v>
      </c>
      <c r="N128" s="46">
        <f>IFERROR(VLOOKUP(C128,路飞话务数据源!D:Q,10,FALSE),0)</f>
        <v>0</v>
      </c>
      <c r="O128" s="46">
        <f>IFERROR(VLOOKUP(C128,路飞话务数据源!D:Q,11,FALSE),0)</f>
        <v>0</v>
      </c>
      <c r="P128" s="46">
        <f>IFERROR(VLOOKUP(C128,路飞话务数据源!D:Q,12,FALSE),0)</f>
        <v>0</v>
      </c>
      <c r="Q128" s="60">
        <f>IFERROR(VLOOKUP(C128,路飞话务数据源!D:Q,13,FALSE),0)</f>
        <v>0</v>
      </c>
      <c r="R128" s="61">
        <f ca="1" t="shared" si="5"/>
        <v>1</v>
      </c>
      <c r="S128" s="35" t="str">
        <f ca="1" t="shared" si="3"/>
        <v>3年以上</v>
      </c>
      <c r="T128" s="34" t="s">
        <v>388</v>
      </c>
      <c r="U128" s="46">
        <f>SUMIFS(路飞意向数据源!F:F,路飞意向数据源!B:B,A128,路飞意向数据源!C:C,B128,路飞意向数据源!D:D,C128)</f>
        <v>1</v>
      </c>
      <c r="V128" s="46"/>
      <c r="W128" s="20"/>
      <c r="X128" s="35"/>
    </row>
    <row r="129" spans="1:24">
      <c r="A129" s="34" t="s">
        <v>101</v>
      </c>
      <c r="B129" s="34" t="s">
        <v>224</v>
      </c>
      <c r="C129" s="34" t="s">
        <v>403</v>
      </c>
      <c r="D129" s="34" t="s">
        <v>404</v>
      </c>
      <c r="E129" s="34" t="s">
        <v>91</v>
      </c>
      <c r="F129" s="44">
        <f>IFERROR(VLOOKUP(C129,路飞话务数据源!D:Q,2,FALSE),0)</f>
        <v>136</v>
      </c>
      <c r="G129" s="44">
        <f>IFERROR(VLOOKUP(C129,路飞话务数据源!D:Q,3,FALSE),0)</f>
        <v>62</v>
      </c>
      <c r="H129" s="44">
        <f>IFERROR(VLOOKUP(C129,路飞话务数据源!D:Q,4,FALSE),0)</f>
        <v>0.455882352941176</v>
      </c>
      <c r="I129" s="44">
        <f>IFERROR(VLOOKUP(C129,路飞话务数据源!D:Q,5,FALSE),0)</f>
        <v>31</v>
      </c>
      <c r="J129" s="45">
        <f>IFERROR(VLOOKUP(C129,路飞话务数据源!D:Q,6,FALSE),0)</f>
        <v>25</v>
      </c>
      <c r="K129" s="44">
        <f>IFERROR(VLOOKUP(C129,路飞话务数据源!D:Q,7,FALSE),0)</f>
        <v>11</v>
      </c>
      <c r="L129" s="46">
        <f>IFERROR(VLOOKUP(C129,路飞话务数据源!D:Q,8,FALSE),0)</f>
        <v>1</v>
      </c>
      <c r="M129" s="46">
        <f>IFERROR(VLOOKUP(C129,路飞话务数据源!D:Q,9,FALSE),0)</f>
        <v>43.5166666666667</v>
      </c>
      <c r="N129" s="46">
        <f>IFERROR(VLOOKUP(C129,路飞话务数据源!D:Q,10,FALSE),0)</f>
        <v>0</v>
      </c>
      <c r="O129" s="46">
        <f>IFERROR(VLOOKUP(C129,路飞话务数据源!D:Q,11,FALSE),0)</f>
        <v>0</v>
      </c>
      <c r="P129" s="46">
        <f>IFERROR(VLOOKUP(C129,路飞话务数据源!D:Q,12,FALSE),0)</f>
        <v>0</v>
      </c>
      <c r="Q129" s="60">
        <f>IFERROR(VLOOKUP(C129,路飞话务数据源!D:Q,13,FALSE),0)</f>
        <v>0</v>
      </c>
      <c r="R129" s="61">
        <f ca="1" t="shared" si="5"/>
        <v>1</v>
      </c>
      <c r="S129" s="35" t="str">
        <f ca="1" t="shared" si="3"/>
        <v>4月-6月</v>
      </c>
      <c r="T129" s="34" t="s">
        <v>388</v>
      </c>
      <c r="U129" s="46">
        <f>SUMIFS(路飞意向数据源!F:F,路飞意向数据源!B:B,A129,路飞意向数据源!C:C,B129,路飞意向数据源!D:D,C129)</f>
        <v>0</v>
      </c>
      <c r="V129" s="46"/>
      <c r="W129" s="20"/>
      <c r="X129" s="35"/>
    </row>
    <row r="130" spans="1:24">
      <c r="A130" s="34" t="s">
        <v>101</v>
      </c>
      <c r="B130" s="34" t="s">
        <v>224</v>
      </c>
      <c r="C130" s="34" t="s">
        <v>405</v>
      </c>
      <c r="D130" s="34" t="s">
        <v>406</v>
      </c>
      <c r="E130" s="34" t="s">
        <v>211</v>
      </c>
      <c r="F130" s="44">
        <f>IFERROR(VLOOKUP(C130,路飞话务数据源!D:Q,2,FALSE),0)</f>
        <v>143</v>
      </c>
      <c r="G130" s="44">
        <f>IFERROR(VLOOKUP(C130,路飞话务数据源!D:Q,3,FALSE),0)</f>
        <v>57</v>
      </c>
      <c r="H130" s="44">
        <f>IFERROR(VLOOKUP(C130,路飞话务数据源!D:Q,4,FALSE),0)</f>
        <v>0.398601398601399</v>
      </c>
      <c r="I130" s="44">
        <f>IFERROR(VLOOKUP(C130,路飞话务数据源!D:Q,5,FALSE),0)</f>
        <v>39</v>
      </c>
      <c r="J130" s="45">
        <f>IFERROR(VLOOKUP(C130,路飞话务数据源!D:Q,6,FALSE),0)</f>
        <v>24</v>
      </c>
      <c r="K130" s="44">
        <f>IFERROR(VLOOKUP(C130,路飞话务数据源!D:Q,7,FALSE),0)</f>
        <v>15</v>
      </c>
      <c r="L130" s="46">
        <f>IFERROR(VLOOKUP(C130,路飞话务数据源!D:Q,8,FALSE),0)</f>
        <v>0</v>
      </c>
      <c r="M130" s="46">
        <f>IFERROR(VLOOKUP(C130,路飞话务数据源!D:Q,9,FALSE),0)</f>
        <v>40.9833333333333</v>
      </c>
      <c r="N130" s="46">
        <f>IFERROR(VLOOKUP(C130,路飞话务数据源!D:Q,10,FALSE),0)</f>
        <v>0</v>
      </c>
      <c r="O130" s="46">
        <f>IFERROR(VLOOKUP(C130,路飞话务数据源!D:Q,11,FALSE),0)</f>
        <v>0</v>
      </c>
      <c r="P130" s="46">
        <f>IFERROR(VLOOKUP(C130,路飞话务数据源!D:Q,12,FALSE),0)</f>
        <v>0</v>
      </c>
      <c r="Q130" s="60">
        <f>IFERROR(VLOOKUP(C130,路飞话务数据源!D:Q,13,FALSE),0)</f>
        <v>0</v>
      </c>
      <c r="R130" s="61">
        <f ca="1" t="shared" si="5"/>
        <v>1</v>
      </c>
      <c r="S130" s="35" t="str">
        <f ca="1" t="shared" ref="S130:S192" si="6">IF(DATEDIF(E130,TODAY(),"M")&gt;=12*3,"3年以上",IF(AND(DATEDIF(E130,TODAY(),"M")&gt;=12*2,DATEDIF(E130,TODAY(),"M")&lt;12*3),"2年-3年",IF(AND(DATEDIF(E130,TODAY(),"M")&gt;=12,DATEDIF(E130,TODAY(),"M")&lt;12*3),"1年-2年",IF(AND(DATEDIF(E130,TODAY(),"M")&lt;12,DATEDIF(E130,TODAY(),"M")&gt;=7),"7月-12月",IF(AND(DATEDIF(E130,TODAY(),"M")&lt;7,DATEDIF(E130,TODAY(),"M")&gt;=3),"4月-6月",IF(DATEDIF(E130,TODAY(),"M")=0,"月内","1-3月"))))))</f>
        <v>4月-6月</v>
      </c>
      <c r="T130" s="34" t="s">
        <v>388</v>
      </c>
      <c r="U130" s="46">
        <f>SUMIFS(路飞意向数据源!F:F,路飞意向数据源!B:B,A130,路飞意向数据源!C:C,B130,路飞意向数据源!D:D,C130)</f>
        <v>0</v>
      </c>
      <c r="V130" s="46"/>
      <c r="W130" s="20"/>
      <c r="X130" s="35"/>
    </row>
    <row r="131" spans="1:24">
      <c r="A131" s="34" t="s">
        <v>101</v>
      </c>
      <c r="B131" s="34" t="s">
        <v>224</v>
      </c>
      <c r="C131" s="34" t="s">
        <v>407</v>
      </c>
      <c r="D131" s="34" t="s">
        <v>408</v>
      </c>
      <c r="E131" s="34" t="s">
        <v>409</v>
      </c>
      <c r="F131" s="44">
        <f>IFERROR(VLOOKUP(C131,路飞话务数据源!D:Q,2,FALSE),0)</f>
        <v>118</v>
      </c>
      <c r="G131" s="44">
        <f>IFERROR(VLOOKUP(C131,路飞话务数据源!D:Q,3,FALSE),0)</f>
        <v>49</v>
      </c>
      <c r="H131" s="44">
        <f>IFERROR(VLOOKUP(C131,路飞话务数据源!D:Q,4,FALSE),0)</f>
        <v>0.415254237288136</v>
      </c>
      <c r="I131" s="44">
        <f>IFERROR(VLOOKUP(C131,路飞话务数据源!D:Q,5,FALSE),0)</f>
        <v>18</v>
      </c>
      <c r="J131" s="45">
        <f>IFERROR(VLOOKUP(C131,路飞话务数据源!D:Q,6,FALSE),0)</f>
        <v>15</v>
      </c>
      <c r="K131" s="44">
        <f>IFERROR(VLOOKUP(C131,路飞话务数据源!D:Q,7,FALSE),0)</f>
        <v>11</v>
      </c>
      <c r="L131" s="46">
        <f>IFERROR(VLOOKUP(C131,路飞话务数据源!D:Q,8,FALSE),0)</f>
        <v>3</v>
      </c>
      <c r="M131" s="46">
        <f>IFERROR(VLOOKUP(C131,路飞话务数据源!D:Q,9,FALSE),0)</f>
        <v>38.85</v>
      </c>
      <c r="N131" s="46">
        <f>IFERROR(VLOOKUP(C131,路飞话务数据源!D:Q,10,FALSE),0)</f>
        <v>0</v>
      </c>
      <c r="O131" s="46">
        <f>IFERROR(VLOOKUP(C131,路飞话务数据源!D:Q,11,FALSE),0)</f>
        <v>0</v>
      </c>
      <c r="P131" s="46">
        <f>IFERROR(VLOOKUP(C131,路飞话务数据源!D:Q,12,FALSE),0)</f>
        <v>0</v>
      </c>
      <c r="Q131" s="60">
        <f>IFERROR(VLOOKUP(C131,路飞话务数据源!D:Q,13,FALSE),0)</f>
        <v>0</v>
      </c>
      <c r="R131" s="61">
        <f ca="1" t="shared" si="5"/>
        <v>1</v>
      </c>
      <c r="S131" s="35" t="str">
        <f ca="1" t="shared" si="6"/>
        <v>2年-3年</v>
      </c>
      <c r="T131" s="34" t="s">
        <v>388</v>
      </c>
      <c r="U131" s="46">
        <f>SUMIFS(路飞意向数据源!F:F,路飞意向数据源!B:B,A131,路飞意向数据源!C:C,B131,路飞意向数据源!D:D,C131)</f>
        <v>0</v>
      </c>
      <c r="V131" s="46"/>
      <c r="W131" s="20"/>
      <c r="X131" s="35"/>
    </row>
    <row r="132" spans="1:24">
      <c r="A132" s="34" t="s">
        <v>101</v>
      </c>
      <c r="B132" s="34" t="s">
        <v>224</v>
      </c>
      <c r="C132" s="34" t="s">
        <v>410</v>
      </c>
      <c r="D132" s="34" t="s">
        <v>411</v>
      </c>
      <c r="E132" s="34" t="s">
        <v>412</v>
      </c>
      <c r="F132" s="44">
        <f>IFERROR(VLOOKUP(C132,路飞话务数据源!D:Q,2,FALSE),0)</f>
        <v>204</v>
      </c>
      <c r="G132" s="44">
        <f>IFERROR(VLOOKUP(C132,路飞话务数据源!D:Q,3,FALSE),0)</f>
        <v>78</v>
      </c>
      <c r="H132" s="44">
        <f>IFERROR(VLOOKUP(C132,路飞话务数据源!D:Q,4,FALSE),0)</f>
        <v>0.382352941176471</v>
      </c>
      <c r="I132" s="44">
        <f>IFERROR(VLOOKUP(C132,路飞话务数据源!D:Q,5,FALSE),0)</f>
        <v>39</v>
      </c>
      <c r="J132" s="45">
        <f>IFERROR(VLOOKUP(C132,路飞话务数据源!D:Q,6,FALSE),0)</f>
        <v>30</v>
      </c>
      <c r="K132" s="44">
        <f>IFERROR(VLOOKUP(C132,路飞话务数据源!D:Q,7,FALSE),0)</f>
        <v>16</v>
      </c>
      <c r="L132" s="46">
        <f>IFERROR(VLOOKUP(C132,路飞话务数据源!D:Q,8,FALSE),0)</f>
        <v>2</v>
      </c>
      <c r="M132" s="46">
        <f>IFERROR(VLOOKUP(C132,路飞话务数据源!D:Q,9,FALSE),0)</f>
        <v>56.4833333333333</v>
      </c>
      <c r="N132" s="46">
        <f>IFERROR(VLOOKUP(C132,路飞话务数据源!D:Q,10,FALSE),0)</f>
        <v>0</v>
      </c>
      <c r="O132" s="46">
        <f>IFERROR(VLOOKUP(C132,路飞话务数据源!D:Q,11,FALSE),0)</f>
        <v>0</v>
      </c>
      <c r="P132" s="46">
        <f>IFERROR(VLOOKUP(C132,路飞话务数据源!D:Q,12,FALSE),0)</f>
        <v>0</v>
      </c>
      <c r="Q132" s="60">
        <f>IFERROR(VLOOKUP(C132,路飞话务数据源!D:Q,13,FALSE),0)</f>
        <v>0</v>
      </c>
      <c r="R132" s="61">
        <f ca="1" t="shared" si="5"/>
        <v>1</v>
      </c>
      <c r="S132" s="35" t="str">
        <f ca="1" t="shared" si="6"/>
        <v>4月-6月</v>
      </c>
      <c r="T132" s="34" t="s">
        <v>388</v>
      </c>
      <c r="U132" s="46">
        <f>SUMIFS(路飞意向数据源!F:F,路飞意向数据源!B:B,A132,路飞意向数据源!C:C,B132,路飞意向数据源!D:D,C132)</f>
        <v>1</v>
      </c>
      <c r="V132" s="46"/>
      <c r="W132" s="20"/>
      <c r="X132" s="35"/>
    </row>
    <row r="133" spans="1:24">
      <c r="A133" s="34" t="s">
        <v>101</v>
      </c>
      <c r="B133" s="34" t="s">
        <v>224</v>
      </c>
      <c r="C133" s="34" t="s">
        <v>413</v>
      </c>
      <c r="D133" s="34" t="s">
        <v>414</v>
      </c>
      <c r="E133" s="34" t="s">
        <v>415</v>
      </c>
      <c r="F133" s="44">
        <f>IFERROR(VLOOKUP(C133,路飞话务数据源!D:Q,2,FALSE),0)</f>
        <v>194</v>
      </c>
      <c r="G133" s="44">
        <f>IFERROR(VLOOKUP(C133,路飞话务数据源!D:Q,3,FALSE),0)</f>
        <v>79</v>
      </c>
      <c r="H133" s="44">
        <f>IFERROR(VLOOKUP(C133,路飞话务数据源!D:Q,4,FALSE),0)</f>
        <v>0.407216494845361</v>
      </c>
      <c r="I133" s="44">
        <f>IFERROR(VLOOKUP(C133,路飞话务数据源!D:Q,5,FALSE),0)</f>
        <v>29</v>
      </c>
      <c r="J133" s="45">
        <f>IFERROR(VLOOKUP(C133,路飞话务数据源!D:Q,6,FALSE),0)</f>
        <v>18</v>
      </c>
      <c r="K133" s="44">
        <f>IFERROR(VLOOKUP(C133,路飞话务数据源!D:Q,7,FALSE),0)</f>
        <v>4</v>
      </c>
      <c r="L133" s="46">
        <f>IFERROR(VLOOKUP(C133,路飞话务数据源!D:Q,8,FALSE),0)</f>
        <v>0</v>
      </c>
      <c r="M133" s="46">
        <f>IFERROR(VLOOKUP(C133,路飞话务数据源!D:Q,9,FALSE),0)</f>
        <v>36.7166666666667</v>
      </c>
      <c r="N133" s="46">
        <f>IFERROR(VLOOKUP(C133,路飞话务数据源!D:Q,10,FALSE),0)</f>
        <v>0</v>
      </c>
      <c r="O133" s="46">
        <f>IFERROR(VLOOKUP(C133,路飞话务数据源!D:Q,11,FALSE),0)</f>
        <v>0</v>
      </c>
      <c r="P133" s="46">
        <f>IFERROR(VLOOKUP(C133,路飞话务数据源!D:Q,12,FALSE),0)</f>
        <v>0</v>
      </c>
      <c r="Q133" s="60">
        <f>IFERROR(VLOOKUP(C133,路飞话务数据源!D:Q,13,FALSE),0)</f>
        <v>0</v>
      </c>
      <c r="R133" s="61">
        <f ca="1" t="shared" si="5"/>
        <v>1</v>
      </c>
      <c r="S133" s="35" t="str">
        <f ca="1" t="shared" si="6"/>
        <v>1年-2年</v>
      </c>
      <c r="T133" s="34" t="s">
        <v>388</v>
      </c>
      <c r="U133" s="46">
        <f>SUMIFS(路飞意向数据源!F:F,路飞意向数据源!B:B,A133,路飞意向数据源!C:C,B133,路飞意向数据源!D:D,C133)</f>
        <v>0</v>
      </c>
      <c r="V133" s="46"/>
      <c r="W133" s="20"/>
      <c r="X133" s="35"/>
    </row>
    <row r="134" spans="1:24">
      <c r="A134" s="34" t="s">
        <v>21</v>
      </c>
      <c r="B134" s="34" t="s">
        <v>102</v>
      </c>
      <c r="C134" s="34" t="s">
        <v>416</v>
      </c>
      <c r="D134" s="34" t="s">
        <v>417</v>
      </c>
      <c r="E134" s="34" t="s">
        <v>418</v>
      </c>
      <c r="F134" s="44">
        <f>IFERROR(VLOOKUP(C134,路飞话务数据源!D:Q,2,FALSE),0)</f>
        <v>1</v>
      </c>
      <c r="G134" s="44">
        <f>IFERROR(VLOOKUP(C134,路飞话务数据源!D:Q,3,FALSE),0)</f>
        <v>1</v>
      </c>
      <c r="H134" s="44">
        <f>IFERROR(VLOOKUP(C134,路飞话务数据源!D:Q,4,FALSE),0)</f>
        <v>1</v>
      </c>
      <c r="I134" s="44">
        <f>IFERROR(VLOOKUP(C134,路飞话务数据源!D:Q,5,FALSE),0)</f>
        <v>0</v>
      </c>
      <c r="J134" s="45">
        <f>IFERROR(VLOOKUP(C134,路飞话务数据源!D:Q,6,FALSE),0)</f>
        <v>0</v>
      </c>
      <c r="K134" s="44">
        <f>IFERROR(VLOOKUP(C134,路飞话务数据源!D:Q,7,FALSE),0)</f>
        <v>0</v>
      </c>
      <c r="L134" s="46">
        <f>IFERROR(VLOOKUP(C134,路飞话务数据源!D:Q,8,FALSE),0)</f>
        <v>0</v>
      </c>
      <c r="M134" s="46">
        <f>IFERROR(VLOOKUP(C134,路飞话务数据源!D:Q,9,FALSE),0)</f>
        <v>0.233333333333333</v>
      </c>
      <c r="N134" s="46">
        <f>IFERROR(VLOOKUP(C134,路飞话务数据源!D:Q,10,FALSE),0)</f>
        <v>0</v>
      </c>
      <c r="O134" s="46">
        <f>IFERROR(VLOOKUP(C134,路飞话务数据源!D:Q,11,FALSE),0)</f>
        <v>0</v>
      </c>
      <c r="P134" s="46">
        <f>IFERROR(VLOOKUP(C134,路飞话务数据源!D:Q,12,FALSE),0)</f>
        <v>0</v>
      </c>
      <c r="Q134" s="60">
        <f>IFERROR(VLOOKUP(C134,路飞话务数据源!D:Q,13,FALSE),0)</f>
        <v>0</v>
      </c>
      <c r="R134" s="61">
        <f ca="1" t="shared" si="5"/>
        <v>0</v>
      </c>
      <c r="S134" s="35" t="str">
        <f ca="1" t="shared" si="6"/>
        <v>3年以上</v>
      </c>
      <c r="T134" s="34" t="s">
        <v>419</v>
      </c>
      <c r="U134" s="46">
        <f>SUMIFS(路飞意向数据源!F:F,路飞意向数据源!B:B,A134,路飞意向数据源!C:C,B134,路飞意向数据源!D:D,C134)</f>
        <v>2</v>
      </c>
      <c r="V134" s="46"/>
      <c r="W134" s="20"/>
      <c r="X134" s="35"/>
    </row>
    <row r="135" spans="1:24">
      <c r="A135" s="34" t="s">
        <v>21</v>
      </c>
      <c r="B135" s="34" t="s">
        <v>102</v>
      </c>
      <c r="C135" s="34" t="s">
        <v>420</v>
      </c>
      <c r="D135" s="34" t="s">
        <v>421</v>
      </c>
      <c r="E135" s="34" t="s">
        <v>118</v>
      </c>
      <c r="F135" s="44">
        <f>IFERROR(VLOOKUP(C135,路飞话务数据源!D:Q,2,FALSE),0)</f>
        <v>0</v>
      </c>
      <c r="G135" s="44">
        <f>IFERROR(VLOOKUP(C135,路飞话务数据源!D:Q,3,FALSE),0)</f>
        <v>0</v>
      </c>
      <c r="H135" s="44">
        <f>IFERROR(VLOOKUP(C135,路飞话务数据源!D:Q,4,FALSE),0)</f>
        <v>0</v>
      </c>
      <c r="I135" s="44">
        <f>IFERROR(VLOOKUP(C135,路飞话务数据源!D:Q,5,FALSE),0)</f>
        <v>0</v>
      </c>
      <c r="J135" s="45">
        <f>IFERROR(VLOOKUP(C135,路飞话务数据源!D:Q,6,FALSE),0)</f>
        <v>0</v>
      </c>
      <c r="K135" s="44">
        <f>IFERROR(VLOOKUP(C135,路飞话务数据源!D:Q,7,FALSE),0)</f>
        <v>0</v>
      </c>
      <c r="L135" s="46">
        <f>IFERROR(VLOOKUP(C135,路飞话务数据源!D:Q,8,FALSE),0)</f>
        <v>0</v>
      </c>
      <c r="M135" s="46">
        <f>IFERROR(VLOOKUP(C135,路飞话务数据源!D:Q,9,FALSE),0)</f>
        <v>0</v>
      </c>
      <c r="N135" s="46">
        <f>IFERROR(VLOOKUP(C135,路飞话务数据源!D:Q,10,FALSE),0)</f>
        <v>0</v>
      </c>
      <c r="O135" s="46">
        <f>IFERROR(VLOOKUP(C135,路飞话务数据源!D:Q,11,FALSE),0)</f>
        <v>0</v>
      </c>
      <c r="P135" s="46">
        <f>IFERROR(VLOOKUP(C135,路飞话务数据源!D:Q,12,FALSE),0)</f>
        <v>0</v>
      </c>
      <c r="Q135" s="60">
        <f>IFERROR(VLOOKUP(C135,路飞话务数据源!D:Q,13,FALSE),0)</f>
        <v>0</v>
      </c>
      <c r="R135" s="61">
        <f ca="1" t="shared" si="5"/>
        <v>0</v>
      </c>
      <c r="S135" s="35" t="str">
        <f ca="1" t="shared" si="6"/>
        <v>1-3月</v>
      </c>
      <c r="T135" s="34" t="s">
        <v>419</v>
      </c>
      <c r="U135" s="46">
        <f>SUMIFS(路飞意向数据源!F:F,路飞意向数据源!B:B,A135,路飞意向数据源!C:C,B135,路飞意向数据源!D:D,C135)</f>
        <v>0</v>
      </c>
      <c r="V135" s="46"/>
      <c r="W135" s="20"/>
      <c r="X135" s="35"/>
    </row>
    <row r="136" spans="1:24">
      <c r="A136" s="34" t="s">
        <v>51</v>
      </c>
      <c r="B136" s="34" t="s">
        <v>102</v>
      </c>
      <c r="C136" s="34" t="s">
        <v>422</v>
      </c>
      <c r="D136" s="34" t="s">
        <v>423</v>
      </c>
      <c r="E136" s="34" t="s">
        <v>424</v>
      </c>
      <c r="F136" s="44">
        <f>IFERROR(VLOOKUP(C136,路飞话务数据源!D:Q,2,FALSE),0)</f>
        <v>0</v>
      </c>
      <c r="G136" s="44">
        <f>IFERROR(VLOOKUP(C136,路飞话务数据源!D:Q,3,FALSE),0)</f>
        <v>0</v>
      </c>
      <c r="H136" s="44">
        <f>IFERROR(VLOOKUP(C136,路飞话务数据源!D:Q,4,FALSE),0)</f>
        <v>0</v>
      </c>
      <c r="I136" s="44">
        <f>IFERROR(VLOOKUP(C136,路飞话务数据源!D:Q,5,FALSE),0)</f>
        <v>0</v>
      </c>
      <c r="J136" s="45">
        <f>IFERROR(VLOOKUP(C136,路飞话务数据源!D:Q,6,FALSE),0)</f>
        <v>0</v>
      </c>
      <c r="K136" s="44">
        <f>IFERROR(VLOOKUP(C136,路飞话务数据源!D:Q,7,FALSE),0)</f>
        <v>0</v>
      </c>
      <c r="L136" s="46">
        <f>IFERROR(VLOOKUP(C136,路飞话务数据源!D:Q,8,FALSE),0)</f>
        <v>0</v>
      </c>
      <c r="M136" s="46">
        <f>IFERROR(VLOOKUP(C136,路飞话务数据源!D:Q,9,FALSE),0)</f>
        <v>0</v>
      </c>
      <c r="N136" s="46">
        <f>IFERROR(VLOOKUP(C136,路飞话务数据源!D:Q,10,FALSE),0)</f>
        <v>1</v>
      </c>
      <c r="O136" s="46">
        <f>IFERROR(VLOOKUP(C136,路飞话务数据源!D:Q,11,FALSE),0)</f>
        <v>0</v>
      </c>
      <c r="P136" s="46">
        <f>IFERROR(VLOOKUP(C136,路飞话务数据源!D:Q,12,FALSE),0)</f>
        <v>0</v>
      </c>
      <c r="Q136" s="60">
        <f>IFERROR(VLOOKUP(C136,路飞话务数据源!D:Q,13,FALSE),0)</f>
        <v>83</v>
      </c>
      <c r="R136" s="61">
        <f ca="1" t="shared" si="5"/>
        <v>0</v>
      </c>
      <c r="S136" s="35" t="str">
        <f ca="1" t="shared" si="6"/>
        <v>3年以上</v>
      </c>
      <c r="T136" s="34" t="s">
        <v>425</v>
      </c>
      <c r="U136" s="46">
        <f>SUMIFS(路飞意向数据源!F:F,路飞意向数据源!B:B,A136,路飞意向数据源!C:C,B136,路飞意向数据源!D:D,C136)</f>
        <v>0</v>
      </c>
      <c r="V136" s="46"/>
      <c r="W136" s="20"/>
      <c r="X136" s="35"/>
    </row>
    <row r="137" s="43" customFormat="1" spans="1:24">
      <c r="A137" s="34" t="s">
        <v>51</v>
      </c>
      <c r="B137" s="34" t="s">
        <v>102</v>
      </c>
      <c r="C137" s="34" t="s">
        <v>426</v>
      </c>
      <c r="D137" s="34" t="s">
        <v>427</v>
      </c>
      <c r="E137" s="34" t="s">
        <v>428</v>
      </c>
      <c r="F137" s="68">
        <f>IFERROR(VLOOKUP(C137,路飞话务数据源!D:Q,2,FALSE),0)</f>
        <v>2</v>
      </c>
      <c r="G137" s="68">
        <f>IFERROR(VLOOKUP(C137,路飞话务数据源!D:Q,3,FALSE),0)</f>
        <v>0</v>
      </c>
      <c r="H137" s="68">
        <f>IFERROR(VLOOKUP(C137,路飞话务数据源!D:Q,4,FALSE),0)</f>
        <v>0</v>
      </c>
      <c r="I137" s="68">
        <f>IFERROR(VLOOKUP(C137,路飞话务数据源!D:Q,5,FALSE),0)</f>
        <v>0</v>
      </c>
      <c r="J137" s="45">
        <f>IFERROR(VLOOKUP(C137,路飞话务数据源!D:Q,6,FALSE),0)</f>
        <v>0</v>
      </c>
      <c r="K137" s="68">
        <f>IFERROR(VLOOKUP(C137,路飞话务数据源!D:Q,7,FALSE),0)</f>
        <v>0</v>
      </c>
      <c r="L137" s="69">
        <f>IFERROR(VLOOKUP(C137,路飞话务数据源!D:Q,8,FALSE),0)</f>
        <v>0</v>
      </c>
      <c r="M137" s="69">
        <f>IFERROR(VLOOKUP(C137,路飞话务数据源!D:Q,9,FALSE),0)</f>
        <v>0</v>
      </c>
      <c r="N137" s="69">
        <f>IFERROR(VLOOKUP(C137,路飞话务数据源!D:Q,10,FALSE),0)</f>
        <v>1</v>
      </c>
      <c r="O137" s="69">
        <f>IFERROR(VLOOKUP(C137,路飞话务数据源!D:Q,11,FALSE),0)</f>
        <v>0</v>
      </c>
      <c r="P137" s="69">
        <f>IFERROR(VLOOKUP(C137,路飞话务数据源!D:Q,12,FALSE),0)</f>
        <v>0</v>
      </c>
      <c r="Q137" s="70">
        <f>IFERROR(VLOOKUP(C137,路飞话务数据源!D:Q,13,FALSE),0)</f>
        <v>77</v>
      </c>
      <c r="R137" s="61">
        <f ca="1" t="shared" si="5"/>
        <v>0</v>
      </c>
      <c r="S137" s="71" t="str">
        <f ca="1" t="shared" si="6"/>
        <v>7月-12月</v>
      </c>
      <c r="T137" s="34" t="s">
        <v>425</v>
      </c>
      <c r="U137" s="69">
        <f>SUMIFS(路飞意向数据源!F:F,路飞意向数据源!B:B,A137,路飞意向数据源!C:C,B137,路飞意向数据源!D:D,C137)</f>
        <v>0</v>
      </c>
      <c r="V137" s="69"/>
      <c r="W137" s="72"/>
      <c r="X137" s="71"/>
    </row>
    <row r="138" spans="1:24">
      <c r="A138" s="34" t="s">
        <v>51</v>
      </c>
      <c r="B138" s="34" t="s">
        <v>102</v>
      </c>
      <c r="C138" s="34" t="s">
        <v>429</v>
      </c>
      <c r="D138" s="34" t="s">
        <v>430</v>
      </c>
      <c r="E138" s="34" t="s">
        <v>431</v>
      </c>
      <c r="F138" s="44">
        <f>IFERROR(VLOOKUP(C138,路飞话务数据源!D:Q,2,FALSE),0)</f>
        <v>23</v>
      </c>
      <c r="G138" s="44">
        <f>IFERROR(VLOOKUP(C138,路飞话务数据源!D:Q,3,FALSE),0)</f>
        <v>8</v>
      </c>
      <c r="H138" s="44">
        <f>IFERROR(VLOOKUP(C138,路飞话务数据源!D:Q,4,FALSE),0)</f>
        <v>0.347826086956522</v>
      </c>
      <c r="I138" s="44">
        <f>IFERROR(VLOOKUP(C138,路飞话务数据源!D:Q,5,FALSE),0)</f>
        <v>6</v>
      </c>
      <c r="J138" s="45">
        <f>IFERROR(VLOOKUP(C138,路飞话务数据源!D:Q,6,FALSE),0)</f>
        <v>5</v>
      </c>
      <c r="K138" s="44">
        <f>IFERROR(VLOOKUP(C138,路飞话务数据源!D:Q,7,FALSE),0)</f>
        <v>4</v>
      </c>
      <c r="L138" s="46">
        <f>IFERROR(VLOOKUP(C138,路飞话务数据源!D:Q,8,FALSE),0)</f>
        <v>0</v>
      </c>
      <c r="M138" s="46">
        <f>IFERROR(VLOOKUP(C138,路飞话务数据源!D:Q,9,FALSE),0)</f>
        <v>8.56666666666667</v>
      </c>
      <c r="N138" s="46">
        <f>IFERROR(VLOOKUP(C138,路飞话务数据源!D:Q,10,FALSE),0)</f>
        <v>0</v>
      </c>
      <c r="O138" s="46">
        <f>IFERROR(VLOOKUP(C138,路飞话务数据源!D:Q,11,FALSE),0)</f>
        <v>0</v>
      </c>
      <c r="P138" s="46">
        <f>IFERROR(VLOOKUP(C138,路飞话务数据源!D:Q,12,FALSE),0)</f>
        <v>0</v>
      </c>
      <c r="Q138" s="60">
        <f>IFERROR(VLOOKUP(C138,路飞话务数据源!D:Q,13,FALSE),0)</f>
        <v>0</v>
      </c>
      <c r="R138" s="61">
        <f ca="1" t="shared" si="5"/>
        <v>1</v>
      </c>
      <c r="S138" s="35" t="str">
        <f ca="1" t="shared" si="6"/>
        <v>月内</v>
      </c>
      <c r="T138" s="34" t="s">
        <v>425</v>
      </c>
      <c r="U138" s="46">
        <f>SUMIFS(路飞意向数据源!F:F,路飞意向数据源!B:B,A138,路飞意向数据源!C:C,B138,路飞意向数据源!D:D,C138)</f>
        <v>0</v>
      </c>
      <c r="V138" s="46"/>
      <c r="W138" s="20"/>
      <c r="X138" s="35"/>
    </row>
    <row r="139" spans="1:24">
      <c r="A139" s="34" t="s">
        <v>51</v>
      </c>
      <c r="B139" s="34" t="s">
        <v>102</v>
      </c>
      <c r="C139" s="34" t="s">
        <v>432</v>
      </c>
      <c r="D139" s="34" t="s">
        <v>433</v>
      </c>
      <c r="E139" s="34" t="s">
        <v>434</v>
      </c>
      <c r="F139" s="44">
        <f>IFERROR(VLOOKUP(C139,路飞话务数据源!D:Q,2,FALSE),0)</f>
        <v>8</v>
      </c>
      <c r="G139" s="44">
        <f>IFERROR(VLOOKUP(C139,路飞话务数据源!D:Q,3,FALSE),0)</f>
        <v>4</v>
      </c>
      <c r="H139" s="44">
        <f>IFERROR(VLOOKUP(C139,路飞话务数据源!D:Q,4,FALSE),0)</f>
        <v>0.5</v>
      </c>
      <c r="I139" s="44">
        <f>IFERROR(VLOOKUP(C139,路飞话务数据源!D:Q,5,FALSE),0)</f>
        <v>3</v>
      </c>
      <c r="J139" s="45">
        <f>IFERROR(VLOOKUP(C139,路飞话务数据源!D:Q,6,FALSE),0)</f>
        <v>3</v>
      </c>
      <c r="K139" s="44">
        <f>IFERROR(VLOOKUP(C139,路飞话务数据源!D:Q,7,FALSE),0)</f>
        <v>3</v>
      </c>
      <c r="L139" s="46">
        <f>IFERROR(VLOOKUP(C139,路飞话务数据源!D:Q,8,FALSE),0)</f>
        <v>1</v>
      </c>
      <c r="M139" s="46">
        <f>IFERROR(VLOOKUP(C139,路飞话务数据源!D:Q,9,FALSE),0)</f>
        <v>9.2</v>
      </c>
      <c r="N139" s="46">
        <f>IFERROR(VLOOKUP(C139,路飞话务数据源!D:Q,10,FALSE),0)</f>
        <v>1</v>
      </c>
      <c r="O139" s="46">
        <f>IFERROR(VLOOKUP(C139,路飞话务数据源!D:Q,11,FALSE),0)</f>
        <v>1</v>
      </c>
      <c r="P139" s="46">
        <f>IFERROR(VLOOKUP(C139,路飞话务数据源!D:Q,12,FALSE),0)</f>
        <v>1</v>
      </c>
      <c r="Q139" s="60">
        <f>IFERROR(VLOOKUP(C139,路飞话务数据源!D:Q,13,FALSE),0)</f>
        <v>41</v>
      </c>
      <c r="R139" s="61">
        <f ca="1" t="shared" si="5"/>
        <v>1</v>
      </c>
      <c r="S139" s="35" t="str">
        <f ca="1" t="shared" si="6"/>
        <v>1年-2年</v>
      </c>
      <c r="T139" s="34" t="s">
        <v>425</v>
      </c>
      <c r="U139" s="46">
        <f>SUMIFS(路飞意向数据源!F:F,路飞意向数据源!B:B,A139,路飞意向数据源!C:C,B139,路飞意向数据源!D:D,C139)</f>
        <v>0</v>
      </c>
      <c r="V139" s="46"/>
      <c r="W139" s="20"/>
      <c r="X139" s="35"/>
    </row>
    <row r="140" spans="1:24">
      <c r="A140" s="34" t="s">
        <v>51</v>
      </c>
      <c r="B140" s="34" t="s">
        <v>102</v>
      </c>
      <c r="C140" s="34" t="s">
        <v>435</v>
      </c>
      <c r="D140" s="34" t="s">
        <v>436</v>
      </c>
      <c r="E140" s="34" t="s">
        <v>437</v>
      </c>
      <c r="F140" s="44">
        <f>IFERROR(VLOOKUP(C140,路飞话务数据源!D:Q,2,FALSE),0)</f>
        <v>7</v>
      </c>
      <c r="G140" s="44">
        <f>IFERROR(VLOOKUP(C140,路飞话务数据源!D:Q,3,FALSE),0)</f>
        <v>2</v>
      </c>
      <c r="H140" s="44">
        <f>IFERROR(VLOOKUP(C140,路飞话务数据源!D:Q,4,FALSE),0)</f>
        <v>0.285714285714286</v>
      </c>
      <c r="I140" s="44">
        <f>IFERROR(VLOOKUP(C140,路飞话务数据源!D:Q,5,FALSE),0)</f>
        <v>2</v>
      </c>
      <c r="J140" s="45">
        <f>IFERROR(VLOOKUP(C140,路飞话务数据源!D:Q,6,FALSE),0)</f>
        <v>1</v>
      </c>
      <c r="K140" s="44">
        <f>IFERROR(VLOOKUP(C140,路飞话务数据源!D:Q,7,FALSE),0)</f>
        <v>1</v>
      </c>
      <c r="L140" s="46">
        <f>IFERROR(VLOOKUP(C140,路飞话务数据源!D:Q,8,FALSE),0)</f>
        <v>0</v>
      </c>
      <c r="M140" s="46">
        <f>IFERROR(VLOOKUP(C140,路飞话务数据源!D:Q,9,FALSE),0)</f>
        <v>2.28333333333333</v>
      </c>
      <c r="N140" s="46">
        <f>IFERROR(VLOOKUP(C140,路飞话务数据源!D:Q,10,FALSE),0)</f>
        <v>2</v>
      </c>
      <c r="O140" s="46">
        <f>IFERROR(VLOOKUP(C140,路飞话务数据源!D:Q,11,FALSE),0)</f>
        <v>0</v>
      </c>
      <c r="P140" s="46">
        <f>IFERROR(VLOOKUP(C140,路飞话务数据源!D:Q,12,FALSE),0)</f>
        <v>0</v>
      </c>
      <c r="Q140" s="60">
        <f>IFERROR(VLOOKUP(C140,路飞话务数据源!D:Q,13,FALSE),0)</f>
        <v>87</v>
      </c>
      <c r="R140" s="61">
        <f ca="1" t="shared" si="5"/>
        <v>1</v>
      </c>
      <c r="S140" s="35" t="str">
        <f ca="1" t="shared" si="6"/>
        <v>1-3月</v>
      </c>
      <c r="T140" s="34" t="s">
        <v>425</v>
      </c>
      <c r="U140" s="46">
        <f>SUMIFS(路飞意向数据源!F:F,路飞意向数据源!B:B,A140,路飞意向数据源!C:C,B140,路飞意向数据源!D:D,C140)</f>
        <v>0</v>
      </c>
      <c r="V140" s="46"/>
      <c r="W140" s="20"/>
      <c r="X140" s="35"/>
    </row>
    <row r="141" spans="1:24">
      <c r="A141" s="34" t="s">
        <v>51</v>
      </c>
      <c r="B141" s="34" t="s">
        <v>102</v>
      </c>
      <c r="C141" s="34" t="s">
        <v>438</v>
      </c>
      <c r="D141" s="34" t="s">
        <v>439</v>
      </c>
      <c r="E141" s="34" t="s">
        <v>440</v>
      </c>
      <c r="F141" s="44">
        <f>IFERROR(VLOOKUP(C141,路飞话务数据源!D:Q,2,FALSE),0)</f>
        <v>170</v>
      </c>
      <c r="G141" s="44">
        <f>IFERROR(VLOOKUP(C141,路飞话务数据源!D:Q,3,FALSE),0)</f>
        <v>53</v>
      </c>
      <c r="H141" s="44">
        <f>IFERROR(VLOOKUP(C141,路飞话务数据源!D:Q,4,FALSE),0)</f>
        <v>0.311764705882353</v>
      </c>
      <c r="I141" s="44">
        <f>IFERROR(VLOOKUP(C141,路飞话务数据源!D:Q,5,FALSE),0)</f>
        <v>29</v>
      </c>
      <c r="J141" s="45">
        <f>IFERROR(VLOOKUP(C141,路飞话务数据源!D:Q,6,FALSE),0)</f>
        <v>28</v>
      </c>
      <c r="K141" s="44">
        <f>IFERROR(VLOOKUP(C141,路飞话务数据源!D:Q,7,FALSE),0)</f>
        <v>18</v>
      </c>
      <c r="L141" s="46">
        <f>IFERROR(VLOOKUP(C141,路飞话务数据源!D:Q,8,FALSE),0)</f>
        <v>2</v>
      </c>
      <c r="M141" s="46">
        <f>IFERROR(VLOOKUP(C141,路飞话务数据源!D:Q,9,FALSE),0)</f>
        <v>45.15</v>
      </c>
      <c r="N141" s="46">
        <f>IFERROR(VLOOKUP(C141,路飞话务数据源!D:Q,10,FALSE),0)</f>
        <v>0</v>
      </c>
      <c r="O141" s="46">
        <f>IFERROR(VLOOKUP(C141,路飞话务数据源!D:Q,11,FALSE),0)</f>
        <v>0</v>
      </c>
      <c r="P141" s="46">
        <f>IFERROR(VLOOKUP(C141,路飞话务数据源!D:Q,12,FALSE),0)</f>
        <v>0</v>
      </c>
      <c r="Q141" s="60">
        <f>IFERROR(VLOOKUP(C141,路飞话务数据源!D:Q,13,FALSE),0)</f>
        <v>0</v>
      </c>
      <c r="R141" s="61">
        <f ca="1" t="shared" si="5"/>
        <v>1</v>
      </c>
      <c r="S141" s="35" t="str">
        <f ca="1" t="shared" si="6"/>
        <v>3年以上</v>
      </c>
      <c r="T141" s="34" t="s">
        <v>425</v>
      </c>
      <c r="U141" s="46">
        <f>SUMIFS(路飞意向数据源!F:F,路飞意向数据源!B:B,A141,路飞意向数据源!C:C,B141,路飞意向数据源!D:D,C141)</f>
        <v>0</v>
      </c>
      <c r="V141" s="46"/>
      <c r="W141" s="20"/>
      <c r="X141" s="35"/>
    </row>
    <row r="142" spans="1:24">
      <c r="A142" s="34" t="s">
        <v>51</v>
      </c>
      <c r="B142" s="34" t="s">
        <v>264</v>
      </c>
      <c r="C142" s="34" t="s">
        <v>441</v>
      </c>
      <c r="D142" s="34" t="s">
        <v>442</v>
      </c>
      <c r="E142" s="34" t="s">
        <v>443</v>
      </c>
      <c r="F142" s="44">
        <f>IFERROR(VLOOKUP(C142,路飞话务数据源!D:Q,2,FALSE),0)</f>
        <v>139</v>
      </c>
      <c r="G142" s="44">
        <f>IFERROR(VLOOKUP(C142,路飞话务数据源!D:Q,3,FALSE),0)</f>
        <v>59</v>
      </c>
      <c r="H142" s="44">
        <f>IFERROR(VLOOKUP(C142,路飞话务数据源!D:Q,4,FALSE),0)</f>
        <v>0.424460431654676</v>
      </c>
      <c r="I142" s="44">
        <f>IFERROR(VLOOKUP(C142,路飞话务数据源!D:Q,5,FALSE),0)</f>
        <v>27</v>
      </c>
      <c r="J142" s="45">
        <f>IFERROR(VLOOKUP(C142,路飞话务数据源!D:Q,6,FALSE),0)</f>
        <v>15</v>
      </c>
      <c r="K142" s="44">
        <f>IFERROR(VLOOKUP(C142,路飞话务数据源!D:Q,7,FALSE),0)</f>
        <v>14</v>
      </c>
      <c r="L142" s="46">
        <f>IFERROR(VLOOKUP(C142,路飞话务数据源!D:Q,8,FALSE),0)</f>
        <v>5</v>
      </c>
      <c r="M142" s="46">
        <f>IFERROR(VLOOKUP(C142,路飞话务数据源!D:Q,9,FALSE),0)</f>
        <v>47.6333333333333</v>
      </c>
      <c r="N142" s="46">
        <f>IFERROR(VLOOKUP(C142,路飞话务数据源!D:Q,10,FALSE),0)</f>
        <v>0</v>
      </c>
      <c r="O142" s="46">
        <f>IFERROR(VLOOKUP(C142,路飞话务数据源!D:Q,11,FALSE),0)</f>
        <v>0</v>
      </c>
      <c r="P142" s="46">
        <f>IFERROR(VLOOKUP(C142,路飞话务数据源!D:Q,12,FALSE),0)</f>
        <v>0</v>
      </c>
      <c r="Q142" s="60">
        <f>IFERROR(VLOOKUP(C142,路飞话务数据源!D:Q,13,FALSE),0)</f>
        <v>0</v>
      </c>
      <c r="R142" s="61">
        <f ca="1" t="shared" si="5"/>
        <v>1</v>
      </c>
      <c r="S142" s="35" t="str">
        <f ca="1" t="shared" si="6"/>
        <v>3年以上</v>
      </c>
      <c r="T142" s="34" t="s">
        <v>444</v>
      </c>
      <c r="U142" s="46">
        <f>SUMIFS(路飞意向数据源!F:F,路飞意向数据源!B:B,A142,路飞意向数据源!C:C,B142,路飞意向数据源!D:D,C142)</f>
        <v>0</v>
      </c>
      <c r="V142" s="46"/>
      <c r="W142" s="20"/>
      <c r="X142" s="35"/>
    </row>
    <row r="143" s="43" customFormat="1" spans="1:24">
      <c r="A143" s="34" t="s">
        <v>51</v>
      </c>
      <c r="B143" s="34" t="s">
        <v>264</v>
      </c>
      <c r="C143" s="34" t="s">
        <v>445</v>
      </c>
      <c r="D143" s="34" t="s">
        <v>446</v>
      </c>
      <c r="E143" s="34" t="s">
        <v>447</v>
      </c>
      <c r="F143" s="44">
        <f>IFERROR(VLOOKUP(C143,路飞话务数据源!D:Q,2,FALSE),0)</f>
        <v>212</v>
      </c>
      <c r="G143" s="44">
        <f>IFERROR(VLOOKUP(C143,路飞话务数据源!D:Q,3,FALSE),0)</f>
        <v>108</v>
      </c>
      <c r="H143" s="44">
        <f>IFERROR(VLOOKUP(C143,路飞话务数据源!D:Q,4,FALSE),0)</f>
        <v>0.509433962264151</v>
      </c>
      <c r="I143" s="44">
        <f>IFERROR(VLOOKUP(C143,路飞话务数据源!D:Q,5,FALSE),0)</f>
        <v>36</v>
      </c>
      <c r="J143" s="45">
        <f>IFERROR(VLOOKUP(C143,路飞话务数据源!D:Q,6,FALSE),0)</f>
        <v>24</v>
      </c>
      <c r="K143" s="44">
        <f>IFERROR(VLOOKUP(C143,路飞话务数据源!D:Q,7,FALSE),0)</f>
        <v>9</v>
      </c>
      <c r="L143" s="46">
        <f>IFERROR(VLOOKUP(C143,路飞话务数据源!D:Q,8,FALSE),0)</f>
        <v>3</v>
      </c>
      <c r="M143" s="46">
        <f>IFERROR(VLOOKUP(C143,路飞话务数据源!D:Q,9,FALSE),0)</f>
        <v>59.5166666666667</v>
      </c>
      <c r="N143" s="46">
        <f>IFERROR(VLOOKUP(C143,路飞话务数据源!D:Q,10,FALSE),0)</f>
        <v>0</v>
      </c>
      <c r="O143" s="46">
        <f>IFERROR(VLOOKUP(C143,路飞话务数据源!D:Q,11,FALSE),0)</f>
        <v>0</v>
      </c>
      <c r="P143" s="46">
        <f>IFERROR(VLOOKUP(C143,路飞话务数据源!D:Q,12,FALSE),0)</f>
        <v>0</v>
      </c>
      <c r="Q143" s="60">
        <f>IFERROR(VLOOKUP(C143,路飞话务数据源!D:Q,13,FALSE),0)</f>
        <v>0</v>
      </c>
      <c r="R143" s="61">
        <f ca="1" t="shared" si="5"/>
        <v>1</v>
      </c>
      <c r="S143" s="35" t="str">
        <f ca="1" t="shared" si="6"/>
        <v>7月-12月</v>
      </c>
      <c r="T143" s="34" t="s">
        <v>444</v>
      </c>
      <c r="U143" s="69">
        <f>SUMIFS(路飞意向数据源!F:F,路飞意向数据源!B:B,A143,路飞意向数据源!C:C,B143,路飞意向数据源!D:D,C143)</f>
        <v>0</v>
      </c>
      <c r="V143" s="69"/>
      <c r="W143" s="72"/>
      <c r="X143" s="71"/>
    </row>
    <row r="144" s="43" customFormat="1" spans="1:24">
      <c r="A144" s="34" t="s">
        <v>51</v>
      </c>
      <c r="B144" s="34" t="s">
        <v>264</v>
      </c>
      <c r="C144" s="34" t="s">
        <v>448</v>
      </c>
      <c r="D144" s="34" t="s">
        <v>449</v>
      </c>
      <c r="E144" s="34" t="s">
        <v>450</v>
      </c>
      <c r="F144" s="44">
        <f>IFERROR(VLOOKUP(C144,路飞话务数据源!D:Q,2,FALSE),0)</f>
        <v>194</v>
      </c>
      <c r="G144" s="44">
        <f>IFERROR(VLOOKUP(C144,路飞话务数据源!D:Q,3,FALSE),0)</f>
        <v>85</v>
      </c>
      <c r="H144" s="44">
        <f>IFERROR(VLOOKUP(C144,路飞话务数据源!D:Q,4,FALSE),0)</f>
        <v>0.438144329896907</v>
      </c>
      <c r="I144" s="44">
        <f>IFERROR(VLOOKUP(C144,路飞话务数据源!D:Q,5,FALSE),0)</f>
        <v>39</v>
      </c>
      <c r="J144" s="45">
        <f>IFERROR(VLOOKUP(C144,路飞话务数据源!D:Q,6,FALSE),0)</f>
        <v>30</v>
      </c>
      <c r="K144" s="44">
        <f>IFERROR(VLOOKUP(C144,路飞话务数据源!D:Q,7,FALSE),0)</f>
        <v>20</v>
      </c>
      <c r="L144" s="46">
        <f>IFERROR(VLOOKUP(C144,路飞话务数据源!D:Q,8,FALSE),0)</f>
        <v>1</v>
      </c>
      <c r="M144" s="46">
        <f>IFERROR(VLOOKUP(C144,路飞话务数据源!D:Q,9,FALSE),0)</f>
        <v>61.1166666666667</v>
      </c>
      <c r="N144" s="46">
        <f>IFERROR(VLOOKUP(C144,路飞话务数据源!D:Q,10,FALSE),0)</f>
        <v>0</v>
      </c>
      <c r="O144" s="46">
        <f>IFERROR(VLOOKUP(C144,路飞话务数据源!D:Q,11,FALSE),0)</f>
        <v>0</v>
      </c>
      <c r="P144" s="46">
        <f>IFERROR(VLOOKUP(C144,路飞话务数据源!D:Q,12,FALSE),0)</f>
        <v>0</v>
      </c>
      <c r="Q144" s="60">
        <f>IFERROR(VLOOKUP(C144,路飞话务数据源!D:Q,13,FALSE),0)</f>
        <v>0</v>
      </c>
      <c r="R144" s="61">
        <f ca="1" t="shared" si="5"/>
        <v>1</v>
      </c>
      <c r="S144" s="35" t="str">
        <f ca="1" t="shared" si="6"/>
        <v>3年以上</v>
      </c>
      <c r="T144" s="34" t="s">
        <v>444</v>
      </c>
      <c r="U144" s="69">
        <f>SUMIFS(路飞意向数据源!F:F,路飞意向数据源!B:B,A144,路飞意向数据源!C:C,B144,路飞意向数据源!D:D,C144)</f>
        <v>1</v>
      </c>
      <c r="V144" s="69"/>
      <c r="W144" s="72"/>
      <c r="X144" s="71"/>
    </row>
    <row r="145" s="43" customFormat="1" spans="1:24">
      <c r="A145" s="34" t="s">
        <v>51</v>
      </c>
      <c r="B145" s="34" t="s">
        <v>264</v>
      </c>
      <c r="C145" s="34" t="s">
        <v>451</v>
      </c>
      <c r="D145" s="34" t="s">
        <v>452</v>
      </c>
      <c r="E145" s="34" t="s">
        <v>453</v>
      </c>
      <c r="F145" s="44">
        <f>IFERROR(VLOOKUP(C145,路飞话务数据源!D:Q,2,FALSE),0)</f>
        <v>203</v>
      </c>
      <c r="G145" s="44">
        <f>IFERROR(VLOOKUP(C145,路飞话务数据源!D:Q,3,FALSE),0)</f>
        <v>81</v>
      </c>
      <c r="H145" s="44">
        <f>IFERROR(VLOOKUP(C145,路飞话务数据源!D:Q,4,FALSE),0)</f>
        <v>0.399014778325123</v>
      </c>
      <c r="I145" s="44">
        <f>IFERROR(VLOOKUP(C145,路飞话务数据源!D:Q,5,FALSE),0)</f>
        <v>36</v>
      </c>
      <c r="J145" s="45">
        <f>IFERROR(VLOOKUP(C145,路飞话务数据源!D:Q,6,FALSE),0)</f>
        <v>26</v>
      </c>
      <c r="K145" s="44">
        <f>IFERROR(VLOOKUP(C145,路飞话务数据源!D:Q,7,FALSE),0)</f>
        <v>11</v>
      </c>
      <c r="L145" s="46">
        <f>IFERROR(VLOOKUP(C145,路飞话务数据源!D:Q,8,FALSE),0)</f>
        <v>0</v>
      </c>
      <c r="M145" s="46">
        <f>IFERROR(VLOOKUP(C145,路飞话务数据源!D:Q,9,FALSE),0)</f>
        <v>44.3833333333333</v>
      </c>
      <c r="N145" s="46">
        <f>IFERROR(VLOOKUP(C145,路飞话务数据源!D:Q,10,FALSE),0)</f>
        <v>0</v>
      </c>
      <c r="O145" s="46">
        <f>IFERROR(VLOOKUP(C145,路飞话务数据源!D:Q,11,FALSE),0)</f>
        <v>0</v>
      </c>
      <c r="P145" s="46">
        <f>IFERROR(VLOOKUP(C145,路飞话务数据源!D:Q,12,FALSE),0)</f>
        <v>0</v>
      </c>
      <c r="Q145" s="60">
        <f>IFERROR(VLOOKUP(C145,路飞话务数据源!D:Q,13,FALSE),0)</f>
        <v>0</v>
      </c>
      <c r="R145" s="61">
        <f ca="1" t="shared" si="5"/>
        <v>1</v>
      </c>
      <c r="S145" s="35" t="str">
        <f ca="1" t="shared" si="6"/>
        <v>3年以上</v>
      </c>
      <c r="T145" s="34" t="s">
        <v>444</v>
      </c>
      <c r="U145" s="46">
        <f>SUMIFS(路飞意向数据源!F:F,路飞意向数据源!B:B,A145,路飞意向数据源!C:C,B145,路飞意向数据源!D:D,C145)</f>
        <v>0</v>
      </c>
      <c r="V145" s="46"/>
      <c r="W145" s="20"/>
      <c r="X145" s="35"/>
    </row>
    <row r="146" spans="1:24">
      <c r="A146" s="34" t="s">
        <v>51</v>
      </c>
      <c r="B146" s="34" t="s">
        <v>264</v>
      </c>
      <c r="C146" s="34" t="s">
        <v>454</v>
      </c>
      <c r="D146" s="34" t="s">
        <v>455</v>
      </c>
      <c r="E146" s="34" t="s">
        <v>456</v>
      </c>
      <c r="F146" s="44">
        <f>IFERROR(VLOOKUP(C146,路飞话务数据源!D:Q,2,FALSE),0)</f>
        <v>149</v>
      </c>
      <c r="G146" s="44">
        <f>IFERROR(VLOOKUP(C146,路飞话务数据源!D:Q,3,FALSE),0)</f>
        <v>70</v>
      </c>
      <c r="H146" s="44">
        <f>IFERROR(VLOOKUP(C146,路飞话务数据源!D:Q,4,FALSE),0)</f>
        <v>0.469798657718121</v>
      </c>
      <c r="I146" s="44">
        <f>IFERROR(VLOOKUP(C146,路飞话务数据源!D:Q,5,FALSE),0)</f>
        <v>33</v>
      </c>
      <c r="J146" s="45">
        <f>IFERROR(VLOOKUP(C146,路飞话务数据源!D:Q,6,FALSE),0)</f>
        <v>26</v>
      </c>
      <c r="K146" s="44">
        <f>IFERROR(VLOOKUP(C146,路飞话务数据源!D:Q,7,FALSE),0)</f>
        <v>8</v>
      </c>
      <c r="L146" s="46">
        <f>IFERROR(VLOOKUP(C146,路飞话务数据源!D:Q,8,FALSE),0)</f>
        <v>0</v>
      </c>
      <c r="M146" s="46">
        <f>IFERROR(VLOOKUP(C146,路飞话务数据源!D:Q,9,FALSE),0)</f>
        <v>40.2833333333333</v>
      </c>
      <c r="N146" s="46">
        <f>IFERROR(VLOOKUP(C146,路飞话务数据源!D:Q,10,FALSE),0)</f>
        <v>1</v>
      </c>
      <c r="O146" s="46">
        <f>IFERROR(VLOOKUP(C146,路飞话务数据源!D:Q,11,FALSE),0)</f>
        <v>0</v>
      </c>
      <c r="P146" s="46">
        <f>IFERROR(VLOOKUP(C146,路飞话务数据源!D:Q,12,FALSE),0)</f>
        <v>0</v>
      </c>
      <c r="Q146" s="60">
        <f>IFERROR(VLOOKUP(C146,路飞话务数据源!D:Q,13,FALSE),0)</f>
        <v>0</v>
      </c>
      <c r="R146" s="61">
        <f ca="1" t="shared" si="5"/>
        <v>1</v>
      </c>
      <c r="S146" s="35" t="str">
        <f ca="1" t="shared" si="6"/>
        <v>2年-3年</v>
      </c>
      <c r="T146" s="34" t="s">
        <v>444</v>
      </c>
      <c r="U146" s="46">
        <f>SUMIFS(路飞意向数据源!F:F,路飞意向数据源!B:B,A146,路飞意向数据源!C:C,B146,路飞意向数据源!D:D,C146)</f>
        <v>0</v>
      </c>
      <c r="V146" s="46"/>
      <c r="W146" s="20"/>
      <c r="X146" s="35"/>
    </row>
    <row r="147" spans="1:24">
      <c r="A147" s="34" t="s">
        <v>51</v>
      </c>
      <c r="B147" s="34" t="s">
        <v>264</v>
      </c>
      <c r="C147" s="34" t="s">
        <v>457</v>
      </c>
      <c r="D147" s="34" t="s">
        <v>458</v>
      </c>
      <c r="E147" s="34" t="s">
        <v>59</v>
      </c>
      <c r="F147" s="44">
        <f>IFERROR(VLOOKUP(C147,路飞话务数据源!D:Q,2,FALSE),0)</f>
        <v>180</v>
      </c>
      <c r="G147" s="44">
        <f>IFERROR(VLOOKUP(C147,路飞话务数据源!D:Q,3,FALSE),0)</f>
        <v>81</v>
      </c>
      <c r="H147" s="44">
        <f>IFERROR(VLOOKUP(C147,路飞话务数据源!D:Q,4,FALSE),0)</f>
        <v>0.45</v>
      </c>
      <c r="I147" s="44">
        <f>IFERROR(VLOOKUP(C147,路飞话务数据源!D:Q,5,FALSE),0)</f>
        <v>31</v>
      </c>
      <c r="J147" s="45">
        <f>IFERROR(VLOOKUP(C147,路飞话务数据源!D:Q,6,FALSE),0)</f>
        <v>18</v>
      </c>
      <c r="K147" s="44">
        <f>IFERROR(VLOOKUP(C147,路飞话务数据源!D:Q,7,FALSE),0)</f>
        <v>10</v>
      </c>
      <c r="L147" s="46">
        <f>IFERROR(VLOOKUP(C147,路飞话务数据源!D:Q,8,FALSE),0)</f>
        <v>0</v>
      </c>
      <c r="M147" s="46">
        <f>IFERROR(VLOOKUP(C147,路飞话务数据源!D:Q,9,FALSE),0)</f>
        <v>41.9166666666667</v>
      </c>
      <c r="N147" s="46">
        <f>IFERROR(VLOOKUP(C147,路飞话务数据源!D:Q,10,FALSE),0)</f>
        <v>0</v>
      </c>
      <c r="O147" s="46">
        <f>IFERROR(VLOOKUP(C147,路飞话务数据源!D:Q,11,FALSE),0)</f>
        <v>0</v>
      </c>
      <c r="P147" s="46">
        <f>IFERROR(VLOOKUP(C147,路飞话务数据源!D:Q,12,FALSE),0)</f>
        <v>0</v>
      </c>
      <c r="Q147" s="60">
        <f>IFERROR(VLOOKUP(C147,路飞话务数据源!D:Q,13,FALSE),0)</f>
        <v>0</v>
      </c>
      <c r="R147" s="61">
        <f ca="1" t="shared" si="5"/>
        <v>1</v>
      </c>
      <c r="S147" s="35" t="str">
        <f ca="1" t="shared" si="6"/>
        <v>3年以上</v>
      </c>
      <c r="T147" s="34" t="s">
        <v>444</v>
      </c>
      <c r="U147" s="46">
        <f>SUMIFS(路飞意向数据源!F:F,路飞意向数据源!B:B,A147,路飞意向数据源!C:C,B147,路飞意向数据源!D:D,C147)</f>
        <v>0</v>
      </c>
      <c r="V147" s="46"/>
      <c r="W147" s="20"/>
      <c r="X147" s="35"/>
    </row>
    <row r="148" spans="1:24">
      <c r="A148" s="34" t="s">
        <v>51</v>
      </c>
      <c r="B148" s="34" t="s">
        <v>264</v>
      </c>
      <c r="C148" s="34" t="s">
        <v>459</v>
      </c>
      <c r="D148" s="34" t="s">
        <v>460</v>
      </c>
      <c r="E148" s="34" t="s">
        <v>312</v>
      </c>
      <c r="F148" s="44">
        <f>IFERROR(VLOOKUP(C148,路飞话务数据源!D:Q,2,FALSE),0)</f>
        <v>0</v>
      </c>
      <c r="G148" s="44">
        <f>IFERROR(VLOOKUP(C148,路飞话务数据源!D:Q,3,FALSE),0)</f>
        <v>0</v>
      </c>
      <c r="H148" s="44">
        <f>IFERROR(VLOOKUP(C148,路飞话务数据源!D:Q,4,FALSE),0)</f>
        <v>0</v>
      </c>
      <c r="I148" s="44">
        <f>IFERROR(VLOOKUP(C148,路飞话务数据源!D:Q,5,FALSE),0)</f>
        <v>0</v>
      </c>
      <c r="J148" s="45">
        <f>IFERROR(VLOOKUP(C148,路飞话务数据源!D:Q,6,FALSE),0)</f>
        <v>0</v>
      </c>
      <c r="K148" s="44">
        <f>IFERROR(VLOOKUP(C148,路飞话务数据源!D:Q,7,FALSE),0)</f>
        <v>0</v>
      </c>
      <c r="L148" s="46">
        <f>IFERROR(VLOOKUP(C148,路飞话务数据源!D:Q,8,FALSE),0)</f>
        <v>0</v>
      </c>
      <c r="M148" s="46">
        <f>IFERROR(VLOOKUP(C148,路飞话务数据源!D:Q,9,FALSE),0)</f>
        <v>0</v>
      </c>
      <c r="N148" s="46">
        <f>IFERROR(VLOOKUP(C148,路飞话务数据源!D:Q,10,FALSE),0)</f>
        <v>0</v>
      </c>
      <c r="O148" s="46">
        <f>IFERROR(VLOOKUP(C148,路飞话务数据源!D:Q,11,FALSE),0)</f>
        <v>0</v>
      </c>
      <c r="P148" s="46">
        <f>IFERROR(VLOOKUP(C148,路飞话务数据源!D:Q,12,FALSE),0)</f>
        <v>0</v>
      </c>
      <c r="Q148" s="60">
        <f>IFERROR(VLOOKUP(C148,路飞话务数据源!D:Q,13,FALSE),0)</f>
        <v>0</v>
      </c>
      <c r="R148" s="61">
        <f ca="1" t="shared" si="5"/>
        <v>0</v>
      </c>
      <c r="S148" s="35" t="str">
        <f ca="1" t="shared" si="6"/>
        <v>月内</v>
      </c>
      <c r="T148" s="34" t="s">
        <v>444</v>
      </c>
      <c r="U148" s="46">
        <f>SUMIFS(路飞意向数据源!F:F,路飞意向数据源!B:B,A148,路飞意向数据源!C:C,B148,路飞意向数据源!D:D,C148)</f>
        <v>0</v>
      </c>
      <c r="V148" s="46"/>
      <c r="W148" s="20"/>
      <c r="X148" s="35"/>
    </row>
    <row r="149" spans="1:24">
      <c r="A149" s="34" t="s">
        <v>51</v>
      </c>
      <c r="B149" s="34" t="s">
        <v>264</v>
      </c>
      <c r="C149" s="34" t="s">
        <v>461</v>
      </c>
      <c r="D149" s="34" t="s">
        <v>462</v>
      </c>
      <c r="E149" s="34" t="s">
        <v>282</v>
      </c>
      <c r="F149" s="44">
        <f>IFERROR(VLOOKUP(C149,路飞话务数据源!D:Q,2,FALSE),0)</f>
        <v>0</v>
      </c>
      <c r="G149" s="44">
        <f>IFERROR(VLOOKUP(C149,路飞话务数据源!D:Q,3,FALSE),0)</f>
        <v>0</v>
      </c>
      <c r="H149" s="44">
        <f>IFERROR(VLOOKUP(C149,路飞话务数据源!D:Q,4,FALSE),0)</f>
        <v>0</v>
      </c>
      <c r="I149" s="44">
        <f>IFERROR(VLOOKUP(C149,路飞话务数据源!D:Q,5,FALSE),0)</f>
        <v>0</v>
      </c>
      <c r="J149" s="45">
        <f>IFERROR(VLOOKUP(C149,路飞话务数据源!D:Q,6,FALSE),0)</f>
        <v>0</v>
      </c>
      <c r="K149" s="44">
        <f>IFERROR(VLOOKUP(C149,路飞话务数据源!D:Q,7,FALSE),0)</f>
        <v>0</v>
      </c>
      <c r="L149" s="46">
        <f>IFERROR(VLOOKUP(C149,路飞话务数据源!D:Q,8,FALSE),0)</f>
        <v>0</v>
      </c>
      <c r="M149" s="46">
        <f>IFERROR(VLOOKUP(C149,路飞话务数据源!D:Q,9,FALSE),0)</f>
        <v>0</v>
      </c>
      <c r="N149" s="46">
        <f>IFERROR(VLOOKUP(C149,路飞话务数据源!D:Q,10,FALSE),0)</f>
        <v>0</v>
      </c>
      <c r="O149" s="46">
        <f>IFERROR(VLOOKUP(C149,路飞话务数据源!D:Q,11,FALSE),0)</f>
        <v>0</v>
      </c>
      <c r="P149" s="46">
        <f>IFERROR(VLOOKUP(C149,路飞话务数据源!D:Q,12,FALSE),0)</f>
        <v>0</v>
      </c>
      <c r="Q149" s="60">
        <f>IFERROR(VLOOKUP(C149,路飞话务数据源!D:Q,13,FALSE),0)</f>
        <v>0</v>
      </c>
      <c r="R149" s="61">
        <f ca="1" t="shared" si="5"/>
        <v>0</v>
      </c>
      <c r="S149" s="35" t="str">
        <f ca="1" t="shared" si="6"/>
        <v>1-3月</v>
      </c>
      <c r="T149" s="34" t="s">
        <v>444</v>
      </c>
      <c r="U149" s="46">
        <f>SUMIFS(路飞意向数据源!F:F,路飞意向数据源!B:B,A149,路飞意向数据源!C:C,B149,路飞意向数据源!D:D,C149)</f>
        <v>0</v>
      </c>
      <c r="V149" s="46"/>
      <c r="W149" s="20"/>
      <c r="X149" s="35"/>
    </row>
    <row r="150" spans="1:24">
      <c r="A150" s="34" t="s">
        <v>51</v>
      </c>
      <c r="B150" s="34" t="s">
        <v>264</v>
      </c>
      <c r="C150" s="34" t="s">
        <v>463</v>
      </c>
      <c r="D150" s="34" t="s">
        <v>464</v>
      </c>
      <c r="E150" s="34" t="s">
        <v>465</v>
      </c>
      <c r="F150" s="44">
        <f>IFERROR(VLOOKUP(C150,路飞话务数据源!D:Q,2,FALSE),0)</f>
        <v>0</v>
      </c>
      <c r="G150" s="44">
        <f>IFERROR(VLOOKUP(C150,路飞话务数据源!D:Q,3,FALSE),0)</f>
        <v>0</v>
      </c>
      <c r="H150" s="44">
        <f>IFERROR(VLOOKUP(C150,路飞话务数据源!D:Q,4,FALSE),0)</f>
        <v>0</v>
      </c>
      <c r="I150" s="44">
        <f>IFERROR(VLOOKUP(C150,路飞话务数据源!D:Q,5,FALSE),0)</f>
        <v>0</v>
      </c>
      <c r="J150" s="45">
        <f>IFERROR(VLOOKUP(C150,路飞话务数据源!D:Q,6,FALSE),0)</f>
        <v>0</v>
      </c>
      <c r="K150" s="44">
        <f>IFERROR(VLOOKUP(C150,路飞话务数据源!D:Q,7,FALSE),0)</f>
        <v>0</v>
      </c>
      <c r="L150" s="46">
        <f>IFERROR(VLOOKUP(C150,路飞话务数据源!D:Q,8,FALSE),0)</f>
        <v>0</v>
      </c>
      <c r="M150" s="46">
        <f>IFERROR(VLOOKUP(C150,路飞话务数据源!D:Q,9,FALSE),0)</f>
        <v>0</v>
      </c>
      <c r="N150" s="46">
        <f>IFERROR(VLOOKUP(C150,路飞话务数据源!D:Q,10,FALSE),0)</f>
        <v>0</v>
      </c>
      <c r="O150" s="46">
        <f>IFERROR(VLOOKUP(C150,路飞话务数据源!D:Q,11,FALSE),0)</f>
        <v>0</v>
      </c>
      <c r="P150" s="46">
        <f>IFERROR(VLOOKUP(C150,路飞话务数据源!D:Q,12,FALSE),0)</f>
        <v>0</v>
      </c>
      <c r="Q150" s="60">
        <f>IFERROR(VLOOKUP(C150,路飞话务数据源!D:Q,13,FALSE),0)</f>
        <v>0</v>
      </c>
      <c r="R150" s="61">
        <f ca="1" t="shared" si="5"/>
        <v>0</v>
      </c>
      <c r="S150" s="35" t="str">
        <f ca="1" t="shared" si="6"/>
        <v>3年以上</v>
      </c>
      <c r="T150" s="34" t="s">
        <v>444</v>
      </c>
      <c r="U150" s="46">
        <f>SUMIFS(路飞意向数据源!F:F,路飞意向数据源!B:B,A150,路飞意向数据源!C:C,B150,路飞意向数据源!D:D,C150)</f>
        <v>0</v>
      </c>
      <c r="V150" s="46"/>
      <c r="W150" s="20"/>
      <c r="X150" s="35"/>
    </row>
    <row r="151" spans="1:24">
      <c r="A151" s="34" t="s">
        <v>51</v>
      </c>
      <c r="B151" s="34" t="s">
        <v>264</v>
      </c>
      <c r="C151" s="34" t="s">
        <v>466</v>
      </c>
      <c r="D151" s="34" t="s">
        <v>467</v>
      </c>
      <c r="E151" s="34" t="s">
        <v>468</v>
      </c>
      <c r="F151" s="44">
        <f>IFERROR(VLOOKUP(C151,路飞话务数据源!D:Q,2,FALSE),0)</f>
        <v>229</v>
      </c>
      <c r="G151" s="44">
        <f>IFERROR(VLOOKUP(C151,路飞话务数据源!D:Q,3,FALSE),0)</f>
        <v>94</v>
      </c>
      <c r="H151" s="44">
        <f>IFERROR(VLOOKUP(C151,路飞话务数据源!D:Q,4,FALSE),0)</f>
        <v>0.410480349344978</v>
      </c>
      <c r="I151" s="44">
        <f>IFERROR(VLOOKUP(C151,路飞话务数据源!D:Q,5,FALSE),0)</f>
        <v>25</v>
      </c>
      <c r="J151" s="45">
        <f>IFERROR(VLOOKUP(C151,路飞话务数据源!D:Q,6,FALSE),0)</f>
        <v>21</v>
      </c>
      <c r="K151" s="44">
        <f>IFERROR(VLOOKUP(C151,路飞话务数据源!D:Q,7,FALSE),0)</f>
        <v>8</v>
      </c>
      <c r="L151" s="46">
        <f>IFERROR(VLOOKUP(C151,路飞话务数据源!D:Q,8,FALSE),0)</f>
        <v>0</v>
      </c>
      <c r="M151" s="46">
        <f>IFERROR(VLOOKUP(C151,路飞话务数据源!D:Q,9,FALSE),0)</f>
        <v>40.45</v>
      </c>
      <c r="N151" s="46">
        <f>IFERROR(VLOOKUP(C151,路飞话务数据源!D:Q,10,FALSE),0)</f>
        <v>0</v>
      </c>
      <c r="O151" s="46">
        <f>IFERROR(VLOOKUP(C151,路飞话务数据源!D:Q,11,FALSE),0)</f>
        <v>0</v>
      </c>
      <c r="P151" s="46">
        <f>IFERROR(VLOOKUP(C151,路飞话务数据源!D:Q,12,FALSE),0)</f>
        <v>0</v>
      </c>
      <c r="Q151" s="60">
        <f>IFERROR(VLOOKUP(C151,路飞话务数据源!D:Q,13,FALSE),0)</f>
        <v>0</v>
      </c>
      <c r="R151" s="61">
        <f ca="1" t="shared" si="5"/>
        <v>1</v>
      </c>
      <c r="S151" s="35" t="str">
        <f ca="1" t="shared" si="6"/>
        <v>2年-3年</v>
      </c>
      <c r="T151" s="34" t="s">
        <v>444</v>
      </c>
      <c r="U151" s="46">
        <f>SUMIFS(路飞意向数据源!F:F,路飞意向数据源!B:B,A151,路飞意向数据源!C:C,B151,路飞意向数据源!D:D,C151)</f>
        <v>0</v>
      </c>
      <c r="V151" s="46"/>
      <c r="W151" s="20"/>
      <c r="X151" s="35"/>
    </row>
    <row r="152" spans="1:24">
      <c r="A152" s="34" t="s">
        <v>51</v>
      </c>
      <c r="B152" s="34" t="s">
        <v>264</v>
      </c>
      <c r="C152" s="34" t="s">
        <v>469</v>
      </c>
      <c r="D152" s="34" t="s">
        <v>470</v>
      </c>
      <c r="E152" s="34" t="s">
        <v>94</v>
      </c>
      <c r="F152" s="44">
        <f>IFERROR(VLOOKUP(C152,路飞话务数据源!D:Q,2,FALSE),0)</f>
        <v>0</v>
      </c>
      <c r="G152" s="44">
        <f>IFERROR(VLOOKUP(C152,路飞话务数据源!D:Q,3,FALSE),0)</f>
        <v>0</v>
      </c>
      <c r="H152" s="44">
        <f>IFERROR(VLOOKUP(C152,路飞话务数据源!D:Q,4,FALSE),0)</f>
        <v>0</v>
      </c>
      <c r="I152" s="44">
        <f>IFERROR(VLOOKUP(C152,路飞话务数据源!D:Q,5,FALSE),0)</f>
        <v>0</v>
      </c>
      <c r="J152" s="45">
        <f>IFERROR(VLOOKUP(C152,路飞话务数据源!D:Q,6,FALSE),0)</f>
        <v>0</v>
      </c>
      <c r="K152" s="44">
        <f>IFERROR(VLOOKUP(C152,路飞话务数据源!D:Q,7,FALSE),0)</f>
        <v>0</v>
      </c>
      <c r="L152" s="46">
        <f>IFERROR(VLOOKUP(C152,路飞话务数据源!D:Q,8,FALSE),0)</f>
        <v>0</v>
      </c>
      <c r="M152" s="46">
        <f>IFERROR(VLOOKUP(C152,路飞话务数据源!D:Q,9,FALSE),0)</f>
        <v>0</v>
      </c>
      <c r="N152" s="46">
        <f>IFERROR(VLOOKUP(C152,路飞话务数据源!D:Q,10,FALSE),0)</f>
        <v>0</v>
      </c>
      <c r="O152" s="46">
        <f>IFERROR(VLOOKUP(C152,路飞话务数据源!D:Q,11,FALSE),0)</f>
        <v>0</v>
      </c>
      <c r="P152" s="46">
        <f>IFERROR(VLOOKUP(C152,路飞话务数据源!D:Q,12,FALSE),0)</f>
        <v>0</v>
      </c>
      <c r="Q152" s="60">
        <f>IFERROR(VLOOKUP(C152,路飞话务数据源!D:Q,13,FALSE),0)</f>
        <v>0</v>
      </c>
      <c r="R152" s="61">
        <f ca="1" t="shared" si="5"/>
        <v>0</v>
      </c>
      <c r="S152" s="35" t="str">
        <f ca="1" t="shared" si="6"/>
        <v>1-3月</v>
      </c>
      <c r="T152" s="34" t="s">
        <v>444</v>
      </c>
      <c r="U152" s="46">
        <f>SUMIFS(路飞意向数据源!F:F,路飞意向数据源!B:B,A152,路飞意向数据源!C:C,B152,路飞意向数据源!D:D,C152)</f>
        <v>0</v>
      </c>
      <c r="V152" s="46"/>
      <c r="W152" s="20"/>
      <c r="X152" s="35"/>
    </row>
    <row r="153" spans="1:24">
      <c r="A153" s="34" t="s">
        <v>51</v>
      </c>
      <c r="B153" s="34" t="s">
        <v>264</v>
      </c>
      <c r="C153" s="34" t="s">
        <v>471</v>
      </c>
      <c r="D153" s="34" t="s">
        <v>472</v>
      </c>
      <c r="E153" s="34" t="s">
        <v>174</v>
      </c>
      <c r="F153" s="44">
        <f>IFERROR(VLOOKUP(C153,路飞话务数据源!D:Q,2,FALSE),0)</f>
        <v>59</v>
      </c>
      <c r="G153" s="44">
        <f>IFERROR(VLOOKUP(C153,路飞话务数据源!D:Q,3,FALSE),0)</f>
        <v>33</v>
      </c>
      <c r="H153" s="44">
        <f>IFERROR(VLOOKUP(C153,路飞话务数据源!D:Q,4,FALSE),0)</f>
        <v>0.559322033898305</v>
      </c>
      <c r="I153" s="44">
        <f>IFERROR(VLOOKUP(C153,路飞话务数据源!D:Q,5,FALSE),0)</f>
        <v>10</v>
      </c>
      <c r="J153" s="45">
        <f>IFERROR(VLOOKUP(C153,路飞话务数据源!D:Q,6,FALSE),0)</f>
        <v>9</v>
      </c>
      <c r="K153" s="44">
        <f>IFERROR(VLOOKUP(C153,路飞话务数据源!D:Q,7,FALSE),0)</f>
        <v>6</v>
      </c>
      <c r="L153" s="46">
        <f>IFERROR(VLOOKUP(C153,路飞话务数据源!D:Q,8,FALSE),0)</f>
        <v>0</v>
      </c>
      <c r="M153" s="46">
        <f>IFERROR(VLOOKUP(C153,路飞话务数据源!D:Q,9,FALSE),0)</f>
        <v>17.9166666666667</v>
      </c>
      <c r="N153" s="46">
        <f>IFERROR(VLOOKUP(C153,路飞话务数据源!D:Q,10,FALSE),0)</f>
        <v>0</v>
      </c>
      <c r="O153" s="46">
        <f>IFERROR(VLOOKUP(C153,路飞话务数据源!D:Q,11,FALSE),0)</f>
        <v>0</v>
      </c>
      <c r="P153" s="46">
        <f>IFERROR(VLOOKUP(C153,路飞话务数据源!D:Q,12,FALSE),0)</f>
        <v>0</v>
      </c>
      <c r="Q153" s="60">
        <f>IFERROR(VLOOKUP(C153,路飞话务数据源!D:Q,13,FALSE),0)</f>
        <v>0</v>
      </c>
      <c r="R153" s="61">
        <v>0</v>
      </c>
      <c r="S153" s="35" t="str">
        <f ca="1" t="shared" si="6"/>
        <v>4月-6月</v>
      </c>
      <c r="T153" s="34" t="s">
        <v>444</v>
      </c>
      <c r="U153" s="46">
        <f>SUMIFS(路飞意向数据源!F:F,路飞意向数据源!B:B,A153,路飞意向数据源!C:C,B153,路飞意向数据源!D:D,C153)</f>
        <v>1</v>
      </c>
      <c r="V153" s="46"/>
      <c r="W153" s="20"/>
      <c r="X153" s="35"/>
    </row>
    <row r="154" spans="1:24">
      <c r="A154" s="34" t="s">
        <v>51</v>
      </c>
      <c r="B154" s="34" t="s">
        <v>264</v>
      </c>
      <c r="C154" s="34" t="s">
        <v>473</v>
      </c>
      <c r="D154" s="34" t="s">
        <v>474</v>
      </c>
      <c r="E154" s="34" t="s">
        <v>475</v>
      </c>
      <c r="F154" s="44">
        <f>IFERROR(VLOOKUP(C154,路飞话务数据源!D:Q,2,FALSE),0)</f>
        <v>152</v>
      </c>
      <c r="G154" s="44">
        <f>IFERROR(VLOOKUP(C154,路飞话务数据源!D:Q,3,FALSE),0)</f>
        <v>73</v>
      </c>
      <c r="H154" s="44">
        <f>IFERROR(VLOOKUP(C154,路飞话务数据源!D:Q,4,FALSE),0)</f>
        <v>0.480263157894737</v>
      </c>
      <c r="I154" s="44">
        <f>IFERROR(VLOOKUP(C154,路飞话务数据源!D:Q,5,FALSE),0)</f>
        <v>40</v>
      </c>
      <c r="J154" s="45">
        <f>IFERROR(VLOOKUP(C154,路飞话务数据源!D:Q,6,FALSE),0)</f>
        <v>34</v>
      </c>
      <c r="K154" s="44">
        <f>IFERROR(VLOOKUP(C154,路飞话务数据源!D:Q,7,FALSE),0)</f>
        <v>20</v>
      </c>
      <c r="L154" s="46">
        <f>IFERROR(VLOOKUP(C154,路飞话务数据源!D:Q,8,FALSE),0)</f>
        <v>0</v>
      </c>
      <c r="M154" s="46">
        <f>IFERROR(VLOOKUP(C154,路飞话务数据源!D:Q,9,FALSE),0)</f>
        <v>55.1166666666667</v>
      </c>
      <c r="N154" s="46">
        <f>IFERROR(VLOOKUP(C154,路飞话务数据源!D:Q,10,FALSE),0)</f>
        <v>0</v>
      </c>
      <c r="O154" s="46">
        <f>IFERROR(VLOOKUP(C154,路飞话务数据源!D:Q,11,FALSE),0)</f>
        <v>0</v>
      </c>
      <c r="P154" s="46">
        <f>IFERROR(VLOOKUP(C154,路飞话务数据源!D:Q,12,FALSE),0)</f>
        <v>0</v>
      </c>
      <c r="Q154" s="60">
        <f>IFERROR(VLOOKUP(C154,路飞话务数据源!D:Q,13,FALSE),0)</f>
        <v>0</v>
      </c>
      <c r="R154" s="61">
        <f ca="1" t="shared" ref="R154:R192" si="7">IF(OR(TODAY()-E154&lt;=7,F154&lt;5),0,1)</f>
        <v>1</v>
      </c>
      <c r="S154" s="35" t="str">
        <f ca="1" t="shared" si="6"/>
        <v>4月-6月</v>
      </c>
      <c r="T154" s="34" t="s">
        <v>444</v>
      </c>
      <c r="U154" s="46">
        <f>SUMIFS(路飞意向数据源!F:F,路飞意向数据源!B:B,A154,路飞意向数据源!C:C,B154,路飞意向数据源!D:D,C154)</f>
        <v>0</v>
      </c>
      <c r="V154" s="46"/>
      <c r="W154" s="20"/>
      <c r="X154" s="35"/>
    </row>
    <row r="155" spans="1:24">
      <c r="A155" s="34" t="s">
        <v>101</v>
      </c>
      <c r="B155" s="34" t="s">
        <v>264</v>
      </c>
      <c r="C155" s="34" t="s">
        <v>476</v>
      </c>
      <c r="D155" s="34" t="s">
        <v>477</v>
      </c>
      <c r="E155" s="34" t="s">
        <v>478</v>
      </c>
      <c r="F155" s="44">
        <f>IFERROR(VLOOKUP(C155,路飞话务数据源!D:Q,2,FALSE),0)</f>
        <v>175</v>
      </c>
      <c r="G155" s="44">
        <f>IFERROR(VLOOKUP(C155,路飞话务数据源!D:Q,3,FALSE),0)</f>
        <v>86</v>
      </c>
      <c r="H155" s="44">
        <f>IFERROR(VLOOKUP(C155,路飞话务数据源!D:Q,4,FALSE),0)</f>
        <v>0.491428571428571</v>
      </c>
      <c r="I155" s="44">
        <f>IFERROR(VLOOKUP(C155,路飞话务数据源!D:Q,5,FALSE),0)</f>
        <v>45</v>
      </c>
      <c r="J155" s="45">
        <f>IFERROR(VLOOKUP(C155,路飞话务数据源!D:Q,6,FALSE),0)</f>
        <v>36</v>
      </c>
      <c r="K155" s="44">
        <f>IFERROR(VLOOKUP(C155,路飞话务数据源!D:Q,7,FALSE),0)</f>
        <v>16</v>
      </c>
      <c r="L155" s="46">
        <f>IFERROR(VLOOKUP(C155,路飞话务数据源!D:Q,8,FALSE),0)</f>
        <v>2</v>
      </c>
      <c r="M155" s="46">
        <f>IFERROR(VLOOKUP(C155,路飞话务数据源!D:Q,9,FALSE),0)</f>
        <v>61.3666666666667</v>
      </c>
      <c r="N155" s="46">
        <f>IFERROR(VLOOKUP(C155,路飞话务数据源!D:Q,10,FALSE),0)</f>
        <v>0</v>
      </c>
      <c r="O155" s="46">
        <f>IFERROR(VLOOKUP(C155,路飞话务数据源!D:Q,11,FALSE),0)</f>
        <v>0</v>
      </c>
      <c r="P155" s="46">
        <f>IFERROR(VLOOKUP(C155,路飞话务数据源!D:Q,12,FALSE),0)</f>
        <v>0</v>
      </c>
      <c r="Q155" s="60">
        <f>IFERROR(VLOOKUP(C155,路飞话务数据源!D:Q,13,FALSE),0)</f>
        <v>0</v>
      </c>
      <c r="R155" s="61">
        <f ca="1" t="shared" si="7"/>
        <v>1</v>
      </c>
      <c r="S155" s="35" t="str">
        <f ca="1" t="shared" si="6"/>
        <v>3年以上</v>
      </c>
      <c r="T155" s="34" t="s">
        <v>479</v>
      </c>
      <c r="U155" s="46">
        <f>SUMIFS(路飞意向数据源!F:F,路飞意向数据源!B:B,A155,路飞意向数据源!C:C,B155,路飞意向数据源!D:D,C155)</f>
        <v>2</v>
      </c>
      <c r="V155" s="46"/>
      <c r="W155" s="20"/>
      <c r="X155" s="35"/>
    </row>
    <row r="156" spans="1:24">
      <c r="A156" s="34" t="s">
        <v>101</v>
      </c>
      <c r="B156" s="34" t="s">
        <v>264</v>
      </c>
      <c r="C156" s="34" t="s">
        <v>480</v>
      </c>
      <c r="D156" s="34" t="s">
        <v>481</v>
      </c>
      <c r="E156" s="34" t="s">
        <v>482</v>
      </c>
      <c r="F156" s="44">
        <f>IFERROR(VLOOKUP(C156,路飞话务数据源!D:Q,2,FALSE),0)</f>
        <v>170</v>
      </c>
      <c r="G156" s="44">
        <f>IFERROR(VLOOKUP(C156,路飞话务数据源!D:Q,3,FALSE),0)</f>
        <v>80</v>
      </c>
      <c r="H156" s="44">
        <f>IFERROR(VLOOKUP(C156,路飞话务数据源!D:Q,4,FALSE),0)</f>
        <v>0.470588235294118</v>
      </c>
      <c r="I156" s="44">
        <f>IFERROR(VLOOKUP(C156,路飞话务数据源!D:Q,5,FALSE),0)</f>
        <v>31</v>
      </c>
      <c r="J156" s="45">
        <f>IFERROR(VLOOKUP(C156,路飞话务数据源!D:Q,6,FALSE),0)</f>
        <v>23</v>
      </c>
      <c r="K156" s="44">
        <f>IFERROR(VLOOKUP(C156,路飞话务数据源!D:Q,7,FALSE),0)</f>
        <v>13</v>
      </c>
      <c r="L156" s="46">
        <f>IFERROR(VLOOKUP(C156,路飞话务数据源!D:Q,8,FALSE),0)</f>
        <v>1</v>
      </c>
      <c r="M156" s="46">
        <f>IFERROR(VLOOKUP(C156,路飞话务数据源!D:Q,9,FALSE),0)</f>
        <v>47.5333333333333</v>
      </c>
      <c r="N156" s="46">
        <f>IFERROR(VLOOKUP(C156,路飞话务数据源!D:Q,10,FALSE),0)</f>
        <v>0</v>
      </c>
      <c r="O156" s="46">
        <f>IFERROR(VLOOKUP(C156,路飞话务数据源!D:Q,11,FALSE),0)</f>
        <v>0</v>
      </c>
      <c r="P156" s="46">
        <f>IFERROR(VLOOKUP(C156,路飞话务数据源!D:Q,12,FALSE),0)</f>
        <v>0</v>
      </c>
      <c r="Q156" s="60">
        <f>IFERROR(VLOOKUP(C156,路飞话务数据源!D:Q,13,FALSE),0)</f>
        <v>0</v>
      </c>
      <c r="R156" s="61">
        <f ca="1" t="shared" si="7"/>
        <v>1</v>
      </c>
      <c r="S156" s="35" t="str">
        <f ca="1" t="shared" si="6"/>
        <v>月内</v>
      </c>
      <c r="T156" s="34" t="s">
        <v>479</v>
      </c>
      <c r="U156" s="46">
        <f>SUMIFS(路飞意向数据源!F:F,路飞意向数据源!B:B,A156,路飞意向数据源!C:C,B156,路飞意向数据源!D:D,C156)</f>
        <v>1</v>
      </c>
      <c r="V156" s="46"/>
      <c r="W156" s="20"/>
      <c r="X156" s="35"/>
    </row>
    <row r="157" spans="1:24">
      <c r="A157" s="34" t="s">
        <v>101</v>
      </c>
      <c r="B157" s="34" t="s">
        <v>264</v>
      </c>
      <c r="C157" s="34" t="s">
        <v>483</v>
      </c>
      <c r="D157" s="34" t="s">
        <v>484</v>
      </c>
      <c r="E157" s="34" t="s">
        <v>373</v>
      </c>
      <c r="F157" s="44">
        <f>IFERROR(VLOOKUP(C157,路飞话务数据源!D:Q,2,FALSE),0)</f>
        <v>139</v>
      </c>
      <c r="G157" s="44">
        <f>IFERROR(VLOOKUP(C157,路飞话务数据源!D:Q,3,FALSE),0)</f>
        <v>66</v>
      </c>
      <c r="H157" s="44">
        <f>IFERROR(VLOOKUP(C157,路飞话务数据源!D:Q,4,FALSE),0)</f>
        <v>0.474820143884892</v>
      </c>
      <c r="I157" s="44">
        <f>IFERROR(VLOOKUP(C157,路飞话务数据源!D:Q,5,FALSE),0)</f>
        <v>29</v>
      </c>
      <c r="J157" s="45">
        <f>IFERROR(VLOOKUP(C157,路飞话务数据源!D:Q,6,FALSE),0)</f>
        <v>22</v>
      </c>
      <c r="K157" s="44">
        <f>IFERROR(VLOOKUP(C157,路飞话务数据源!D:Q,7,FALSE),0)</f>
        <v>14</v>
      </c>
      <c r="L157" s="46">
        <f>IFERROR(VLOOKUP(C157,路飞话务数据源!D:Q,8,FALSE),0)</f>
        <v>3</v>
      </c>
      <c r="M157" s="46">
        <f>IFERROR(VLOOKUP(C157,路飞话务数据源!D:Q,9,FALSE),0)</f>
        <v>54.5333333333333</v>
      </c>
      <c r="N157" s="46">
        <f>IFERROR(VLOOKUP(C157,路飞话务数据源!D:Q,10,FALSE),0)</f>
        <v>0</v>
      </c>
      <c r="O157" s="46">
        <f>IFERROR(VLOOKUP(C157,路飞话务数据源!D:Q,11,FALSE),0)</f>
        <v>0</v>
      </c>
      <c r="P157" s="46">
        <f>IFERROR(VLOOKUP(C157,路飞话务数据源!D:Q,12,FALSE),0)</f>
        <v>0</v>
      </c>
      <c r="Q157" s="60">
        <f>IFERROR(VLOOKUP(C157,路飞话务数据源!D:Q,13,FALSE),0)</f>
        <v>0</v>
      </c>
      <c r="R157" s="61">
        <f ca="1" t="shared" si="7"/>
        <v>1</v>
      </c>
      <c r="S157" s="35" t="str">
        <f ca="1" t="shared" si="6"/>
        <v>3年以上</v>
      </c>
      <c r="T157" s="34" t="s">
        <v>479</v>
      </c>
      <c r="U157" s="46">
        <f>SUMIFS(路飞意向数据源!F:F,路飞意向数据源!B:B,A157,路飞意向数据源!C:C,B157,路飞意向数据源!D:D,C157)</f>
        <v>0</v>
      </c>
      <c r="V157" s="46"/>
      <c r="W157" s="20"/>
      <c r="X157" s="35"/>
    </row>
    <row r="158" spans="1:24">
      <c r="A158" s="34" t="s">
        <v>101</v>
      </c>
      <c r="B158" s="34" t="s">
        <v>264</v>
      </c>
      <c r="C158" s="34" t="s">
        <v>485</v>
      </c>
      <c r="D158" s="34" t="s">
        <v>486</v>
      </c>
      <c r="E158" s="34" t="s">
        <v>487</v>
      </c>
      <c r="F158" s="44">
        <f>IFERROR(VLOOKUP(C158,路飞话务数据源!D:Q,2,FALSE),0)</f>
        <v>146</v>
      </c>
      <c r="G158" s="44">
        <f>IFERROR(VLOOKUP(C158,路飞话务数据源!D:Q,3,FALSE),0)</f>
        <v>65</v>
      </c>
      <c r="H158" s="44">
        <f>IFERROR(VLOOKUP(C158,路飞话务数据源!D:Q,4,FALSE),0)</f>
        <v>0.445205479452055</v>
      </c>
      <c r="I158" s="44">
        <f>IFERROR(VLOOKUP(C158,路飞话务数据源!D:Q,5,FALSE),0)</f>
        <v>37</v>
      </c>
      <c r="J158" s="45">
        <f>IFERROR(VLOOKUP(C158,路飞话务数据源!D:Q,6,FALSE),0)</f>
        <v>28</v>
      </c>
      <c r="K158" s="44">
        <f>IFERROR(VLOOKUP(C158,路飞话务数据源!D:Q,7,FALSE),0)</f>
        <v>19</v>
      </c>
      <c r="L158" s="46">
        <f>IFERROR(VLOOKUP(C158,路飞话务数据源!D:Q,8,FALSE),0)</f>
        <v>3</v>
      </c>
      <c r="M158" s="46">
        <f>IFERROR(VLOOKUP(C158,路飞话务数据源!D:Q,9,FALSE),0)</f>
        <v>56.3</v>
      </c>
      <c r="N158" s="46">
        <f>IFERROR(VLOOKUP(C158,路飞话务数据源!D:Q,10,FALSE),0)</f>
        <v>0</v>
      </c>
      <c r="O158" s="46">
        <f>IFERROR(VLOOKUP(C158,路飞话务数据源!D:Q,11,FALSE),0)</f>
        <v>0</v>
      </c>
      <c r="P158" s="46">
        <f>IFERROR(VLOOKUP(C158,路飞话务数据源!D:Q,12,FALSE),0)</f>
        <v>0</v>
      </c>
      <c r="Q158" s="60">
        <f>IFERROR(VLOOKUP(C158,路飞话务数据源!D:Q,13,FALSE),0)</f>
        <v>0</v>
      </c>
      <c r="R158" s="61">
        <f ca="1" t="shared" si="7"/>
        <v>1</v>
      </c>
      <c r="S158" s="35" t="str">
        <f ca="1" t="shared" si="6"/>
        <v>7月-12月</v>
      </c>
      <c r="T158" s="34" t="s">
        <v>479</v>
      </c>
      <c r="U158" s="46">
        <f>SUMIFS(路飞意向数据源!F:F,路飞意向数据源!B:B,A158,路飞意向数据源!C:C,B158,路飞意向数据源!D:D,C158)</f>
        <v>2</v>
      </c>
      <c r="V158" s="46"/>
      <c r="W158" s="20"/>
      <c r="X158" s="35"/>
    </row>
    <row r="159" spans="1:24">
      <c r="A159" s="34" t="s">
        <v>101</v>
      </c>
      <c r="B159" s="34" t="s">
        <v>264</v>
      </c>
      <c r="C159" s="34" t="s">
        <v>488</v>
      </c>
      <c r="D159" s="34" t="s">
        <v>489</v>
      </c>
      <c r="E159" s="34" t="s">
        <v>490</v>
      </c>
      <c r="F159" s="44">
        <f>IFERROR(VLOOKUP(C159,路飞话务数据源!D:Q,2,FALSE),0)</f>
        <v>82</v>
      </c>
      <c r="G159" s="44">
        <f>IFERROR(VLOOKUP(C159,路飞话务数据源!D:Q,3,FALSE),0)</f>
        <v>35</v>
      </c>
      <c r="H159" s="44">
        <f>IFERROR(VLOOKUP(C159,路飞话务数据源!D:Q,4,FALSE),0)</f>
        <v>0.426829268292683</v>
      </c>
      <c r="I159" s="44">
        <f>IFERROR(VLOOKUP(C159,路飞话务数据源!D:Q,5,FALSE),0)</f>
        <v>20</v>
      </c>
      <c r="J159" s="45">
        <f>IFERROR(VLOOKUP(C159,路飞话务数据源!D:Q,6,FALSE),0)</f>
        <v>15</v>
      </c>
      <c r="K159" s="44">
        <f>IFERROR(VLOOKUP(C159,路飞话务数据源!D:Q,7,FALSE),0)</f>
        <v>11</v>
      </c>
      <c r="L159" s="46">
        <f>IFERROR(VLOOKUP(C159,路飞话务数据源!D:Q,8,FALSE),0)</f>
        <v>1</v>
      </c>
      <c r="M159" s="46">
        <f>IFERROR(VLOOKUP(C159,路飞话务数据源!D:Q,9,FALSE),0)</f>
        <v>26.55</v>
      </c>
      <c r="N159" s="46">
        <f>IFERROR(VLOOKUP(C159,路飞话务数据源!D:Q,10,FALSE),0)</f>
        <v>1</v>
      </c>
      <c r="O159" s="46">
        <f>IFERROR(VLOOKUP(C159,路飞话务数据源!D:Q,11,FALSE),0)</f>
        <v>0</v>
      </c>
      <c r="P159" s="46">
        <f>IFERROR(VLOOKUP(C159,路飞话务数据源!D:Q,12,FALSE),0)</f>
        <v>0</v>
      </c>
      <c r="Q159" s="60">
        <f>IFERROR(VLOOKUP(C159,路飞话务数据源!D:Q,13,FALSE),0)</f>
        <v>0</v>
      </c>
      <c r="R159" s="61">
        <f ca="1" t="shared" si="7"/>
        <v>1</v>
      </c>
      <c r="S159" s="35" t="str">
        <f ca="1" t="shared" si="6"/>
        <v>7月-12月</v>
      </c>
      <c r="T159" s="34" t="s">
        <v>479</v>
      </c>
      <c r="U159" s="46">
        <f>SUMIFS(路飞意向数据源!F:F,路飞意向数据源!B:B,A159,路飞意向数据源!C:C,B159,路飞意向数据源!D:D,C159)</f>
        <v>1</v>
      </c>
      <c r="V159" s="46"/>
      <c r="W159" s="20"/>
      <c r="X159" s="35"/>
    </row>
    <row r="160" spans="1:24">
      <c r="A160" s="34" t="s">
        <v>101</v>
      </c>
      <c r="B160" s="34" t="s">
        <v>264</v>
      </c>
      <c r="C160" s="34" t="s">
        <v>491</v>
      </c>
      <c r="D160" s="34" t="s">
        <v>492</v>
      </c>
      <c r="E160" s="34" t="s">
        <v>111</v>
      </c>
      <c r="F160" s="44">
        <f>IFERROR(VLOOKUP(C160,路飞话务数据源!D:Q,2,FALSE),0)</f>
        <v>201</v>
      </c>
      <c r="G160" s="44">
        <f>IFERROR(VLOOKUP(C160,路飞话务数据源!D:Q,3,FALSE),0)</f>
        <v>74</v>
      </c>
      <c r="H160" s="44">
        <f>IFERROR(VLOOKUP(C160,路飞话务数据源!D:Q,4,FALSE),0)</f>
        <v>0.368159203980099</v>
      </c>
      <c r="I160" s="44">
        <f>IFERROR(VLOOKUP(C160,路飞话务数据源!D:Q,5,FALSE),0)</f>
        <v>31</v>
      </c>
      <c r="J160" s="45">
        <f>IFERROR(VLOOKUP(C160,路飞话务数据源!D:Q,6,FALSE),0)</f>
        <v>22</v>
      </c>
      <c r="K160" s="44">
        <f>IFERROR(VLOOKUP(C160,路飞话务数据源!D:Q,7,FALSE),0)</f>
        <v>12</v>
      </c>
      <c r="L160" s="46">
        <f>IFERROR(VLOOKUP(C160,路飞话务数据源!D:Q,8,FALSE),0)</f>
        <v>3</v>
      </c>
      <c r="M160" s="46">
        <f>IFERROR(VLOOKUP(C160,路飞话务数据源!D:Q,9,FALSE),0)</f>
        <v>54.6166666666667</v>
      </c>
      <c r="N160" s="46">
        <f>IFERROR(VLOOKUP(C160,路飞话务数据源!D:Q,10,FALSE),0)</f>
        <v>0</v>
      </c>
      <c r="O160" s="46">
        <f>IFERROR(VLOOKUP(C160,路飞话务数据源!D:Q,11,FALSE),0)</f>
        <v>0</v>
      </c>
      <c r="P160" s="46">
        <f>IFERROR(VLOOKUP(C160,路飞话务数据源!D:Q,12,FALSE),0)</f>
        <v>0</v>
      </c>
      <c r="Q160" s="60">
        <f>IFERROR(VLOOKUP(C160,路飞话务数据源!D:Q,13,FALSE),0)</f>
        <v>0</v>
      </c>
      <c r="R160" s="61">
        <f ca="1" t="shared" si="7"/>
        <v>1</v>
      </c>
      <c r="S160" s="35" t="str">
        <f ca="1" t="shared" si="6"/>
        <v>7月-12月</v>
      </c>
      <c r="T160" s="34" t="s">
        <v>479</v>
      </c>
      <c r="U160" s="46">
        <f>SUMIFS(路飞意向数据源!F:F,路飞意向数据源!B:B,A160,路飞意向数据源!C:C,B160,路飞意向数据源!D:D,C160)</f>
        <v>3</v>
      </c>
      <c r="V160" s="46"/>
      <c r="W160" s="20"/>
      <c r="X160" s="35"/>
    </row>
    <row r="161" spans="1:24">
      <c r="A161" s="34" t="s">
        <v>101</v>
      </c>
      <c r="B161" s="34" t="s">
        <v>264</v>
      </c>
      <c r="C161" s="34" t="s">
        <v>493</v>
      </c>
      <c r="D161" s="34" t="s">
        <v>494</v>
      </c>
      <c r="E161" s="34" t="s">
        <v>495</v>
      </c>
      <c r="F161" s="44">
        <f>IFERROR(VLOOKUP(C161,路飞话务数据源!D:Q,2,FALSE),0)</f>
        <v>164</v>
      </c>
      <c r="G161" s="44">
        <f>IFERROR(VLOOKUP(C161,路飞话务数据源!D:Q,3,FALSE),0)</f>
        <v>63</v>
      </c>
      <c r="H161" s="44">
        <f>IFERROR(VLOOKUP(C161,路飞话务数据源!D:Q,4,FALSE),0)</f>
        <v>0.384146341463415</v>
      </c>
      <c r="I161" s="44">
        <f>IFERROR(VLOOKUP(C161,路飞话务数据源!D:Q,5,FALSE),0)</f>
        <v>32</v>
      </c>
      <c r="J161" s="45">
        <f>IFERROR(VLOOKUP(C161,路飞话务数据源!D:Q,6,FALSE),0)</f>
        <v>25</v>
      </c>
      <c r="K161" s="44">
        <f>IFERROR(VLOOKUP(C161,路飞话务数据源!D:Q,7,FALSE),0)</f>
        <v>14</v>
      </c>
      <c r="L161" s="46">
        <f>IFERROR(VLOOKUP(C161,路飞话务数据源!D:Q,8,FALSE),0)</f>
        <v>0</v>
      </c>
      <c r="M161" s="46">
        <f>IFERROR(VLOOKUP(C161,路飞话务数据源!D:Q,9,FALSE),0)</f>
        <v>40.9833333333333</v>
      </c>
      <c r="N161" s="46">
        <f>IFERROR(VLOOKUP(C161,路飞话务数据源!D:Q,10,FALSE),0)</f>
        <v>0</v>
      </c>
      <c r="O161" s="46">
        <f>IFERROR(VLOOKUP(C161,路飞话务数据源!D:Q,11,FALSE),0)</f>
        <v>0</v>
      </c>
      <c r="P161" s="46">
        <f>IFERROR(VLOOKUP(C161,路飞话务数据源!D:Q,12,FALSE),0)</f>
        <v>0</v>
      </c>
      <c r="Q161" s="60">
        <f>IFERROR(VLOOKUP(C161,路飞话务数据源!D:Q,13,FALSE),0)</f>
        <v>0</v>
      </c>
      <c r="R161" s="61">
        <f ca="1" t="shared" si="7"/>
        <v>1</v>
      </c>
      <c r="S161" s="35" t="str">
        <f ca="1" t="shared" si="6"/>
        <v>7月-12月</v>
      </c>
      <c r="T161" s="34" t="s">
        <v>479</v>
      </c>
      <c r="U161" s="46">
        <f>SUMIFS(路飞意向数据源!F:F,路飞意向数据源!B:B,A161,路飞意向数据源!C:C,B161,路飞意向数据源!D:D,C161)</f>
        <v>0</v>
      </c>
      <c r="V161" s="46"/>
      <c r="W161" s="20"/>
      <c r="X161" s="35"/>
    </row>
    <row r="162" spans="1:24">
      <c r="A162" s="34" t="s">
        <v>101</v>
      </c>
      <c r="B162" s="34" t="s">
        <v>264</v>
      </c>
      <c r="C162" s="34" t="s">
        <v>496</v>
      </c>
      <c r="D162" s="34" t="s">
        <v>497</v>
      </c>
      <c r="E162" s="34" t="s">
        <v>498</v>
      </c>
      <c r="F162" s="44">
        <f>IFERROR(VLOOKUP(C162,路飞话务数据源!D:Q,2,FALSE),0)</f>
        <v>50</v>
      </c>
      <c r="G162" s="44">
        <f>IFERROR(VLOOKUP(C162,路飞话务数据源!D:Q,3,FALSE),0)</f>
        <v>19</v>
      </c>
      <c r="H162" s="44">
        <f>IFERROR(VLOOKUP(C162,路飞话务数据源!D:Q,4,FALSE),0)</f>
        <v>0.38</v>
      </c>
      <c r="I162" s="44">
        <f>IFERROR(VLOOKUP(C162,路飞话务数据源!D:Q,5,FALSE),0)</f>
        <v>9</v>
      </c>
      <c r="J162" s="45">
        <f>IFERROR(VLOOKUP(C162,路飞话务数据源!D:Q,6,FALSE),0)</f>
        <v>7</v>
      </c>
      <c r="K162" s="44">
        <f>IFERROR(VLOOKUP(C162,路飞话务数据源!D:Q,7,FALSE),0)</f>
        <v>6</v>
      </c>
      <c r="L162" s="46">
        <f>IFERROR(VLOOKUP(C162,路飞话务数据源!D:Q,8,FALSE),0)</f>
        <v>0</v>
      </c>
      <c r="M162" s="46">
        <f>IFERROR(VLOOKUP(C162,路飞话务数据源!D:Q,9,FALSE),0)</f>
        <v>12.9833333333333</v>
      </c>
      <c r="N162" s="46">
        <f>IFERROR(VLOOKUP(C162,路飞话务数据源!D:Q,10,FALSE),0)</f>
        <v>1</v>
      </c>
      <c r="O162" s="46">
        <f>IFERROR(VLOOKUP(C162,路飞话务数据源!D:Q,11,FALSE),0)</f>
        <v>0</v>
      </c>
      <c r="P162" s="46">
        <f>IFERROR(VLOOKUP(C162,路飞话务数据源!D:Q,12,FALSE),0)</f>
        <v>0</v>
      </c>
      <c r="Q162" s="60">
        <f>IFERROR(VLOOKUP(C162,路飞话务数据源!D:Q,13,FALSE),0)</f>
        <v>77</v>
      </c>
      <c r="R162" s="61">
        <f ca="1" t="shared" si="7"/>
        <v>1</v>
      </c>
      <c r="S162" s="35" t="str">
        <f ca="1" t="shared" si="6"/>
        <v>3年以上</v>
      </c>
      <c r="T162" s="34" t="s">
        <v>479</v>
      </c>
      <c r="U162" s="46">
        <f>SUMIFS(路飞意向数据源!F:F,路飞意向数据源!B:B,A162,路飞意向数据源!C:C,B162,路飞意向数据源!D:D,C162)</f>
        <v>1</v>
      </c>
      <c r="V162" s="46"/>
      <c r="W162" s="20"/>
      <c r="X162" s="35"/>
    </row>
    <row r="163" spans="1:24">
      <c r="A163" s="34" t="s">
        <v>21</v>
      </c>
      <c r="B163" s="34" t="s">
        <v>151</v>
      </c>
      <c r="C163" s="34" t="s">
        <v>499</v>
      </c>
      <c r="D163" s="34" t="s">
        <v>500</v>
      </c>
      <c r="E163" s="34" t="s">
        <v>501</v>
      </c>
      <c r="F163" s="44">
        <f>IFERROR(VLOOKUP(C163,路飞话务数据源!D:Q,2,FALSE),0)</f>
        <v>105</v>
      </c>
      <c r="G163" s="44">
        <f>IFERROR(VLOOKUP(C163,路飞话务数据源!D:Q,3,FALSE),0)</f>
        <v>48</v>
      </c>
      <c r="H163" s="44">
        <f>IFERROR(VLOOKUP(C163,路飞话务数据源!D:Q,4,FALSE),0)</f>
        <v>0.457142857142857</v>
      </c>
      <c r="I163" s="44">
        <f>IFERROR(VLOOKUP(C163,路飞话务数据源!D:Q,5,FALSE),0)</f>
        <v>18</v>
      </c>
      <c r="J163" s="45">
        <f>IFERROR(VLOOKUP(C163,路飞话务数据源!D:Q,6,FALSE),0)</f>
        <v>12</v>
      </c>
      <c r="K163" s="44">
        <f>IFERROR(VLOOKUP(C163,路飞话务数据源!D:Q,7,FALSE),0)</f>
        <v>7</v>
      </c>
      <c r="L163" s="46">
        <f>IFERROR(VLOOKUP(C163,路飞话务数据源!D:Q,8,FALSE),0)</f>
        <v>1</v>
      </c>
      <c r="M163" s="46">
        <f>IFERROR(VLOOKUP(C163,路飞话务数据源!D:Q,9,FALSE),0)</f>
        <v>26.8166666666667</v>
      </c>
      <c r="N163" s="46">
        <f>IFERROR(VLOOKUP(C163,路飞话务数据源!D:Q,10,FALSE),0)</f>
        <v>0</v>
      </c>
      <c r="O163" s="46">
        <f>IFERROR(VLOOKUP(C163,路飞话务数据源!D:Q,11,FALSE),0)</f>
        <v>0</v>
      </c>
      <c r="P163" s="46">
        <f>IFERROR(VLOOKUP(C163,路飞话务数据源!D:Q,12,FALSE),0)</f>
        <v>0</v>
      </c>
      <c r="Q163" s="60">
        <f>IFERROR(VLOOKUP(C163,路飞话务数据源!D:Q,13,FALSE),0)</f>
        <v>0</v>
      </c>
      <c r="R163" s="61">
        <f ca="1" t="shared" si="7"/>
        <v>1</v>
      </c>
      <c r="S163" s="35" t="str">
        <f ca="1" t="shared" si="6"/>
        <v>1年-2年</v>
      </c>
      <c r="T163" s="34" t="s">
        <v>502</v>
      </c>
      <c r="U163" s="46">
        <f>SUMIFS(路飞意向数据源!F:F,路飞意向数据源!B:B,A163,路飞意向数据源!C:C,B163,路飞意向数据源!D:D,C163)</f>
        <v>0</v>
      </c>
      <c r="V163" s="46"/>
      <c r="W163" s="20"/>
      <c r="X163" s="35"/>
    </row>
    <row r="164" spans="1:24">
      <c r="A164" s="34" t="s">
        <v>21</v>
      </c>
      <c r="B164" s="34" t="s">
        <v>151</v>
      </c>
      <c r="C164" s="34" t="s">
        <v>503</v>
      </c>
      <c r="D164" s="34" t="s">
        <v>504</v>
      </c>
      <c r="E164" s="34" t="s">
        <v>94</v>
      </c>
      <c r="F164" s="44">
        <f>IFERROR(VLOOKUP(C164,路飞话务数据源!D:Q,2,FALSE),0)</f>
        <v>169</v>
      </c>
      <c r="G164" s="44">
        <f>IFERROR(VLOOKUP(C164,路飞话务数据源!D:Q,3,FALSE),0)</f>
        <v>72</v>
      </c>
      <c r="H164" s="44">
        <f>IFERROR(VLOOKUP(C164,路飞话务数据源!D:Q,4,FALSE),0)</f>
        <v>0.42603550295858</v>
      </c>
      <c r="I164" s="44">
        <f>IFERROR(VLOOKUP(C164,路飞话务数据源!D:Q,5,FALSE),0)</f>
        <v>43</v>
      </c>
      <c r="J164" s="45">
        <f>IFERROR(VLOOKUP(C164,路飞话务数据源!D:Q,6,FALSE),0)</f>
        <v>35</v>
      </c>
      <c r="K164" s="44">
        <f>IFERROR(VLOOKUP(C164,路飞话务数据源!D:Q,7,FALSE),0)</f>
        <v>22</v>
      </c>
      <c r="L164" s="46">
        <f>IFERROR(VLOOKUP(C164,路飞话务数据源!D:Q,8,FALSE),0)</f>
        <v>5</v>
      </c>
      <c r="M164" s="46">
        <f>IFERROR(VLOOKUP(C164,路飞话务数据源!D:Q,9,FALSE),0)</f>
        <v>82.3666666666667</v>
      </c>
      <c r="N164" s="46">
        <f>IFERROR(VLOOKUP(C164,路飞话务数据源!D:Q,10,FALSE),0)</f>
        <v>0</v>
      </c>
      <c r="O164" s="46">
        <f>IFERROR(VLOOKUP(C164,路飞话务数据源!D:Q,11,FALSE),0)</f>
        <v>0</v>
      </c>
      <c r="P164" s="46">
        <f>IFERROR(VLOOKUP(C164,路飞话务数据源!D:Q,12,FALSE),0)</f>
        <v>0</v>
      </c>
      <c r="Q164" s="60">
        <f>IFERROR(VLOOKUP(C164,路飞话务数据源!D:Q,13,FALSE),0)</f>
        <v>0</v>
      </c>
      <c r="R164" s="61">
        <f ca="1" t="shared" si="7"/>
        <v>1</v>
      </c>
      <c r="S164" s="35" t="str">
        <f ca="1" t="shared" si="6"/>
        <v>1-3月</v>
      </c>
      <c r="T164" s="34" t="s">
        <v>502</v>
      </c>
      <c r="U164" s="46">
        <f>SUMIFS(路飞意向数据源!F:F,路飞意向数据源!B:B,A164,路飞意向数据源!C:C,B164,路飞意向数据源!D:D,C164)</f>
        <v>1</v>
      </c>
      <c r="V164" s="46"/>
      <c r="W164" s="20"/>
      <c r="X164" s="35"/>
    </row>
    <row r="165" spans="1:24">
      <c r="A165" s="34" t="s">
        <v>21</v>
      </c>
      <c r="B165" s="34" t="s">
        <v>151</v>
      </c>
      <c r="C165" s="34" t="s">
        <v>505</v>
      </c>
      <c r="D165" s="34" t="s">
        <v>506</v>
      </c>
      <c r="E165" s="34" t="s">
        <v>482</v>
      </c>
      <c r="F165" s="44">
        <f>IFERROR(VLOOKUP(C165,路飞话务数据源!D:Q,2,FALSE),0)</f>
        <v>177</v>
      </c>
      <c r="G165" s="44">
        <f>IFERROR(VLOOKUP(C165,路飞话务数据源!D:Q,3,FALSE),0)</f>
        <v>90</v>
      </c>
      <c r="H165" s="44">
        <f>IFERROR(VLOOKUP(C165,路飞话务数据源!D:Q,4,FALSE),0)</f>
        <v>0.508474576271186</v>
      </c>
      <c r="I165" s="44">
        <f>IFERROR(VLOOKUP(C165,路飞话务数据源!D:Q,5,FALSE),0)</f>
        <v>15</v>
      </c>
      <c r="J165" s="45">
        <f>IFERROR(VLOOKUP(C165,路飞话务数据源!D:Q,6,FALSE),0)</f>
        <v>6</v>
      </c>
      <c r="K165" s="44">
        <f>IFERROR(VLOOKUP(C165,路飞话务数据源!D:Q,7,FALSE),0)</f>
        <v>3</v>
      </c>
      <c r="L165" s="46">
        <f>IFERROR(VLOOKUP(C165,路飞话务数据源!D:Q,8,FALSE),0)</f>
        <v>0</v>
      </c>
      <c r="M165" s="46">
        <f>IFERROR(VLOOKUP(C165,路飞话务数据源!D:Q,9,FALSE),0)</f>
        <v>35.0333333333333</v>
      </c>
      <c r="N165" s="46">
        <f>IFERROR(VLOOKUP(C165,路飞话务数据源!D:Q,10,FALSE),0)</f>
        <v>0</v>
      </c>
      <c r="O165" s="46">
        <f>IFERROR(VLOOKUP(C165,路飞话务数据源!D:Q,11,FALSE),0)</f>
        <v>0</v>
      </c>
      <c r="P165" s="46">
        <f>IFERROR(VLOOKUP(C165,路飞话务数据源!D:Q,12,FALSE),0)</f>
        <v>0</v>
      </c>
      <c r="Q165" s="60">
        <f>IFERROR(VLOOKUP(C165,路飞话务数据源!D:Q,13,FALSE),0)</f>
        <v>0</v>
      </c>
      <c r="R165" s="61">
        <f ca="1" t="shared" si="7"/>
        <v>1</v>
      </c>
      <c r="S165" s="35" t="str">
        <f ca="1" t="shared" si="6"/>
        <v>月内</v>
      </c>
      <c r="T165" s="34" t="s">
        <v>502</v>
      </c>
      <c r="U165" s="46">
        <f>SUMIFS(路飞意向数据源!F:F,路飞意向数据源!B:B,A165,路飞意向数据源!C:C,B165,路飞意向数据源!D:D,C165)</f>
        <v>0</v>
      </c>
      <c r="V165" s="46"/>
      <c r="W165" s="20"/>
      <c r="X165" s="35"/>
    </row>
    <row r="166" spans="1:24">
      <c r="A166" s="34" t="s">
        <v>21</v>
      </c>
      <c r="B166" s="34" t="s">
        <v>151</v>
      </c>
      <c r="C166" s="34" t="s">
        <v>507</v>
      </c>
      <c r="D166" s="34" t="s">
        <v>508</v>
      </c>
      <c r="E166" s="34" t="s">
        <v>509</v>
      </c>
      <c r="F166" s="44">
        <f>IFERROR(VLOOKUP(C166,路飞话务数据源!D:Q,2,FALSE),0)</f>
        <v>0</v>
      </c>
      <c r="G166" s="44">
        <f>IFERROR(VLOOKUP(C166,路飞话务数据源!D:Q,3,FALSE),0)</f>
        <v>0</v>
      </c>
      <c r="H166" s="44">
        <f>IFERROR(VLOOKUP(C166,路飞话务数据源!D:Q,4,FALSE),0)</f>
        <v>0</v>
      </c>
      <c r="I166" s="44">
        <f>IFERROR(VLOOKUP(C166,路飞话务数据源!D:Q,5,FALSE),0)</f>
        <v>0</v>
      </c>
      <c r="J166" s="45">
        <f>IFERROR(VLOOKUP(C166,路飞话务数据源!D:Q,6,FALSE),0)</f>
        <v>0</v>
      </c>
      <c r="K166" s="44">
        <f>IFERROR(VLOOKUP(C166,路飞话务数据源!D:Q,7,FALSE),0)</f>
        <v>0</v>
      </c>
      <c r="L166" s="46">
        <f>IFERROR(VLOOKUP(C166,路飞话务数据源!D:Q,8,FALSE),0)</f>
        <v>0</v>
      </c>
      <c r="M166" s="46">
        <f>IFERROR(VLOOKUP(C166,路飞话务数据源!D:Q,9,FALSE),0)</f>
        <v>0</v>
      </c>
      <c r="N166" s="46">
        <f>IFERROR(VLOOKUP(C166,路飞话务数据源!D:Q,10,FALSE),0)</f>
        <v>0</v>
      </c>
      <c r="O166" s="46">
        <f>IFERROR(VLOOKUP(C166,路飞话务数据源!D:Q,11,FALSE),0)</f>
        <v>0</v>
      </c>
      <c r="P166" s="46">
        <f>IFERROR(VLOOKUP(C166,路飞话务数据源!D:Q,12,FALSE),0)</f>
        <v>0</v>
      </c>
      <c r="Q166" s="60">
        <f>IFERROR(VLOOKUP(C166,路飞话务数据源!D:Q,13,FALSE),0)</f>
        <v>0</v>
      </c>
      <c r="R166" s="61">
        <f ca="1" t="shared" si="7"/>
        <v>0</v>
      </c>
      <c r="S166" s="35" t="str">
        <f ca="1" t="shared" si="6"/>
        <v>1-3月</v>
      </c>
      <c r="T166" s="34" t="s">
        <v>502</v>
      </c>
      <c r="U166" s="46">
        <f>SUMIFS(路飞意向数据源!F:F,路飞意向数据源!B:B,A166,路飞意向数据源!C:C,B166,路飞意向数据源!D:D,C166)</f>
        <v>0</v>
      </c>
      <c r="V166" s="46"/>
      <c r="W166" s="20"/>
      <c r="X166" s="35"/>
    </row>
    <row r="167" spans="1:24">
      <c r="A167" s="34" t="s">
        <v>21</v>
      </c>
      <c r="B167" s="34" t="s">
        <v>151</v>
      </c>
      <c r="C167" s="34" t="s">
        <v>510</v>
      </c>
      <c r="D167" s="34" t="s">
        <v>511</v>
      </c>
      <c r="E167" s="34" t="s">
        <v>94</v>
      </c>
      <c r="F167" s="44">
        <f>IFERROR(VLOOKUP(C167,路飞话务数据源!D:Q,2,FALSE),0)</f>
        <v>134</v>
      </c>
      <c r="G167" s="44">
        <f>IFERROR(VLOOKUP(C167,路飞话务数据源!D:Q,3,FALSE),0)</f>
        <v>68</v>
      </c>
      <c r="H167" s="44">
        <f>IFERROR(VLOOKUP(C167,路飞话务数据源!D:Q,4,FALSE),0)</f>
        <v>0.507462686567164</v>
      </c>
      <c r="I167" s="44">
        <f>IFERROR(VLOOKUP(C167,路飞话务数据源!D:Q,5,FALSE),0)</f>
        <v>35</v>
      </c>
      <c r="J167" s="45">
        <f>IFERROR(VLOOKUP(C167,路飞话务数据源!D:Q,6,FALSE),0)</f>
        <v>28</v>
      </c>
      <c r="K167" s="44">
        <f>IFERROR(VLOOKUP(C167,路飞话务数据源!D:Q,7,FALSE),0)</f>
        <v>17</v>
      </c>
      <c r="L167" s="46">
        <f>IFERROR(VLOOKUP(C167,路飞话务数据源!D:Q,8,FALSE),0)</f>
        <v>2</v>
      </c>
      <c r="M167" s="46">
        <f>IFERROR(VLOOKUP(C167,路飞话务数据源!D:Q,9,FALSE),0)</f>
        <v>56.3666666666667</v>
      </c>
      <c r="N167" s="46">
        <f>IFERROR(VLOOKUP(C167,路飞话务数据源!D:Q,10,FALSE),0)</f>
        <v>0</v>
      </c>
      <c r="O167" s="46">
        <f>IFERROR(VLOOKUP(C167,路飞话务数据源!D:Q,11,FALSE),0)</f>
        <v>0</v>
      </c>
      <c r="P167" s="46">
        <f>IFERROR(VLOOKUP(C167,路飞话务数据源!D:Q,12,FALSE),0)</f>
        <v>0</v>
      </c>
      <c r="Q167" s="60">
        <f>IFERROR(VLOOKUP(C167,路飞话务数据源!D:Q,13,FALSE),0)</f>
        <v>0</v>
      </c>
      <c r="R167" s="61">
        <f ca="1" t="shared" si="7"/>
        <v>1</v>
      </c>
      <c r="S167" s="35" t="str">
        <f ca="1" t="shared" si="6"/>
        <v>1-3月</v>
      </c>
      <c r="T167" s="34" t="s">
        <v>502</v>
      </c>
      <c r="U167" s="46">
        <f>SUMIFS(路飞意向数据源!F:F,路飞意向数据源!B:B,A167,路飞意向数据源!C:C,B167,路飞意向数据源!D:D,C167)</f>
        <v>0</v>
      </c>
      <c r="V167" s="46"/>
      <c r="W167" s="20"/>
      <c r="X167" s="35"/>
    </row>
    <row r="168" spans="1:24">
      <c r="A168" s="34" t="s">
        <v>21</v>
      </c>
      <c r="B168" s="34" t="s">
        <v>151</v>
      </c>
      <c r="C168" s="34" t="s">
        <v>512</v>
      </c>
      <c r="D168" s="34" t="s">
        <v>513</v>
      </c>
      <c r="E168" s="34" t="s">
        <v>94</v>
      </c>
      <c r="F168" s="44">
        <f>IFERROR(VLOOKUP(C168,路飞话务数据源!D:Q,2,FALSE),0)</f>
        <v>206</v>
      </c>
      <c r="G168" s="44">
        <f>IFERROR(VLOOKUP(C168,路飞话务数据源!D:Q,3,FALSE),0)</f>
        <v>105</v>
      </c>
      <c r="H168" s="44">
        <f>IFERROR(VLOOKUP(C168,路飞话务数据源!D:Q,4,FALSE),0)</f>
        <v>0.509708737864078</v>
      </c>
      <c r="I168" s="44">
        <f>IFERROR(VLOOKUP(C168,路飞话务数据源!D:Q,5,FALSE),0)</f>
        <v>53</v>
      </c>
      <c r="J168" s="45">
        <f>IFERROR(VLOOKUP(C168,路飞话务数据源!D:Q,6,FALSE),0)</f>
        <v>39</v>
      </c>
      <c r="K168" s="44">
        <f>IFERROR(VLOOKUP(C168,路飞话务数据源!D:Q,7,FALSE),0)</f>
        <v>27</v>
      </c>
      <c r="L168" s="46">
        <f>IFERROR(VLOOKUP(C168,路飞话务数据源!D:Q,8,FALSE),0)</f>
        <v>4</v>
      </c>
      <c r="M168" s="46">
        <f>IFERROR(VLOOKUP(C168,路飞话务数据源!D:Q,9,FALSE),0)</f>
        <v>87.6333333333333</v>
      </c>
      <c r="N168" s="46">
        <f>IFERROR(VLOOKUP(C168,路飞话务数据源!D:Q,10,FALSE),0)</f>
        <v>0</v>
      </c>
      <c r="O168" s="46">
        <f>IFERROR(VLOOKUP(C168,路飞话务数据源!D:Q,11,FALSE),0)</f>
        <v>0</v>
      </c>
      <c r="P168" s="46">
        <f>IFERROR(VLOOKUP(C168,路飞话务数据源!D:Q,12,FALSE),0)</f>
        <v>0</v>
      </c>
      <c r="Q168" s="60">
        <f>IFERROR(VLOOKUP(C168,路飞话务数据源!D:Q,13,FALSE),0)</f>
        <v>0</v>
      </c>
      <c r="R168" s="61">
        <f ca="1" t="shared" si="7"/>
        <v>1</v>
      </c>
      <c r="S168" s="35" t="str">
        <f ca="1" t="shared" si="6"/>
        <v>1-3月</v>
      </c>
      <c r="T168" s="34" t="s">
        <v>502</v>
      </c>
      <c r="U168" s="46">
        <f>SUMIFS(路飞意向数据源!F:F,路飞意向数据源!B:B,A168,路飞意向数据源!C:C,B168,路飞意向数据源!D:D,C168)</f>
        <v>0</v>
      </c>
      <c r="V168" s="46"/>
      <c r="W168" s="20"/>
      <c r="X168" s="35"/>
    </row>
    <row r="169" spans="1:24">
      <c r="A169" s="34" t="s">
        <v>21</v>
      </c>
      <c r="B169" s="34" t="s">
        <v>151</v>
      </c>
      <c r="C169" s="34" t="s">
        <v>514</v>
      </c>
      <c r="D169" s="34" t="s">
        <v>515</v>
      </c>
      <c r="E169" s="34" t="s">
        <v>91</v>
      </c>
      <c r="F169" s="44">
        <f>IFERROR(VLOOKUP(C169,路飞话务数据源!D:Q,2,FALSE),0)</f>
        <v>0</v>
      </c>
      <c r="G169" s="44">
        <f>IFERROR(VLOOKUP(C169,路飞话务数据源!D:Q,3,FALSE),0)</f>
        <v>0</v>
      </c>
      <c r="H169" s="44">
        <f>IFERROR(VLOOKUP(C169,路飞话务数据源!D:Q,4,FALSE),0)</f>
        <v>0</v>
      </c>
      <c r="I169" s="44">
        <f>IFERROR(VLOOKUP(C169,路飞话务数据源!D:Q,5,FALSE),0)</f>
        <v>0</v>
      </c>
      <c r="J169" s="45">
        <f>IFERROR(VLOOKUP(C169,路飞话务数据源!D:Q,6,FALSE),0)</f>
        <v>0</v>
      </c>
      <c r="K169" s="44">
        <f>IFERROR(VLOOKUP(C169,路飞话务数据源!D:Q,7,FALSE),0)</f>
        <v>0</v>
      </c>
      <c r="L169" s="46">
        <f>IFERROR(VLOOKUP(C169,路飞话务数据源!D:Q,8,FALSE),0)</f>
        <v>0</v>
      </c>
      <c r="M169" s="46">
        <f>IFERROR(VLOOKUP(C169,路飞话务数据源!D:Q,9,FALSE),0)</f>
        <v>0</v>
      </c>
      <c r="N169" s="46">
        <f>IFERROR(VLOOKUP(C169,路飞话务数据源!D:Q,10,FALSE),0)</f>
        <v>0</v>
      </c>
      <c r="O169" s="46">
        <f>IFERROR(VLOOKUP(C169,路飞话务数据源!D:Q,11,FALSE),0)</f>
        <v>0</v>
      </c>
      <c r="P169" s="46">
        <f>IFERROR(VLOOKUP(C169,路飞话务数据源!D:Q,12,FALSE),0)</f>
        <v>0</v>
      </c>
      <c r="Q169" s="60">
        <f>IFERROR(VLOOKUP(C169,路飞话务数据源!D:Q,13,FALSE),0)</f>
        <v>0</v>
      </c>
      <c r="R169" s="61">
        <f ca="1" t="shared" si="7"/>
        <v>0</v>
      </c>
      <c r="S169" s="35" t="str">
        <f ca="1" t="shared" si="6"/>
        <v>4月-6月</v>
      </c>
      <c r="T169" s="34" t="s">
        <v>502</v>
      </c>
      <c r="U169" s="46">
        <f>SUMIFS(路飞意向数据源!F:F,路飞意向数据源!B:B,A169,路飞意向数据源!C:C,B169,路飞意向数据源!D:D,C169)</f>
        <v>0</v>
      </c>
      <c r="V169" s="46"/>
      <c r="W169" s="20"/>
      <c r="X169" s="35"/>
    </row>
    <row r="170" spans="1:24">
      <c r="A170" s="34" t="s">
        <v>21</v>
      </c>
      <c r="B170" s="34" t="s">
        <v>151</v>
      </c>
      <c r="C170" s="34" t="s">
        <v>516</v>
      </c>
      <c r="D170" s="34" t="s">
        <v>517</v>
      </c>
      <c r="E170" s="34" t="s">
        <v>518</v>
      </c>
      <c r="F170" s="44">
        <f>IFERROR(VLOOKUP(C170,路飞话务数据源!D:Q,2,FALSE),0)</f>
        <v>190</v>
      </c>
      <c r="G170" s="44">
        <f>IFERROR(VLOOKUP(C170,路飞话务数据源!D:Q,3,FALSE),0)</f>
        <v>99</v>
      </c>
      <c r="H170" s="44">
        <f>IFERROR(VLOOKUP(C170,路飞话务数据源!D:Q,4,FALSE),0)</f>
        <v>0.521052631578947</v>
      </c>
      <c r="I170" s="44">
        <f>IFERROR(VLOOKUP(C170,路飞话务数据源!D:Q,5,FALSE),0)</f>
        <v>25</v>
      </c>
      <c r="J170" s="45">
        <f>IFERROR(VLOOKUP(C170,路飞话务数据源!D:Q,6,FALSE),0)</f>
        <v>22</v>
      </c>
      <c r="K170" s="44">
        <f>IFERROR(VLOOKUP(C170,路飞话务数据源!D:Q,7,FALSE),0)</f>
        <v>7</v>
      </c>
      <c r="L170" s="46">
        <f>IFERROR(VLOOKUP(C170,路飞话务数据源!D:Q,8,FALSE),0)</f>
        <v>0</v>
      </c>
      <c r="M170" s="46">
        <f>IFERROR(VLOOKUP(C170,路飞话务数据源!D:Q,9,FALSE),0)</f>
        <v>40.55</v>
      </c>
      <c r="N170" s="46">
        <f>IFERROR(VLOOKUP(C170,路飞话务数据源!D:Q,10,FALSE),0)</f>
        <v>0</v>
      </c>
      <c r="O170" s="46">
        <f>IFERROR(VLOOKUP(C170,路飞话务数据源!D:Q,11,FALSE),0)</f>
        <v>0</v>
      </c>
      <c r="P170" s="46">
        <f>IFERROR(VLOOKUP(C170,路飞话务数据源!D:Q,12,FALSE),0)</f>
        <v>0</v>
      </c>
      <c r="Q170" s="60">
        <f>IFERROR(VLOOKUP(C170,路飞话务数据源!D:Q,13,FALSE),0)</f>
        <v>0</v>
      </c>
      <c r="R170" s="61">
        <f ca="1" t="shared" si="7"/>
        <v>1</v>
      </c>
      <c r="S170" s="35" t="str">
        <f ca="1" t="shared" si="6"/>
        <v>2年-3年</v>
      </c>
      <c r="T170" s="34" t="s">
        <v>502</v>
      </c>
      <c r="U170" s="46">
        <f>SUMIFS(路飞意向数据源!F:F,路飞意向数据源!B:B,A170,路飞意向数据源!C:C,B170,路飞意向数据源!D:D,C170)</f>
        <v>0</v>
      </c>
      <c r="V170" s="46"/>
      <c r="W170" s="20"/>
      <c r="X170" s="35"/>
    </row>
    <row r="171" spans="1:24">
      <c r="A171" s="34" t="s">
        <v>21</v>
      </c>
      <c r="B171" s="34" t="s">
        <v>151</v>
      </c>
      <c r="C171" s="34" t="s">
        <v>519</v>
      </c>
      <c r="D171" s="34" t="s">
        <v>520</v>
      </c>
      <c r="E171" s="34" t="s">
        <v>521</v>
      </c>
      <c r="F171" s="44">
        <f>IFERROR(VLOOKUP(C171,路飞话务数据源!D:Q,2,FALSE),0)</f>
        <v>255</v>
      </c>
      <c r="G171" s="44">
        <f>IFERROR(VLOOKUP(C171,路飞话务数据源!D:Q,3,FALSE),0)</f>
        <v>102</v>
      </c>
      <c r="H171" s="44">
        <f>IFERROR(VLOOKUP(C171,路飞话务数据源!D:Q,4,FALSE),0)</f>
        <v>0.4</v>
      </c>
      <c r="I171" s="44">
        <f>IFERROR(VLOOKUP(C171,路飞话务数据源!D:Q,5,FALSE),0)</f>
        <v>41</v>
      </c>
      <c r="J171" s="45">
        <f>IFERROR(VLOOKUP(C171,路飞话务数据源!D:Q,6,FALSE),0)</f>
        <v>32</v>
      </c>
      <c r="K171" s="44">
        <f>IFERROR(VLOOKUP(C171,路飞话务数据源!D:Q,7,FALSE),0)</f>
        <v>13</v>
      </c>
      <c r="L171" s="46">
        <f>IFERROR(VLOOKUP(C171,路飞话务数据源!D:Q,8,FALSE),0)</f>
        <v>1</v>
      </c>
      <c r="M171" s="46">
        <f>IFERROR(VLOOKUP(C171,路飞话务数据源!D:Q,9,FALSE),0)</f>
        <v>56</v>
      </c>
      <c r="N171" s="46">
        <f>IFERROR(VLOOKUP(C171,路飞话务数据源!D:Q,10,FALSE),0)</f>
        <v>0</v>
      </c>
      <c r="O171" s="46">
        <f>IFERROR(VLOOKUP(C171,路飞话务数据源!D:Q,11,FALSE),0)</f>
        <v>0</v>
      </c>
      <c r="P171" s="46">
        <f>IFERROR(VLOOKUP(C171,路飞话务数据源!D:Q,12,FALSE),0)</f>
        <v>0</v>
      </c>
      <c r="Q171" s="60">
        <f>IFERROR(VLOOKUP(C171,路飞话务数据源!D:Q,13,FALSE),0)</f>
        <v>0</v>
      </c>
      <c r="R171" s="61">
        <f ca="1" t="shared" si="7"/>
        <v>1</v>
      </c>
      <c r="S171" s="35" t="str">
        <f ca="1" t="shared" si="6"/>
        <v>7月-12月</v>
      </c>
      <c r="T171" s="34" t="s">
        <v>502</v>
      </c>
      <c r="U171" s="46">
        <f>SUMIFS(路飞意向数据源!F:F,路飞意向数据源!B:B,A171,路飞意向数据源!C:C,B171,路飞意向数据源!D:D,C171)</f>
        <v>0</v>
      </c>
      <c r="V171" s="46"/>
      <c r="W171" s="20"/>
      <c r="X171" s="35"/>
    </row>
    <row r="172" spans="1:24">
      <c r="A172" s="34" t="s">
        <v>21</v>
      </c>
      <c r="B172" s="34" t="s">
        <v>151</v>
      </c>
      <c r="C172" s="34" t="s">
        <v>522</v>
      </c>
      <c r="D172" s="34" t="s">
        <v>523</v>
      </c>
      <c r="E172" s="34" t="s">
        <v>322</v>
      </c>
      <c r="F172" s="44">
        <f>IFERROR(VLOOKUP(C172,路飞话务数据源!D:Q,2,FALSE),0)</f>
        <v>79</v>
      </c>
      <c r="G172" s="44">
        <f>IFERROR(VLOOKUP(C172,路飞话务数据源!D:Q,3,FALSE),0)</f>
        <v>28</v>
      </c>
      <c r="H172" s="44">
        <f>IFERROR(VLOOKUP(C172,路飞话务数据源!D:Q,4,FALSE),0)</f>
        <v>0.354430379746835</v>
      </c>
      <c r="I172" s="44">
        <f>IFERROR(VLOOKUP(C172,路飞话务数据源!D:Q,5,FALSE),0)</f>
        <v>15</v>
      </c>
      <c r="J172" s="45">
        <f>IFERROR(VLOOKUP(C172,路飞话务数据源!D:Q,6,FALSE),0)</f>
        <v>11</v>
      </c>
      <c r="K172" s="44">
        <f>IFERROR(VLOOKUP(C172,路飞话务数据源!D:Q,7,FALSE),0)</f>
        <v>6</v>
      </c>
      <c r="L172" s="46">
        <f>IFERROR(VLOOKUP(C172,路飞话务数据源!D:Q,8,FALSE),0)</f>
        <v>1</v>
      </c>
      <c r="M172" s="46">
        <f>IFERROR(VLOOKUP(C172,路飞话务数据源!D:Q,9,FALSE),0)</f>
        <v>25.9</v>
      </c>
      <c r="N172" s="46">
        <f>IFERROR(VLOOKUP(C172,路飞话务数据源!D:Q,10,FALSE),0)</f>
        <v>1</v>
      </c>
      <c r="O172" s="46">
        <f>IFERROR(VLOOKUP(C172,路飞话务数据源!D:Q,11,FALSE),0)</f>
        <v>0</v>
      </c>
      <c r="P172" s="46">
        <f>IFERROR(VLOOKUP(C172,路飞话务数据源!D:Q,12,FALSE),0)</f>
        <v>0</v>
      </c>
      <c r="Q172" s="60">
        <f>IFERROR(VLOOKUP(C172,路飞话务数据源!D:Q,13,FALSE),0)</f>
        <v>43</v>
      </c>
      <c r="R172" s="61">
        <f ca="1" t="shared" si="7"/>
        <v>1</v>
      </c>
      <c r="S172" s="35" t="str">
        <f ca="1" t="shared" si="6"/>
        <v>7月-12月</v>
      </c>
      <c r="T172" s="34" t="s">
        <v>502</v>
      </c>
      <c r="U172" s="46">
        <f>SUMIFS(路飞意向数据源!F:F,路飞意向数据源!B:B,A172,路飞意向数据源!C:C,B172,路飞意向数据源!D:D,C172)</f>
        <v>0</v>
      </c>
      <c r="V172" s="46"/>
      <c r="W172" s="20"/>
      <c r="X172" s="35"/>
    </row>
    <row r="173" spans="1:24">
      <c r="A173" s="34" t="s">
        <v>21</v>
      </c>
      <c r="B173" s="34" t="s">
        <v>151</v>
      </c>
      <c r="C173" s="34" t="s">
        <v>524</v>
      </c>
      <c r="D173" s="34" t="s">
        <v>525</v>
      </c>
      <c r="E173" s="34" t="s">
        <v>526</v>
      </c>
      <c r="F173" s="44">
        <f>IFERROR(VLOOKUP(C173,路飞话务数据源!D:Q,2,FALSE),0)</f>
        <v>120</v>
      </c>
      <c r="G173" s="44">
        <f>IFERROR(VLOOKUP(C173,路飞话务数据源!D:Q,3,FALSE),0)</f>
        <v>57</v>
      </c>
      <c r="H173" s="44">
        <f>IFERROR(VLOOKUP(C173,路飞话务数据源!D:Q,4,FALSE),0)</f>
        <v>0.475</v>
      </c>
      <c r="I173" s="44">
        <f>IFERROR(VLOOKUP(C173,路飞话务数据源!D:Q,5,FALSE),0)</f>
        <v>28</v>
      </c>
      <c r="J173" s="45">
        <f>IFERROR(VLOOKUP(C173,路飞话务数据源!D:Q,6,FALSE),0)</f>
        <v>16</v>
      </c>
      <c r="K173" s="44">
        <f>IFERROR(VLOOKUP(C173,路飞话务数据源!D:Q,7,FALSE),0)</f>
        <v>10</v>
      </c>
      <c r="L173" s="46">
        <f>IFERROR(VLOOKUP(C173,路飞话务数据源!D:Q,8,FALSE),0)</f>
        <v>0</v>
      </c>
      <c r="M173" s="46">
        <f>IFERROR(VLOOKUP(C173,路飞话务数据源!D:Q,9,FALSE),0)</f>
        <v>34.5666666666667</v>
      </c>
      <c r="N173" s="46">
        <f>IFERROR(VLOOKUP(C173,路飞话务数据源!D:Q,10,FALSE),0)</f>
        <v>0</v>
      </c>
      <c r="O173" s="46">
        <f>IFERROR(VLOOKUP(C173,路飞话务数据源!D:Q,11,FALSE),0)</f>
        <v>0</v>
      </c>
      <c r="P173" s="46">
        <f>IFERROR(VLOOKUP(C173,路飞话务数据源!D:Q,12,FALSE),0)</f>
        <v>0</v>
      </c>
      <c r="Q173" s="60">
        <f>IFERROR(VLOOKUP(C173,路飞话务数据源!D:Q,13,FALSE),0)</f>
        <v>0</v>
      </c>
      <c r="R173" s="61">
        <f ca="1" t="shared" si="7"/>
        <v>1</v>
      </c>
      <c r="S173" s="35" t="str">
        <f ca="1" t="shared" si="6"/>
        <v>1年-2年</v>
      </c>
      <c r="T173" s="34" t="s">
        <v>502</v>
      </c>
      <c r="U173" s="46">
        <f>SUMIFS(路飞意向数据源!F:F,路飞意向数据源!B:B,A173,路飞意向数据源!C:C,B173,路飞意向数据源!D:D,C173)</f>
        <v>0</v>
      </c>
      <c r="V173" s="46"/>
      <c r="W173" s="20"/>
      <c r="X173" s="35"/>
    </row>
    <row r="174" spans="1:24">
      <c r="A174" s="34" t="s">
        <v>21</v>
      </c>
      <c r="B174" s="34" t="s">
        <v>224</v>
      </c>
      <c r="C174" s="34" t="s">
        <v>527</v>
      </c>
      <c r="D174" s="34" t="s">
        <v>528</v>
      </c>
      <c r="E174" s="34" t="s">
        <v>193</v>
      </c>
      <c r="F174" s="44">
        <f>IFERROR(VLOOKUP(C174,路飞话务数据源!D:Q,2,FALSE),0)</f>
        <v>1</v>
      </c>
      <c r="G174" s="44">
        <f>IFERROR(VLOOKUP(C174,路飞话务数据源!D:Q,3,FALSE),0)</f>
        <v>1</v>
      </c>
      <c r="H174" s="44">
        <f>IFERROR(VLOOKUP(C174,路飞话务数据源!D:Q,4,FALSE),0)</f>
        <v>1</v>
      </c>
      <c r="I174" s="44">
        <f>IFERROR(VLOOKUP(C174,路飞话务数据源!D:Q,5,FALSE),0)</f>
        <v>0</v>
      </c>
      <c r="J174" s="45">
        <f>IFERROR(VLOOKUP(C174,路飞话务数据源!D:Q,6,FALSE),0)</f>
        <v>0</v>
      </c>
      <c r="K174" s="44">
        <f>IFERROR(VLOOKUP(C174,路飞话务数据源!D:Q,7,FALSE),0)</f>
        <v>0</v>
      </c>
      <c r="L174" s="46">
        <f>IFERROR(VLOOKUP(C174,路飞话务数据源!D:Q,8,FALSE),0)</f>
        <v>0</v>
      </c>
      <c r="M174" s="46">
        <f>IFERROR(VLOOKUP(C174,路飞话务数据源!D:Q,9,FALSE),0)</f>
        <v>0.216666666666667</v>
      </c>
      <c r="N174" s="46">
        <f>IFERROR(VLOOKUP(C174,路飞话务数据源!D:Q,10,FALSE),0)</f>
        <v>0</v>
      </c>
      <c r="O174" s="46">
        <f>IFERROR(VLOOKUP(C174,路飞话务数据源!D:Q,11,FALSE),0)</f>
        <v>0</v>
      </c>
      <c r="P174" s="46">
        <f>IFERROR(VLOOKUP(C174,路飞话务数据源!D:Q,12,FALSE),0)</f>
        <v>0</v>
      </c>
      <c r="Q174" s="60">
        <f>IFERROR(VLOOKUP(C174,路飞话务数据源!D:Q,13,FALSE),0)</f>
        <v>0</v>
      </c>
      <c r="R174" s="61">
        <f ca="1" t="shared" si="7"/>
        <v>0</v>
      </c>
      <c r="S174" s="35" t="str">
        <f ca="1" t="shared" si="6"/>
        <v>1-3月</v>
      </c>
      <c r="T174" s="34" t="s">
        <v>529</v>
      </c>
      <c r="U174" s="46">
        <f>SUMIFS(路飞意向数据源!F:F,路飞意向数据源!B:B,A174,路飞意向数据源!C:C,B174,路飞意向数据源!D:D,C174)</f>
        <v>0</v>
      </c>
      <c r="V174" s="46"/>
      <c r="W174" s="20"/>
      <c r="X174" s="35"/>
    </row>
    <row r="175" spans="1:24">
      <c r="A175" s="34" t="s">
        <v>21</v>
      </c>
      <c r="B175" s="34" t="s">
        <v>224</v>
      </c>
      <c r="C175" s="34" t="s">
        <v>530</v>
      </c>
      <c r="D175" s="34" t="s">
        <v>531</v>
      </c>
      <c r="E175" s="34" t="s">
        <v>94</v>
      </c>
      <c r="F175" s="44">
        <f>IFERROR(VLOOKUP(C175,路飞话务数据源!D:Q,2,FALSE),0)</f>
        <v>97</v>
      </c>
      <c r="G175" s="44">
        <f>IFERROR(VLOOKUP(C175,路飞话务数据源!D:Q,3,FALSE),0)</f>
        <v>39</v>
      </c>
      <c r="H175" s="44">
        <f>IFERROR(VLOOKUP(C175,路飞话务数据源!D:Q,4,FALSE),0)</f>
        <v>0.402061855670103</v>
      </c>
      <c r="I175" s="44">
        <f>IFERROR(VLOOKUP(C175,路飞话务数据源!D:Q,5,FALSE),0)</f>
        <v>13</v>
      </c>
      <c r="J175" s="45">
        <f>IFERROR(VLOOKUP(C175,路飞话务数据源!D:Q,6,FALSE),0)</f>
        <v>11</v>
      </c>
      <c r="K175" s="44">
        <f>IFERROR(VLOOKUP(C175,路飞话务数据源!D:Q,7,FALSE),0)</f>
        <v>4</v>
      </c>
      <c r="L175" s="46">
        <f>IFERROR(VLOOKUP(C175,路飞话务数据源!D:Q,8,FALSE),0)</f>
        <v>1</v>
      </c>
      <c r="M175" s="46">
        <f>IFERROR(VLOOKUP(C175,路飞话务数据源!D:Q,9,FALSE),0)</f>
        <v>21.0833333333333</v>
      </c>
      <c r="N175" s="46">
        <f>IFERROR(VLOOKUP(C175,路飞话务数据源!D:Q,10,FALSE),0)</f>
        <v>1</v>
      </c>
      <c r="O175" s="46">
        <f>IFERROR(VLOOKUP(C175,路飞话务数据源!D:Q,11,FALSE),0)</f>
        <v>0</v>
      </c>
      <c r="P175" s="46">
        <f>IFERROR(VLOOKUP(C175,路飞话务数据源!D:Q,12,FALSE),0)</f>
        <v>0</v>
      </c>
      <c r="Q175" s="60">
        <f>IFERROR(VLOOKUP(C175,路飞话务数据源!D:Q,13,FALSE),0)</f>
        <v>142</v>
      </c>
      <c r="R175" s="61">
        <f ca="1" t="shared" si="7"/>
        <v>1</v>
      </c>
      <c r="S175" s="35" t="str">
        <f ca="1" t="shared" si="6"/>
        <v>1-3月</v>
      </c>
      <c r="T175" s="34" t="s">
        <v>529</v>
      </c>
      <c r="U175" s="46">
        <f>SUMIFS(路飞意向数据源!F:F,路飞意向数据源!B:B,A175,路飞意向数据源!C:C,B175,路飞意向数据源!D:D,C175)</f>
        <v>2</v>
      </c>
      <c r="V175" s="46"/>
      <c r="W175" s="20"/>
      <c r="X175" s="35"/>
    </row>
    <row r="176" spans="1:24">
      <c r="A176" s="34" t="s">
        <v>21</v>
      </c>
      <c r="B176" s="34" t="s">
        <v>224</v>
      </c>
      <c r="C176" s="34" t="s">
        <v>532</v>
      </c>
      <c r="D176" s="34" t="s">
        <v>533</v>
      </c>
      <c r="E176" s="34" t="s">
        <v>211</v>
      </c>
      <c r="F176" s="44">
        <f>IFERROR(VLOOKUP(C176,路飞话务数据源!D:Q,2,FALSE),0)</f>
        <v>218</v>
      </c>
      <c r="G176" s="44">
        <f>IFERROR(VLOOKUP(C176,路飞话务数据源!D:Q,3,FALSE),0)</f>
        <v>106</v>
      </c>
      <c r="H176" s="44">
        <f>IFERROR(VLOOKUP(C176,路飞话务数据源!D:Q,4,FALSE),0)</f>
        <v>0.486238532110092</v>
      </c>
      <c r="I176" s="44">
        <f>IFERROR(VLOOKUP(C176,路飞话务数据源!D:Q,5,FALSE),0)</f>
        <v>33</v>
      </c>
      <c r="J176" s="45">
        <f>IFERROR(VLOOKUP(C176,路飞话务数据源!D:Q,6,FALSE),0)</f>
        <v>30</v>
      </c>
      <c r="K176" s="44">
        <f>IFERROR(VLOOKUP(C176,路飞话务数据源!D:Q,7,FALSE),0)</f>
        <v>16</v>
      </c>
      <c r="L176" s="46">
        <f>IFERROR(VLOOKUP(C176,路飞话务数据源!D:Q,8,FALSE),0)</f>
        <v>4</v>
      </c>
      <c r="M176" s="46">
        <f>IFERROR(VLOOKUP(C176,路飞话务数据源!D:Q,9,FALSE),0)</f>
        <v>74.3833333333333</v>
      </c>
      <c r="N176" s="46">
        <f>IFERROR(VLOOKUP(C176,路飞话务数据源!D:Q,10,FALSE),0)</f>
        <v>0</v>
      </c>
      <c r="O176" s="46">
        <f>IFERROR(VLOOKUP(C176,路飞话务数据源!D:Q,11,FALSE),0)</f>
        <v>0</v>
      </c>
      <c r="P176" s="46">
        <f>IFERROR(VLOOKUP(C176,路飞话务数据源!D:Q,12,FALSE),0)</f>
        <v>0</v>
      </c>
      <c r="Q176" s="60">
        <f>IFERROR(VLOOKUP(C176,路飞话务数据源!D:Q,13,FALSE),0)</f>
        <v>0</v>
      </c>
      <c r="R176" s="61">
        <f ca="1" t="shared" si="7"/>
        <v>1</v>
      </c>
      <c r="S176" s="35" t="str">
        <f ca="1" t="shared" si="6"/>
        <v>4月-6月</v>
      </c>
      <c r="T176" s="34" t="s">
        <v>529</v>
      </c>
      <c r="U176" s="46">
        <f>SUMIFS(路飞意向数据源!F:F,路飞意向数据源!B:B,A176,路飞意向数据源!C:C,B176,路飞意向数据源!D:D,C176)</f>
        <v>4</v>
      </c>
      <c r="V176" s="46"/>
      <c r="W176" s="20"/>
      <c r="X176" s="35"/>
    </row>
    <row r="177" spans="1:24">
      <c r="A177" s="34" t="s">
        <v>21</v>
      </c>
      <c r="B177" s="34" t="s">
        <v>224</v>
      </c>
      <c r="C177" s="34" t="s">
        <v>534</v>
      </c>
      <c r="D177" s="34" t="s">
        <v>535</v>
      </c>
      <c r="E177" s="34" t="s">
        <v>193</v>
      </c>
      <c r="F177" s="44">
        <f>IFERROR(VLOOKUP(C177,路飞话务数据源!D:Q,2,FALSE),0)</f>
        <v>0</v>
      </c>
      <c r="G177" s="44">
        <f>IFERROR(VLOOKUP(C177,路飞话务数据源!D:Q,3,FALSE),0)</f>
        <v>0</v>
      </c>
      <c r="H177" s="44">
        <f>IFERROR(VLOOKUP(C177,路飞话务数据源!D:Q,4,FALSE),0)</f>
        <v>0</v>
      </c>
      <c r="I177" s="44">
        <f>IFERROR(VLOOKUP(C177,路飞话务数据源!D:Q,5,FALSE),0)</f>
        <v>0</v>
      </c>
      <c r="J177" s="45">
        <f>IFERROR(VLOOKUP(C177,路飞话务数据源!D:Q,6,FALSE),0)</f>
        <v>0</v>
      </c>
      <c r="K177" s="44">
        <f>IFERROR(VLOOKUP(C177,路飞话务数据源!D:Q,7,FALSE),0)</f>
        <v>0</v>
      </c>
      <c r="L177" s="46">
        <f>IFERROR(VLOOKUP(C177,路飞话务数据源!D:Q,8,FALSE),0)</f>
        <v>0</v>
      </c>
      <c r="M177" s="46">
        <f>IFERROR(VLOOKUP(C177,路飞话务数据源!D:Q,9,FALSE),0)</f>
        <v>0</v>
      </c>
      <c r="N177" s="46">
        <f>IFERROR(VLOOKUP(C177,路飞话务数据源!D:Q,10,FALSE),0)</f>
        <v>0</v>
      </c>
      <c r="O177" s="46">
        <f>IFERROR(VLOOKUP(C177,路飞话务数据源!D:Q,11,FALSE),0)</f>
        <v>0</v>
      </c>
      <c r="P177" s="46">
        <f>IFERROR(VLOOKUP(C177,路飞话务数据源!D:Q,12,FALSE),0)</f>
        <v>0</v>
      </c>
      <c r="Q177" s="60">
        <f>IFERROR(VLOOKUP(C177,路飞话务数据源!D:Q,13,FALSE),0)</f>
        <v>0</v>
      </c>
      <c r="R177" s="61">
        <f ca="1" t="shared" si="7"/>
        <v>0</v>
      </c>
      <c r="S177" s="35" t="str">
        <f ca="1" t="shared" si="6"/>
        <v>1-3月</v>
      </c>
      <c r="T177" s="34" t="s">
        <v>529</v>
      </c>
      <c r="U177" s="46">
        <f>SUMIFS(路飞意向数据源!F:F,路飞意向数据源!B:B,A177,路飞意向数据源!C:C,B177,路飞意向数据源!D:D,C177)</f>
        <v>0</v>
      </c>
      <c r="V177" s="46"/>
      <c r="W177" s="20"/>
      <c r="X177" s="35"/>
    </row>
    <row r="178" spans="1:24">
      <c r="A178" s="34" t="s">
        <v>21</v>
      </c>
      <c r="B178" s="34" t="s">
        <v>224</v>
      </c>
      <c r="C178" s="34" t="s">
        <v>536</v>
      </c>
      <c r="D178" s="34" t="s">
        <v>537</v>
      </c>
      <c r="E178" s="34" t="s">
        <v>538</v>
      </c>
      <c r="F178" s="44">
        <f>IFERROR(VLOOKUP(C178,路飞话务数据源!D:Q,2,FALSE),0)</f>
        <v>200</v>
      </c>
      <c r="G178" s="44">
        <f>IFERROR(VLOOKUP(C178,路飞话务数据源!D:Q,3,FALSE),0)</f>
        <v>75</v>
      </c>
      <c r="H178" s="44">
        <f>IFERROR(VLOOKUP(C178,路飞话务数据源!D:Q,4,FALSE),0)</f>
        <v>0.375</v>
      </c>
      <c r="I178" s="44">
        <f>IFERROR(VLOOKUP(C178,路飞话务数据源!D:Q,5,FALSE),0)</f>
        <v>31</v>
      </c>
      <c r="J178" s="45">
        <f>IFERROR(VLOOKUP(C178,路飞话务数据源!D:Q,6,FALSE),0)</f>
        <v>15</v>
      </c>
      <c r="K178" s="44">
        <f>IFERROR(VLOOKUP(C178,路飞话务数据源!D:Q,7,FALSE),0)</f>
        <v>6</v>
      </c>
      <c r="L178" s="46">
        <f>IFERROR(VLOOKUP(C178,路飞话务数据源!D:Q,8,FALSE),0)</f>
        <v>0</v>
      </c>
      <c r="M178" s="46">
        <f>IFERROR(VLOOKUP(C178,路飞话务数据源!D:Q,9,FALSE),0)</f>
        <v>34.8</v>
      </c>
      <c r="N178" s="46">
        <f>IFERROR(VLOOKUP(C178,路飞话务数据源!D:Q,10,FALSE),0)</f>
        <v>0</v>
      </c>
      <c r="O178" s="46">
        <f>IFERROR(VLOOKUP(C178,路飞话务数据源!D:Q,11,FALSE),0)</f>
        <v>0</v>
      </c>
      <c r="P178" s="46">
        <f>IFERROR(VLOOKUP(C178,路飞话务数据源!D:Q,12,FALSE),0)</f>
        <v>0</v>
      </c>
      <c r="Q178" s="60">
        <f>IFERROR(VLOOKUP(C178,路飞话务数据源!D:Q,13,FALSE),0)</f>
        <v>0</v>
      </c>
      <c r="R178" s="61">
        <f ca="1" t="shared" si="7"/>
        <v>1</v>
      </c>
      <c r="S178" s="35" t="str">
        <f ca="1" t="shared" si="6"/>
        <v>月内</v>
      </c>
      <c r="T178" s="34" t="s">
        <v>529</v>
      </c>
      <c r="U178" s="46">
        <f>SUMIFS(路飞意向数据源!F:F,路飞意向数据源!B:B,A178,路飞意向数据源!C:C,B178,路飞意向数据源!D:D,C178)</f>
        <v>1</v>
      </c>
      <c r="V178" s="46"/>
      <c r="W178" s="20"/>
      <c r="X178" s="35"/>
    </row>
    <row r="179" spans="1:24">
      <c r="A179" s="34" t="s">
        <v>21</v>
      </c>
      <c r="B179" s="34" t="s">
        <v>224</v>
      </c>
      <c r="C179" s="34" t="s">
        <v>539</v>
      </c>
      <c r="D179" s="34" t="s">
        <v>540</v>
      </c>
      <c r="E179" s="34" t="s">
        <v>144</v>
      </c>
      <c r="F179" s="44">
        <f>IFERROR(VLOOKUP(C179,路飞话务数据源!D:Q,2,FALSE),0)</f>
        <v>254</v>
      </c>
      <c r="G179" s="44">
        <f>IFERROR(VLOOKUP(C179,路飞话务数据源!D:Q,3,FALSE),0)</f>
        <v>121</v>
      </c>
      <c r="H179" s="44">
        <f>IFERROR(VLOOKUP(C179,路飞话务数据源!D:Q,4,FALSE),0)</f>
        <v>0.476377952755905</v>
      </c>
      <c r="I179" s="44">
        <f>IFERROR(VLOOKUP(C179,路飞话务数据源!D:Q,5,FALSE),0)</f>
        <v>68</v>
      </c>
      <c r="J179" s="45">
        <f>IFERROR(VLOOKUP(C179,路飞话务数据源!D:Q,6,FALSE),0)</f>
        <v>52</v>
      </c>
      <c r="K179" s="44">
        <f>IFERROR(VLOOKUP(C179,路飞话务数据源!D:Q,7,FALSE),0)</f>
        <v>27</v>
      </c>
      <c r="L179" s="46">
        <f>IFERROR(VLOOKUP(C179,路飞话务数据源!D:Q,8,FALSE),0)</f>
        <v>1</v>
      </c>
      <c r="M179" s="46">
        <f>IFERROR(VLOOKUP(C179,路飞话务数据源!D:Q,9,FALSE),0)</f>
        <v>90.4333333333333</v>
      </c>
      <c r="N179" s="46">
        <f>IFERROR(VLOOKUP(C179,路飞话务数据源!D:Q,10,FALSE),0)</f>
        <v>0</v>
      </c>
      <c r="O179" s="46">
        <f>IFERROR(VLOOKUP(C179,路飞话务数据源!D:Q,11,FALSE),0)</f>
        <v>0</v>
      </c>
      <c r="P179" s="46">
        <f>IFERROR(VLOOKUP(C179,路飞话务数据源!D:Q,12,FALSE),0)</f>
        <v>0</v>
      </c>
      <c r="Q179" s="60">
        <f>IFERROR(VLOOKUP(C179,路飞话务数据源!D:Q,13,FALSE),0)</f>
        <v>0</v>
      </c>
      <c r="R179" s="61">
        <f ca="1" t="shared" si="7"/>
        <v>1</v>
      </c>
      <c r="S179" s="35" t="str">
        <f ca="1" t="shared" si="6"/>
        <v>1-3月</v>
      </c>
      <c r="T179" s="34" t="s">
        <v>529</v>
      </c>
      <c r="U179" s="46">
        <f>SUMIFS(路飞意向数据源!F:F,路飞意向数据源!B:B,A179,路飞意向数据源!C:C,B179,路飞意向数据源!D:D,C179)</f>
        <v>0</v>
      </c>
      <c r="V179" s="46"/>
      <c r="W179" s="20"/>
      <c r="X179" s="35"/>
    </row>
    <row r="180" spans="1:21">
      <c r="A180" s="34" t="s">
        <v>21</v>
      </c>
      <c r="B180" s="34" t="s">
        <v>224</v>
      </c>
      <c r="C180" s="34" t="s">
        <v>541</v>
      </c>
      <c r="D180" s="34" t="s">
        <v>542</v>
      </c>
      <c r="E180" s="34" t="s">
        <v>38</v>
      </c>
      <c r="F180" s="44">
        <f>IFERROR(VLOOKUP(C180,路飞话务数据源!D:Q,2,FALSE),0)</f>
        <v>0</v>
      </c>
      <c r="G180" s="44">
        <f>IFERROR(VLOOKUP(C180,路飞话务数据源!D:Q,3,FALSE),0)</f>
        <v>0</v>
      </c>
      <c r="H180" s="44">
        <f>IFERROR(VLOOKUP(C180,路飞话务数据源!D:Q,4,FALSE),0)</f>
        <v>0</v>
      </c>
      <c r="I180" s="44">
        <f>IFERROR(VLOOKUP(C180,路飞话务数据源!D:Q,5,FALSE),0)</f>
        <v>0</v>
      </c>
      <c r="J180" s="45">
        <f>IFERROR(VLOOKUP(C180,路飞话务数据源!D:Q,6,FALSE),0)</f>
        <v>0</v>
      </c>
      <c r="K180" s="44">
        <f>IFERROR(VLOOKUP(C180,路飞话务数据源!D:Q,7,FALSE),0)</f>
        <v>0</v>
      </c>
      <c r="L180" s="46">
        <f>IFERROR(VLOOKUP(C180,路飞话务数据源!D:Q,8,FALSE),0)</f>
        <v>0</v>
      </c>
      <c r="M180" s="46">
        <f>IFERROR(VLOOKUP(C180,路飞话务数据源!D:Q,9,FALSE),0)</f>
        <v>0</v>
      </c>
      <c r="N180" s="46">
        <f>IFERROR(VLOOKUP(C180,路飞话务数据源!D:Q,10,FALSE),0)</f>
        <v>0</v>
      </c>
      <c r="O180" s="46">
        <f>IFERROR(VLOOKUP(C180,路飞话务数据源!D:Q,11,FALSE),0)</f>
        <v>0</v>
      </c>
      <c r="P180" s="46">
        <f>IFERROR(VLOOKUP(C180,路飞话务数据源!D:Q,12,FALSE),0)</f>
        <v>0</v>
      </c>
      <c r="Q180" s="60">
        <f>IFERROR(VLOOKUP(C180,路飞话务数据源!D:Q,13,FALSE),0)</f>
        <v>0</v>
      </c>
      <c r="R180" s="61">
        <f ca="1" t="shared" si="7"/>
        <v>0</v>
      </c>
      <c r="S180" s="35" t="str">
        <f ca="1" t="shared" si="6"/>
        <v>1-3月</v>
      </c>
      <c r="T180" s="34" t="s">
        <v>529</v>
      </c>
      <c r="U180" s="46">
        <f>SUMIFS(路飞意向数据源!F:F,路飞意向数据源!B:B,A180,路飞意向数据源!C:C,B180,路飞意向数据源!D:D,C180)</f>
        <v>0</v>
      </c>
    </row>
    <row r="181" spans="1:21">
      <c r="A181" s="34" t="s">
        <v>21</v>
      </c>
      <c r="B181" s="34" t="s">
        <v>224</v>
      </c>
      <c r="C181" s="34" t="s">
        <v>543</v>
      </c>
      <c r="D181" s="34" t="s">
        <v>544</v>
      </c>
      <c r="E181" s="34" t="s">
        <v>118</v>
      </c>
      <c r="F181" s="44">
        <f>IFERROR(VLOOKUP(C181,路飞话务数据源!D:Q,2,FALSE),0)</f>
        <v>0</v>
      </c>
      <c r="G181" s="44">
        <f>IFERROR(VLOOKUP(C181,路飞话务数据源!D:Q,3,FALSE),0)</f>
        <v>0</v>
      </c>
      <c r="H181" s="44">
        <f>IFERROR(VLOOKUP(C181,路飞话务数据源!D:Q,4,FALSE),0)</f>
        <v>0</v>
      </c>
      <c r="I181" s="44">
        <f>IFERROR(VLOOKUP(C181,路飞话务数据源!D:Q,5,FALSE),0)</f>
        <v>0</v>
      </c>
      <c r="J181" s="45">
        <f>IFERROR(VLOOKUP(C181,路飞话务数据源!D:Q,6,FALSE),0)</f>
        <v>0</v>
      </c>
      <c r="K181" s="44">
        <f>IFERROR(VLOOKUP(C181,路飞话务数据源!D:Q,7,FALSE),0)</f>
        <v>0</v>
      </c>
      <c r="L181" s="46">
        <f>IFERROR(VLOOKUP(C181,路飞话务数据源!D:Q,8,FALSE),0)</f>
        <v>0</v>
      </c>
      <c r="M181" s="46">
        <f>IFERROR(VLOOKUP(C181,路飞话务数据源!D:Q,9,FALSE),0)</f>
        <v>0</v>
      </c>
      <c r="N181" s="46">
        <f>IFERROR(VLOOKUP(C181,路飞话务数据源!D:Q,10,FALSE),0)</f>
        <v>0</v>
      </c>
      <c r="O181" s="46">
        <f>IFERROR(VLOOKUP(C181,路飞话务数据源!D:Q,11,FALSE),0)</f>
        <v>0</v>
      </c>
      <c r="P181" s="46">
        <f>IFERROR(VLOOKUP(C181,路飞话务数据源!D:Q,12,FALSE),0)</f>
        <v>0</v>
      </c>
      <c r="Q181" s="60">
        <f>IFERROR(VLOOKUP(C181,路飞话务数据源!D:Q,13,FALSE),0)</f>
        <v>0</v>
      </c>
      <c r="R181" s="61">
        <f ca="1" t="shared" si="7"/>
        <v>0</v>
      </c>
      <c r="S181" s="35" t="str">
        <f ca="1" t="shared" si="6"/>
        <v>1-3月</v>
      </c>
      <c r="T181" s="34" t="s">
        <v>529</v>
      </c>
      <c r="U181" s="46">
        <f>SUMIFS(路飞意向数据源!F:F,路飞意向数据源!B:B,A181,路飞意向数据源!C:C,B181,路飞意向数据源!D:D,C181)</f>
        <v>0</v>
      </c>
    </row>
    <row r="182" spans="1:21">
      <c r="A182" s="34" t="s">
        <v>21</v>
      </c>
      <c r="B182" s="34" t="s">
        <v>224</v>
      </c>
      <c r="C182" s="34" t="s">
        <v>545</v>
      </c>
      <c r="D182" s="34" t="s">
        <v>546</v>
      </c>
      <c r="E182" s="34" t="s">
        <v>193</v>
      </c>
      <c r="F182" s="44">
        <f>IFERROR(VLOOKUP(C182,路飞话务数据源!D:Q,2,FALSE),0)</f>
        <v>170</v>
      </c>
      <c r="G182" s="44">
        <f>IFERROR(VLOOKUP(C182,路飞话务数据源!D:Q,3,FALSE),0)</f>
        <v>70</v>
      </c>
      <c r="H182" s="44">
        <f>IFERROR(VLOOKUP(C182,路飞话务数据源!D:Q,4,FALSE),0)</f>
        <v>0.411764705882353</v>
      </c>
      <c r="I182" s="44">
        <f>IFERROR(VLOOKUP(C182,路飞话务数据源!D:Q,5,FALSE),0)</f>
        <v>30</v>
      </c>
      <c r="J182" s="45">
        <f>IFERROR(VLOOKUP(C182,路飞话务数据源!D:Q,6,FALSE),0)</f>
        <v>19</v>
      </c>
      <c r="K182" s="44">
        <f>IFERROR(VLOOKUP(C182,路飞话务数据源!D:Q,7,FALSE),0)</f>
        <v>10</v>
      </c>
      <c r="L182" s="46">
        <f>IFERROR(VLOOKUP(C182,路飞话务数据源!D:Q,8,FALSE),0)</f>
        <v>1</v>
      </c>
      <c r="M182" s="46">
        <f>IFERROR(VLOOKUP(C182,路飞话务数据源!D:Q,9,FALSE),0)</f>
        <v>39.2166666666667</v>
      </c>
      <c r="N182" s="46">
        <f>IFERROR(VLOOKUP(C182,路飞话务数据源!D:Q,10,FALSE),0)</f>
        <v>0</v>
      </c>
      <c r="O182" s="46">
        <f>IFERROR(VLOOKUP(C182,路飞话务数据源!D:Q,11,FALSE),0)</f>
        <v>0</v>
      </c>
      <c r="P182" s="46">
        <f>IFERROR(VLOOKUP(C182,路飞话务数据源!D:Q,12,FALSE),0)</f>
        <v>0</v>
      </c>
      <c r="Q182" s="60">
        <f>IFERROR(VLOOKUP(C182,路飞话务数据源!D:Q,13,FALSE),0)</f>
        <v>0</v>
      </c>
      <c r="R182" s="61">
        <f ca="1" t="shared" si="7"/>
        <v>1</v>
      </c>
      <c r="S182" s="35" t="str">
        <f ca="1" t="shared" si="6"/>
        <v>1-3月</v>
      </c>
      <c r="T182" s="34" t="s">
        <v>529</v>
      </c>
      <c r="U182" s="46">
        <f>SUMIFS(路飞意向数据源!F:F,路飞意向数据源!B:B,A182,路飞意向数据源!C:C,B182,路飞意向数据源!D:D,C182)</f>
        <v>0</v>
      </c>
    </row>
    <row r="183" spans="1:21">
      <c r="A183" s="34" t="s">
        <v>51</v>
      </c>
      <c r="B183" s="34" t="s">
        <v>547</v>
      </c>
      <c r="C183" s="34" t="s">
        <v>548</v>
      </c>
      <c r="D183" s="34" t="s">
        <v>549</v>
      </c>
      <c r="E183" s="34" t="s">
        <v>282</v>
      </c>
      <c r="F183" s="44">
        <f>IFERROR(VLOOKUP(C183,路飞话务数据源!D:Q,2,FALSE),0)</f>
        <v>101</v>
      </c>
      <c r="G183" s="44">
        <f>IFERROR(VLOOKUP(C183,路飞话务数据源!D:Q,3,FALSE),0)</f>
        <v>56</v>
      </c>
      <c r="H183" s="44">
        <f>IFERROR(VLOOKUP(C183,路飞话务数据源!D:Q,4,FALSE),0)</f>
        <v>0.554455445544555</v>
      </c>
      <c r="I183" s="44">
        <f>IFERROR(VLOOKUP(C183,路飞话务数据源!D:Q,5,FALSE),0)</f>
        <v>27</v>
      </c>
      <c r="J183" s="45">
        <f>IFERROR(VLOOKUP(C183,路飞话务数据源!D:Q,6,FALSE),0)</f>
        <v>20</v>
      </c>
      <c r="K183" s="44">
        <f>IFERROR(VLOOKUP(C183,路飞话务数据源!D:Q,7,FALSE),0)</f>
        <v>10</v>
      </c>
      <c r="L183" s="46">
        <f>IFERROR(VLOOKUP(C183,路飞话务数据源!D:Q,8,FALSE),0)</f>
        <v>0</v>
      </c>
      <c r="M183" s="46">
        <f>IFERROR(VLOOKUP(C183,路飞话务数据源!D:Q,9,FALSE),0)</f>
        <v>37.6166666666667</v>
      </c>
      <c r="N183" s="46">
        <f>IFERROR(VLOOKUP(C183,路飞话务数据源!D:Q,10,FALSE),0)</f>
        <v>0</v>
      </c>
      <c r="O183" s="46">
        <f>IFERROR(VLOOKUP(C183,路飞话务数据源!D:Q,11,FALSE),0)</f>
        <v>0</v>
      </c>
      <c r="P183" s="46">
        <f>IFERROR(VLOOKUP(C183,路飞话务数据源!D:Q,12,FALSE),0)</f>
        <v>0</v>
      </c>
      <c r="Q183" s="60">
        <f>IFERROR(VLOOKUP(C183,路飞话务数据源!D:Q,13,FALSE),0)</f>
        <v>0</v>
      </c>
      <c r="R183" s="61">
        <f ca="1" t="shared" si="7"/>
        <v>1</v>
      </c>
      <c r="S183" s="35" t="str">
        <f ca="1" t="shared" si="6"/>
        <v>1-3月</v>
      </c>
      <c r="T183" s="34" t="s">
        <v>550</v>
      </c>
      <c r="U183" s="46">
        <f>SUMIFS(路飞意向数据源!F:F,路飞意向数据源!B:B,A183,路飞意向数据源!C:C,B183,路飞意向数据源!D:D,C183)</f>
        <v>1</v>
      </c>
    </row>
    <row r="184" spans="1:21">
      <c r="A184" s="34" t="s">
        <v>51</v>
      </c>
      <c r="B184" s="34" t="s">
        <v>547</v>
      </c>
      <c r="C184" s="34" t="s">
        <v>551</v>
      </c>
      <c r="D184" s="34" t="s">
        <v>552</v>
      </c>
      <c r="E184" s="34" t="s">
        <v>553</v>
      </c>
      <c r="F184" s="44">
        <f>IFERROR(VLOOKUP(C184,路飞话务数据源!D:Q,2,FALSE),0)</f>
        <v>130</v>
      </c>
      <c r="G184" s="44">
        <f>IFERROR(VLOOKUP(C184,路飞话务数据源!D:Q,3,FALSE),0)</f>
        <v>63</v>
      </c>
      <c r="H184" s="44">
        <f>IFERROR(VLOOKUP(C184,路飞话务数据源!D:Q,4,FALSE),0)</f>
        <v>0.484615384615385</v>
      </c>
      <c r="I184" s="44">
        <f>IFERROR(VLOOKUP(C184,路飞话务数据源!D:Q,5,FALSE),0)</f>
        <v>33</v>
      </c>
      <c r="J184" s="45">
        <f>IFERROR(VLOOKUP(C184,路飞话务数据源!D:Q,6,FALSE),0)</f>
        <v>26</v>
      </c>
      <c r="K184" s="44">
        <f>IFERROR(VLOOKUP(C184,路飞话务数据源!D:Q,7,FALSE),0)</f>
        <v>17</v>
      </c>
      <c r="L184" s="46">
        <f>IFERROR(VLOOKUP(C184,路飞话务数据源!D:Q,8,FALSE),0)</f>
        <v>2</v>
      </c>
      <c r="M184" s="46">
        <f>IFERROR(VLOOKUP(C184,路飞话务数据源!D:Q,9,FALSE),0)</f>
        <v>48.0166666666667</v>
      </c>
      <c r="N184" s="46">
        <f>IFERROR(VLOOKUP(C184,路飞话务数据源!D:Q,10,FALSE),0)</f>
        <v>0</v>
      </c>
      <c r="O184" s="46">
        <f>IFERROR(VLOOKUP(C184,路飞话务数据源!D:Q,11,FALSE),0)</f>
        <v>0</v>
      </c>
      <c r="P184" s="46">
        <f>IFERROR(VLOOKUP(C184,路飞话务数据源!D:Q,12,FALSE),0)</f>
        <v>0</v>
      </c>
      <c r="Q184" s="60">
        <f>IFERROR(VLOOKUP(C184,路飞话务数据源!D:Q,13,FALSE),0)</f>
        <v>0</v>
      </c>
      <c r="R184" s="61">
        <f ca="1" t="shared" si="7"/>
        <v>1</v>
      </c>
      <c r="S184" s="35" t="str">
        <f ca="1" t="shared" si="6"/>
        <v>3年以上</v>
      </c>
      <c r="T184" s="34" t="s">
        <v>550</v>
      </c>
      <c r="U184" s="46">
        <f>SUMIFS(路飞意向数据源!F:F,路飞意向数据源!B:B,A184,路飞意向数据源!C:C,B184,路飞意向数据源!D:D,C184)</f>
        <v>0</v>
      </c>
    </row>
    <row r="185" spans="1:21">
      <c r="A185" s="34" t="s">
        <v>51</v>
      </c>
      <c r="B185" s="34" t="s">
        <v>547</v>
      </c>
      <c r="C185" s="34" t="s">
        <v>554</v>
      </c>
      <c r="D185" s="34" t="s">
        <v>555</v>
      </c>
      <c r="E185" s="34" t="s">
        <v>289</v>
      </c>
      <c r="F185" s="44">
        <f>IFERROR(VLOOKUP(C185,路飞话务数据源!D:Q,2,FALSE),0)</f>
        <v>45</v>
      </c>
      <c r="G185" s="44">
        <f>IFERROR(VLOOKUP(C185,路飞话务数据源!D:Q,3,FALSE),0)</f>
        <v>21</v>
      </c>
      <c r="H185" s="44">
        <f>IFERROR(VLOOKUP(C185,路飞话务数据源!D:Q,4,FALSE),0)</f>
        <v>0.466666666666667</v>
      </c>
      <c r="I185" s="44">
        <f>IFERROR(VLOOKUP(C185,路飞话务数据源!D:Q,5,FALSE),0)</f>
        <v>6</v>
      </c>
      <c r="J185" s="45">
        <f>IFERROR(VLOOKUP(C185,路飞话务数据源!D:Q,6,FALSE),0)</f>
        <v>5</v>
      </c>
      <c r="K185" s="44">
        <f>IFERROR(VLOOKUP(C185,路飞话务数据源!D:Q,7,FALSE),0)</f>
        <v>4</v>
      </c>
      <c r="L185" s="46">
        <f>IFERROR(VLOOKUP(C185,路飞话务数据源!D:Q,8,FALSE),0)</f>
        <v>0</v>
      </c>
      <c r="M185" s="46">
        <f>IFERROR(VLOOKUP(C185,路飞话务数据源!D:Q,9,FALSE),0)</f>
        <v>11.2</v>
      </c>
      <c r="N185" s="46">
        <f>IFERROR(VLOOKUP(C185,路飞话务数据源!D:Q,10,FALSE),0)</f>
        <v>0</v>
      </c>
      <c r="O185" s="46">
        <f>IFERROR(VLOOKUP(C185,路飞话务数据源!D:Q,11,FALSE),0)</f>
        <v>0</v>
      </c>
      <c r="P185" s="46">
        <f>IFERROR(VLOOKUP(C185,路飞话务数据源!D:Q,12,FALSE),0)</f>
        <v>0</v>
      </c>
      <c r="Q185" s="60">
        <f>IFERROR(VLOOKUP(C185,路飞话务数据源!D:Q,13,FALSE),0)</f>
        <v>0</v>
      </c>
      <c r="R185" s="61">
        <f ca="1" t="shared" si="7"/>
        <v>1</v>
      </c>
      <c r="S185" s="35" t="str">
        <f ca="1" t="shared" si="6"/>
        <v>4月-6月</v>
      </c>
      <c r="T185" s="34" t="s">
        <v>550</v>
      </c>
      <c r="U185" s="46">
        <f>SUMIFS(路飞意向数据源!F:F,路飞意向数据源!B:B,A185,路飞意向数据源!C:C,B185,路飞意向数据源!D:D,C185)</f>
        <v>0</v>
      </c>
    </row>
    <row r="186" spans="1:21">
      <c r="A186" s="34" t="s">
        <v>51</v>
      </c>
      <c r="B186" s="34" t="s">
        <v>547</v>
      </c>
      <c r="C186" s="34" t="s">
        <v>556</v>
      </c>
      <c r="D186" s="34" t="s">
        <v>557</v>
      </c>
      <c r="E186" s="34" t="s">
        <v>558</v>
      </c>
      <c r="F186" s="44">
        <f>IFERROR(VLOOKUP(C186,路飞话务数据源!D:Q,2,FALSE),0)</f>
        <v>134</v>
      </c>
      <c r="G186" s="44">
        <f>IFERROR(VLOOKUP(C186,路飞话务数据源!D:Q,3,FALSE),0)</f>
        <v>67</v>
      </c>
      <c r="H186" s="44">
        <f>IFERROR(VLOOKUP(C186,路飞话务数据源!D:Q,4,FALSE),0)</f>
        <v>0.5</v>
      </c>
      <c r="I186" s="44">
        <f>IFERROR(VLOOKUP(C186,路飞话务数据源!D:Q,5,FALSE),0)</f>
        <v>25</v>
      </c>
      <c r="J186" s="45">
        <f>IFERROR(VLOOKUP(C186,路飞话务数据源!D:Q,6,FALSE),0)</f>
        <v>22</v>
      </c>
      <c r="K186" s="44">
        <f>IFERROR(VLOOKUP(C186,路飞话务数据源!D:Q,7,FALSE),0)</f>
        <v>7</v>
      </c>
      <c r="L186" s="46">
        <f>IFERROR(VLOOKUP(C186,路飞话务数据源!D:Q,8,FALSE),0)</f>
        <v>0</v>
      </c>
      <c r="M186" s="46">
        <f>IFERROR(VLOOKUP(C186,路飞话务数据源!D:Q,9,FALSE),0)</f>
        <v>32.1166666666667</v>
      </c>
      <c r="N186" s="46">
        <f>IFERROR(VLOOKUP(C186,路飞话务数据源!D:Q,10,FALSE),0)</f>
        <v>0</v>
      </c>
      <c r="O186" s="46">
        <f>IFERROR(VLOOKUP(C186,路飞话务数据源!D:Q,11,FALSE),0)</f>
        <v>0</v>
      </c>
      <c r="P186" s="46">
        <f>IFERROR(VLOOKUP(C186,路飞话务数据源!D:Q,12,FALSE),0)</f>
        <v>0</v>
      </c>
      <c r="Q186" s="60">
        <f>IFERROR(VLOOKUP(C186,路飞话务数据源!D:Q,13,FALSE),0)</f>
        <v>0</v>
      </c>
      <c r="R186" s="61">
        <f ca="1" t="shared" si="7"/>
        <v>1</v>
      </c>
      <c r="S186" s="35" t="str">
        <f ca="1" t="shared" si="6"/>
        <v>3年以上</v>
      </c>
      <c r="T186" s="34" t="s">
        <v>550</v>
      </c>
      <c r="U186" s="46">
        <f>SUMIFS(路飞意向数据源!F:F,路飞意向数据源!B:B,A186,路飞意向数据源!C:C,B186,路飞意向数据源!D:D,C186)</f>
        <v>2</v>
      </c>
    </row>
    <row r="187" spans="1:21">
      <c r="A187" s="34" t="s">
        <v>51</v>
      </c>
      <c r="B187" s="34" t="s">
        <v>547</v>
      </c>
      <c r="C187" s="34" t="s">
        <v>559</v>
      </c>
      <c r="D187" s="34" t="s">
        <v>560</v>
      </c>
      <c r="E187" s="34" t="s">
        <v>174</v>
      </c>
      <c r="F187" s="44">
        <f>IFERROR(VLOOKUP(C187,路飞话务数据源!D:Q,2,FALSE),0)</f>
        <v>0</v>
      </c>
      <c r="G187" s="44">
        <f>IFERROR(VLOOKUP(C187,路飞话务数据源!D:Q,3,FALSE),0)</f>
        <v>0</v>
      </c>
      <c r="H187" s="44">
        <f>IFERROR(VLOOKUP(C187,路飞话务数据源!D:Q,4,FALSE),0)</f>
        <v>0</v>
      </c>
      <c r="I187" s="44">
        <f>IFERROR(VLOOKUP(C187,路飞话务数据源!D:Q,5,FALSE),0)</f>
        <v>0</v>
      </c>
      <c r="J187" s="45">
        <f>IFERROR(VLOOKUP(C187,路飞话务数据源!D:Q,6,FALSE),0)</f>
        <v>0</v>
      </c>
      <c r="K187" s="44">
        <f>IFERROR(VLOOKUP(C187,路飞话务数据源!D:Q,7,FALSE),0)</f>
        <v>0</v>
      </c>
      <c r="L187" s="46">
        <f>IFERROR(VLOOKUP(C187,路飞话务数据源!D:Q,8,FALSE),0)</f>
        <v>0</v>
      </c>
      <c r="M187" s="46">
        <f>IFERROR(VLOOKUP(C187,路飞话务数据源!D:Q,9,FALSE),0)</f>
        <v>0</v>
      </c>
      <c r="N187" s="46">
        <f>IFERROR(VLOOKUP(C187,路飞话务数据源!D:Q,10,FALSE),0)</f>
        <v>0</v>
      </c>
      <c r="O187" s="46">
        <f>IFERROR(VLOOKUP(C187,路飞话务数据源!D:Q,11,FALSE),0)</f>
        <v>0</v>
      </c>
      <c r="P187" s="46">
        <f>IFERROR(VLOOKUP(C187,路飞话务数据源!D:Q,12,FALSE),0)</f>
        <v>0</v>
      </c>
      <c r="Q187" s="60">
        <f>IFERROR(VLOOKUP(C187,路飞话务数据源!D:Q,13,FALSE),0)</f>
        <v>0</v>
      </c>
      <c r="R187" s="61">
        <f ca="1" t="shared" si="7"/>
        <v>0</v>
      </c>
      <c r="S187" s="35" t="str">
        <f ca="1" t="shared" si="6"/>
        <v>4月-6月</v>
      </c>
      <c r="T187" s="34" t="s">
        <v>550</v>
      </c>
      <c r="U187" s="46">
        <f>SUMIFS(路飞意向数据源!F:F,路飞意向数据源!B:B,A187,路飞意向数据源!C:C,B187,路飞意向数据源!D:D,C187)</f>
        <v>0</v>
      </c>
    </row>
    <row r="188" spans="1:21">
      <c r="A188" s="34" t="s">
        <v>51</v>
      </c>
      <c r="B188" s="34" t="s">
        <v>547</v>
      </c>
      <c r="C188" s="34" t="s">
        <v>561</v>
      </c>
      <c r="D188" s="34" t="s">
        <v>562</v>
      </c>
      <c r="E188" s="34" t="s">
        <v>437</v>
      </c>
      <c r="F188" s="44">
        <f>IFERROR(VLOOKUP(C188,路飞话务数据源!D:Q,2,FALSE),0)</f>
        <v>120</v>
      </c>
      <c r="G188" s="44">
        <f>IFERROR(VLOOKUP(C188,路飞话务数据源!D:Q,3,FALSE),0)</f>
        <v>55</v>
      </c>
      <c r="H188" s="44">
        <f>IFERROR(VLOOKUP(C188,路飞话务数据源!D:Q,4,FALSE),0)</f>
        <v>0.458333333333333</v>
      </c>
      <c r="I188" s="44">
        <f>IFERROR(VLOOKUP(C188,路飞话务数据源!D:Q,5,FALSE),0)</f>
        <v>23</v>
      </c>
      <c r="J188" s="45">
        <f>IFERROR(VLOOKUP(C188,路飞话务数据源!D:Q,6,FALSE),0)</f>
        <v>19</v>
      </c>
      <c r="K188" s="44">
        <f>IFERROR(VLOOKUP(C188,路飞话务数据源!D:Q,7,FALSE),0)</f>
        <v>9</v>
      </c>
      <c r="L188" s="46">
        <f>IFERROR(VLOOKUP(C188,路飞话务数据源!D:Q,8,FALSE),0)</f>
        <v>0</v>
      </c>
      <c r="M188" s="46">
        <f>IFERROR(VLOOKUP(C188,路飞话务数据源!D:Q,9,FALSE),0)</f>
        <v>32.4166666666667</v>
      </c>
      <c r="N188" s="46">
        <f>IFERROR(VLOOKUP(C188,路飞话务数据源!D:Q,10,FALSE),0)</f>
        <v>0</v>
      </c>
      <c r="O188" s="46">
        <f>IFERROR(VLOOKUP(C188,路飞话务数据源!D:Q,11,FALSE),0)</f>
        <v>0</v>
      </c>
      <c r="P188" s="46">
        <f>IFERROR(VLOOKUP(C188,路飞话务数据源!D:Q,12,FALSE),0)</f>
        <v>0</v>
      </c>
      <c r="Q188" s="60">
        <f>IFERROR(VLOOKUP(C188,路飞话务数据源!D:Q,13,FALSE),0)</f>
        <v>0</v>
      </c>
      <c r="R188" s="61">
        <f ca="1" t="shared" si="7"/>
        <v>1</v>
      </c>
      <c r="S188" s="35" t="str">
        <f ca="1" t="shared" si="6"/>
        <v>1-3月</v>
      </c>
      <c r="T188" s="34" t="s">
        <v>550</v>
      </c>
      <c r="U188" s="46">
        <f>SUMIFS(路飞意向数据源!F:F,路飞意向数据源!B:B,A188,路飞意向数据源!C:C,B188,路飞意向数据源!D:D,C188)</f>
        <v>0</v>
      </c>
    </row>
    <row r="189" spans="1:21">
      <c r="A189" s="34" t="s">
        <v>51</v>
      </c>
      <c r="B189" s="34" t="s">
        <v>547</v>
      </c>
      <c r="C189" s="34" t="s">
        <v>563</v>
      </c>
      <c r="D189" s="34" t="s">
        <v>564</v>
      </c>
      <c r="E189" s="34" t="s">
        <v>88</v>
      </c>
      <c r="F189" s="44">
        <f>IFERROR(VLOOKUP(C189,路飞话务数据源!D:Q,2,FALSE),0)</f>
        <v>140</v>
      </c>
      <c r="G189" s="44">
        <f>IFERROR(VLOOKUP(C189,路飞话务数据源!D:Q,3,FALSE),0)</f>
        <v>69</v>
      </c>
      <c r="H189" s="44">
        <f>IFERROR(VLOOKUP(C189,路飞话务数据源!D:Q,4,FALSE),0)</f>
        <v>0.492857142857143</v>
      </c>
      <c r="I189" s="44">
        <f>IFERROR(VLOOKUP(C189,路飞话务数据源!D:Q,5,FALSE),0)</f>
        <v>29</v>
      </c>
      <c r="J189" s="45">
        <f>IFERROR(VLOOKUP(C189,路飞话务数据源!D:Q,6,FALSE),0)</f>
        <v>23</v>
      </c>
      <c r="K189" s="44">
        <f>IFERROR(VLOOKUP(C189,路飞话务数据源!D:Q,7,FALSE),0)</f>
        <v>11</v>
      </c>
      <c r="L189" s="46">
        <f>IFERROR(VLOOKUP(C189,路飞话务数据源!D:Q,8,FALSE),0)</f>
        <v>2</v>
      </c>
      <c r="M189" s="46">
        <f>IFERROR(VLOOKUP(C189,路飞话务数据源!D:Q,9,FALSE),0)</f>
        <v>44.75</v>
      </c>
      <c r="N189" s="46">
        <f>IFERROR(VLOOKUP(C189,路飞话务数据源!D:Q,10,FALSE),0)</f>
        <v>0</v>
      </c>
      <c r="O189" s="46">
        <f>IFERROR(VLOOKUP(C189,路飞话务数据源!D:Q,11,FALSE),0)</f>
        <v>0</v>
      </c>
      <c r="P189" s="46">
        <f>IFERROR(VLOOKUP(C189,路飞话务数据源!D:Q,12,FALSE),0)</f>
        <v>0</v>
      </c>
      <c r="Q189" s="60">
        <f>IFERROR(VLOOKUP(C189,路飞话务数据源!D:Q,13,FALSE),0)</f>
        <v>0</v>
      </c>
      <c r="R189" s="61">
        <f ca="1" t="shared" si="7"/>
        <v>1</v>
      </c>
      <c r="S189" s="35" t="str">
        <f ca="1" t="shared" si="6"/>
        <v>1-3月</v>
      </c>
      <c r="T189" s="34" t="s">
        <v>550</v>
      </c>
      <c r="U189" s="46">
        <f>SUMIFS(路飞意向数据源!F:F,路飞意向数据源!B:B,A189,路飞意向数据源!C:C,B189,路飞意向数据源!D:D,C189)</f>
        <v>0</v>
      </c>
    </row>
    <row r="190" spans="1:21">
      <c r="A190" s="34" t="s">
        <v>51</v>
      </c>
      <c r="B190" s="34" t="s">
        <v>547</v>
      </c>
      <c r="C190" s="34" t="s">
        <v>565</v>
      </c>
      <c r="D190" s="34" t="s">
        <v>566</v>
      </c>
      <c r="E190" s="34" t="s">
        <v>431</v>
      </c>
      <c r="F190" s="44">
        <f>IFERROR(VLOOKUP(C190,路飞话务数据源!D:Q,2,FALSE),0)</f>
        <v>0</v>
      </c>
      <c r="G190" s="44">
        <f>IFERROR(VLOOKUP(C190,路飞话务数据源!D:Q,3,FALSE),0)</f>
        <v>0</v>
      </c>
      <c r="H190" s="44">
        <f>IFERROR(VLOOKUP(C190,路飞话务数据源!D:Q,4,FALSE),0)</f>
        <v>0</v>
      </c>
      <c r="I190" s="44">
        <f>IFERROR(VLOOKUP(C190,路飞话务数据源!D:Q,5,FALSE),0)</f>
        <v>0</v>
      </c>
      <c r="J190" s="45">
        <f>IFERROR(VLOOKUP(C190,路飞话务数据源!D:Q,6,FALSE),0)</f>
        <v>0</v>
      </c>
      <c r="K190" s="44">
        <f>IFERROR(VLOOKUP(C190,路飞话务数据源!D:Q,7,FALSE),0)</f>
        <v>0</v>
      </c>
      <c r="L190" s="46">
        <f>IFERROR(VLOOKUP(C190,路飞话务数据源!D:Q,8,FALSE),0)</f>
        <v>0</v>
      </c>
      <c r="M190" s="46">
        <f>IFERROR(VLOOKUP(C190,路飞话务数据源!D:Q,9,FALSE),0)</f>
        <v>0</v>
      </c>
      <c r="N190" s="46">
        <f>IFERROR(VLOOKUP(C190,路飞话务数据源!D:Q,10,FALSE),0)</f>
        <v>0</v>
      </c>
      <c r="O190" s="46">
        <f>IFERROR(VLOOKUP(C190,路飞话务数据源!D:Q,11,FALSE),0)</f>
        <v>0</v>
      </c>
      <c r="P190" s="46">
        <f>IFERROR(VLOOKUP(C190,路飞话务数据源!D:Q,12,FALSE),0)</f>
        <v>0</v>
      </c>
      <c r="Q190" s="60">
        <f>IFERROR(VLOOKUP(C190,路飞话务数据源!D:Q,13,FALSE),0)</f>
        <v>0</v>
      </c>
      <c r="R190" s="61">
        <f ca="1" t="shared" si="7"/>
        <v>0</v>
      </c>
      <c r="S190" s="35" t="str">
        <f ca="1" t="shared" si="6"/>
        <v>月内</v>
      </c>
      <c r="T190" s="34" t="s">
        <v>550</v>
      </c>
      <c r="U190" s="46">
        <f>SUMIFS(路飞意向数据源!F:F,路飞意向数据源!B:B,A190,路飞意向数据源!C:C,B190,路飞意向数据源!D:D,C190)</f>
        <v>0</v>
      </c>
    </row>
    <row r="191" spans="1:21">
      <c r="A191" s="34" t="s">
        <v>51</v>
      </c>
      <c r="B191" s="34" t="s">
        <v>547</v>
      </c>
      <c r="C191" s="34" t="s">
        <v>567</v>
      </c>
      <c r="D191" s="34" t="s">
        <v>568</v>
      </c>
      <c r="E191" s="34" t="s">
        <v>118</v>
      </c>
      <c r="F191" s="44">
        <f>IFERROR(VLOOKUP(C191,路飞话务数据源!D:Q,2,FALSE),0)</f>
        <v>90</v>
      </c>
      <c r="G191" s="44">
        <f>IFERROR(VLOOKUP(C191,路飞话务数据源!D:Q,3,FALSE),0)</f>
        <v>39</v>
      </c>
      <c r="H191" s="44">
        <f>IFERROR(VLOOKUP(C191,路飞话务数据源!D:Q,4,FALSE),0)</f>
        <v>0.433333333333333</v>
      </c>
      <c r="I191" s="44">
        <f>IFERROR(VLOOKUP(C191,路飞话务数据源!D:Q,5,FALSE),0)</f>
        <v>15</v>
      </c>
      <c r="J191" s="45">
        <f>IFERROR(VLOOKUP(C191,路飞话务数据源!D:Q,6,FALSE),0)</f>
        <v>9</v>
      </c>
      <c r="K191" s="44">
        <f>IFERROR(VLOOKUP(C191,路飞话务数据源!D:Q,7,FALSE),0)</f>
        <v>6</v>
      </c>
      <c r="L191" s="46">
        <f>IFERROR(VLOOKUP(C191,路飞话务数据源!D:Q,8,FALSE),0)</f>
        <v>1</v>
      </c>
      <c r="M191" s="46">
        <f>IFERROR(VLOOKUP(C191,路飞话务数据源!D:Q,9,FALSE),0)</f>
        <v>25.2333333333333</v>
      </c>
      <c r="N191" s="46">
        <f>IFERROR(VLOOKUP(C191,路飞话务数据源!D:Q,10,FALSE),0)</f>
        <v>0</v>
      </c>
      <c r="O191" s="46">
        <f>IFERROR(VLOOKUP(C191,路飞话务数据源!D:Q,11,FALSE),0)</f>
        <v>0</v>
      </c>
      <c r="P191" s="46">
        <f>IFERROR(VLOOKUP(C191,路飞话务数据源!D:Q,12,FALSE),0)</f>
        <v>0</v>
      </c>
      <c r="Q191" s="60">
        <f>IFERROR(VLOOKUP(C191,路飞话务数据源!D:Q,13,FALSE),0)</f>
        <v>0</v>
      </c>
      <c r="R191" s="61">
        <f ca="1" t="shared" si="7"/>
        <v>1</v>
      </c>
      <c r="S191" s="35" t="str">
        <f ca="1" t="shared" si="6"/>
        <v>1-3月</v>
      </c>
      <c r="T191" s="34" t="s">
        <v>550</v>
      </c>
      <c r="U191" s="46">
        <f>SUMIFS(路飞意向数据源!F:F,路飞意向数据源!B:B,A191,路飞意向数据源!C:C,B191,路飞意向数据源!D:D,C191)</f>
        <v>0</v>
      </c>
    </row>
    <row r="192" spans="1:21">
      <c r="A192" s="34" t="s">
        <v>51</v>
      </c>
      <c r="B192" s="34" t="s">
        <v>547</v>
      </c>
      <c r="C192" s="34" t="s">
        <v>569</v>
      </c>
      <c r="D192" s="34" t="s">
        <v>570</v>
      </c>
      <c r="E192" s="34" t="s">
        <v>196</v>
      </c>
      <c r="F192" s="44">
        <f>IFERROR(VLOOKUP(C192,路飞话务数据源!D:Q,2,FALSE),0)</f>
        <v>70</v>
      </c>
      <c r="G192" s="44">
        <f>IFERROR(VLOOKUP(C192,路飞话务数据源!D:Q,3,FALSE),0)</f>
        <v>38</v>
      </c>
      <c r="H192" s="44">
        <f>IFERROR(VLOOKUP(C192,路飞话务数据源!D:Q,4,FALSE),0)</f>
        <v>0.542857142857143</v>
      </c>
      <c r="I192" s="44">
        <f>IFERROR(VLOOKUP(C192,路飞话务数据源!D:Q,5,FALSE),0)</f>
        <v>21</v>
      </c>
      <c r="J192" s="45">
        <f>IFERROR(VLOOKUP(C192,路飞话务数据源!D:Q,6,FALSE),0)</f>
        <v>16</v>
      </c>
      <c r="K192" s="44">
        <f>IFERROR(VLOOKUP(C192,路飞话务数据源!D:Q,7,FALSE),0)</f>
        <v>9</v>
      </c>
      <c r="L192" s="46">
        <f>IFERROR(VLOOKUP(C192,路飞话务数据源!D:Q,8,FALSE),0)</f>
        <v>1</v>
      </c>
      <c r="M192" s="46">
        <f>IFERROR(VLOOKUP(C192,路飞话务数据源!D:Q,9,FALSE),0)</f>
        <v>29.1666666666667</v>
      </c>
      <c r="N192" s="46">
        <f>IFERROR(VLOOKUP(C192,路飞话务数据源!D:Q,10,FALSE),0)</f>
        <v>0</v>
      </c>
      <c r="O192" s="46">
        <f>IFERROR(VLOOKUP(C192,路飞话务数据源!D:Q,11,FALSE),0)</f>
        <v>0</v>
      </c>
      <c r="P192" s="46">
        <f>IFERROR(VLOOKUP(C192,路飞话务数据源!D:Q,12,FALSE),0)</f>
        <v>0</v>
      </c>
      <c r="Q192" s="60">
        <f>IFERROR(VLOOKUP(C192,路飞话务数据源!D:Q,13,FALSE),0)</f>
        <v>0</v>
      </c>
      <c r="R192" s="61">
        <f ca="1" t="shared" si="7"/>
        <v>1</v>
      </c>
      <c r="S192" s="35" t="str">
        <f ca="1" t="shared" si="6"/>
        <v>1-3月</v>
      </c>
      <c r="T192" s="34" t="s">
        <v>550</v>
      </c>
      <c r="U192" s="46">
        <f>SUMIFS(路飞意向数据源!F:F,路飞意向数据源!B:B,A192,路飞意向数据源!C:C,B192,路飞意向数据源!D:D,C192)</f>
        <v>0</v>
      </c>
    </row>
    <row r="193" spans="12:21">
      <c r="L193" s="46"/>
      <c r="M193" s="46"/>
      <c r="N193" s="46"/>
      <c r="O193" s="46"/>
      <c r="P193" s="46"/>
      <c r="Q193" s="60"/>
      <c r="R193" s="61"/>
      <c r="S193" s="35"/>
      <c r="U193" s="46"/>
    </row>
    <row r="194" spans="12:21">
      <c r="L194" s="46"/>
      <c r="M194" s="46"/>
      <c r="N194" s="46"/>
      <c r="O194" s="46"/>
      <c r="P194" s="46"/>
      <c r="Q194" s="60"/>
      <c r="R194" s="61"/>
      <c r="S194" s="35"/>
      <c r="U194" s="46"/>
    </row>
    <row r="195" spans="12:21">
      <c r="L195" s="46"/>
      <c r="M195" s="46"/>
      <c r="N195" s="46"/>
      <c r="O195" s="46"/>
      <c r="P195" s="46"/>
      <c r="Q195" s="60"/>
      <c r="R195" s="61"/>
      <c r="S195" s="35"/>
      <c r="U195" s="46"/>
    </row>
  </sheetData>
  <conditionalFormatting sqref="C2:C174">
    <cfRule type="duplicateValues" dxfId="5" priority="2"/>
  </conditionalFormatting>
  <conditionalFormatting sqref="C1 C175:C1048576">
    <cfRule type="duplicateValues" dxfId="5" priority="3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92"/>
  <sheetViews>
    <sheetView topLeftCell="A364" workbookViewId="0">
      <selection activeCell="P384" sqref="M391 P384"/>
    </sheetView>
  </sheetViews>
  <sheetFormatPr defaultColWidth="9" defaultRowHeight="14"/>
  <cols>
    <col min="1" max="16" width="9" style="34" customWidth="1"/>
    <col min="17" max="16384" width="9" style="35" customWidth="1"/>
  </cols>
  <sheetData>
    <row r="1" ht="16.5" customHeight="1" spans="1:16">
      <c r="A1" s="36" t="s">
        <v>571</v>
      </c>
      <c r="B1" s="36" t="s">
        <v>572</v>
      </c>
      <c r="C1" s="36" t="s">
        <v>573</v>
      </c>
      <c r="D1" s="36" t="s">
        <v>574</v>
      </c>
      <c r="E1" s="36" t="s">
        <v>5</v>
      </c>
      <c r="F1" s="36" t="s">
        <v>6</v>
      </c>
      <c r="G1" s="36" t="s">
        <v>575</v>
      </c>
      <c r="H1" s="36" t="s">
        <v>8</v>
      </c>
      <c r="I1" s="36" t="s">
        <v>9</v>
      </c>
      <c r="J1" s="36" t="s">
        <v>10</v>
      </c>
      <c r="K1" s="36" t="s">
        <v>11</v>
      </c>
      <c r="L1" s="36" t="s">
        <v>12</v>
      </c>
      <c r="M1" s="36" t="s">
        <v>13</v>
      </c>
      <c r="N1" s="36" t="s">
        <v>14</v>
      </c>
      <c r="O1" s="36" t="s">
        <v>15</v>
      </c>
      <c r="P1" s="36" t="s">
        <v>16</v>
      </c>
    </row>
    <row r="2" ht="16.5" customHeight="1" spans="1:16">
      <c r="A2" s="37" t="s">
        <v>576</v>
      </c>
      <c r="B2" s="37" t="s">
        <v>21</v>
      </c>
      <c r="C2" s="37" t="s">
        <v>102</v>
      </c>
      <c r="D2" s="37" t="s">
        <v>416</v>
      </c>
      <c r="E2" s="37">
        <v>1</v>
      </c>
      <c r="F2" s="37">
        <v>1</v>
      </c>
      <c r="G2" s="39">
        <v>1</v>
      </c>
      <c r="H2" s="37">
        <v>0</v>
      </c>
      <c r="I2" s="37">
        <v>0</v>
      </c>
      <c r="J2" s="37">
        <v>0</v>
      </c>
      <c r="K2" s="37">
        <v>0</v>
      </c>
      <c r="L2" s="40">
        <v>0.233333333333333</v>
      </c>
      <c r="M2" s="37"/>
      <c r="N2" s="37"/>
      <c r="O2" s="39"/>
      <c r="P2" s="37"/>
    </row>
    <row r="3" ht="16.5" customHeight="1" spans="1:16">
      <c r="A3" s="37" t="s">
        <v>576</v>
      </c>
      <c r="B3" s="37" t="s">
        <v>21</v>
      </c>
      <c r="C3" s="37" t="s">
        <v>52</v>
      </c>
      <c r="D3" s="37" t="s">
        <v>255</v>
      </c>
      <c r="E3" s="37">
        <v>1</v>
      </c>
      <c r="F3" s="37">
        <v>0</v>
      </c>
      <c r="G3" s="39">
        <v>0</v>
      </c>
      <c r="H3" s="37">
        <v>0</v>
      </c>
      <c r="I3" s="37">
        <v>0</v>
      </c>
      <c r="J3" s="37">
        <v>0</v>
      </c>
      <c r="K3" s="37">
        <v>0</v>
      </c>
      <c r="L3" s="40">
        <v>0</v>
      </c>
      <c r="M3" s="37"/>
      <c r="N3" s="37"/>
      <c r="O3" s="39"/>
      <c r="P3" s="37"/>
    </row>
    <row r="4" ht="16.5" customHeight="1" spans="1:16">
      <c r="A4" s="37" t="s">
        <v>576</v>
      </c>
      <c r="B4" s="37" t="s">
        <v>21</v>
      </c>
      <c r="C4" s="37" t="s">
        <v>52</v>
      </c>
      <c r="D4" s="37" t="s">
        <v>261</v>
      </c>
      <c r="E4" s="37">
        <v>32</v>
      </c>
      <c r="F4" s="37">
        <v>10</v>
      </c>
      <c r="G4" s="39">
        <v>0.3125</v>
      </c>
      <c r="H4" s="37">
        <v>3</v>
      </c>
      <c r="I4" s="37">
        <v>1</v>
      </c>
      <c r="J4" s="37">
        <v>0</v>
      </c>
      <c r="K4" s="37">
        <v>0</v>
      </c>
      <c r="L4" s="40">
        <v>3.8</v>
      </c>
      <c r="M4" s="37"/>
      <c r="N4" s="37"/>
      <c r="O4" s="39"/>
      <c r="P4" s="37"/>
    </row>
    <row r="5" ht="16.5" customHeight="1" spans="1:16">
      <c r="A5" s="37" t="s">
        <v>576</v>
      </c>
      <c r="B5" s="37" t="s">
        <v>21</v>
      </c>
      <c r="C5" s="37" t="s">
        <v>75</v>
      </c>
      <c r="D5" s="37" t="s">
        <v>222</v>
      </c>
      <c r="E5" s="37">
        <v>242</v>
      </c>
      <c r="F5" s="37">
        <v>102</v>
      </c>
      <c r="G5" s="39">
        <v>0.421487603305785</v>
      </c>
      <c r="H5" s="37">
        <v>35</v>
      </c>
      <c r="I5" s="37">
        <v>22</v>
      </c>
      <c r="J5" s="37">
        <v>14</v>
      </c>
      <c r="K5" s="37">
        <v>3</v>
      </c>
      <c r="L5" s="40">
        <v>63.3833333333333</v>
      </c>
      <c r="M5" s="37"/>
      <c r="N5" s="37"/>
      <c r="O5" s="39"/>
      <c r="P5" s="37"/>
    </row>
    <row r="6" ht="16.5" customHeight="1" spans="1:16">
      <c r="A6" s="37" t="s">
        <v>576</v>
      </c>
      <c r="B6" s="37" t="s">
        <v>21</v>
      </c>
      <c r="C6" s="37" t="s">
        <v>75</v>
      </c>
      <c r="D6" s="37" t="s">
        <v>212</v>
      </c>
      <c r="E6" s="37">
        <v>256</v>
      </c>
      <c r="F6" s="37">
        <v>111</v>
      </c>
      <c r="G6" s="39">
        <v>0.43359375</v>
      </c>
      <c r="H6" s="37">
        <v>11</v>
      </c>
      <c r="I6" s="37">
        <v>7</v>
      </c>
      <c r="J6" s="37">
        <v>4</v>
      </c>
      <c r="K6" s="37">
        <v>0</v>
      </c>
      <c r="L6" s="40">
        <v>37.1666666666667</v>
      </c>
      <c r="M6" s="37"/>
      <c r="N6" s="37"/>
      <c r="O6" s="39"/>
      <c r="P6" s="37"/>
    </row>
    <row r="7" ht="16.5" customHeight="1" spans="1:16">
      <c r="A7" s="37" t="s">
        <v>576</v>
      </c>
      <c r="B7" s="37" t="s">
        <v>21</v>
      </c>
      <c r="C7" s="37" t="s">
        <v>75</v>
      </c>
      <c r="D7" s="37" t="s">
        <v>206</v>
      </c>
      <c r="E7" s="37">
        <v>108</v>
      </c>
      <c r="F7" s="37">
        <v>54</v>
      </c>
      <c r="G7" s="39">
        <v>0.5</v>
      </c>
      <c r="H7" s="37">
        <v>21</v>
      </c>
      <c r="I7" s="37">
        <v>18</v>
      </c>
      <c r="J7" s="37">
        <v>12</v>
      </c>
      <c r="K7" s="37">
        <v>2</v>
      </c>
      <c r="L7" s="40">
        <v>41.7666666666667</v>
      </c>
      <c r="M7" s="37">
        <v>1</v>
      </c>
      <c r="N7" s="37">
        <v>1</v>
      </c>
      <c r="O7" s="39">
        <v>1</v>
      </c>
      <c r="P7" s="37">
        <v>91</v>
      </c>
    </row>
    <row r="8" ht="16.5" customHeight="1" spans="1:16">
      <c r="A8" s="37" t="s">
        <v>576</v>
      </c>
      <c r="B8" s="37" t="s">
        <v>21</v>
      </c>
      <c r="C8" s="37" t="s">
        <v>75</v>
      </c>
      <c r="D8" s="37" t="s">
        <v>203</v>
      </c>
      <c r="E8" s="37">
        <v>155</v>
      </c>
      <c r="F8" s="37">
        <v>63</v>
      </c>
      <c r="G8" s="39">
        <v>0.406451612903226</v>
      </c>
      <c r="H8" s="37">
        <v>16</v>
      </c>
      <c r="I8" s="37">
        <v>15</v>
      </c>
      <c r="J8" s="37">
        <v>9</v>
      </c>
      <c r="K8" s="37">
        <v>1</v>
      </c>
      <c r="L8" s="40">
        <v>32.85</v>
      </c>
      <c r="M8" s="37"/>
      <c r="N8" s="37"/>
      <c r="O8" s="39"/>
      <c r="P8" s="37"/>
    </row>
    <row r="9" ht="16.5" customHeight="1" spans="1:16">
      <c r="A9" s="37" t="s">
        <v>576</v>
      </c>
      <c r="B9" s="37" t="s">
        <v>21</v>
      </c>
      <c r="C9" s="37" t="s">
        <v>75</v>
      </c>
      <c r="D9" s="37" t="s">
        <v>220</v>
      </c>
      <c r="E9" s="37">
        <v>246</v>
      </c>
      <c r="F9" s="37">
        <v>100</v>
      </c>
      <c r="G9" s="39">
        <v>0.40650406504065</v>
      </c>
      <c r="H9" s="37">
        <v>20</v>
      </c>
      <c r="I9" s="37">
        <v>11</v>
      </c>
      <c r="J9" s="37">
        <v>7</v>
      </c>
      <c r="K9" s="37">
        <v>0</v>
      </c>
      <c r="L9" s="40">
        <v>43</v>
      </c>
      <c r="M9" s="37"/>
      <c r="N9" s="37"/>
      <c r="O9" s="39"/>
      <c r="P9" s="37"/>
    </row>
    <row r="10" ht="16.5" customHeight="1" spans="1:16">
      <c r="A10" s="37" t="s">
        <v>576</v>
      </c>
      <c r="B10" s="37" t="s">
        <v>21</v>
      </c>
      <c r="C10" s="37" t="s">
        <v>75</v>
      </c>
      <c r="D10" s="37" t="s">
        <v>199</v>
      </c>
      <c r="E10" s="37">
        <v>217</v>
      </c>
      <c r="F10" s="37">
        <v>96</v>
      </c>
      <c r="G10" s="39">
        <v>0.442396313364055</v>
      </c>
      <c r="H10" s="37">
        <v>38</v>
      </c>
      <c r="I10" s="37">
        <v>29</v>
      </c>
      <c r="J10" s="37">
        <v>22</v>
      </c>
      <c r="K10" s="37">
        <v>3</v>
      </c>
      <c r="L10" s="40">
        <v>64.45</v>
      </c>
      <c r="M10" s="37"/>
      <c r="N10" s="37"/>
      <c r="O10" s="39"/>
      <c r="P10" s="37"/>
    </row>
    <row r="11" ht="16.5" customHeight="1" spans="1:16">
      <c r="A11" s="37" t="s">
        <v>576</v>
      </c>
      <c r="B11" s="37" t="s">
        <v>21</v>
      </c>
      <c r="C11" s="37" t="s">
        <v>75</v>
      </c>
      <c r="D11" s="37" t="s">
        <v>215</v>
      </c>
      <c r="E11" s="37">
        <v>186</v>
      </c>
      <c r="F11" s="37">
        <v>70</v>
      </c>
      <c r="G11" s="39">
        <v>0.376344086021505</v>
      </c>
      <c r="H11" s="37">
        <v>30</v>
      </c>
      <c r="I11" s="37">
        <v>20</v>
      </c>
      <c r="J11" s="37">
        <v>17</v>
      </c>
      <c r="K11" s="37">
        <v>4</v>
      </c>
      <c r="L11" s="40">
        <v>53</v>
      </c>
      <c r="M11" s="37"/>
      <c r="N11" s="37"/>
      <c r="O11" s="39"/>
      <c r="P11" s="37"/>
    </row>
    <row r="12" ht="16.5" customHeight="1" spans="1:16">
      <c r="A12" s="37" t="s">
        <v>576</v>
      </c>
      <c r="B12" s="37" t="s">
        <v>21</v>
      </c>
      <c r="C12" s="37" t="s">
        <v>151</v>
      </c>
      <c r="D12" s="37" t="s">
        <v>503</v>
      </c>
      <c r="E12" s="37">
        <v>169</v>
      </c>
      <c r="F12" s="37">
        <v>72</v>
      </c>
      <c r="G12" s="39">
        <v>0.42603550295858</v>
      </c>
      <c r="H12" s="37">
        <v>43</v>
      </c>
      <c r="I12" s="37">
        <v>35</v>
      </c>
      <c r="J12" s="37">
        <v>22</v>
      </c>
      <c r="K12" s="37">
        <v>5</v>
      </c>
      <c r="L12" s="40">
        <v>82.3666666666667</v>
      </c>
      <c r="M12" s="37"/>
      <c r="N12" s="37"/>
      <c r="O12" s="39"/>
      <c r="P12" s="37"/>
    </row>
    <row r="13" ht="16.5" customHeight="1" spans="1:16">
      <c r="A13" s="37" t="s">
        <v>576</v>
      </c>
      <c r="B13" s="37" t="s">
        <v>21</v>
      </c>
      <c r="C13" s="37" t="s">
        <v>151</v>
      </c>
      <c r="D13" s="37" t="s">
        <v>510</v>
      </c>
      <c r="E13" s="37">
        <v>134</v>
      </c>
      <c r="F13" s="37">
        <v>68</v>
      </c>
      <c r="G13" s="39">
        <v>0.507462686567164</v>
      </c>
      <c r="H13" s="37">
        <v>35</v>
      </c>
      <c r="I13" s="37">
        <v>28</v>
      </c>
      <c r="J13" s="37">
        <v>17</v>
      </c>
      <c r="K13" s="37">
        <v>2</v>
      </c>
      <c r="L13" s="40">
        <v>56.3666666666667</v>
      </c>
      <c r="M13" s="37"/>
      <c r="N13" s="37"/>
      <c r="O13" s="39"/>
      <c r="P13" s="37"/>
    </row>
    <row r="14" ht="16.5" customHeight="1" spans="1:16">
      <c r="A14" s="37" t="s">
        <v>576</v>
      </c>
      <c r="B14" s="37" t="s">
        <v>21</v>
      </c>
      <c r="C14" s="37" t="s">
        <v>151</v>
      </c>
      <c r="D14" s="37" t="s">
        <v>512</v>
      </c>
      <c r="E14" s="37">
        <v>206</v>
      </c>
      <c r="F14" s="37">
        <v>105</v>
      </c>
      <c r="G14" s="39">
        <v>0.509708737864078</v>
      </c>
      <c r="H14" s="37">
        <v>53</v>
      </c>
      <c r="I14" s="37">
        <v>39</v>
      </c>
      <c r="J14" s="37">
        <v>27</v>
      </c>
      <c r="K14" s="37">
        <v>4</v>
      </c>
      <c r="L14" s="40">
        <v>87.6333333333333</v>
      </c>
      <c r="M14" s="37"/>
      <c r="N14" s="37"/>
      <c r="O14" s="39"/>
      <c r="P14" s="37"/>
    </row>
    <row r="15" ht="16.5" customHeight="1" spans="1:16">
      <c r="A15" s="37" t="s">
        <v>576</v>
      </c>
      <c r="B15" s="37" t="s">
        <v>21</v>
      </c>
      <c r="C15" s="37" t="s">
        <v>151</v>
      </c>
      <c r="D15" s="37" t="s">
        <v>519</v>
      </c>
      <c r="E15" s="37">
        <v>255</v>
      </c>
      <c r="F15" s="37">
        <v>102</v>
      </c>
      <c r="G15" s="39">
        <v>0.4</v>
      </c>
      <c r="H15" s="37">
        <v>41</v>
      </c>
      <c r="I15" s="37">
        <v>32</v>
      </c>
      <c r="J15" s="37">
        <v>13</v>
      </c>
      <c r="K15" s="37">
        <v>1</v>
      </c>
      <c r="L15" s="40">
        <v>56</v>
      </c>
      <c r="M15" s="37"/>
      <c r="N15" s="37"/>
      <c r="O15" s="39"/>
      <c r="P15" s="37"/>
    </row>
    <row r="16" ht="16.5" customHeight="1" spans="1:16">
      <c r="A16" s="37" t="s">
        <v>576</v>
      </c>
      <c r="B16" s="37" t="s">
        <v>21</v>
      </c>
      <c r="C16" s="37" t="s">
        <v>151</v>
      </c>
      <c r="D16" s="37" t="s">
        <v>524</v>
      </c>
      <c r="E16" s="37">
        <v>120</v>
      </c>
      <c r="F16" s="37">
        <v>57</v>
      </c>
      <c r="G16" s="39">
        <v>0.475</v>
      </c>
      <c r="H16" s="37">
        <v>28</v>
      </c>
      <c r="I16" s="37">
        <v>16</v>
      </c>
      <c r="J16" s="37">
        <v>10</v>
      </c>
      <c r="K16" s="37">
        <v>0</v>
      </c>
      <c r="L16" s="40">
        <v>34.5666666666667</v>
      </c>
      <c r="M16" s="37"/>
      <c r="N16" s="37"/>
      <c r="O16" s="39"/>
      <c r="P16" s="37"/>
    </row>
    <row r="17" ht="16.5" customHeight="1" spans="1:16">
      <c r="A17" s="37" t="s">
        <v>576</v>
      </c>
      <c r="B17" s="37" t="s">
        <v>21</v>
      </c>
      <c r="C17" s="37" t="s">
        <v>151</v>
      </c>
      <c r="D17" s="37" t="s">
        <v>516</v>
      </c>
      <c r="E17" s="37">
        <v>190</v>
      </c>
      <c r="F17" s="37">
        <v>99</v>
      </c>
      <c r="G17" s="39">
        <v>0.521052631578947</v>
      </c>
      <c r="H17" s="37">
        <v>25</v>
      </c>
      <c r="I17" s="37">
        <v>22</v>
      </c>
      <c r="J17" s="37">
        <v>7</v>
      </c>
      <c r="K17" s="37">
        <v>0</v>
      </c>
      <c r="L17" s="40">
        <v>40.55</v>
      </c>
      <c r="M17" s="37"/>
      <c r="N17" s="37"/>
      <c r="O17" s="39"/>
      <c r="P17" s="37"/>
    </row>
    <row r="18" ht="16.5" customHeight="1" spans="1:16">
      <c r="A18" s="37" t="s">
        <v>576</v>
      </c>
      <c r="B18" s="37" t="s">
        <v>21</v>
      </c>
      <c r="C18" s="37" t="s">
        <v>151</v>
      </c>
      <c r="D18" s="37" t="s">
        <v>499</v>
      </c>
      <c r="E18" s="37">
        <v>105</v>
      </c>
      <c r="F18" s="37">
        <v>48</v>
      </c>
      <c r="G18" s="39">
        <v>0.457142857142857</v>
      </c>
      <c r="H18" s="37">
        <v>18</v>
      </c>
      <c r="I18" s="37">
        <v>12</v>
      </c>
      <c r="J18" s="37">
        <v>7</v>
      </c>
      <c r="K18" s="37">
        <v>1</v>
      </c>
      <c r="L18" s="40">
        <v>26.8166666666667</v>
      </c>
      <c r="M18" s="37"/>
      <c r="N18" s="37"/>
      <c r="O18" s="39"/>
      <c r="P18" s="37"/>
    </row>
    <row r="19" ht="16.5" customHeight="1" spans="1:16">
      <c r="A19" s="37" t="s">
        <v>576</v>
      </c>
      <c r="B19" s="37" t="s">
        <v>21</v>
      </c>
      <c r="C19" s="37" t="s">
        <v>151</v>
      </c>
      <c r="D19" s="37" t="s">
        <v>505</v>
      </c>
      <c r="E19" s="37">
        <v>177</v>
      </c>
      <c r="F19" s="37">
        <v>90</v>
      </c>
      <c r="G19" s="39">
        <v>0.508474576271186</v>
      </c>
      <c r="H19" s="37">
        <v>15</v>
      </c>
      <c r="I19" s="37">
        <v>6</v>
      </c>
      <c r="J19" s="37">
        <v>3</v>
      </c>
      <c r="K19" s="37">
        <v>0</v>
      </c>
      <c r="L19" s="40">
        <v>35.0333333333333</v>
      </c>
      <c r="M19" s="37"/>
      <c r="N19" s="37"/>
      <c r="O19" s="39"/>
      <c r="P19" s="37"/>
    </row>
    <row r="20" ht="16.5" customHeight="1" spans="1:16">
      <c r="A20" s="37" t="s">
        <v>576</v>
      </c>
      <c r="B20" s="37" t="s">
        <v>21</v>
      </c>
      <c r="C20" s="37" t="s">
        <v>151</v>
      </c>
      <c r="D20" s="37" t="s">
        <v>522</v>
      </c>
      <c r="E20" s="37">
        <v>79</v>
      </c>
      <c r="F20" s="37">
        <v>28</v>
      </c>
      <c r="G20" s="39">
        <v>0.354430379746835</v>
      </c>
      <c r="H20" s="37">
        <v>15</v>
      </c>
      <c r="I20" s="37">
        <v>11</v>
      </c>
      <c r="J20" s="37">
        <v>6</v>
      </c>
      <c r="K20" s="37">
        <v>1</v>
      </c>
      <c r="L20" s="40">
        <v>25.9</v>
      </c>
      <c r="M20" s="37">
        <v>1</v>
      </c>
      <c r="N20" s="37">
        <v>0</v>
      </c>
      <c r="O20" s="39">
        <v>0</v>
      </c>
      <c r="P20" s="37">
        <v>43</v>
      </c>
    </row>
    <row r="21" ht="16.5" customHeight="1" spans="1:16">
      <c r="A21" s="37" t="s">
        <v>576</v>
      </c>
      <c r="B21" s="37" t="s">
        <v>21</v>
      </c>
      <c r="C21" s="37" t="s">
        <v>224</v>
      </c>
      <c r="D21" s="37" t="s">
        <v>530</v>
      </c>
      <c r="E21" s="37">
        <v>97</v>
      </c>
      <c r="F21" s="37">
        <v>39</v>
      </c>
      <c r="G21" s="39">
        <v>0.402061855670103</v>
      </c>
      <c r="H21" s="37">
        <v>13</v>
      </c>
      <c r="I21" s="37">
        <v>11</v>
      </c>
      <c r="J21" s="37">
        <v>4</v>
      </c>
      <c r="K21" s="37">
        <v>1</v>
      </c>
      <c r="L21" s="40">
        <v>21.0833333333333</v>
      </c>
      <c r="M21" s="37">
        <v>1</v>
      </c>
      <c r="N21" s="37">
        <v>0</v>
      </c>
      <c r="O21" s="39">
        <v>0</v>
      </c>
      <c r="P21" s="37">
        <v>142</v>
      </c>
    </row>
    <row r="22" ht="16.5" customHeight="1" spans="1:16">
      <c r="A22" s="37" t="s">
        <v>576</v>
      </c>
      <c r="B22" s="37" t="s">
        <v>21</v>
      </c>
      <c r="C22" s="37" t="s">
        <v>224</v>
      </c>
      <c r="D22" s="37" t="s">
        <v>532</v>
      </c>
      <c r="E22" s="37">
        <v>218</v>
      </c>
      <c r="F22" s="37">
        <v>106</v>
      </c>
      <c r="G22" s="39">
        <v>0.486238532110092</v>
      </c>
      <c r="H22" s="37">
        <v>33</v>
      </c>
      <c r="I22" s="37">
        <v>30</v>
      </c>
      <c r="J22" s="37">
        <v>16</v>
      </c>
      <c r="K22" s="37">
        <v>4</v>
      </c>
      <c r="L22" s="40">
        <v>74.3833333333333</v>
      </c>
      <c r="M22" s="37"/>
      <c r="N22" s="37"/>
      <c r="O22" s="39"/>
      <c r="P22" s="37"/>
    </row>
    <row r="23" ht="16.5" customHeight="1" spans="1:16">
      <c r="A23" s="37" t="s">
        <v>576</v>
      </c>
      <c r="B23" s="37" t="s">
        <v>21</v>
      </c>
      <c r="C23" s="37" t="s">
        <v>224</v>
      </c>
      <c r="D23" s="37" t="s">
        <v>527</v>
      </c>
      <c r="E23" s="37">
        <v>1</v>
      </c>
      <c r="F23" s="37">
        <v>1</v>
      </c>
      <c r="G23" s="39">
        <v>1</v>
      </c>
      <c r="H23" s="37">
        <v>0</v>
      </c>
      <c r="I23" s="37">
        <v>0</v>
      </c>
      <c r="J23" s="37">
        <v>0</v>
      </c>
      <c r="K23" s="37">
        <v>0</v>
      </c>
      <c r="L23" s="40">
        <v>0.216666666666667</v>
      </c>
      <c r="M23" s="37"/>
      <c r="N23" s="37"/>
      <c r="O23" s="39"/>
      <c r="P23" s="37"/>
    </row>
    <row r="24" ht="16.5" customHeight="1" spans="1:16">
      <c r="A24" s="37" t="s">
        <v>576</v>
      </c>
      <c r="B24" s="37" t="s">
        <v>21</v>
      </c>
      <c r="C24" s="37" t="s">
        <v>224</v>
      </c>
      <c r="D24" s="37" t="s">
        <v>539</v>
      </c>
      <c r="E24" s="37">
        <v>254</v>
      </c>
      <c r="F24" s="37">
        <v>121</v>
      </c>
      <c r="G24" s="39">
        <v>0.476377952755905</v>
      </c>
      <c r="H24" s="37">
        <v>68</v>
      </c>
      <c r="I24" s="37">
        <v>52</v>
      </c>
      <c r="J24" s="37">
        <v>27</v>
      </c>
      <c r="K24" s="37">
        <v>1</v>
      </c>
      <c r="L24" s="40">
        <v>90.4333333333333</v>
      </c>
      <c r="M24" s="37"/>
      <c r="N24" s="37"/>
      <c r="O24" s="39"/>
      <c r="P24" s="37"/>
    </row>
    <row r="25" ht="16.5" customHeight="1" spans="1:16">
      <c r="A25" s="37" t="s">
        <v>576</v>
      </c>
      <c r="B25" s="37" t="s">
        <v>21</v>
      </c>
      <c r="C25" s="37" t="s">
        <v>224</v>
      </c>
      <c r="D25" s="37" t="s">
        <v>545</v>
      </c>
      <c r="E25" s="37">
        <v>170</v>
      </c>
      <c r="F25" s="37">
        <v>70</v>
      </c>
      <c r="G25" s="39">
        <v>0.411764705882353</v>
      </c>
      <c r="H25" s="37">
        <v>30</v>
      </c>
      <c r="I25" s="37">
        <v>19</v>
      </c>
      <c r="J25" s="37">
        <v>10</v>
      </c>
      <c r="K25" s="37">
        <v>1</v>
      </c>
      <c r="L25" s="40">
        <v>39.2166666666667</v>
      </c>
      <c r="M25" s="37"/>
      <c r="N25" s="37"/>
      <c r="O25" s="39"/>
      <c r="P25" s="37"/>
    </row>
    <row r="26" ht="16.5" customHeight="1" spans="1:16">
      <c r="A26" s="37" t="s">
        <v>576</v>
      </c>
      <c r="B26" s="37" t="s">
        <v>21</v>
      </c>
      <c r="C26" s="37" t="s">
        <v>224</v>
      </c>
      <c r="D26" s="37" t="s">
        <v>536</v>
      </c>
      <c r="E26" s="37">
        <v>200</v>
      </c>
      <c r="F26" s="37">
        <v>75</v>
      </c>
      <c r="G26" s="39">
        <v>0.375</v>
      </c>
      <c r="H26" s="37">
        <v>31</v>
      </c>
      <c r="I26" s="37">
        <v>15</v>
      </c>
      <c r="J26" s="37">
        <v>6</v>
      </c>
      <c r="K26" s="37">
        <v>0</v>
      </c>
      <c r="L26" s="40">
        <v>34.8</v>
      </c>
      <c r="M26" s="37"/>
      <c r="N26" s="37"/>
      <c r="O26" s="39"/>
      <c r="P26" s="37"/>
    </row>
    <row r="27" ht="16.5" customHeight="1" spans="1:16">
      <c r="A27" s="37" t="s">
        <v>576</v>
      </c>
      <c r="B27" s="37" t="s">
        <v>21</v>
      </c>
      <c r="C27" s="37" t="s">
        <v>264</v>
      </c>
      <c r="D27" s="37" t="s">
        <v>285</v>
      </c>
      <c r="E27" s="37">
        <v>16</v>
      </c>
      <c r="F27" s="37">
        <v>9</v>
      </c>
      <c r="G27" s="39">
        <v>0.5625</v>
      </c>
      <c r="H27" s="37">
        <v>4</v>
      </c>
      <c r="I27" s="37">
        <v>4</v>
      </c>
      <c r="J27" s="37">
        <v>3</v>
      </c>
      <c r="K27" s="37">
        <v>0</v>
      </c>
      <c r="L27" s="40">
        <v>7.45</v>
      </c>
      <c r="M27" s="37">
        <v>1</v>
      </c>
      <c r="N27" s="37">
        <v>1</v>
      </c>
      <c r="O27" s="39">
        <v>1</v>
      </c>
      <c r="P27" s="37">
        <v>176</v>
      </c>
    </row>
    <row r="28" ht="16.5" customHeight="1" spans="1:16">
      <c r="A28" s="37" t="s">
        <v>576</v>
      </c>
      <c r="B28" s="37" t="s">
        <v>21</v>
      </c>
      <c r="C28" s="37" t="s">
        <v>264</v>
      </c>
      <c r="D28" s="37" t="s">
        <v>287</v>
      </c>
      <c r="E28" s="37">
        <v>151</v>
      </c>
      <c r="F28" s="37">
        <v>64</v>
      </c>
      <c r="G28" s="39">
        <v>0.423841059602649</v>
      </c>
      <c r="H28" s="37">
        <v>27</v>
      </c>
      <c r="I28" s="37">
        <v>20</v>
      </c>
      <c r="J28" s="37">
        <v>10</v>
      </c>
      <c r="K28" s="37">
        <v>4</v>
      </c>
      <c r="L28" s="40">
        <v>67.5333333333333</v>
      </c>
      <c r="M28" s="37"/>
      <c r="N28" s="37"/>
      <c r="O28" s="39"/>
      <c r="P28" s="37"/>
    </row>
    <row r="29" ht="16.5" customHeight="1" spans="1:16">
      <c r="A29" s="37" t="s">
        <v>576</v>
      </c>
      <c r="B29" s="37" t="s">
        <v>21</v>
      </c>
      <c r="C29" s="37" t="s">
        <v>264</v>
      </c>
      <c r="D29" s="37" t="s">
        <v>290</v>
      </c>
      <c r="E29" s="37">
        <v>61</v>
      </c>
      <c r="F29" s="37">
        <v>28</v>
      </c>
      <c r="G29" s="39">
        <v>0.459016393442623</v>
      </c>
      <c r="H29" s="37">
        <v>15</v>
      </c>
      <c r="I29" s="37">
        <v>12</v>
      </c>
      <c r="J29" s="37">
        <v>9</v>
      </c>
      <c r="K29" s="37">
        <v>2</v>
      </c>
      <c r="L29" s="40">
        <v>30.15</v>
      </c>
      <c r="M29" s="37"/>
      <c r="N29" s="37"/>
      <c r="O29" s="39"/>
      <c r="P29" s="37"/>
    </row>
    <row r="30" ht="16.5" customHeight="1" spans="1:16">
      <c r="A30" s="37" t="s">
        <v>576</v>
      </c>
      <c r="B30" s="37" t="s">
        <v>21</v>
      </c>
      <c r="C30" s="37" t="s">
        <v>264</v>
      </c>
      <c r="D30" s="37" t="s">
        <v>265</v>
      </c>
      <c r="E30" s="37">
        <v>28</v>
      </c>
      <c r="F30" s="37">
        <v>13</v>
      </c>
      <c r="G30" s="39">
        <v>0.464285714285714</v>
      </c>
      <c r="H30" s="37">
        <v>7</v>
      </c>
      <c r="I30" s="37">
        <v>7</v>
      </c>
      <c r="J30" s="37">
        <v>4</v>
      </c>
      <c r="K30" s="37">
        <v>0</v>
      </c>
      <c r="L30" s="40">
        <v>10.5333333333333</v>
      </c>
      <c r="M30" s="37"/>
      <c r="N30" s="37"/>
      <c r="O30" s="39"/>
      <c r="P30" s="37"/>
    </row>
    <row r="31" ht="16.5" customHeight="1" spans="1:16">
      <c r="A31" s="37" t="s">
        <v>576</v>
      </c>
      <c r="B31" s="37" t="s">
        <v>21</v>
      </c>
      <c r="C31" s="37" t="s">
        <v>264</v>
      </c>
      <c r="D31" s="37" t="s">
        <v>272</v>
      </c>
      <c r="E31" s="37">
        <v>95</v>
      </c>
      <c r="F31" s="37">
        <v>35</v>
      </c>
      <c r="G31" s="39">
        <v>0.368421052631579</v>
      </c>
      <c r="H31" s="37">
        <v>17</v>
      </c>
      <c r="I31" s="37">
        <v>15</v>
      </c>
      <c r="J31" s="37">
        <v>12</v>
      </c>
      <c r="K31" s="37">
        <v>5</v>
      </c>
      <c r="L31" s="40">
        <v>42.65</v>
      </c>
      <c r="M31" s="37"/>
      <c r="N31" s="37"/>
      <c r="O31" s="39"/>
      <c r="P31" s="37"/>
    </row>
    <row r="32" ht="16.5" customHeight="1" spans="1:16">
      <c r="A32" s="37" t="s">
        <v>576</v>
      </c>
      <c r="B32" s="37" t="s">
        <v>21</v>
      </c>
      <c r="C32" s="37" t="s">
        <v>264</v>
      </c>
      <c r="D32" s="37" t="s">
        <v>269</v>
      </c>
      <c r="E32" s="37">
        <v>7</v>
      </c>
      <c r="F32" s="37">
        <v>2</v>
      </c>
      <c r="G32" s="39">
        <v>0.285714285714286</v>
      </c>
      <c r="H32" s="37">
        <v>2</v>
      </c>
      <c r="I32" s="37">
        <v>2</v>
      </c>
      <c r="J32" s="37">
        <v>2</v>
      </c>
      <c r="K32" s="37">
        <v>2</v>
      </c>
      <c r="L32" s="40">
        <v>11.4166666666667</v>
      </c>
      <c r="M32" s="37"/>
      <c r="N32" s="37"/>
      <c r="O32" s="39"/>
      <c r="P32" s="37"/>
    </row>
    <row r="33" ht="16.5" customHeight="1" spans="1:16">
      <c r="A33" s="37" t="s">
        <v>576</v>
      </c>
      <c r="B33" s="37" t="s">
        <v>21</v>
      </c>
      <c r="C33" s="37" t="s">
        <v>264</v>
      </c>
      <c r="D33" s="37" t="s">
        <v>280</v>
      </c>
      <c r="E33" s="37">
        <v>98</v>
      </c>
      <c r="F33" s="37">
        <v>43</v>
      </c>
      <c r="G33" s="39">
        <v>0.438775510204082</v>
      </c>
      <c r="H33" s="37">
        <v>24</v>
      </c>
      <c r="I33" s="37">
        <v>20</v>
      </c>
      <c r="J33" s="37">
        <v>13</v>
      </c>
      <c r="K33" s="37">
        <v>1</v>
      </c>
      <c r="L33" s="40">
        <v>33.45</v>
      </c>
      <c r="M33" s="37"/>
      <c r="N33" s="37"/>
      <c r="O33" s="39"/>
      <c r="P33" s="37"/>
    </row>
    <row r="34" ht="16.5" customHeight="1" spans="1:16">
      <c r="A34" s="37" t="s">
        <v>576</v>
      </c>
      <c r="B34" s="37" t="s">
        <v>21</v>
      </c>
      <c r="C34" s="37" t="s">
        <v>264</v>
      </c>
      <c r="D34" s="37" t="s">
        <v>283</v>
      </c>
      <c r="E34" s="37">
        <v>147</v>
      </c>
      <c r="F34" s="37">
        <v>66</v>
      </c>
      <c r="G34" s="39">
        <v>0.448979591836735</v>
      </c>
      <c r="H34" s="37">
        <v>28</v>
      </c>
      <c r="I34" s="37">
        <v>24</v>
      </c>
      <c r="J34" s="37">
        <v>16</v>
      </c>
      <c r="K34" s="37">
        <v>2</v>
      </c>
      <c r="L34" s="40">
        <v>52.85</v>
      </c>
      <c r="M34" s="37"/>
      <c r="N34" s="37"/>
      <c r="O34" s="39"/>
      <c r="P34" s="37"/>
    </row>
    <row r="35" ht="16.5" customHeight="1" spans="1:16">
      <c r="A35" s="37" t="s">
        <v>576</v>
      </c>
      <c r="B35" s="37" t="s">
        <v>21</v>
      </c>
      <c r="C35" s="37" t="s">
        <v>264</v>
      </c>
      <c r="D35" s="37" t="s">
        <v>274</v>
      </c>
      <c r="E35" s="37">
        <v>120</v>
      </c>
      <c r="F35" s="37">
        <v>52</v>
      </c>
      <c r="G35" s="39">
        <v>0.433333333333333</v>
      </c>
      <c r="H35" s="37">
        <v>28</v>
      </c>
      <c r="I35" s="37">
        <v>19</v>
      </c>
      <c r="J35" s="37">
        <v>11</v>
      </c>
      <c r="K35" s="37">
        <v>2</v>
      </c>
      <c r="L35" s="40">
        <v>46.4666666666667</v>
      </c>
      <c r="M35" s="37"/>
      <c r="N35" s="37"/>
      <c r="O35" s="39"/>
      <c r="P35" s="37"/>
    </row>
    <row r="36" ht="16.5" customHeight="1" spans="1:16">
      <c r="A36" s="37" t="s">
        <v>576</v>
      </c>
      <c r="B36" s="37" t="s">
        <v>21</v>
      </c>
      <c r="C36" s="37" t="s">
        <v>22</v>
      </c>
      <c r="D36" s="37" t="s">
        <v>27</v>
      </c>
      <c r="E36" s="37">
        <v>30</v>
      </c>
      <c r="F36" s="37">
        <v>9</v>
      </c>
      <c r="G36" s="39">
        <v>0.3</v>
      </c>
      <c r="H36" s="37">
        <v>6</v>
      </c>
      <c r="I36" s="37">
        <v>6</v>
      </c>
      <c r="J36" s="37">
        <v>4</v>
      </c>
      <c r="K36" s="37">
        <v>1</v>
      </c>
      <c r="L36" s="40">
        <v>11.7333333333333</v>
      </c>
      <c r="M36" s="37"/>
      <c r="N36" s="37"/>
      <c r="O36" s="39"/>
      <c r="P36" s="37"/>
    </row>
    <row r="37" ht="16.5" customHeight="1" spans="1:16">
      <c r="A37" s="37" t="s">
        <v>576</v>
      </c>
      <c r="B37" s="37" t="s">
        <v>21</v>
      </c>
      <c r="C37" s="37" t="s">
        <v>22</v>
      </c>
      <c r="D37" s="37" t="s">
        <v>33</v>
      </c>
      <c r="E37" s="37">
        <v>51</v>
      </c>
      <c r="F37" s="37">
        <v>25</v>
      </c>
      <c r="G37" s="39">
        <v>0.490196078431373</v>
      </c>
      <c r="H37" s="37">
        <v>16</v>
      </c>
      <c r="I37" s="37">
        <v>12</v>
      </c>
      <c r="J37" s="37">
        <v>6</v>
      </c>
      <c r="K37" s="37">
        <v>2</v>
      </c>
      <c r="L37" s="40">
        <v>26.6333333333333</v>
      </c>
      <c r="M37" s="37"/>
      <c r="N37" s="37"/>
      <c r="O37" s="39"/>
      <c r="P37" s="37"/>
    </row>
    <row r="38" ht="16.5" customHeight="1" spans="1:16">
      <c r="A38" s="37" t="s">
        <v>576</v>
      </c>
      <c r="B38" s="37" t="s">
        <v>21</v>
      </c>
      <c r="C38" s="37" t="s">
        <v>22</v>
      </c>
      <c r="D38" s="37" t="s">
        <v>45</v>
      </c>
      <c r="E38" s="37">
        <v>6</v>
      </c>
      <c r="F38" s="37">
        <v>3</v>
      </c>
      <c r="G38" s="39">
        <v>0.5</v>
      </c>
      <c r="H38" s="37">
        <v>3</v>
      </c>
      <c r="I38" s="37">
        <v>3</v>
      </c>
      <c r="J38" s="37">
        <v>1</v>
      </c>
      <c r="K38" s="37">
        <v>0</v>
      </c>
      <c r="L38" s="40">
        <v>3.63333333333333</v>
      </c>
      <c r="M38" s="37"/>
      <c r="N38" s="37"/>
      <c r="O38" s="39"/>
      <c r="P38" s="37"/>
    </row>
    <row r="39" ht="16.5" customHeight="1" spans="1:16">
      <c r="A39" s="37" t="s">
        <v>576</v>
      </c>
      <c r="B39" s="37" t="s">
        <v>21</v>
      </c>
      <c r="C39" s="37" t="s">
        <v>22</v>
      </c>
      <c r="D39" s="37" t="s">
        <v>48</v>
      </c>
      <c r="E39" s="37">
        <v>8</v>
      </c>
      <c r="F39" s="37">
        <v>4</v>
      </c>
      <c r="G39" s="39">
        <v>0.5</v>
      </c>
      <c r="H39" s="37">
        <v>3</v>
      </c>
      <c r="I39" s="37">
        <v>1</v>
      </c>
      <c r="J39" s="37">
        <v>1</v>
      </c>
      <c r="K39" s="37">
        <v>0</v>
      </c>
      <c r="L39" s="40">
        <v>3.2</v>
      </c>
      <c r="M39" s="37"/>
      <c r="N39" s="37"/>
      <c r="O39" s="39"/>
      <c r="P39" s="37"/>
    </row>
    <row r="40" ht="16.5" customHeight="1" spans="1:16">
      <c r="A40" s="37" t="s">
        <v>576</v>
      </c>
      <c r="B40" s="37" t="s">
        <v>21</v>
      </c>
      <c r="C40" s="37" t="s">
        <v>22</v>
      </c>
      <c r="D40" s="37" t="s">
        <v>36</v>
      </c>
      <c r="E40" s="37">
        <v>47</v>
      </c>
      <c r="F40" s="37">
        <v>21</v>
      </c>
      <c r="G40" s="39">
        <v>0.446808510638298</v>
      </c>
      <c r="H40" s="37">
        <v>15</v>
      </c>
      <c r="I40" s="37">
        <v>14</v>
      </c>
      <c r="J40" s="37">
        <v>9</v>
      </c>
      <c r="K40" s="37">
        <v>0</v>
      </c>
      <c r="L40" s="40">
        <v>20.3</v>
      </c>
      <c r="M40" s="37"/>
      <c r="N40" s="37"/>
      <c r="O40" s="39"/>
      <c r="P40" s="37"/>
    </row>
    <row r="41" ht="16.5" customHeight="1" spans="1:16">
      <c r="A41" s="37" t="s">
        <v>576</v>
      </c>
      <c r="B41" s="37" t="s">
        <v>21</v>
      </c>
      <c r="C41" s="37" t="s">
        <v>22</v>
      </c>
      <c r="D41" s="37" t="s">
        <v>30</v>
      </c>
      <c r="E41" s="37">
        <v>10</v>
      </c>
      <c r="F41" s="37">
        <v>7</v>
      </c>
      <c r="G41" s="39">
        <v>0.7</v>
      </c>
      <c r="H41" s="37">
        <v>5</v>
      </c>
      <c r="I41" s="37">
        <v>4</v>
      </c>
      <c r="J41" s="37">
        <v>4</v>
      </c>
      <c r="K41" s="37">
        <v>2</v>
      </c>
      <c r="L41" s="40">
        <v>16.8833333333333</v>
      </c>
      <c r="M41" s="37"/>
      <c r="N41" s="37"/>
      <c r="O41" s="39"/>
      <c r="P41" s="37"/>
    </row>
    <row r="42" ht="16.5" customHeight="1" spans="1:16">
      <c r="A42" s="37" t="s">
        <v>576</v>
      </c>
      <c r="B42" s="37" t="s">
        <v>21</v>
      </c>
      <c r="C42" s="37" t="s">
        <v>22</v>
      </c>
      <c r="D42" s="37" t="s">
        <v>39</v>
      </c>
      <c r="E42" s="37">
        <v>26</v>
      </c>
      <c r="F42" s="37">
        <v>2</v>
      </c>
      <c r="G42" s="39">
        <v>0.0769230769230769</v>
      </c>
      <c r="H42" s="37">
        <v>0</v>
      </c>
      <c r="I42" s="37">
        <v>0</v>
      </c>
      <c r="J42" s="37">
        <v>0</v>
      </c>
      <c r="K42" s="37">
        <v>0</v>
      </c>
      <c r="L42" s="40">
        <v>0.383333333333333</v>
      </c>
      <c r="M42" s="37"/>
      <c r="N42" s="37"/>
      <c r="O42" s="39"/>
      <c r="P42" s="37"/>
    </row>
    <row r="43" ht="16.5" customHeight="1" spans="1:16">
      <c r="A43" s="37" t="s">
        <v>576</v>
      </c>
      <c r="B43" s="37" t="s">
        <v>21</v>
      </c>
      <c r="C43" s="37" t="s">
        <v>22</v>
      </c>
      <c r="D43" s="37" t="s">
        <v>23</v>
      </c>
      <c r="E43" s="37">
        <v>8</v>
      </c>
      <c r="F43" s="37">
        <v>6</v>
      </c>
      <c r="G43" s="39">
        <v>0.75</v>
      </c>
      <c r="H43" s="37">
        <v>5</v>
      </c>
      <c r="I43" s="37">
        <v>5</v>
      </c>
      <c r="J43" s="37">
        <v>5</v>
      </c>
      <c r="K43" s="37">
        <v>1</v>
      </c>
      <c r="L43" s="40">
        <v>10.7</v>
      </c>
      <c r="M43" s="37"/>
      <c r="N43" s="37"/>
      <c r="O43" s="39"/>
      <c r="P43" s="37"/>
    </row>
    <row r="44" ht="16.5" customHeight="1" spans="1:16">
      <c r="A44" s="37" t="s">
        <v>576</v>
      </c>
      <c r="B44" s="37" t="s">
        <v>21</v>
      </c>
      <c r="C44" s="37" t="s">
        <v>125</v>
      </c>
      <c r="D44" s="37" t="s">
        <v>177</v>
      </c>
      <c r="E44" s="37">
        <v>32</v>
      </c>
      <c r="F44" s="37">
        <v>19</v>
      </c>
      <c r="G44" s="39">
        <v>0.59375</v>
      </c>
      <c r="H44" s="37">
        <v>7</v>
      </c>
      <c r="I44" s="37">
        <v>4</v>
      </c>
      <c r="J44" s="37">
        <v>3</v>
      </c>
      <c r="K44" s="37">
        <v>0</v>
      </c>
      <c r="L44" s="40">
        <v>10.7833333333333</v>
      </c>
      <c r="M44" s="37"/>
      <c r="N44" s="37"/>
      <c r="O44" s="39"/>
      <c r="P44" s="37"/>
    </row>
    <row r="45" ht="16.5" customHeight="1" spans="1:16">
      <c r="A45" s="37" t="s">
        <v>576</v>
      </c>
      <c r="B45" s="37" t="s">
        <v>21</v>
      </c>
      <c r="C45" s="37" t="s">
        <v>125</v>
      </c>
      <c r="D45" s="37" t="s">
        <v>183</v>
      </c>
      <c r="E45" s="37">
        <v>4</v>
      </c>
      <c r="F45" s="37">
        <v>2</v>
      </c>
      <c r="G45" s="39">
        <v>0.5</v>
      </c>
      <c r="H45" s="37">
        <v>1</v>
      </c>
      <c r="I45" s="37">
        <v>0</v>
      </c>
      <c r="J45" s="37">
        <v>0</v>
      </c>
      <c r="K45" s="37">
        <v>0</v>
      </c>
      <c r="L45" s="40">
        <v>0.65</v>
      </c>
      <c r="M45" s="37"/>
      <c r="N45" s="37"/>
      <c r="O45" s="39"/>
      <c r="P45" s="37"/>
    </row>
    <row r="46" ht="16.5" customHeight="1" spans="1:16">
      <c r="A46" s="37" t="s">
        <v>576</v>
      </c>
      <c r="B46" s="37" t="s">
        <v>21</v>
      </c>
      <c r="C46" s="37" t="s">
        <v>125</v>
      </c>
      <c r="D46" s="37" t="s">
        <v>191</v>
      </c>
      <c r="E46" s="37">
        <v>15</v>
      </c>
      <c r="F46" s="37">
        <v>8</v>
      </c>
      <c r="G46" s="39">
        <v>0.533333333333333</v>
      </c>
      <c r="H46" s="37">
        <v>0</v>
      </c>
      <c r="I46" s="37">
        <v>0</v>
      </c>
      <c r="J46" s="37">
        <v>0</v>
      </c>
      <c r="K46" s="37">
        <v>0</v>
      </c>
      <c r="L46" s="40">
        <v>2.01666666666667</v>
      </c>
      <c r="M46" s="37"/>
      <c r="N46" s="37"/>
      <c r="O46" s="39"/>
      <c r="P46" s="37"/>
    </row>
    <row r="47" ht="16.5" customHeight="1" spans="1:16">
      <c r="A47" s="37" t="s">
        <v>576</v>
      </c>
      <c r="B47" s="37" t="s">
        <v>577</v>
      </c>
      <c r="C47" s="37" t="s">
        <v>102</v>
      </c>
      <c r="D47" s="37" t="s">
        <v>578</v>
      </c>
      <c r="E47" s="37">
        <v>148</v>
      </c>
      <c r="F47" s="37">
        <v>63</v>
      </c>
      <c r="G47" s="39">
        <v>0.425675675675676</v>
      </c>
      <c r="H47" s="37">
        <v>29</v>
      </c>
      <c r="I47" s="37">
        <v>20</v>
      </c>
      <c r="J47" s="37">
        <v>16</v>
      </c>
      <c r="K47" s="37">
        <v>3</v>
      </c>
      <c r="L47" s="40">
        <v>54.4666666666667</v>
      </c>
      <c r="M47" s="37"/>
      <c r="N47" s="37"/>
      <c r="O47" s="39"/>
      <c r="P47" s="37"/>
    </row>
    <row r="48" ht="16.5" customHeight="1" spans="1:16">
      <c r="A48" s="37" t="s">
        <v>576</v>
      </c>
      <c r="B48" s="37" t="s">
        <v>577</v>
      </c>
      <c r="C48" s="37" t="s">
        <v>102</v>
      </c>
      <c r="D48" s="37" t="s">
        <v>579</v>
      </c>
      <c r="E48" s="37">
        <v>175</v>
      </c>
      <c r="F48" s="37">
        <v>95</v>
      </c>
      <c r="G48" s="39">
        <v>0.542857142857143</v>
      </c>
      <c r="H48" s="37">
        <v>38</v>
      </c>
      <c r="I48" s="37">
        <v>30</v>
      </c>
      <c r="J48" s="37">
        <v>14</v>
      </c>
      <c r="K48" s="37">
        <v>4</v>
      </c>
      <c r="L48" s="40">
        <v>66.9</v>
      </c>
      <c r="M48" s="37"/>
      <c r="N48" s="37"/>
      <c r="O48" s="39"/>
      <c r="P48" s="37"/>
    </row>
    <row r="49" ht="16.5" customHeight="1" spans="1:16">
      <c r="A49" s="37" t="s">
        <v>576</v>
      </c>
      <c r="B49" s="37" t="s">
        <v>577</v>
      </c>
      <c r="C49" s="37" t="s">
        <v>102</v>
      </c>
      <c r="D49" s="37" t="s">
        <v>580</v>
      </c>
      <c r="E49" s="37">
        <v>3</v>
      </c>
      <c r="F49" s="37">
        <v>3</v>
      </c>
      <c r="G49" s="39">
        <v>1</v>
      </c>
      <c r="H49" s="37">
        <v>3</v>
      </c>
      <c r="I49" s="37">
        <v>3</v>
      </c>
      <c r="J49" s="37">
        <v>2</v>
      </c>
      <c r="K49" s="37">
        <v>1</v>
      </c>
      <c r="L49" s="40">
        <v>6.66666666666667</v>
      </c>
      <c r="M49" s="37"/>
      <c r="N49" s="37"/>
      <c r="O49" s="39"/>
      <c r="P49" s="37"/>
    </row>
    <row r="50" ht="16.5" customHeight="1" spans="1:16">
      <c r="A50" s="37" t="s">
        <v>576</v>
      </c>
      <c r="B50" s="37" t="s">
        <v>577</v>
      </c>
      <c r="C50" s="37" t="s">
        <v>52</v>
      </c>
      <c r="D50" s="37" t="s">
        <v>581</v>
      </c>
      <c r="E50" s="37">
        <v>118</v>
      </c>
      <c r="F50" s="37">
        <v>59</v>
      </c>
      <c r="G50" s="39">
        <v>0.5</v>
      </c>
      <c r="H50" s="37">
        <v>31</v>
      </c>
      <c r="I50" s="37">
        <v>26</v>
      </c>
      <c r="J50" s="37">
        <v>16</v>
      </c>
      <c r="K50" s="37">
        <v>1</v>
      </c>
      <c r="L50" s="40">
        <v>45.3166666666667</v>
      </c>
      <c r="M50" s="37"/>
      <c r="N50" s="37"/>
      <c r="O50" s="39"/>
      <c r="P50" s="37"/>
    </row>
    <row r="51" ht="16.5" customHeight="1" spans="1:16">
      <c r="A51" s="37" t="s">
        <v>576</v>
      </c>
      <c r="B51" s="37" t="s">
        <v>577</v>
      </c>
      <c r="C51" s="37" t="s">
        <v>52</v>
      </c>
      <c r="D51" s="37" t="s">
        <v>582</v>
      </c>
      <c r="E51" s="37">
        <v>6</v>
      </c>
      <c r="F51" s="37">
        <v>4</v>
      </c>
      <c r="G51" s="39">
        <v>0.666666666666667</v>
      </c>
      <c r="H51" s="37">
        <v>4</v>
      </c>
      <c r="I51" s="37">
        <v>3</v>
      </c>
      <c r="J51" s="37">
        <v>3</v>
      </c>
      <c r="K51" s="37">
        <v>0</v>
      </c>
      <c r="L51" s="40">
        <v>6.66666666666667</v>
      </c>
      <c r="M51" s="37"/>
      <c r="N51" s="37"/>
      <c r="O51" s="39"/>
      <c r="P51" s="37"/>
    </row>
    <row r="52" ht="16.5" customHeight="1" spans="1:16">
      <c r="A52" s="37" t="s">
        <v>576</v>
      </c>
      <c r="B52" s="37" t="s">
        <v>577</v>
      </c>
      <c r="C52" s="37" t="s">
        <v>52</v>
      </c>
      <c r="D52" s="37" t="s">
        <v>583</v>
      </c>
      <c r="E52" s="37">
        <v>121</v>
      </c>
      <c r="F52" s="37">
        <v>53</v>
      </c>
      <c r="G52" s="39">
        <v>0.43801652892562</v>
      </c>
      <c r="H52" s="37">
        <v>23</v>
      </c>
      <c r="I52" s="37">
        <v>13</v>
      </c>
      <c r="J52" s="37">
        <v>5</v>
      </c>
      <c r="K52" s="37">
        <v>0</v>
      </c>
      <c r="L52" s="40">
        <v>26.6333333333333</v>
      </c>
      <c r="M52" s="37"/>
      <c r="N52" s="37"/>
      <c r="O52" s="39"/>
      <c r="P52" s="37"/>
    </row>
    <row r="53" ht="16.5" customHeight="1" spans="1:16">
      <c r="A53" s="37" t="s">
        <v>576</v>
      </c>
      <c r="B53" s="37" t="s">
        <v>577</v>
      </c>
      <c r="C53" s="37" t="s">
        <v>52</v>
      </c>
      <c r="D53" s="37" t="s">
        <v>584</v>
      </c>
      <c r="E53" s="37"/>
      <c r="F53" s="37"/>
      <c r="G53" s="39"/>
      <c r="H53" s="37"/>
      <c r="I53" s="37"/>
      <c r="J53" s="37"/>
      <c r="K53" s="37"/>
      <c r="L53" s="40"/>
      <c r="M53" s="37">
        <v>2</v>
      </c>
      <c r="N53" s="37">
        <v>0</v>
      </c>
      <c r="O53" s="39">
        <v>0</v>
      </c>
      <c r="P53" s="37">
        <v>347</v>
      </c>
    </row>
    <row r="54" ht="16.5" customHeight="1" spans="1:16">
      <c r="A54" s="37" t="s">
        <v>576</v>
      </c>
      <c r="B54" s="37" t="s">
        <v>577</v>
      </c>
      <c r="C54" s="37" t="s">
        <v>52</v>
      </c>
      <c r="D54" s="37" t="s">
        <v>585</v>
      </c>
      <c r="E54" s="37">
        <v>30</v>
      </c>
      <c r="F54" s="37">
        <v>18</v>
      </c>
      <c r="G54" s="39">
        <v>0.6</v>
      </c>
      <c r="H54" s="37">
        <v>11</v>
      </c>
      <c r="I54" s="37">
        <v>7</v>
      </c>
      <c r="J54" s="37">
        <v>4</v>
      </c>
      <c r="K54" s="37">
        <v>2</v>
      </c>
      <c r="L54" s="40">
        <v>26.2333333333333</v>
      </c>
      <c r="M54" s="37"/>
      <c r="N54" s="37"/>
      <c r="O54" s="39"/>
      <c r="P54" s="37"/>
    </row>
    <row r="55" ht="16.5" customHeight="1" spans="1:16">
      <c r="A55" s="37" t="s">
        <v>576</v>
      </c>
      <c r="B55" s="37" t="s">
        <v>577</v>
      </c>
      <c r="C55" s="37" t="s">
        <v>52</v>
      </c>
      <c r="D55" s="37" t="s">
        <v>586</v>
      </c>
      <c r="E55" s="37">
        <v>218</v>
      </c>
      <c r="F55" s="37">
        <v>98</v>
      </c>
      <c r="G55" s="39">
        <v>0.44954128440367</v>
      </c>
      <c r="H55" s="37">
        <v>32</v>
      </c>
      <c r="I55" s="37">
        <v>14</v>
      </c>
      <c r="J55" s="37">
        <v>7</v>
      </c>
      <c r="K55" s="37">
        <v>1</v>
      </c>
      <c r="L55" s="40">
        <v>49.4</v>
      </c>
      <c r="M55" s="37"/>
      <c r="N55" s="37"/>
      <c r="O55" s="39"/>
      <c r="P55" s="37"/>
    </row>
    <row r="56" ht="16.5" customHeight="1" spans="1:16">
      <c r="A56" s="37" t="s">
        <v>576</v>
      </c>
      <c r="B56" s="37" t="s">
        <v>577</v>
      </c>
      <c r="C56" s="37" t="s">
        <v>52</v>
      </c>
      <c r="D56" s="37" t="s">
        <v>587</v>
      </c>
      <c r="E56" s="37">
        <v>16</v>
      </c>
      <c r="F56" s="37">
        <v>9</v>
      </c>
      <c r="G56" s="39">
        <v>0.5625</v>
      </c>
      <c r="H56" s="37">
        <v>4</v>
      </c>
      <c r="I56" s="37">
        <v>4</v>
      </c>
      <c r="J56" s="37">
        <v>4</v>
      </c>
      <c r="K56" s="37">
        <v>0</v>
      </c>
      <c r="L56" s="40">
        <v>8.45</v>
      </c>
      <c r="M56" s="37"/>
      <c r="N56" s="37"/>
      <c r="O56" s="39"/>
      <c r="P56" s="37"/>
    </row>
    <row r="57" ht="16.5" customHeight="1" spans="1:16">
      <c r="A57" s="37" t="s">
        <v>576</v>
      </c>
      <c r="B57" s="37" t="s">
        <v>577</v>
      </c>
      <c r="C57" s="37" t="s">
        <v>75</v>
      </c>
      <c r="D57" s="37" t="s">
        <v>588</v>
      </c>
      <c r="E57" s="37">
        <v>62</v>
      </c>
      <c r="F57" s="37">
        <v>32</v>
      </c>
      <c r="G57" s="39">
        <v>0.516129032258065</v>
      </c>
      <c r="H57" s="37">
        <v>11</v>
      </c>
      <c r="I57" s="37">
        <v>10</v>
      </c>
      <c r="J57" s="37">
        <v>5</v>
      </c>
      <c r="K57" s="37">
        <v>1</v>
      </c>
      <c r="L57" s="40">
        <v>20.3833333333333</v>
      </c>
      <c r="M57" s="37">
        <v>1</v>
      </c>
      <c r="N57" s="37">
        <v>1</v>
      </c>
      <c r="O57" s="39">
        <v>1</v>
      </c>
      <c r="P57" s="37">
        <v>169</v>
      </c>
    </row>
    <row r="58" ht="16.5" customHeight="1" spans="1:16">
      <c r="A58" s="37" t="s">
        <v>576</v>
      </c>
      <c r="B58" s="37" t="s">
        <v>577</v>
      </c>
      <c r="C58" s="37" t="s">
        <v>75</v>
      </c>
      <c r="D58" s="37" t="s">
        <v>589</v>
      </c>
      <c r="E58" s="37">
        <v>135</v>
      </c>
      <c r="F58" s="37">
        <v>56</v>
      </c>
      <c r="G58" s="39">
        <v>0.414814814814815</v>
      </c>
      <c r="H58" s="37">
        <v>31</v>
      </c>
      <c r="I58" s="37">
        <v>29</v>
      </c>
      <c r="J58" s="37">
        <v>20</v>
      </c>
      <c r="K58" s="37">
        <v>1</v>
      </c>
      <c r="L58" s="40">
        <v>48.2833333333333</v>
      </c>
      <c r="M58" s="37"/>
      <c r="N58" s="37"/>
      <c r="O58" s="39"/>
      <c r="P58" s="37"/>
    </row>
    <row r="59" ht="16.5" customHeight="1" spans="1:16">
      <c r="A59" s="37" t="s">
        <v>576</v>
      </c>
      <c r="B59" s="37" t="s">
        <v>577</v>
      </c>
      <c r="C59" s="37" t="s">
        <v>75</v>
      </c>
      <c r="D59" s="37" t="s">
        <v>590</v>
      </c>
      <c r="E59" s="37">
        <v>209</v>
      </c>
      <c r="F59" s="37">
        <v>87</v>
      </c>
      <c r="G59" s="39">
        <v>0.416267942583732</v>
      </c>
      <c r="H59" s="37">
        <v>53</v>
      </c>
      <c r="I59" s="37">
        <v>35</v>
      </c>
      <c r="J59" s="37">
        <v>21</v>
      </c>
      <c r="K59" s="37">
        <v>1</v>
      </c>
      <c r="L59" s="40">
        <v>68.6333333333333</v>
      </c>
      <c r="M59" s="37"/>
      <c r="N59" s="37"/>
      <c r="O59" s="39"/>
      <c r="P59" s="37"/>
    </row>
    <row r="60" ht="16.5" customHeight="1" spans="1:16">
      <c r="A60" s="37" t="s">
        <v>576</v>
      </c>
      <c r="B60" s="37" t="s">
        <v>577</v>
      </c>
      <c r="C60" s="37" t="s">
        <v>75</v>
      </c>
      <c r="D60" s="37" t="s">
        <v>591</v>
      </c>
      <c r="E60" s="37">
        <v>291</v>
      </c>
      <c r="F60" s="37">
        <v>114</v>
      </c>
      <c r="G60" s="39">
        <v>0.391752577319588</v>
      </c>
      <c r="H60" s="37">
        <v>41</v>
      </c>
      <c r="I60" s="37">
        <v>35</v>
      </c>
      <c r="J60" s="37">
        <v>23</v>
      </c>
      <c r="K60" s="37">
        <v>1</v>
      </c>
      <c r="L60" s="40">
        <v>68.0166666666667</v>
      </c>
      <c r="M60" s="37"/>
      <c r="N60" s="37"/>
      <c r="O60" s="39"/>
      <c r="P60" s="37"/>
    </row>
    <row r="61" ht="16.5" customHeight="1" spans="1:16">
      <c r="A61" s="37" t="s">
        <v>576</v>
      </c>
      <c r="B61" s="37" t="s">
        <v>577</v>
      </c>
      <c r="C61" s="37" t="s">
        <v>75</v>
      </c>
      <c r="D61" s="37" t="s">
        <v>592</v>
      </c>
      <c r="E61" s="37">
        <v>267</v>
      </c>
      <c r="F61" s="37">
        <v>114</v>
      </c>
      <c r="G61" s="39">
        <v>0.426966292134831</v>
      </c>
      <c r="H61" s="37">
        <v>23</v>
      </c>
      <c r="I61" s="37">
        <v>17</v>
      </c>
      <c r="J61" s="37">
        <v>12</v>
      </c>
      <c r="K61" s="37">
        <v>4</v>
      </c>
      <c r="L61" s="40">
        <v>55.0833333333333</v>
      </c>
      <c r="M61" s="37"/>
      <c r="N61" s="37"/>
      <c r="O61" s="39"/>
      <c r="P61" s="37"/>
    </row>
    <row r="62" ht="16.5" customHeight="1" spans="1:16">
      <c r="A62" s="37" t="s">
        <v>576</v>
      </c>
      <c r="B62" s="37" t="s">
        <v>577</v>
      </c>
      <c r="C62" s="37" t="s">
        <v>75</v>
      </c>
      <c r="D62" s="37" t="s">
        <v>593</v>
      </c>
      <c r="E62" s="37">
        <v>133</v>
      </c>
      <c r="F62" s="37">
        <v>77</v>
      </c>
      <c r="G62" s="39">
        <v>0.578947368421053</v>
      </c>
      <c r="H62" s="37">
        <v>29</v>
      </c>
      <c r="I62" s="37">
        <v>23</v>
      </c>
      <c r="J62" s="37">
        <v>14</v>
      </c>
      <c r="K62" s="37">
        <v>1</v>
      </c>
      <c r="L62" s="40">
        <v>48.25</v>
      </c>
      <c r="M62" s="37"/>
      <c r="N62" s="37"/>
      <c r="O62" s="39"/>
      <c r="P62" s="37"/>
    </row>
    <row r="63" ht="16.5" customHeight="1" spans="1:16">
      <c r="A63" s="37" t="s">
        <v>576</v>
      </c>
      <c r="B63" s="37" t="s">
        <v>577</v>
      </c>
      <c r="C63" s="37" t="s">
        <v>75</v>
      </c>
      <c r="D63" s="37" t="s">
        <v>594</v>
      </c>
      <c r="E63" s="37">
        <v>74</v>
      </c>
      <c r="F63" s="37">
        <v>48</v>
      </c>
      <c r="G63" s="39">
        <v>0.648648648648649</v>
      </c>
      <c r="H63" s="37">
        <v>30</v>
      </c>
      <c r="I63" s="37">
        <v>27</v>
      </c>
      <c r="J63" s="37">
        <v>16</v>
      </c>
      <c r="K63" s="37">
        <v>0</v>
      </c>
      <c r="L63" s="40">
        <v>40.3</v>
      </c>
      <c r="M63" s="37"/>
      <c r="N63" s="37"/>
      <c r="O63" s="39"/>
      <c r="P63" s="37"/>
    </row>
    <row r="64" ht="16.5" customHeight="1" spans="1:16">
      <c r="A64" s="37" t="s">
        <v>576</v>
      </c>
      <c r="B64" s="37" t="s">
        <v>577</v>
      </c>
      <c r="C64" s="37" t="s">
        <v>75</v>
      </c>
      <c r="D64" s="37" t="s">
        <v>595</v>
      </c>
      <c r="E64" s="37">
        <v>165</v>
      </c>
      <c r="F64" s="37">
        <v>89</v>
      </c>
      <c r="G64" s="39">
        <v>0.539393939393939</v>
      </c>
      <c r="H64" s="37">
        <v>45</v>
      </c>
      <c r="I64" s="37">
        <v>36</v>
      </c>
      <c r="J64" s="37">
        <v>15</v>
      </c>
      <c r="K64" s="37">
        <v>1</v>
      </c>
      <c r="L64" s="40">
        <v>59.35</v>
      </c>
      <c r="M64" s="37"/>
      <c r="N64" s="37"/>
      <c r="O64" s="39"/>
      <c r="P64" s="37"/>
    </row>
    <row r="65" ht="16.5" customHeight="1" spans="1:16">
      <c r="A65" s="37" t="s">
        <v>576</v>
      </c>
      <c r="B65" s="37" t="s">
        <v>577</v>
      </c>
      <c r="C65" s="37" t="s">
        <v>151</v>
      </c>
      <c r="D65" s="37" t="s">
        <v>596</v>
      </c>
      <c r="E65" s="37">
        <v>9</v>
      </c>
      <c r="F65" s="37">
        <v>8</v>
      </c>
      <c r="G65" s="39">
        <v>0.888888888888889</v>
      </c>
      <c r="H65" s="37">
        <v>3</v>
      </c>
      <c r="I65" s="37">
        <v>3</v>
      </c>
      <c r="J65" s="37">
        <v>2</v>
      </c>
      <c r="K65" s="37">
        <v>1</v>
      </c>
      <c r="L65" s="40">
        <v>9.43333333333333</v>
      </c>
      <c r="M65" s="37">
        <v>1</v>
      </c>
      <c r="N65" s="37">
        <v>0</v>
      </c>
      <c r="O65" s="39">
        <v>0</v>
      </c>
      <c r="P65" s="37">
        <v>262</v>
      </c>
    </row>
    <row r="66" ht="16.5" customHeight="1" spans="1:16">
      <c r="A66" s="37" t="s">
        <v>576</v>
      </c>
      <c r="B66" s="37" t="s">
        <v>577</v>
      </c>
      <c r="C66" s="37" t="s">
        <v>151</v>
      </c>
      <c r="D66" s="37" t="s">
        <v>597</v>
      </c>
      <c r="E66" s="37">
        <v>350</v>
      </c>
      <c r="F66" s="37">
        <v>178</v>
      </c>
      <c r="G66" s="39">
        <v>0.508571428571429</v>
      </c>
      <c r="H66" s="37">
        <v>40</v>
      </c>
      <c r="I66" s="37">
        <v>36</v>
      </c>
      <c r="J66" s="37">
        <v>25</v>
      </c>
      <c r="K66" s="37">
        <v>3</v>
      </c>
      <c r="L66" s="40">
        <v>81.9</v>
      </c>
      <c r="M66" s="37"/>
      <c r="N66" s="37"/>
      <c r="O66" s="39"/>
      <c r="P66" s="37"/>
    </row>
    <row r="67" ht="16.5" customHeight="1" spans="1:16">
      <c r="A67" s="37" t="s">
        <v>576</v>
      </c>
      <c r="B67" s="37" t="s">
        <v>577</v>
      </c>
      <c r="C67" s="37" t="s">
        <v>224</v>
      </c>
      <c r="D67" s="37" t="s">
        <v>598</v>
      </c>
      <c r="E67" s="37">
        <v>15</v>
      </c>
      <c r="F67" s="37">
        <v>10</v>
      </c>
      <c r="G67" s="39">
        <v>0.666666666666667</v>
      </c>
      <c r="H67" s="37">
        <v>5</v>
      </c>
      <c r="I67" s="37">
        <v>3</v>
      </c>
      <c r="J67" s="37">
        <v>2</v>
      </c>
      <c r="K67" s="37">
        <v>0</v>
      </c>
      <c r="L67" s="40">
        <v>6.5</v>
      </c>
      <c r="M67" s="37">
        <v>2</v>
      </c>
      <c r="N67" s="37">
        <v>0</v>
      </c>
      <c r="O67" s="39">
        <v>0</v>
      </c>
      <c r="P67" s="37">
        <v>167</v>
      </c>
    </row>
    <row r="68" ht="16.5" customHeight="1" spans="1:16">
      <c r="A68" s="37" t="s">
        <v>576</v>
      </c>
      <c r="B68" s="37" t="s">
        <v>577</v>
      </c>
      <c r="C68" s="37" t="s">
        <v>224</v>
      </c>
      <c r="D68" s="37" t="s">
        <v>599</v>
      </c>
      <c r="E68" s="37">
        <v>244</v>
      </c>
      <c r="F68" s="37">
        <v>137</v>
      </c>
      <c r="G68" s="39">
        <v>0.561475409836066</v>
      </c>
      <c r="H68" s="37">
        <v>45</v>
      </c>
      <c r="I68" s="37">
        <v>33</v>
      </c>
      <c r="J68" s="37">
        <v>19</v>
      </c>
      <c r="K68" s="37">
        <v>1</v>
      </c>
      <c r="L68" s="40">
        <v>72.6333333333333</v>
      </c>
      <c r="M68" s="37"/>
      <c r="N68" s="37"/>
      <c r="O68" s="39"/>
      <c r="P68" s="37"/>
    </row>
    <row r="69" ht="16.5" customHeight="1" spans="1:16">
      <c r="A69" s="37" t="s">
        <v>576</v>
      </c>
      <c r="B69" s="37" t="s">
        <v>577</v>
      </c>
      <c r="C69" s="37" t="s">
        <v>224</v>
      </c>
      <c r="D69" s="37" t="s">
        <v>600</v>
      </c>
      <c r="E69" s="37">
        <v>212</v>
      </c>
      <c r="F69" s="37">
        <v>82</v>
      </c>
      <c r="G69" s="39">
        <v>0.386792452830189</v>
      </c>
      <c r="H69" s="37">
        <v>41</v>
      </c>
      <c r="I69" s="37">
        <v>30</v>
      </c>
      <c r="J69" s="37">
        <v>19</v>
      </c>
      <c r="K69" s="37">
        <v>1</v>
      </c>
      <c r="L69" s="40">
        <v>54.6833333333333</v>
      </c>
      <c r="M69" s="37"/>
      <c r="N69" s="37"/>
      <c r="O69" s="39"/>
      <c r="P69" s="37"/>
    </row>
    <row r="70" ht="16.5" customHeight="1" spans="1:16">
      <c r="A70" s="37" t="s">
        <v>576</v>
      </c>
      <c r="B70" s="37" t="s">
        <v>577</v>
      </c>
      <c r="C70" s="37" t="s">
        <v>224</v>
      </c>
      <c r="D70" s="37" t="s">
        <v>601</v>
      </c>
      <c r="E70" s="37">
        <v>193</v>
      </c>
      <c r="F70" s="37">
        <v>90</v>
      </c>
      <c r="G70" s="39">
        <v>0.466321243523316</v>
      </c>
      <c r="H70" s="37">
        <v>46</v>
      </c>
      <c r="I70" s="37">
        <v>32</v>
      </c>
      <c r="J70" s="37">
        <v>20</v>
      </c>
      <c r="K70" s="37">
        <v>2</v>
      </c>
      <c r="L70" s="40">
        <v>63.35</v>
      </c>
      <c r="M70" s="37"/>
      <c r="N70" s="37"/>
      <c r="O70" s="39"/>
      <c r="P70" s="37"/>
    </row>
    <row r="71" ht="16.5" customHeight="1" spans="1:16">
      <c r="A71" s="37" t="s">
        <v>576</v>
      </c>
      <c r="B71" s="37" t="s">
        <v>577</v>
      </c>
      <c r="C71" s="37" t="s">
        <v>224</v>
      </c>
      <c r="D71" s="37" t="s">
        <v>602</v>
      </c>
      <c r="E71" s="37">
        <v>199</v>
      </c>
      <c r="F71" s="37">
        <v>105</v>
      </c>
      <c r="G71" s="39">
        <v>0.527638190954774</v>
      </c>
      <c r="H71" s="37">
        <v>36</v>
      </c>
      <c r="I71" s="37">
        <v>28</v>
      </c>
      <c r="J71" s="37">
        <v>7</v>
      </c>
      <c r="K71" s="37">
        <v>0</v>
      </c>
      <c r="L71" s="40">
        <v>50.75</v>
      </c>
      <c r="M71" s="37"/>
      <c r="N71" s="37"/>
      <c r="O71" s="39"/>
      <c r="P71" s="37"/>
    </row>
    <row r="72" ht="16.5" customHeight="1" spans="1:16">
      <c r="A72" s="37" t="s">
        <v>576</v>
      </c>
      <c r="B72" s="37" t="s">
        <v>577</v>
      </c>
      <c r="C72" s="37" t="s">
        <v>224</v>
      </c>
      <c r="D72" s="37" t="s">
        <v>603</v>
      </c>
      <c r="E72" s="37">
        <v>264</v>
      </c>
      <c r="F72" s="37">
        <v>106</v>
      </c>
      <c r="G72" s="39">
        <v>0.401515151515151</v>
      </c>
      <c r="H72" s="37">
        <v>47</v>
      </c>
      <c r="I72" s="37">
        <v>32</v>
      </c>
      <c r="J72" s="37">
        <v>23</v>
      </c>
      <c r="K72" s="37">
        <v>2</v>
      </c>
      <c r="L72" s="40">
        <v>68.45</v>
      </c>
      <c r="M72" s="37"/>
      <c r="N72" s="37"/>
      <c r="O72" s="39"/>
      <c r="P72" s="37"/>
    </row>
    <row r="73" ht="16.5" customHeight="1" spans="1:16">
      <c r="A73" s="37" t="s">
        <v>576</v>
      </c>
      <c r="B73" s="37" t="s">
        <v>577</v>
      </c>
      <c r="C73" s="37" t="s">
        <v>224</v>
      </c>
      <c r="D73" s="37" t="s">
        <v>604</v>
      </c>
      <c r="E73" s="37">
        <v>286</v>
      </c>
      <c r="F73" s="37">
        <v>118</v>
      </c>
      <c r="G73" s="39">
        <v>0.412587412587413</v>
      </c>
      <c r="H73" s="37">
        <v>46</v>
      </c>
      <c r="I73" s="37">
        <v>30</v>
      </c>
      <c r="J73" s="37">
        <v>12</v>
      </c>
      <c r="K73" s="37">
        <v>0</v>
      </c>
      <c r="L73" s="40">
        <v>59.4</v>
      </c>
      <c r="M73" s="37"/>
      <c r="N73" s="37"/>
      <c r="O73" s="39"/>
      <c r="P73" s="37"/>
    </row>
    <row r="74" ht="16.5" customHeight="1" spans="1:16">
      <c r="A74" s="37" t="s">
        <v>576</v>
      </c>
      <c r="B74" s="37" t="s">
        <v>577</v>
      </c>
      <c r="C74" s="37" t="s">
        <v>224</v>
      </c>
      <c r="D74" s="37" t="s">
        <v>605</v>
      </c>
      <c r="E74" s="37">
        <v>188</v>
      </c>
      <c r="F74" s="37">
        <v>65</v>
      </c>
      <c r="G74" s="39">
        <v>0.345744680851064</v>
      </c>
      <c r="H74" s="37">
        <v>30</v>
      </c>
      <c r="I74" s="37">
        <v>27</v>
      </c>
      <c r="J74" s="37">
        <v>15</v>
      </c>
      <c r="K74" s="37">
        <v>0</v>
      </c>
      <c r="L74" s="40">
        <v>39.4666666666667</v>
      </c>
      <c r="M74" s="37"/>
      <c r="N74" s="37"/>
      <c r="O74" s="39"/>
      <c r="P74" s="37"/>
    </row>
    <row r="75" ht="16.5" customHeight="1" spans="1:16">
      <c r="A75" s="37" t="s">
        <v>576</v>
      </c>
      <c r="B75" s="37" t="s">
        <v>577</v>
      </c>
      <c r="C75" s="37" t="s">
        <v>224</v>
      </c>
      <c r="D75" s="37" t="s">
        <v>606</v>
      </c>
      <c r="E75" s="37">
        <v>272</v>
      </c>
      <c r="F75" s="37">
        <v>137</v>
      </c>
      <c r="G75" s="39">
        <v>0.503676470588235</v>
      </c>
      <c r="H75" s="37">
        <v>34</v>
      </c>
      <c r="I75" s="37">
        <v>28</v>
      </c>
      <c r="J75" s="37">
        <v>19</v>
      </c>
      <c r="K75" s="37">
        <v>2</v>
      </c>
      <c r="L75" s="40">
        <v>74.2833333333333</v>
      </c>
      <c r="M75" s="37"/>
      <c r="N75" s="37"/>
      <c r="O75" s="39"/>
      <c r="P75" s="37"/>
    </row>
    <row r="76" ht="16.5" customHeight="1" spans="1:16">
      <c r="A76" s="37" t="s">
        <v>576</v>
      </c>
      <c r="B76" s="37" t="s">
        <v>577</v>
      </c>
      <c r="C76" s="37" t="s">
        <v>264</v>
      </c>
      <c r="D76" s="37" t="s">
        <v>607</v>
      </c>
      <c r="E76" s="37">
        <v>207</v>
      </c>
      <c r="F76" s="37">
        <v>104</v>
      </c>
      <c r="G76" s="39">
        <v>0.502415458937198</v>
      </c>
      <c r="H76" s="37">
        <v>47</v>
      </c>
      <c r="I76" s="37">
        <v>35</v>
      </c>
      <c r="J76" s="37">
        <v>16</v>
      </c>
      <c r="K76" s="37">
        <v>1</v>
      </c>
      <c r="L76" s="40">
        <v>65.6166666666667</v>
      </c>
      <c r="M76" s="37"/>
      <c r="N76" s="37"/>
      <c r="O76" s="39"/>
      <c r="P76" s="37"/>
    </row>
    <row r="77" ht="16.5" customHeight="1" spans="1:16">
      <c r="A77" s="37" t="s">
        <v>576</v>
      </c>
      <c r="B77" s="37" t="s">
        <v>577</v>
      </c>
      <c r="C77" s="37" t="s">
        <v>264</v>
      </c>
      <c r="D77" s="37" t="s">
        <v>608</v>
      </c>
      <c r="E77" s="37">
        <v>161</v>
      </c>
      <c r="F77" s="37">
        <v>78</v>
      </c>
      <c r="G77" s="39">
        <v>0.484472049689441</v>
      </c>
      <c r="H77" s="37">
        <v>48</v>
      </c>
      <c r="I77" s="37">
        <v>36</v>
      </c>
      <c r="J77" s="37">
        <v>10</v>
      </c>
      <c r="K77" s="37">
        <v>1</v>
      </c>
      <c r="L77" s="40">
        <v>50.9</v>
      </c>
      <c r="M77" s="37"/>
      <c r="N77" s="37"/>
      <c r="O77" s="39"/>
      <c r="P77" s="37"/>
    </row>
    <row r="78" ht="16.5" customHeight="1" spans="1:16">
      <c r="A78" s="37" t="s">
        <v>576</v>
      </c>
      <c r="B78" s="37" t="s">
        <v>577</v>
      </c>
      <c r="C78" s="37" t="s">
        <v>264</v>
      </c>
      <c r="D78" s="37" t="s">
        <v>609</v>
      </c>
      <c r="E78" s="37">
        <v>301</v>
      </c>
      <c r="F78" s="37">
        <v>160</v>
      </c>
      <c r="G78" s="39">
        <v>0.53156146179402</v>
      </c>
      <c r="H78" s="37">
        <v>29</v>
      </c>
      <c r="I78" s="37">
        <v>15</v>
      </c>
      <c r="J78" s="37">
        <v>8</v>
      </c>
      <c r="K78" s="37">
        <v>1</v>
      </c>
      <c r="L78" s="40">
        <v>61.7</v>
      </c>
      <c r="M78" s="37"/>
      <c r="N78" s="37"/>
      <c r="O78" s="39"/>
      <c r="P78" s="37"/>
    </row>
    <row r="79" ht="16.5" customHeight="1" spans="1:16">
      <c r="A79" s="37" t="s">
        <v>576</v>
      </c>
      <c r="B79" s="37" t="s">
        <v>577</v>
      </c>
      <c r="C79" s="37" t="s">
        <v>264</v>
      </c>
      <c r="D79" s="37" t="s">
        <v>610</v>
      </c>
      <c r="E79" s="37">
        <v>100</v>
      </c>
      <c r="F79" s="37">
        <v>53</v>
      </c>
      <c r="G79" s="39">
        <v>0.53</v>
      </c>
      <c r="H79" s="37">
        <v>29</v>
      </c>
      <c r="I79" s="37">
        <v>25</v>
      </c>
      <c r="J79" s="37">
        <v>14</v>
      </c>
      <c r="K79" s="37">
        <v>1</v>
      </c>
      <c r="L79" s="40">
        <v>40.4833333333333</v>
      </c>
      <c r="M79" s="37"/>
      <c r="N79" s="37"/>
      <c r="O79" s="39"/>
      <c r="P79" s="37"/>
    </row>
    <row r="80" ht="16.5" customHeight="1" spans="1:16">
      <c r="A80" s="37" t="s">
        <v>576</v>
      </c>
      <c r="B80" s="37" t="s">
        <v>577</v>
      </c>
      <c r="C80" s="37" t="s">
        <v>264</v>
      </c>
      <c r="D80" s="37" t="s">
        <v>611</v>
      </c>
      <c r="E80" s="37">
        <v>198</v>
      </c>
      <c r="F80" s="37">
        <v>87</v>
      </c>
      <c r="G80" s="39">
        <v>0.439393939393939</v>
      </c>
      <c r="H80" s="37">
        <v>38</v>
      </c>
      <c r="I80" s="37">
        <v>35</v>
      </c>
      <c r="J80" s="37">
        <v>24</v>
      </c>
      <c r="K80" s="37">
        <v>1</v>
      </c>
      <c r="L80" s="40">
        <v>57.0666666666667</v>
      </c>
      <c r="M80" s="37"/>
      <c r="N80" s="37"/>
      <c r="O80" s="39"/>
      <c r="P80" s="37"/>
    </row>
    <row r="81" ht="16.5" customHeight="1" spans="1:16">
      <c r="A81" s="37" t="s">
        <v>576</v>
      </c>
      <c r="B81" s="37" t="s">
        <v>577</v>
      </c>
      <c r="C81" s="37" t="s">
        <v>264</v>
      </c>
      <c r="D81" s="37" t="s">
        <v>612</v>
      </c>
      <c r="E81" s="37">
        <v>189</v>
      </c>
      <c r="F81" s="37">
        <v>82</v>
      </c>
      <c r="G81" s="39">
        <v>0.433862433862434</v>
      </c>
      <c r="H81" s="37">
        <v>46</v>
      </c>
      <c r="I81" s="37">
        <v>37</v>
      </c>
      <c r="J81" s="37">
        <v>22</v>
      </c>
      <c r="K81" s="37">
        <v>2</v>
      </c>
      <c r="L81" s="40">
        <v>75.15</v>
      </c>
      <c r="M81" s="37"/>
      <c r="N81" s="37"/>
      <c r="O81" s="39"/>
      <c r="P81" s="37"/>
    </row>
    <row r="82" ht="16.5" customHeight="1" spans="1:16">
      <c r="A82" s="37" t="s">
        <v>576</v>
      </c>
      <c r="B82" s="37" t="s">
        <v>577</v>
      </c>
      <c r="C82" s="37" t="s">
        <v>264</v>
      </c>
      <c r="D82" s="37" t="s">
        <v>438</v>
      </c>
      <c r="E82" s="37">
        <v>170</v>
      </c>
      <c r="F82" s="37">
        <v>53</v>
      </c>
      <c r="G82" s="39">
        <v>0.311764705882353</v>
      </c>
      <c r="H82" s="37">
        <v>29</v>
      </c>
      <c r="I82" s="37">
        <v>28</v>
      </c>
      <c r="J82" s="37">
        <v>18</v>
      </c>
      <c r="K82" s="37">
        <v>2</v>
      </c>
      <c r="L82" s="40">
        <v>45.15</v>
      </c>
      <c r="M82" s="37"/>
      <c r="N82" s="37"/>
      <c r="O82" s="39"/>
      <c r="P82" s="37"/>
    </row>
    <row r="83" ht="16.5" customHeight="1" spans="1:16">
      <c r="A83" s="37" t="s">
        <v>576</v>
      </c>
      <c r="B83" s="37" t="s">
        <v>577</v>
      </c>
      <c r="C83" s="37" t="s">
        <v>264</v>
      </c>
      <c r="D83" s="37" t="s">
        <v>613</v>
      </c>
      <c r="E83" s="37">
        <v>240</v>
      </c>
      <c r="F83" s="37">
        <v>109</v>
      </c>
      <c r="G83" s="39">
        <v>0.454166666666667</v>
      </c>
      <c r="H83" s="37">
        <v>45</v>
      </c>
      <c r="I83" s="37">
        <v>35</v>
      </c>
      <c r="J83" s="37">
        <v>15</v>
      </c>
      <c r="K83" s="37">
        <v>0</v>
      </c>
      <c r="L83" s="40">
        <v>63.8666666666667</v>
      </c>
      <c r="M83" s="37"/>
      <c r="N83" s="37"/>
      <c r="O83" s="39"/>
      <c r="P83" s="37"/>
    </row>
    <row r="84" ht="16.5" customHeight="1" spans="1:16">
      <c r="A84" s="37" t="s">
        <v>576</v>
      </c>
      <c r="B84" s="37" t="s">
        <v>577</v>
      </c>
      <c r="C84" s="37" t="s">
        <v>22</v>
      </c>
      <c r="D84" s="37" t="s">
        <v>614</v>
      </c>
      <c r="E84" s="37">
        <v>152</v>
      </c>
      <c r="F84" s="37">
        <v>79</v>
      </c>
      <c r="G84" s="39">
        <v>0.519736842105263</v>
      </c>
      <c r="H84" s="37">
        <v>34</v>
      </c>
      <c r="I84" s="37">
        <v>27</v>
      </c>
      <c r="J84" s="37">
        <v>19</v>
      </c>
      <c r="K84" s="37">
        <v>0</v>
      </c>
      <c r="L84" s="40">
        <v>49.2666666666667</v>
      </c>
      <c r="M84" s="37"/>
      <c r="N84" s="37"/>
      <c r="O84" s="39"/>
      <c r="P84" s="37"/>
    </row>
    <row r="85" ht="16.5" customHeight="1" spans="1:16">
      <c r="A85" s="37" t="s">
        <v>576</v>
      </c>
      <c r="B85" s="37" t="s">
        <v>577</v>
      </c>
      <c r="C85" s="37" t="s">
        <v>22</v>
      </c>
      <c r="D85" s="37" t="s">
        <v>615</v>
      </c>
      <c r="E85" s="37">
        <v>5</v>
      </c>
      <c r="F85" s="37">
        <v>2</v>
      </c>
      <c r="G85" s="39">
        <v>0.4</v>
      </c>
      <c r="H85" s="37">
        <v>2</v>
      </c>
      <c r="I85" s="37">
        <v>2</v>
      </c>
      <c r="J85" s="37">
        <v>2</v>
      </c>
      <c r="K85" s="37">
        <v>1</v>
      </c>
      <c r="L85" s="40">
        <v>6.2</v>
      </c>
      <c r="M85" s="37">
        <v>1</v>
      </c>
      <c r="N85" s="37">
        <v>0</v>
      </c>
      <c r="O85" s="39">
        <v>0</v>
      </c>
      <c r="P85" s="37">
        <v>127</v>
      </c>
    </row>
    <row r="86" ht="16.5" customHeight="1" spans="1:16">
      <c r="A86" s="37" t="s">
        <v>576</v>
      </c>
      <c r="B86" s="37" t="s">
        <v>577</v>
      </c>
      <c r="C86" s="37" t="s">
        <v>22</v>
      </c>
      <c r="D86" s="37" t="s">
        <v>616</v>
      </c>
      <c r="E86" s="37">
        <v>19</v>
      </c>
      <c r="F86" s="37">
        <v>11</v>
      </c>
      <c r="G86" s="39">
        <v>0.578947368421053</v>
      </c>
      <c r="H86" s="37">
        <v>9</v>
      </c>
      <c r="I86" s="37">
        <v>9</v>
      </c>
      <c r="J86" s="37">
        <v>6</v>
      </c>
      <c r="K86" s="37">
        <v>2</v>
      </c>
      <c r="L86" s="40">
        <v>19.2833333333333</v>
      </c>
      <c r="M86" s="37">
        <v>1</v>
      </c>
      <c r="N86" s="37">
        <v>1</v>
      </c>
      <c r="O86" s="39">
        <v>1</v>
      </c>
      <c r="P86" s="37">
        <v>97</v>
      </c>
    </row>
    <row r="87" ht="16.5" customHeight="1" spans="1:16">
      <c r="A87" s="37" t="s">
        <v>576</v>
      </c>
      <c r="B87" s="37" t="s">
        <v>577</v>
      </c>
      <c r="C87" s="37" t="s">
        <v>22</v>
      </c>
      <c r="D87" s="37" t="s">
        <v>617</v>
      </c>
      <c r="E87" s="37">
        <v>80</v>
      </c>
      <c r="F87" s="37">
        <v>41</v>
      </c>
      <c r="G87" s="39">
        <v>0.5125</v>
      </c>
      <c r="H87" s="37">
        <v>26</v>
      </c>
      <c r="I87" s="37">
        <v>19</v>
      </c>
      <c r="J87" s="37">
        <v>10</v>
      </c>
      <c r="K87" s="37">
        <v>1</v>
      </c>
      <c r="L87" s="40">
        <v>33.8166666666667</v>
      </c>
      <c r="M87" s="37">
        <v>1</v>
      </c>
      <c r="N87" s="37">
        <v>0</v>
      </c>
      <c r="O87" s="39">
        <v>0</v>
      </c>
      <c r="P87" s="37">
        <v>65</v>
      </c>
    </row>
    <row r="88" ht="16.5" customHeight="1" spans="1:16">
      <c r="A88" s="37" t="s">
        <v>576</v>
      </c>
      <c r="B88" s="37" t="s">
        <v>577</v>
      </c>
      <c r="C88" s="37" t="s">
        <v>22</v>
      </c>
      <c r="D88" s="37" t="s">
        <v>618</v>
      </c>
      <c r="E88" s="37">
        <v>51</v>
      </c>
      <c r="F88" s="37">
        <v>28</v>
      </c>
      <c r="G88" s="39">
        <v>0.549019607843137</v>
      </c>
      <c r="H88" s="37">
        <v>12</v>
      </c>
      <c r="I88" s="37">
        <v>12</v>
      </c>
      <c r="J88" s="37">
        <v>9</v>
      </c>
      <c r="K88" s="37">
        <v>0</v>
      </c>
      <c r="L88" s="40">
        <v>21.6</v>
      </c>
      <c r="M88" s="37"/>
      <c r="N88" s="37"/>
      <c r="O88" s="39"/>
      <c r="P88" s="37"/>
    </row>
    <row r="89" ht="16.5" customHeight="1" spans="1:16">
      <c r="A89" s="37" t="s">
        <v>576</v>
      </c>
      <c r="B89" s="37" t="s">
        <v>577</v>
      </c>
      <c r="C89" s="37" t="s">
        <v>22</v>
      </c>
      <c r="D89" s="37" t="s">
        <v>619</v>
      </c>
      <c r="E89" s="37">
        <v>42</v>
      </c>
      <c r="F89" s="37">
        <v>16</v>
      </c>
      <c r="G89" s="39">
        <v>0.380952380952381</v>
      </c>
      <c r="H89" s="37">
        <v>6</v>
      </c>
      <c r="I89" s="37">
        <v>5</v>
      </c>
      <c r="J89" s="37">
        <v>3</v>
      </c>
      <c r="K89" s="37">
        <v>0</v>
      </c>
      <c r="L89" s="40">
        <v>10.9</v>
      </c>
      <c r="M89" s="37">
        <v>1</v>
      </c>
      <c r="N89" s="37">
        <v>0</v>
      </c>
      <c r="O89" s="39">
        <v>0</v>
      </c>
      <c r="P89" s="37">
        <v>0</v>
      </c>
    </row>
    <row r="90" ht="16.5" customHeight="1" spans="1:16">
      <c r="A90" s="37" t="s">
        <v>576</v>
      </c>
      <c r="B90" s="37" t="s">
        <v>577</v>
      </c>
      <c r="C90" s="37" t="s">
        <v>22</v>
      </c>
      <c r="D90" s="37" t="s">
        <v>620</v>
      </c>
      <c r="E90" s="37">
        <v>21</v>
      </c>
      <c r="F90" s="37">
        <v>5</v>
      </c>
      <c r="G90" s="39">
        <v>0.238095238095238</v>
      </c>
      <c r="H90" s="37">
        <v>4</v>
      </c>
      <c r="I90" s="37">
        <v>4</v>
      </c>
      <c r="J90" s="37">
        <v>2</v>
      </c>
      <c r="K90" s="37">
        <v>0</v>
      </c>
      <c r="L90" s="40">
        <v>4.78333333333333</v>
      </c>
      <c r="M90" s="37"/>
      <c r="N90" s="37"/>
      <c r="O90" s="39"/>
      <c r="P90" s="37"/>
    </row>
    <row r="91" ht="16.5" customHeight="1" spans="1:16">
      <c r="A91" s="37" t="s">
        <v>576</v>
      </c>
      <c r="B91" s="37" t="s">
        <v>101</v>
      </c>
      <c r="C91" s="37" t="s">
        <v>102</v>
      </c>
      <c r="D91" s="37" t="s">
        <v>106</v>
      </c>
      <c r="E91" s="37"/>
      <c r="F91" s="37"/>
      <c r="G91" s="39"/>
      <c r="H91" s="37"/>
      <c r="I91" s="37"/>
      <c r="J91" s="37"/>
      <c r="K91" s="37"/>
      <c r="L91" s="40"/>
      <c r="M91" s="37">
        <v>1</v>
      </c>
      <c r="N91" s="37">
        <v>0</v>
      </c>
      <c r="O91" s="39">
        <v>0</v>
      </c>
      <c r="P91" s="37">
        <v>45</v>
      </c>
    </row>
    <row r="92" ht="16.5" customHeight="1" spans="1:16">
      <c r="A92" s="37" t="s">
        <v>576</v>
      </c>
      <c r="B92" s="37" t="s">
        <v>101</v>
      </c>
      <c r="C92" s="37" t="s">
        <v>102</v>
      </c>
      <c r="D92" s="37" t="s">
        <v>103</v>
      </c>
      <c r="E92" s="37"/>
      <c r="F92" s="37"/>
      <c r="G92" s="39"/>
      <c r="H92" s="37"/>
      <c r="I92" s="37"/>
      <c r="J92" s="37"/>
      <c r="K92" s="37"/>
      <c r="L92" s="40"/>
      <c r="M92" s="37">
        <v>1</v>
      </c>
      <c r="N92" s="37">
        <v>0</v>
      </c>
      <c r="O92" s="39">
        <v>0</v>
      </c>
      <c r="P92" s="37">
        <v>45</v>
      </c>
    </row>
    <row r="93" ht="16.5" customHeight="1" spans="1:16">
      <c r="A93" s="37" t="s">
        <v>576</v>
      </c>
      <c r="B93" s="37" t="s">
        <v>101</v>
      </c>
      <c r="C93" s="37" t="s">
        <v>52</v>
      </c>
      <c r="D93" s="37" t="s">
        <v>380</v>
      </c>
      <c r="E93" s="37">
        <v>3</v>
      </c>
      <c r="F93" s="37">
        <v>2</v>
      </c>
      <c r="G93" s="39">
        <v>0.666666666666667</v>
      </c>
      <c r="H93" s="37">
        <v>1</v>
      </c>
      <c r="I93" s="37">
        <v>1</v>
      </c>
      <c r="J93" s="37">
        <v>1</v>
      </c>
      <c r="K93" s="37">
        <v>0</v>
      </c>
      <c r="L93" s="40">
        <v>3.05</v>
      </c>
      <c r="M93" s="37"/>
      <c r="N93" s="37"/>
      <c r="O93" s="39"/>
      <c r="P93" s="37"/>
    </row>
    <row r="94" ht="16.5" customHeight="1" spans="1:16">
      <c r="A94" s="37" t="s">
        <v>576</v>
      </c>
      <c r="B94" s="37" t="s">
        <v>101</v>
      </c>
      <c r="C94" s="37" t="s">
        <v>52</v>
      </c>
      <c r="D94" s="37" t="s">
        <v>383</v>
      </c>
      <c r="E94" s="37">
        <v>3</v>
      </c>
      <c r="F94" s="37">
        <v>0</v>
      </c>
      <c r="G94" s="39">
        <v>0</v>
      </c>
      <c r="H94" s="37">
        <v>0</v>
      </c>
      <c r="I94" s="37">
        <v>0</v>
      </c>
      <c r="J94" s="37">
        <v>0</v>
      </c>
      <c r="K94" s="37">
        <v>0</v>
      </c>
      <c r="L94" s="40">
        <v>0</v>
      </c>
      <c r="M94" s="37"/>
      <c r="N94" s="37"/>
      <c r="O94" s="39"/>
      <c r="P94" s="37"/>
    </row>
    <row r="95" ht="16.5" customHeight="1" spans="1:16">
      <c r="A95" s="37" t="s">
        <v>576</v>
      </c>
      <c r="B95" s="37" t="s">
        <v>101</v>
      </c>
      <c r="C95" s="37" t="s">
        <v>52</v>
      </c>
      <c r="D95" s="37" t="s">
        <v>374</v>
      </c>
      <c r="E95" s="37">
        <v>5</v>
      </c>
      <c r="F95" s="37">
        <v>3</v>
      </c>
      <c r="G95" s="39">
        <v>0.6</v>
      </c>
      <c r="H95" s="37">
        <v>0</v>
      </c>
      <c r="I95" s="37">
        <v>0</v>
      </c>
      <c r="J95" s="37">
        <v>0</v>
      </c>
      <c r="K95" s="37">
        <v>0</v>
      </c>
      <c r="L95" s="40">
        <v>0.816666666666667</v>
      </c>
      <c r="M95" s="37">
        <v>1</v>
      </c>
      <c r="N95" s="37">
        <v>0</v>
      </c>
      <c r="O95" s="39">
        <v>0</v>
      </c>
      <c r="P95" s="37">
        <v>44</v>
      </c>
    </row>
    <row r="96" ht="16.5" customHeight="1" spans="1:16">
      <c r="A96" s="37" t="s">
        <v>576</v>
      </c>
      <c r="B96" s="37" t="s">
        <v>101</v>
      </c>
      <c r="C96" s="37" t="s">
        <v>52</v>
      </c>
      <c r="D96" s="37" t="s">
        <v>364</v>
      </c>
      <c r="E96" s="37">
        <v>8</v>
      </c>
      <c r="F96" s="37">
        <v>5</v>
      </c>
      <c r="G96" s="39">
        <v>0.625</v>
      </c>
      <c r="H96" s="37">
        <v>2</v>
      </c>
      <c r="I96" s="37">
        <v>2</v>
      </c>
      <c r="J96" s="37">
        <v>1</v>
      </c>
      <c r="K96" s="37">
        <v>0</v>
      </c>
      <c r="L96" s="40">
        <v>2.9</v>
      </c>
      <c r="M96" s="37"/>
      <c r="N96" s="37"/>
      <c r="O96" s="39"/>
      <c r="P96" s="37"/>
    </row>
    <row r="97" ht="16.5" customHeight="1" spans="1:16">
      <c r="A97" s="37" t="s">
        <v>576</v>
      </c>
      <c r="B97" s="37" t="s">
        <v>101</v>
      </c>
      <c r="C97" s="37" t="s">
        <v>52</v>
      </c>
      <c r="D97" s="37" t="s">
        <v>368</v>
      </c>
      <c r="E97" s="37">
        <v>3</v>
      </c>
      <c r="F97" s="37">
        <v>0</v>
      </c>
      <c r="G97" s="39">
        <v>0</v>
      </c>
      <c r="H97" s="37">
        <v>0</v>
      </c>
      <c r="I97" s="37">
        <v>0</v>
      </c>
      <c r="J97" s="37">
        <v>0</v>
      </c>
      <c r="K97" s="37">
        <v>0</v>
      </c>
      <c r="L97" s="40">
        <v>0</v>
      </c>
      <c r="M97" s="37"/>
      <c r="N97" s="37"/>
      <c r="O97" s="39"/>
      <c r="P97" s="37"/>
    </row>
    <row r="98" ht="16.5" customHeight="1" spans="1:16">
      <c r="A98" s="37" t="s">
        <v>576</v>
      </c>
      <c r="B98" s="37" t="s">
        <v>101</v>
      </c>
      <c r="C98" s="37" t="s">
        <v>52</v>
      </c>
      <c r="D98" s="37" t="s">
        <v>371</v>
      </c>
      <c r="E98" s="37">
        <v>16</v>
      </c>
      <c r="F98" s="37">
        <v>5</v>
      </c>
      <c r="G98" s="39">
        <v>0.3125</v>
      </c>
      <c r="H98" s="37">
        <v>3</v>
      </c>
      <c r="I98" s="37">
        <v>0</v>
      </c>
      <c r="J98" s="37">
        <v>0</v>
      </c>
      <c r="K98" s="37">
        <v>0</v>
      </c>
      <c r="L98" s="40">
        <v>2.51666666666667</v>
      </c>
      <c r="M98" s="37"/>
      <c r="N98" s="37"/>
      <c r="O98" s="39"/>
      <c r="P98" s="37"/>
    </row>
    <row r="99" ht="16.5" customHeight="1" spans="1:16">
      <c r="A99" s="37" t="s">
        <v>576</v>
      </c>
      <c r="B99" s="37" t="s">
        <v>101</v>
      </c>
      <c r="C99" s="37" t="s">
        <v>75</v>
      </c>
      <c r="D99" s="37" t="s">
        <v>116</v>
      </c>
      <c r="E99" s="37">
        <v>277</v>
      </c>
      <c r="F99" s="37">
        <v>100</v>
      </c>
      <c r="G99" s="39">
        <v>0.36101083032491</v>
      </c>
      <c r="H99" s="37">
        <v>57</v>
      </c>
      <c r="I99" s="37">
        <v>39</v>
      </c>
      <c r="J99" s="37">
        <v>27</v>
      </c>
      <c r="K99" s="37">
        <v>3</v>
      </c>
      <c r="L99" s="40">
        <v>79.9333333333333</v>
      </c>
      <c r="M99" s="37"/>
      <c r="N99" s="37"/>
      <c r="O99" s="39"/>
      <c r="P99" s="37"/>
    </row>
    <row r="100" ht="16.5" customHeight="1" spans="1:16">
      <c r="A100" s="37" t="s">
        <v>576</v>
      </c>
      <c r="B100" s="37" t="s">
        <v>101</v>
      </c>
      <c r="C100" s="37" t="s">
        <v>75</v>
      </c>
      <c r="D100" s="37" t="s">
        <v>122</v>
      </c>
      <c r="E100" s="37">
        <v>257</v>
      </c>
      <c r="F100" s="37">
        <v>118</v>
      </c>
      <c r="G100" s="39">
        <v>0.459143968871595</v>
      </c>
      <c r="H100" s="37">
        <v>43</v>
      </c>
      <c r="I100" s="37">
        <v>30</v>
      </c>
      <c r="J100" s="37">
        <v>10</v>
      </c>
      <c r="K100" s="37">
        <v>1</v>
      </c>
      <c r="L100" s="40">
        <v>63.5833333333333</v>
      </c>
      <c r="M100" s="37"/>
      <c r="N100" s="37"/>
      <c r="O100" s="39"/>
      <c r="P100" s="37"/>
    </row>
    <row r="101" ht="16.5" customHeight="1" spans="1:16">
      <c r="A101" s="37" t="s">
        <v>576</v>
      </c>
      <c r="B101" s="37" t="s">
        <v>101</v>
      </c>
      <c r="C101" s="37" t="s">
        <v>75</v>
      </c>
      <c r="D101" s="37" t="s">
        <v>113</v>
      </c>
      <c r="E101" s="37">
        <v>194</v>
      </c>
      <c r="F101" s="37">
        <v>84</v>
      </c>
      <c r="G101" s="39">
        <v>0.43298969072165</v>
      </c>
      <c r="H101" s="37">
        <v>51</v>
      </c>
      <c r="I101" s="37">
        <v>41</v>
      </c>
      <c r="J101" s="37">
        <v>8</v>
      </c>
      <c r="K101" s="37">
        <v>3</v>
      </c>
      <c r="L101" s="40">
        <v>63.25</v>
      </c>
      <c r="M101" s="37"/>
      <c r="N101" s="37"/>
      <c r="O101" s="39"/>
      <c r="P101" s="37"/>
    </row>
    <row r="102" ht="16.5" customHeight="1" spans="1:16">
      <c r="A102" s="37" t="s">
        <v>576</v>
      </c>
      <c r="B102" s="37" t="s">
        <v>101</v>
      </c>
      <c r="C102" s="37" t="s">
        <v>75</v>
      </c>
      <c r="D102" s="37" t="s">
        <v>109</v>
      </c>
      <c r="E102" s="37">
        <v>293</v>
      </c>
      <c r="F102" s="37">
        <v>125</v>
      </c>
      <c r="G102" s="39">
        <v>0.426621160409556</v>
      </c>
      <c r="H102" s="37">
        <v>46</v>
      </c>
      <c r="I102" s="37">
        <v>39</v>
      </c>
      <c r="J102" s="37">
        <v>18</v>
      </c>
      <c r="K102" s="37">
        <v>1</v>
      </c>
      <c r="L102" s="40">
        <v>68.35</v>
      </c>
      <c r="M102" s="37"/>
      <c r="N102" s="37"/>
      <c r="O102" s="39"/>
      <c r="P102" s="37"/>
    </row>
    <row r="103" ht="16.5" customHeight="1" spans="1:16">
      <c r="A103" s="37" t="s">
        <v>576</v>
      </c>
      <c r="B103" s="37" t="s">
        <v>101</v>
      </c>
      <c r="C103" s="37" t="s">
        <v>75</v>
      </c>
      <c r="D103" s="37" t="s">
        <v>119</v>
      </c>
      <c r="E103" s="37">
        <v>288</v>
      </c>
      <c r="F103" s="37">
        <v>123</v>
      </c>
      <c r="G103" s="39">
        <v>0.427083333333333</v>
      </c>
      <c r="H103" s="37">
        <v>50</v>
      </c>
      <c r="I103" s="37">
        <v>31</v>
      </c>
      <c r="J103" s="37">
        <v>16</v>
      </c>
      <c r="K103" s="37">
        <v>1</v>
      </c>
      <c r="L103" s="40">
        <v>67.25</v>
      </c>
      <c r="M103" s="37"/>
      <c r="N103" s="37"/>
      <c r="O103" s="39"/>
      <c r="P103" s="37"/>
    </row>
    <row r="104" ht="16.5" customHeight="1" spans="1:16">
      <c r="A104" s="37" t="s">
        <v>576</v>
      </c>
      <c r="B104" s="37" t="s">
        <v>101</v>
      </c>
      <c r="C104" s="37" t="s">
        <v>151</v>
      </c>
      <c r="D104" s="37" t="s">
        <v>331</v>
      </c>
      <c r="E104" s="37">
        <v>267</v>
      </c>
      <c r="F104" s="37">
        <v>118</v>
      </c>
      <c r="G104" s="39">
        <v>0.441947565543071</v>
      </c>
      <c r="H104" s="37">
        <v>53</v>
      </c>
      <c r="I104" s="37">
        <v>39</v>
      </c>
      <c r="J104" s="37">
        <v>15</v>
      </c>
      <c r="K104" s="37">
        <v>0</v>
      </c>
      <c r="L104" s="40">
        <v>68</v>
      </c>
      <c r="M104" s="37"/>
      <c r="N104" s="37"/>
      <c r="O104" s="39"/>
      <c r="P104" s="37"/>
    </row>
    <row r="105" ht="16.5" customHeight="1" spans="1:16">
      <c r="A105" s="37" t="s">
        <v>576</v>
      </c>
      <c r="B105" s="37" t="s">
        <v>101</v>
      </c>
      <c r="C105" s="37" t="s">
        <v>151</v>
      </c>
      <c r="D105" s="37" t="s">
        <v>328</v>
      </c>
      <c r="E105" s="37">
        <v>180</v>
      </c>
      <c r="F105" s="37">
        <v>78</v>
      </c>
      <c r="G105" s="39">
        <v>0.433333333333333</v>
      </c>
      <c r="H105" s="37">
        <v>35</v>
      </c>
      <c r="I105" s="37">
        <v>28</v>
      </c>
      <c r="J105" s="37">
        <v>15</v>
      </c>
      <c r="K105" s="37">
        <v>4</v>
      </c>
      <c r="L105" s="40">
        <v>58.5833333333333</v>
      </c>
      <c r="M105" s="37"/>
      <c r="N105" s="37"/>
      <c r="O105" s="39"/>
      <c r="P105" s="37"/>
    </row>
    <row r="106" ht="16.5" customHeight="1" spans="1:16">
      <c r="A106" s="37" t="s">
        <v>576</v>
      </c>
      <c r="B106" s="37" t="s">
        <v>101</v>
      </c>
      <c r="C106" s="37" t="s">
        <v>151</v>
      </c>
      <c r="D106" s="37" t="s">
        <v>320</v>
      </c>
      <c r="E106" s="37">
        <v>237</v>
      </c>
      <c r="F106" s="37">
        <v>117</v>
      </c>
      <c r="G106" s="39">
        <v>0.493670886075949</v>
      </c>
      <c r="H106" s="37">
        <v>43</v>
      </c>
      <c r="I106" s="37">
        <v>31</v>
      </c>
      <c r="J106" s="37">
        <v>17</v>
      </c>
      <c r="K106" s="37">
        <v>1</v>
      </c>
      <c r="L106" s="40">
        <v>66.9833333333333</v>
      </c>
      <c r="M106" s="37"/>
      <c r="N106" s="37"/>
      <c r="O106" s="39"/>
      <c r="P106" s="37"/>
    </row>
    <row r="107" ht="16.5" customHeight="1" spans="1:16">
      <c r="A107" s="37" t="s">
        <v>576</v>
      </c>
      <c r="B107" s="37" t="s">
        <v>101</v>
      </c>
      <c r="C107" s="37" t="s">
        <v>151</v>
      </c>
      <c r="D107" s="37" t="s">
        <v>337</v>
      </c>
      <c r="E107" s="37">
        <v>266</v>
      </c>
      <c r="F107" s="37">
        <v>135</v>
      </c>
      <c r="G107" s="39">
        <v>0.507518796992481</v>
      </c>
      <c r="H107" s="37">
        <v>52</v>
      </c>
      <c r="I107" s="37">
        <v>28</v>
      </c>
      <c r="J107" s="37">
        <v>24</v>
      </c>
      <c r="K107" s="37">
        <v>1</v>
      </c>
      <c r="L107" s="40">
        <v>72.85</v>
      </c>
      <c r="M107" s="37"/>
      <c r="N107" s="37"/>
      <c r="O107" s="39"/>
      <c r="P107" s="37"/>
    </row>
    <row r="108" ht="16.5" customHeight="1" spans="1:16">
      <c r="A108" s="37" t="s">
        <v>576</v>
      </c>
      <c r="B108" s="37" t="s">
        <v>101</v>
      </c>
      <c r="C108" s="37" t="s">
        <v>151</v>
      </c>
      <c r="D108" s="37" t="s">
        <v>323</v>
      </c>
      <c r="E108" s="37">
        <v>80</v>
      </c>
      <c r="F108" s="37">
        <v>35</v>
      </c>
      <c r="G108" s="39">
        <v>0.4375</v>
      </c>
      <c r="H108" s="37">
        <v>27</v>
      </c>
      <c r="I108" s="37">
        <v>23</v>
      </c>
      <c r="J108" s="37">
        <v>18</v>
      </c>
      <c r="K108" s="37">
        <v>0</v>
      </c>
      <c r="L108" s="40">
        <v>38.0333333333333</v>
      </c>
      <c r="M108" s="37"/>
      <c r="N108" s="37"/>
      <c r="O108" s="39"/>
      <c r="P108" s="37"/>
    </row>
    <row r="109" ht="16.5" customHeight="1" spans="1:16">
      <c r="A109" s="37" t="s">
        <v>576</v>
      </c>
      <c r="B109" s="37" t="s">
        <v>101</v>
      </c>
      <c r="C109" s="37" t="s">
        <v>151</v>
      </c>
      <c r="D109" s="37" t="s">
        <v>334</v>
      </c>
      <c r="E109" s="37">
        <v>283</v>
      </c>
      <c r="F109" s="37">
        <v>158</v>
      </c>
      <c r="G109" s="39">
        <v>0.558303886925795</v>
      </c>
      <c r="H109" s="37">
        <v>70</v>
      </c>
      <c r="I109" s="37">
        <v>44</v>
      </c>
      <c r="J109" s="37">
        <v>28</v>
      </c>
      <c r="K109" s="37">
        <v>0</v>
      </c>
      <c r="L109" s="40">
        <v>97.3166666666667</v>
      </c>
      <c r="M109" s="37"/>
      <c r="N109" s="37"/>
      <c r="O109" s="39"/>
      <c r="P109" s="37"/>
    </row>
    <row r="110" ht="16.5" customHeight="1" spans="1:16">
      <c r="A110" s="37" t="s">
        <v>576</v>
      </c>
      <c r="B110" s="37" t="s">
        <v>101</v>
      </c>
      <c r="C110" s="37" t="s">
        <v>151</v>
      </c>
      <c r="D110" s="37" t="s">
        <v>316</v>
      </c>
      <c r="E110" s="37">
        <v>89</v>
      </c>
      <c r="F110" s="37">
        <v>40</v>
      </c>
      <c r="G110" s="39">
        <v>0.449438202247191</v>
      </c>
      <c r="H110" s="37">
        <v>20</v>
      </c>
      <c r="I110" s="37">
        <v>15</v>
      </c>
      <c r="J110" s="37">
        <v>10</v>
      </c>
      <c r="K110" s="37">
        <v>2</v>
      </c>
      <c r="L110" s="40">
        <v>39.0666666666667</v>
      </c>
      <c r="M110" s="37"/>
      <c r="N110" s="37"/>
      <c r="O110" s="39"/>
      <c r="P110" s="37"/>
    </row>
    <row r="111" ht="16.5" customHeight="1" spans="1:16">
      <c r="A111" s="37" t="s">
        <v>576</v>
      </c>
      <c r="B111" s="37" t="s">
        <v>101</v>
      </c>
      <c r="C111" s="37" t="s">
        <v>224</v>
      </c>
      <c r="D111" s="37" t="s">
        <v>398</v>
      </c>
      <c r="E111" s="37">
        <v>127</v>
      </c>
      <c r="F111" s="37">
        <v>31</v>
      </c>
      <c r="G111" s="39">
        <v>0.244094488188976</v>
      </c>
      <c r="H111" s="37">
        <v>20</v>
      </c>
      <c r="I111" s="37">
        <v>18</v>
      </c>
      <c r="J111" s="37">
        <v>8</v>
      </c>
      <c r="K111" s="37">
        <v>1</v>
      </c>
      <c r="L111" s="40">
        <v>28.2166666666667</v>
      </c>
      <c r="M111" s="37"/>
      <c r="N111" s="37"/>
      <c r="O111" s="39"/>
      <c r="P111" s="37"/>
    </row>
    <row r="112" ht="16.5" customHeight="1" spans="1:16">
      <c r="A112" s="37" t="s">
        <v>576</v>
      </c>
      <c r="B112" s="37" t="s">
        <v>101</v>
      </c>
      <c r="C112" s="37" t="s">
        <v>224</v>
      </c>
      <c r="D112" s="37" t="s">
        <v>386</v>
      </c>
      <c r="E112" s="37">
        <v>193</v>
      </c>
      <c r="F112" s="37">
        <v>82</v>
      </c>
      <c r="G112" s="39">
        <v>0.424870466321244</v>
      </c>
      <c r="H112" s="37">
        <v>37</v>
      </c>
      <c r="I112" s="37">
        <v>30</v>
      </c>
      <c r="J112" s="37">
        <v>15</v>
      </c>
      <c r="K112" s="37">
        <v>1</v>
      </c>
      <c r="L112" s="40">
        <v>52.3833333333333</v>
      </c>
      <c r="M112" s="37"/>
      <c r="N112" s="37"/>
      <c r="O112" s="39"/>
      <c r="P112" s="37"/>
    </row>
    <row r="113" ht="16.5" customHeight="1" spans="1:16">
      <c r="A113" s="37" t="s">
        <v>576</v>
      </c>
      <c r="B113" s="37" t="s">
        <v>101</v>
      </c>
      <c r="C113" s="37" t="s">
        <v>224</v>
      </c>
      <c r="D113" s="37" t="s">
        <v>413</v>
      </c>
      <c r="E113" s="37">
        <v>194</v>
      </c>
      <c r="F113" s="37">
        <v>79</v>
      </c>
      <c r="G113" s="39">
        <v>0.407216494845361</v>
      </c>
      <c r="H113" s="37">
        <v>29</v>
      </c>
      <c r="I113" s="37">
        <v>18</v>
      </c>
      <c r="J113" s="37">
        <v>4</v>
      </c>
      <c r="K113" s="37">
        <v>0</v>
      </c>
      <c r="L113" s="40">
        <v>36.7166666666667</v>
      </c>
      <c r="M113" s="37"/>
      <c r="N113" s="37"/>
      <c r="O113" s="39"/>
      <c r="P113" s="37"/>
    </row>
    <row r="114" ht="16.5" customHeight="1" spans="1:16">
      <c r="A114" s="37" t="s">
        <v>576</v>
      </c>
      <c r="B114" s="37" t="s">
        <v>101</v>
      </c>
      <c r="C114" s="37" t="s">
        <v>224</v>
      </c>
      <c r="D114" s="37" t="s">
        <v>400</v>
      </c>
      <c r="E114" s="37">
        <v>191</v>
      </c>
      <c r="F114" s="37">
        <v>45</v>
      </c>
      <c r="G114" s="39">
        <v>0.235602094240838</v>
      </c>
      <c r="H114" s="37">
        <v>26</v>
      </c>
      <c r="I114" s="37">
        <v>23</v>
      </c>
      <c r="J114" s="37">
        <v>5</v>
      </c>
      <c r="K114" s="37">
        <v>1</v>
      </c>
      <c r="L114" s="40">
        <v>31.35</v>
      </c>
      <c r="M114" s="37"/>
      <c r="N114" s="37"/>
      <c r="O114" s="39"/>
      <c r="P114" s="37"/>
    </row>
    <row r="115" ht="16.5" customHeight="1" spans="1:16">
      <c r="A115" s="37" t="s">
        <v>576</v>
      </c>
      <c r="B115" s="37" t="s">
        <v>101</v>
      </c>
      <c r="C115" s="37" t="s">
        <v>224</v>
      </c>
      <c r="D115" s="37" t="s">
        <v>394</v>
      </c>
      <c r="E115" s="37">
        <v>267</v>
      </c>
      <c r="F115" s="37">
        <v>102</v>
      </c>
      <c r="G115" s="39">
        <v>0.382022471910112</v>
      </c>
      <c r="H115" s="37">
        <v>53</v>
      </c>
      <c r="I115" s="37">
        <v>25</v>
      </c>
      <c r="J115" s="37">
        <v>15</v>
      </c>
      <c r="K115" s="37">
        <v>1</v>
      </c>
      <c r="L115" s="40">
        <v>62.8833333333333</v>
      </c>
      <c r="M115" s="37"/>
      <c r="N115" s="37"/>
      <c r="O115" s="39"/>
      <c r="P115" s="37"/>
    </row>
    <row r="116" ht="16.5" customHeight="1" spans="1:16">
      <c r="A116" s="37" t="s">
        <v>576</v>
      </c>
      <c r="B116" s="37" t="s">
        <v>101</v>
      </c>
      <c r="C116" s="37" t="s">
        <v>224</v>
      </c>
      <c r="D116" s="37" t="s">
        <v>403</v>
      </c>
      <c r="E116" s="37">
        <v>136</v>
      </c>
      <c r="F116" s="37">
        <v>62</v>
      </c>
      <c r="G116" s="39">
        <v>0.455882352941176</v>
      </c>
      <c r="H116" s="37">
        <v>31</v>
      </c>
      <c r="I116" s="37">
        <v>25</v>
      </c>
      <c r="J116" s="37">
        <v>11</v>
      </c>
      <c r="K116" s="37">
        <v>1</v>
      </c>
      <c r="L116" s="40">
        <v>43.5166666666667</v>
      </c>
      <c r="M116" s="37"/>
      <c r="N116" s="37"/>
      <c r="O116" s="39"/>
      <c r="P116" s="37"/>
    </row>
    <row r="117" ht="16.5" customHeight="1" spans="1:16">
      <c r="A117" s="37" t="s">
        <v>576</v>
      </c>
      <c r="B117" s="37" t="s">
        <v>101</v>
      </c>
      <c r="C117" s="37" t="s">
        <v>224</v>
      </c>
      <c r="D117" s="37" t="s">
        <v>389</v>
      </c>
      <c r="E117" s="37">
        <v>44</v>
      </c>
      <c r="F117" s="37">
        <v>25</v>
      </c>
      <c r="G117" s="39">
        <v>0.568181818181818</v>
      </c>
      <c r="H117" s="37">
        <v>14</v>
      </c>
      <c r="I117" s="37">
        <v>9</v>
      </c>
      <c r="J117" s="37">
        <v>5</v>
      </c>
      <c r="K117" s="37">
        <v>0</v>
      </c>
      <c r="L117" s="40">
        <v>20.7666666666667</v>
      </c>
      <c r="M117" s="37"/>
      <c r="N117" s="37"/>
      <c r="O117" s="39"/>
      <c r="P117" s="37"/>
    </row>
    <row r="118" ht="16.5" customHeight="1" spans="1:16">
      <c r="A118" s="37" t="s">
        <v>576</v>
      </c>
      <c r="B118" s="37" t="s">
        <v>101</v>
      </c>
      <c r="C118" s="37" t="s">
        <v>224</v>
      </c>
      <c r="D118" s="37" t="s">
        <v>405</v>
      </c>
      <c r="E118" s="37">
        <v>143</v>
      </c>
      <c r="F118" s="37">
        <v>57</v>
      </c>
      <c r="G118" s="39">
        <v>0.398601398601399</v>
      </c>
      <c r="H118" s="37">
        <v>39</v>
      </c>
      <c r="I118" s="37">
        <v>24</v>
      </c>
      <c r="J118" s="37">
        <v>15</v>
      </c>
      <c r="K118" s="37">
        <v>0</v>
      </c>
      <c r="L118" s="40">
        <v>40.9833333333333</v>
      </c>
      <c r="M118" s="37"/>
      <c r="N118" s="37"/>
      <c r="O118" s="39"/>
      <c r="P118" s="37"/>
    </row>
    <row r="119" ht="16.5" customHeight="1" spans="1:16">
      <c r="A119" s="37" t="s">
        <v>576</v>
      </c>
      <c r="B119" s="37" t="s">
        <v>101</v>
      </c>
      <c r="C119" s="37" t="s">
        <v>224</v>
      </c>
      <c r="D119" s="37" t="s">
        <v>410</v>
      </c>
      <c r="E119" s="37">
        <v>204</v>
      </c>
      <c r="F119" s="37">
        <v>78</v>
      </c>
      <c r="G119" s="39">
        <v>0.382352941176471</v>
      </c>
      <c r="H119" s="37">
        <v>39</v>
      </c>
      <c r="I119" s="37">
        <v>30</v>
      </c>
      <c r="J119" s="37">
        <v>16</v>
      </c>
      <c r="K119" s="37">
        <v>2</v>
      </c>
      <c r="L119" s="40">
        <v>56.4833333333333</v>
      </c>
      <c r="M119" s="37"/>
      <c r="N119" s="37"/>
      <c r="O119" s="39"/>
      <c r="P119" s="37"/>
    </row>
    <row r="120" ht="16.5" customHeight="1" spans="1:16">
      <c r="A120" s="37" t="s">
        <v>576</v>
      </c>
      <c r="B120" s="37" t="s">
        <v>101</v>
      </c>
      <c r="C120" s="37" t="s">
        <v>224</v>
      </c>
      <c r="D120" s="37" t="s">
        <v>391</v>
      </c>
      <c r="E120" s="37">
        <v>293</v>
      </c>
      <c r="F120" s="37">
        <v>131</v>
      </c>
      <c r="G120" s="39">
        <v>0.447098976109215</v>
      </c>
      <c r="H120" s="37">
        <v>55</v>
      </c>
      <c r="I120" s="37">
        <v>36</v>
      </c>
      <c r="J120" s="37">
        <v>24</v>
      </c>
      <c r="K120" s="37">
        <v>6</v>
      </c>
      <c r="L120" s="40">
        <v>95.4666666666667</v>
      </c>
      <c r="M120" s="37"/>
      <c r="N120" s="37"/>
      <c r="O120" s="39"/>
      <c r="P120" s="37"/>
    </row>
    <row r="121" ht="16.5" customHeight="1" spans="1:16">
      <c r="A121" s="37" t="s">
        <v>576</v>
      </c>
      <c r="B121" s="37" t="s">
        <v>101</v>
      </c>
      <c r="C121" s="37" t="s">
        <v>224</v>
      </c>
      <c r="D121" s="37" t="s">
        <v>407</v>
      </c>
      <c r="E121" s="37">
        <v>118</v>
      </c>
      <c r="F121" s="37">
        <v>49</v>
      </c>
      <c r="G121" s="39">
        <v>0.415254237288136</v>
      </c>
      <c r="H121" s="37">
        <v>18</v>
      </c>
      <c r="I121" s="37">
        <v>15</v>
      </c>
      <c r="J121" s="37">
        <v>11</v>
      </c>
      <c r="K121" s="37">
        <v>3</v>
      </c>
      <c r="L121" s="40">
        <v>38.85</v>
      </c>
      <c r="M121" s="37"/>
      <c r="N121" s="37"/>
      <c r="O121" s="39"/>
      <c r="P121" s="37"/>
    </row>
    <row r="122" ht="16.5" customHeight="1" spans="1:16">
      <c r="A122" s="37" t="s">
        <v>576</v>
      </c>
      <c r="B122" s="37" t="s">
        <v>101</v>
      </c>
      <c r="C122" s="37" t="s">
        <v>224</v>
      </c>
      <c r="D122" s="37" t="s">
        <v>396</v>
      </c>
      <c r="E122" s="37">
        <v>353</v>
      </c>
      <c r="F122" s="37">
        <v>137</v>
      </c>
      <c r="G122" s="39">
        <v>0.388101983002833</v>
      </c>
      <c r="H122" s="37">
        <v>54</v>
      </c>
      <c r="I122" s="37">
        <v>38</v>
      </c>
      <c r="J122" s="37">
        <v>22</v>
      </c>
      <c r="K122" s="37">
        <v>0</v>
      </c>
      <c r="L122" s="40">
        <v>75.4666666666667</v>
      </c>
      <c r="M122" s="37"/>
      <c r="N122" s="37"/>
      <c r="O122" s="39"/>
      <c r="P122" s="37"/>
    </row>
    <row r="123" ht="16.5" customHeight="1" spans="1:16">
      <c r="A123" s="37" t="s">
        <v>576</v>
      </c>
      <c r="B123" s="37" t="s">
        <v>101</v>
      </c>
      <c r="C123" s="37" t="s">
        <v>264</v>
      </c>
      <c r="D123" s="37" t="s">
        <v>488</v>
      </c>
      <c r="E123" s="37">
        <v>82</v>
      </c>
      <c r="F123" s="37">
        <v>35</v>
      </c>
      <c r="G123" s="39">
        <v>0.426829268292683</v>
      </c>
      <c r="H123" s="37">
        <v>20</v>
      </c>
      <c r="I123" s="37">
        <v>15</v>
      </c>
      <c r="J123" s="37">
        <v>11</v>
      </c>
      <c r="K123" s="37">
        <v>1</v>
      </c>
      <c r="L123" s="40">
        <v>26.55</v>
      </c>
      <c r="M123" s="37">
        <v>1</v>
      </c>
      <c r="N123" s="37">
        <v>0</v>
      </c>
      <c r="O123" s="39">
        <v>0</v>
      </c>
      <c r="P123" s="37">
        <v>0</v>
      </c>
    </row>
    <row r="124" ht="16.5" customHeight="1" spans="1:16">
      <c r="A124" s="37" t="s">
        <v>576</v>
      </c>
      <c r="B124" s="37" t="s">
        <v>101</v>
      </c>
      <c r="C124" s="37" t="s">
        <v>264</v>
      </c>
      <c r="D124" s="37" t="s">
        <v>485</v>
      </c>
      <c r="E124" s="37">
        <v>146</v>
      </c>
      <c r="F124" s="37">
        <v>65</v>
      </c>
      <c r="G124" s="39">
        <v>0.445205479452055</v>
      </c>
      <c r="H124" s="37">
        <v>37</v>
      </c>
      <c r="I124" s="37">
        <v>28</v>
      </c>
      <c r="J124" s="37">
        <v>19</v>
      </c>
      <c r="K124" s="37">
        <v>3</v>
      </c>
      <c r="L124" s="40">
        <v>56.3</v>
      </c>
      <c r="M124" s="37"/>
      <c r="N124" s="37"/>
      <c r="O124" s="39"/>
      <c r="P124" s="37"/>
    </row>
    <row r="125" ht="16.5" customHeight="1" spans="1:16">
      <c r="A125" s="37" t="s">
        <v>576</v>
      </c>
      <c r="B125" s="37" t="s">
        <v>101</v>
      </c>
      <c r="C125" s="37" t="s">
        <v>264</v>
      </c>
      <c r="D125" s="37" t="s">
        <v>483</v>
      </c>
      <c r="E125" s="37">
        <v>139</v>
      </c>
      <c r="F125" s="37">
        <v>66</v>
      </c>
      <c r="G125" s="39">
        <v>0.474820143884892</v>
      </c>
      <c r="H125" s="37">
        <v>29</v>
      </c>
      <c r="I125" s="37">
        <v>22</v>
      </c>
      <c r="J125" s="37">
        <v>14</v>
      </c>
      <c r="K125" s="37">
        <v>3</v>
      </c>
      <c r="L125" s="40">
        <v>54.5333333333333</v>
      </c>
      <c r="M125" s="37"/>
      <c r="N125" s="37"/>
      <c r="O125" s="39"/>
      <c r="P125" s="37"/>
    </row>
    <row r="126" ht="16.5" customHeight="1" spans="1:16">
      <c r="A126" s="37" t="s">
        <v>576</v>
      </c>
      <c r="B126" s="37" t="s">
        <v>101</v>
      </c>
      <c r="C126" s="37" t="s">
        <v>264</v>
      </c>
      <c r="D126" s="37" t="s">
        <v>496</v>
      </c>
      <c r="E126" s="37">
        <v>50</v>
      </c>
      <c r="F126" s="37">
        <v>19</v>
      </c>
      <c r="G126" s="39">
        <v>0.38</v>
      </c>
      <c r="H126" s="37">
        <v>9</v>
      </c>
      <c r="I126" s="37">
        <v>7</v>
      </c>
      <c r="J126" s="37">
        <v>6</v>
      </c>
      <c r="K126" s="37">
        <v>0</v>
      </c>
      <c r="L126" s="40">
        <v>12.9833333333333</v>
      </c>
      <c r="M126" s="37">
        <v>1</v>
      </c>
      <c r="N126" s="37">
        <v>0</v>
      </c>
      <c r="O126" s="39">
        <v>0</v>
      </c>
      <c r="P126" s="37">
        <v>77</v>
      </c>
    </row>
    <row r="127" ht="16.5" customHeight="1" spans="1:16">
      <c r="A127" s="37" t="s">
        <v>576</v>
      </c>
      <c r="B127" s="37" t="s">
        <v>101</v>
      </c>
      <c r="C127" s="37" t="s">
        <v>264</v>
      </c>
      <c r="D127" s="37" t="s">
        <v>491</v>
      </c>
      <c r="E127" s="37">
        <v>201</v>
      </c>
      <c r="F127" s="37">
        <v>74</v>
      </c>
      <c r="G127" s="39">
        <v>0.368159203980099</v>
      </c>
      <c r="H127" s="37">
        <v>31</v>
      </c>
      <c r="I127" s="37">
        <v>22</v>
      </c>
      <c r="J127" s="37">
        <v>12</v>
      </c>
      <c r="K127" s="37">
        <v>3</v>
      </c>
      <c r="L127" s="40">
        <v>54.6166666666667</v>
      </c>
      <c r="M127" s="37"/>
      <c r="N127" s="37"/>
      <c r="O127" s="39"/>
      <c r="P127" s="37"/>
    </row>
    <row r="128" ht="16.5" customHeight="1" spans="1:16">
      <c r="A128" s="37" t="s">
        <v>576</v>
      </c>
      <c r="B128" s="37" t="s">
        <v>101</v>
      </c>
      <c r="C128" s="37" t="s">
        <v>264</v>
      </c>
      <c r="D128" s="37" t="s">
        <v>476</v>
      </c>
      <c r="E128" s="37">
        <v>175</v>
      </c>
      <c r="F128" s="37">
        <v>86</v>
      </c>
      <c r="G128" s="39">
        <v>0.491428571428571</v>
      </c>
      <c r="H128" s="37">
        <v>45</v>
      </c>
      <c r="I128" s="37">
        <v>36</v>
      </c>
      <c r="J128" s="37">
        <v>16</v>
      </c>
      <c r="K128" s="37">
        <v>2</v>
      </c>
      <c r="L128" s="40">
        <v>61.3666666666667</v>
      </c>
      <c r="M128" s="37"/>
      <c r="N128" s="37"/>
      <c r="O128" s="39"/>
      <c r="P128" s="37"/>
    </row>
    <row r="129" ht="16.5" customHeight="1" spans="1:16">
      <c r="A129" s="37" t="s">
        <v>576</v>
      </c>
      <c r="B129" s="37" t="s">
        <v>101</v>
      </c>
      <c r="C129" s="37" t="s">
        <v>264</v>
      </c>
      <c r="D129" s="37" t="s">
        <v>493</v>
      </c>
      <c r="E129" s="37">
        <v>164</v>
      </c>
      <c r="F129" s="37">
        <v>63</v>
      </c>
      <c r="G129" s="39">
        <v>0.384146341463415</v>
      </c>
      <c r="H129" s="37">
        <v>32</v>
      </c>
      <c r="I129" s="37">
        <v>25</v>
      </c>
      <c r="J129" s="37">
        <v>14</v>
      </c>
      <c r="K129" s="37">
        <v>0</v>
      </c>
      <c r="L129" s="40">
        <v>40.9833333333333</v>
      </c>
      <c r="M129" s="37"/>
      <c r="N129" s="37"/>
      <c r="O129" s="39"/>
      <c r="P129" s="37"/>
    </row>
    <row r="130" ht="16.5" customHeight="1" spans="1:16">
      <c r="A130" s="37" t="s">
        <v>576</v>
      </c>
      <c r="B130" s="37" t="s">
        <v>101</v>
      </c>
      <c r="C130" s="37" t="s">
        <v>264</v>
      </c>
      <c r="D130" s="37" t="s">
        <v>480</v>
      </c>
      <c r="E130" s="37">
        <v>170</v>
      </c>
      <c r="F130" s="37">
        <v>80</v>
      </c>
      <c r="G130" s="39">
        <v>0.470588235294118</v>
      </c>
      <c r="H130" s="37">
        <v>31</v>
      </c>
      <c r="I130" s="37">
        <v>23</v>
      </c>
      <c r="J130" s="37">
        <v>13</v>
      </c>
      <c r="K130" s="37">
        <v>1</v>
      </c>
      <c r="L130" s="40">
        <v>47.5333333333333</v>
      </c>
      <c r="M130" s="37"/>
      <c r="N130" s="37"/>
      <c r="O130" s="39"/>
      <c r="P130" s="37"/>
    </row>
    <row r="131" ht="16.5" customHeight="1" spans="1:16">
      <c r="A131" s="37" t="s">
        <v>576</v>
      </c>
      <c r="B131" s="37" t="s">
        <v>101</v>
      </c>
      <c r="C131" s="37" t="s">
        <v>22</v>
      </c>
      <c r="D131" s="37" t="s">
        <v>343</v>
      </c>
      <c r="E131" s="37">
        <v>148</v>
      </c>
      <c r="F131" s="37">
        <v>50</v>
      </c>
      <c r="G131" s="39">
        <v>0.337837837837838</v>
      </c>
      <c r="H131" s="37">
        <v>21</v>
      </c>
      <c r="I131" s="37">
        <v>17</v>
      </c>
      <c r="J131" s="37">
        <v>8</v>
      </c>
      <c r="K131" s="37">
        <v>1</v>
      </c>
      <c r="L131" s="40">
        <v>30.3833333333333</v>
      </c>
      <c r="M131" s="37"/>
      <c r="N131" s="37"/>
      <c r="O131" s="39"/>
      <c r="P131" s="37"/>
    </row>
    <row r="132" ht="16.5" customHeight="1" spans="1:16">
      <c r="A132" s="37" t="s">
        <v>576</v>
      </c>
      <c r="B132" s="37" t="s">
        <v>101</v>
      </c>
      <c r="C132" s="37" t="s">
        <v>22</v>
      </c>
      <c r="D132" s="37" t="s">
        <v>358</v>
      </c>
      <c r="E132" s="37">
        <v>50</v>
      </c>
      <c r="F132" s="37">
        <v>33</v>
      </c>
      <c r="G132" s="39">
        <v>0.66</v>
      </c>
      <c r="H132" s="37">
        <v>20</v>
      </c>
      <c r="I132" s="37">
        <v>18</v>
      </c>
      <c r="J132" s="37">
        <v>13</v>
      </c>
      <c r="K132" s="37">
        <v>4</v>
      </c>
      <c r="L132" s="40">
        <v>44.8666666666667</v>
      </c>
      <c r="M132" s="37"/>
      <c r="N132" s="37"/>
      <c r="O132" s="39"/>
      <c r="P132" s="37"/>
    </row>
    <row r="133" ht="16.5" customHeight="1" spans="1:16">
      <c r="A133" s="37" t="s">
        <v>576</v>
      </c>
      <c r="B133" s="37" t="s">
        <v>101</v>
      </c>
      <c r="C133" s="37" t="s">
        <v>22</v>
      </c>
      <c r="D133" s="37" t="s">
        <v>355</v>
      </c>
      <c r="E133" s="37">
        <v>48</v>
      </c>
      <c r="F133" s="37">
        <v>32</v>
      </c>
      <c r="G133" s="39">
        <v>0.666666666666667</v>
      </c>
      <c r="H133" s="37">
        <v>21</v>
      </c>
      <c r="I133" s="37">
        <v>14</v>
      </c>
      <c r="J133" s="37">
        <v>7</v>
      </c>
      <c r="K133" s="37">
        <v>1</v>
      </c>
      <c r="L133" s="40">
        <v>25.95</v>
      </c>
      <c r="M133" s="37"/>
      <c r="N133" s="37"/>
      <c r="O133" s="39"/>
      <c r="P133" s="37"/>
    </row>
    <row r="134" ht="16.5" customHeight="1" spans="1:16">
      <c r="A134" s="37" t="s">
        <v>576</v>
      </c>
      <c r="B134" s="37" t="s">
        <v>101</v>
      </c>
      <c r="C134" s="37" t="s">
        <v>22</v>
      </c>
      <c r="D134" s="37" t="s">
        <v>340</v>
      </c>
      <c r="E134" s="37">
        <v>35</v>
      </c>
      <c r="F134" s="37">
        <v>21</v>
      </c>
      <c r="G134" s="39">
        <v>0.6</v>
      </c>
      <c r="H134" s="37">
        <v>13</v>
      </c>
      <c r="I134" s="37">
        <v>11</v>
      </c>
      <c r="J134" s="37">
        <v>8</v>
      </c>
      <c r="K134" s="37">
        <v>1</v>
      </c>
      <c r="L134" s="40">
        <v>22.7166666666667</v>
      </c>
      <c r="M134" s="37"/>
      <c r="N134" s="37"/>
      <c r="O134" s="39"/>
      <c r="P134" s="37"/>
    </row>
    <row r="135" ht="16.5" customHeight="1" spans="1:16">
      <c r="A135" s="37" t="s">
        <v>576</v>
      </c>
      <c r="B135" s="37" t="s">
        <v>101</v>
      </c>
      <c r="C135" s="37" t="s">
        <v>22</v>
      </c>
      <c r="D135" s="37" t="s">
        <v>346</v>
      </c>
      <c r="E135" s="37">
        <v>13</v>
      </c>
      <c r="F135" s="37">
        <v>4</v>
      </c>
      <c r="G135" s="39">
        <v>0.307692307692308</v>
      </c>
      <c r="H135" s="37">
        <v>4</v>
      </c>
      <c r="I135" s="37">
        <v>2</v>
      </c>
      <c r="J135" s="37">
        <v>2</v>
      </c>
      <c r="K135" s="37">
        <v>0</v>
      </c>
      <c r="L135" s="40">
        <v>6.38333333333333</v>
      </c>
      <c r="M135" s="37">
        <v>1</v>
      </c>
      <c r="N135" s="37">
        <v>0</v>
      </c>
      <c r="O135" s="39">
        <v>0</v>
      </c>
      <c r="P135" s="37">
        <v>0</v>
      </c>
    </row>
    <row r="136" ht="16.5" customHeight="1" spans="1:16">
      <c r="A136" s="37" t="s">
        <v>576</v>
      </c>
      <c r="B136" s="37" t="s">
        <v>101</v>
      </c>
      <c r="C136" s="37" t="s">
        <v>22</v>
      </c>
      <c r="D136" s="37" t="s">
        <v>361</v>
      </c>
      <c r="E136" s="37">
        <v>63</v>
      </c>
      <c r="F136" s="37">
        <v>35</v>
      </c>
      <c r="G136" s="39">
        <v>0.555555555555556</v>
      </c>
      <c r="H136" s="37">
        <v>20</v>
      </c>
      <c r="I136" s="37">
        <v>13</v>
      </c>
      <c r="J136" s="37">
        <v>5</v>
      </c>
      <c r="K136" s="37">
        <v>0</v>
      </c>
      <c r="L136" s="40">
        <v>22.4833333333333</v>
      </c>
      <c r="M136" s="37"/>
      <c r="N136" s="37"/>
      <c r="O136" s="39"/>
      <c r="P136" s="37"/>
    </row>
    <row r="137" ht="16.5" customHeight="1" spans="1:16">
      <c r="A137" s="37" t="s">
        <v>576</v>
      </c>
      <c r="B137" s="37" t="s">
        <v>101</v>
      </c>
      <c r="C137" s="37" t="s">
        <v>22</v>
      </c>
      <c r="D137" s="37" t="s">
        <v>352</v>
      </c>
      <c r="E137" s="37">
        <v>17</v>
      </c>
      <c r="F137" s="37">
        <v>13</v>
      </c>
      <c r="G137" s="39">
        <v>0.764705882352941</v>
      </c>
      <c r="H137" s="37">
        <v>11</v>
      </c>
      <c r="I137" s="37">
        <v>11</v>
      </c>
      <c r="J137" s="37">
        <v>9</v>
      </c>
      <c r="K137" s="37">
        <v>1</v>
      </c>
      <c r="L137" s="40">
        <v>20.85</v>
      </c>
      <c r="M137" s="37">
        <v>1</v>
      </c>
      <c r="N137" s="37">
        <v>0</v>
      </c>
      <c r="O137" s="39">
        <v>0</v>
      </c>
      <c r="P137" s="37">
        <v>0</v>
      </c>
    </row>
    <row r="138" ht="16.5" customHeight="1" spans="1:16">
      <c r="A138" s="37" t="s">
        <v>576</v>
      </c>
      <c r="B138" s="37" t="s">
        <v>51</v>
      </c>
      <c r="C138" s="37" t="s">
        <v>102</v>
      </c>
      <c r="D138" s="37" t="s">
        <v>438</v>
      </c>
      <c r="E138" s="37">
        <v>1</v>
      </c>
      <c r="F138" s="37">
        <v>0</v>
      </c>
      <c r="G138" s="39">
        <v>0</v>
      </c>
      <c r="H138" s="37">
        <v>0</v>
      </c>
      <c r="I138" s="37">
        <v>0</v>
      </c>
      <c r="J138" s="37">
        <v>0</v>
      </c>
      <c r="K138" s="37">
        <v>0</v>
      </c>
      <c r="L138" s="40">
        <v>0</v>
      </c>
      <c r="M138" s="37">
        <v>1</v>
      </c>
      <c r="N138" s="37">
        <v>0</v>
      </c>
      <c r="O138" s="39">
        <v>0</v>
      </c>
      <c r="P138" s="37">
        <v>66</v>
      </c>
    </row>
    <row r="139" ht="16.5" customHeight="1" spans="1:16">
      <c r="A139" s="37" t="s">
        <v>576</v>
      </c>
      <c r="B139" s="37" t="s">
        <v>51</v>
      </c>
      <c r="C139" s="37" t="s">
        <v>102</v>
      </c>
      <c r="D139" s="37" t="s">
        <v>435</v>
      </c>
      <c r="E139" s="37">
        <v>7</v>
      </c>
      <c r="F139" s="37">
        <v>2</v>
      </c>
      <c r="G139" s="39">
        <v>0.285714285714286</v>
      </c>
      <c r="H139" s="37">
        <v>2</v>
      </c>
      <c r="I139" s="37">
        <v>1</v>
      </c>
      <c r="J139" s="37">
        <v>1</v>
      </c>
      <c r="K139" s="37">
        <v>0</v>
      </c>
      <c r="L139" s="40">
        <v>2.28333333333333</v>
      </c>
      <c r="M139" s="37">
        <v>2</v>
      </c>
      <c r="N139" s="37">
        <v>0</v>
      </c>
      <c r="O139" s="39">
        <v>0</v>
      </c>
      <c r="P139" s="37">
        <v>87</v>
      </c>
    </row>
    <row r="140" ht="16.5" customHeight="1" spans="1:16">
      <c r="A140" s="37" t="s">
        <v>576</v>
      </c>
      <c r="B140" s="37" t="s">
        <v>51</v>
      </c>
      <c r="C140" s="37" t="s">
        <v>102</v>
      </c>
      <c r="D140" s="37" t="s">
        <v>432</v>
      </c>
      <c r="E140" s="37">
        <v>8</v>
      </c>
      <c r="F140" s="37">
        <v>4</v>
      </c>
      <c r="G140" s="39">
        <v>0.5</v>
      </c>
      <c r="H140" s="37">
        <v>3</v>
      </c>
      <c r="I140" s="37">
        <v>3</v>
      </c>
      <c r="J140" s="37">
        <v>3</v>
      </c>
      <c r="K140" s="37">
        <v>1</v>
      </c>
      <c r="L140" s="40">
        <v>9.2</v>
      </c>
      <c r="M140" s="37">
        <v>1</v>
      </c>
      <c r="N140" s="37">
        <v>1</v>
      </c>
      <c r="O140" s="39">
        <v>1</v>
      </c>
      <c r="P140" s="37">
        <v>41</v>
      </c>
    </row>
    <row r="141" ht="16.5" customHeight="1" spans="1:16">
      <c r="A141" s="37" t="s">
        <v>576</v>
      </c>
      <c r="B141" s="37" t="s">
        <v>51</v>
      </c>
      <c r="C141" s="37" t="s">
        <v>102</v>
      </c>
      <c r="D141" s="37" t="s">
        <v>429</v>
      </c>
      <c r="E141" s="37">
        <v>23</v>
      </c>
      <c r="F141" s="37">
        <v>8</v>
      </c>
      <c r="G141" s="39">
        <v>0.347826086956522</v>
      </c>
      <c r="H141" s="37">
        <v>6</v>
      </c>
      <c r="I141" s="37">
        <v>5</v>
      </c>
      <c r="J141" s="37">
        <v>4</v>
      </c>
      <c r="K141" s="37">
        <v>0</v>
      </c>
      <c r="L141" s="40">
        <v>8.56666666666667</v>
      </c>
      <c r="M141" s="37"/>
      <c r="N141" s="37"/>
      <c r="O141" s="39"/>
      <c r="P141" s="37"/>
    </row>
    <row r="142" ht="16.5" customHeight="1" spans="1:16">
      <c r="A142" s="37" t="s">
        <v>576</v>
      </c>
      <c r="B142" s="37" t="s">
        <v>51</v>
      </c>
      <c r="C142" s="37" t="s">
        <v>102</v>
      </c>
      <c r="D142" s="37" t="s">
        <v>426</v>
      </c>
      <c r="E142" s="37">
        <v>2</v>
      </c>
      <c r="F142" s="37">
        <v>0</v>
      </c>
      <c r="G142" s="39">
        <v>0</v>
      </c>
      <c r="H142" s="37">
        <v>0</v>
      </c>
      <c r="I142" s="37">
        <v>0</v>
      </c>
      <c r="J142" s="37">
        <v>0</v>
      </c>
      <c r="K142" s="37">
        <v>0</v>
      </c>
      <c r="L142" s="40">
        <v>0</v>
      </c>
      <c r="M142" s="37">
        <v>1</v>
      </c>
      <c r="N142" s="37">
        <v>0</v>
      </c>
      <c r="O142" s="39">
        <v>0</v>
      </c>
      <c r="P142" s="37">
        <v>77</v>
      </c>
    </row>
    <row r="143" ht="16.5" customHeight="1" spans="1:16">
      <c r="A143" s="37" t="s">
        <v>576</v>
      </c>
      <c r="B143" s="37" t="s">
        <v>51</v>
      </c>
      <c r="C143" s="37" t="s">
        <v>102</v>
      </c>
      <c r="D143" s="37" t="s">
        <v>422</v>
      </c>
      <c r="E143" s="37"/>
      <c r="F143" s="37"/>
      <c r="G143" s="39"/>
      <c r="H143" s="37"/>
      <c r="I143" s="37"/>
      <c r="J143" s="37"/>
      <c r="K143" s="37"/>
      <c r="L143" s="40"/>
      <c r="M143" s="37">
        <v>1</v>
      </c>
      <c r="N143" s="37">
        <v>0</v>
      </c>
      <c r="O143" s="39">
        <v>0</v>
      </c>
      <c r="P143" s="37">
        <v>83</v>
      </c>
    </row>
    <row r="144" ht="16.5" customHeight="1" spans="1:16">
      <c r="A144" s="37" t="s">
        <v>576</v>
      </c>
      <c r="B144" s="37" t="s">
        <v>51</v>
      </c>
      <c r="C144" s="37" t="s">
        <v>52</v>
      </c>
      <c r="D144" s="37" t="s">
        <v>63</v>
      </c>
      <c r="E144" s="37">
        <v>1</v>
      </c>
      <c r="F144" s="37">
        <v>0</v>
      </c>
      <c r="G144" s="39">
        <v>0</v>
      </c>
      <c r="H144" s="37">
        <v>0</v>
      </c>
      <c r="I144" s="37">
        <v>0</v>
      </c>
      <c r="J144" s="37">
        <v>0</v>
      </c>
      <c r="K144" s="37">
        <v>0</v>
      </c>
      <c r="L144" s="40">
        <v>0</v>
      </c>
      <c r="M144" s="37"/>
      <c r="N144" s="37"/>
      <c r="O144" s="39"/>
      <c r="P144" s="37"/>
    </row>
    <row r="145" ht="16.5" customHeight="1" spans="1:16">
      <c r="A145" s="37" t="s">
        <v>576</v>
      </c>
      <c r="B145" s="37" t="s">
        <v>51</v>
      </c>
      <c r="C145" s="37" t="s">
        <v>52</v>
      </c>
      <c r="D145" s="37" t="s">
        <v>60</v>
      </c>
      <c r="E145" s="37"/>
      <c r="F145" s="37"/>
      <c r="G145" s="39"/>
      <c r="H145" s="37"/>
      <c r="I145" s="37"/>
      <c r="J145" s="37"/>
      <c r="K145" s="37"/>
      <c r="L145" s="40"/>
      <c r="M145" s="37">
        <v>1</v>
      </c>
      <c r="N145" s="37">
        <v>0</v>
      </c>
      <c r="O145" s="39">
        <v>0</v>
      </c>
      <c r="P145" s="37">
        <v>83</v>
      </c>
    </row>
    <row r="146" ht="16.5" customHeight="1" spans="1:16">
      <c r="A146" s="37" t="s">
        <v>576</v>
      </c>
      <c r="B146" s="37" t="s">
        <v>51</v>
      </c>
      <c r="C146" s="37" t="s">
        <v>52</v>
      </c>
      <c r="D146" s="37" t="s">
        <v>53</v>
      </c>
      <c r="E146" s="37"/>
      <c r="F146" s="37"/>
      <c r="G146" s="39"/>
      <c r="H146" s="37"/>
      <c r="I146" s="37"/>
      <c r="J146" s="37"/>
      <c r="K146" s="37"/>
      <c r="L146" s="40"/>
      <c r="M146" s="37">
        <v>1</v>
      </c>
      <c r="N146" s="37">
        <v>0</v>
      </c>
      <c r="O146" s="39">
        <v>0</v>
      </c>
      <c r="P146" s="37">
        <v>60</v>
      </c>
    </row>
    <row r="147" ht="16.5" customHeight="1" spans="1:16">
      <c r="A147" s="37" t="s">
        <v>576</v>
      </c>
      <c r="B147" s="37" t="s">
        <v>51</v>
      </c>
      <c r="C147" s="37" t="s">
        <v>75</v>
      </c>
      <c r="D147" s="37" t="s">
        <v>76</v>
      </c>
      <c r="E147" s="37">
        <v>183</v>
      </c>
      <c r="F147" s="37">
        <v>88</v>
      </c>
      <c r="G147" s="39">
        <v>0.480874316939891</v>
      </c>
      <c r="H147" s="37">
        <v>29</v>
      </c>
      <c r="I147" s="37">
        <v>17</v>
      </c>
      <c r="J147" s="37">
        <v>11</v>
      </c>
      <c r="K147" s="37">
        <v>3</v>
      </c>
      <c r="L147" s="40">
        <v>58.7833333333333</v>
      </c>
      <c r="M147" s="37"/>
      <c r="N147" s="37"/>
      <c r="O147" s="39"/>
      <c r="P147" s="37"/>
    </row>
    <row r="148" ht="16.5" customHeight="1" spans="1:16">
      <c r="A148" s="37" t="s">
        <v>576</v>
      </c>
      <c r="B148" s="37" t="s">
        <v>51</v>
      </c>
      <c r="C148" s="37" t="s">
        <v>75</v>
      </c>
      <c r="D148" s="37" t="s">
        <v>95</v>
      </c>
      <c r="E148" s="37">
        <v>216</v>
      </c>
      <c r="F148" s="37">
        <v>91</v>
      </c>
      <c r="G148" s="39">
        <v>0.421296296296296</v>
      </c>
      <c r="H148" s="37">
        <v>39</v>
      </c>
      <c r="I148" s="37">
        <v>36</v>
      </c>
      <c r="J148" s="37">
        <v>25</v>
      </c>
      <c r="K148" s="37">
        <v>1</v>
      </c>
      <c r="L148" s="40">
        <v>67.7</v>
      </c>
      <c r="M148" s="37"/>
      <c r="N148" s="37"/>
      <c r="O148" s="39"/>
      <c r="P148" s="37"/>
    </row>
    <row r="149" ht="16.5" customHeight="1" spans="1:16">
      <c r="A149" s="37" t="s">
        <v>576</v>
      </c>
      <c r="B149" s="37" t="s">
        <v>51</v>
      </c>
      <c r="C149" s="37" t="s">
        <v>75</v>
      </c>
      <c r="D149" s="37" t="s">
        <v>89</v>
      </c>
      <c r="E149" s="37">
        <v>149</v>
      </c>
      <c r="F149" s="37">
        <v>58</v>
      </c>
      <c r="G149" s="39">
        <v>0.389261744966443</v>
      </c>
      <c r="H149" s="37">
        <v>33</v>
      </c>
      <c r="I149" s="37">
        <v>25</v>
      </c>
      <c r="J149" s="37">
        <v>9</v>
      </c>
      <c r="K149" s="37">
        <v>1</v>
      </c>
      <c r="L149" s="40">
        <v>41.3166666666667</v>
      </c>
      <c r="M149" s="37"/>
      <c r="N149" s="37"/>
      <c r="O149" s="39"/>
      <c r="P149" s="37"/>
    </row>
    <row r="150" ht="16.5" customHeight="1" spans="1:16">
      <c r="A150" s="37" t="s">
        <v>576</v>
      </c>
      <c r="B150" s="37" t="s">
        <v>51</v>
      </c>
      <c r="C150" s="37" t="s">
        <v>75</v>
      </c>
      <c r="D150" s="37" t="s">
        <v>83</v>
      </c>
      <c r="E150" s="37">
        <v>136</v>
      </c>
      <c r="F150" s="37">
        <v>63</v>
      </c>
      <c r="G150" s="39">
        <v>0.463235294117647</v>
      </c>
      <c r="H150" s="37">
        <v>13</v>
      </c>
      <c r="I150" s="37">
        <v>11</v>
      </c>
      <c r="J150" s="37">
        <v>3</v>
      </c>
      <c r="K150" s="37">
        <v>0</v>
      </c>
      <c r="L150" s="40">
        <v>25.4333333333333</v>
      </c>
      <c r="M150" s="37"/>
      <c r="N150" s="37"/>
      <c r="O150" s="39"/>
      <c r="P150" s="37"/>
    </row>
    <row r="151" ht="16.5" customHeight="1" spans="1:16">
      <c r="A151" s="37" t="s">
        <v>576</v>
      </c>
      <c r="B151" s="37" t="s">
        <v>51</v>
      </c>
      <c r="C151" s="37" t="s">
        <v>75</v>
      </c>
      <c r="D151" s="37" t="s">
        <v>80</v>
      </c>
      <c r="E151" s="37">
        <v>134</v>
      </c>
      <c r="F151" s="37">
        <v>54</v>
      </c>
      <c r="G151" s="39">
        <v>0.402985074626866</v>
      </c>
      <c r="H151" s="37">
        <v>26</v>
      </c>
      <c r="I151" s="37">
        <v>18</v>
      </c>
      <c r="J151" s="37">
        <v>14</v>
      </c>
      <c r="K151" s="37">
        <v>1</v>
      </c>
      <c r="L151" s="40">
        <v>43.1666666666667</v>
      </c>
      <c r="M151" s="37">
        <v>1</v>
      </c>
      <c r="N151" s="37">
        <v>0</v>
      </c>
      <c r="O151" s="39">
        <v>0</v>
      </c>
      <c r="P151" s="37">
        <v>37</v>
      </c>
    </row>
    <row r="152" ht="16.5" customHeight="1" spans="1:16">
      <c r="A152" s="37" t="s">
        <v>576</v>
      </c>
      <c r="B152" s="37" t="s">
        <v>51</v>
      </c>
      <c r="C152" s="37" t="s">
        <v>75</v>
      </c>
      <c r="D152" s="37" t="s">
        <v>92</v>
      </c>
      <c r="E152" s="37">
        <v>159</v>
      </c>
      <c r="F152" s="37">
        <v>39</v>
      </c>
      <c r="G152" s="39">
        <v>0.245283018867925</v>
      </c>
      <c r="H152" s="37">
        <v>24</v>
      </c>
      <c r="I152" s="37">
        <v>22</v>
      </c>
      <c r="J152" s="37">
        <v>14</v>
      </c>
      <c r="K152" s="37">
        <v>3</v>
      </c>
      <c r="L152" s="40">
        <v>49.5333333333333</v>
      </c>
      <c r="M152" s="37"/>
      <c r="N152" s="37"/>
      <c r="O152" s="39"/>
      <c r="P152" s="37"/>
    </row>
    <row r="153" ht="16.5" customHeight="1" spans="1:16">
      <c r="A153" s="37" t="s">
        <v>576</v>
      </c>
      <c r="B153" s="37" t="s">
        <v>51</v>
      </c>
      <c r="C153" s="37" t="s">
        <v>75</v>
      </c>
      <c r="D153" s="37" t="s">
        <v>98</v>
      </c>
      <c r="E153" s="37">
        <v>246</v>
      </c>
      <c r="F153" s="37">
        <v>126</v>
      </c>
      <c r="G153" s="39">
        <v>0.51219512195122</v>
      </c>
      <c r="H153" s="37">
        <v>41</v>
      </c>
      <c r="I153" s="37">
        <v>19</v>
      </c>
      <c r="J153" s="37">
        <v>10</v>
      </c>
      <c r="K153" s="37">
        <v>0</v>
      </c>
      <c r="L153" s="40">
        <v>58.1333333333333</v>
      </c>
      <c r="M153" s="37"/>
      <c r="N153" s="37"/>
      <c r="O153" s="39"/>
      <c r="P153" s="37"/>
    </row>
    <row r="154" ht="16.5" customHeight="1" spans="1:16">
      <c r="A154" s="37" t="s">
        <v>576</v>
      </c>
      <c r="B154" s="37" t="s">
        <v>51</v>
      </c>
      <c r="C154" s="37" t="s">
        <v>75</v>
      </c>
      <c r="D154" s="37" t="s">
        <v>86</v>
      </c>
      <c r="E154" s="37">
        <v>157</v>
      </c>
      <c r="F154" s="37">
        <v>63</v>
      </c>
      <c r="G154" s="39">
        <v>0.401273885350318</v>
      </c>
      <c r="H154" s="37">
        <v>42</v>
      </c>
      <c r="I154" s="37">
        <v>35</v>
      </c>
      <c r="J154" s="37">
        <v>22</v>
      </c>
      <c r="K154" s="37">
        <v>5</v>
      </c>
      <c r="L154" s="40">
        <v>70.1333333333333</v>
      </c>
      <c r="M154" s="37"/>
      <c r="N154" s="37"/>
      <c r="O154" s="39"/>
      <c r="P154" s="37"/>
    </row>
    <row r="155" ht="16.5" customHeight="1" spans="1:16">
      <c r="A155" s="37" t="s">
        <v>576</v>
      </c>
      <c r="B155" s="37" t="s">
        <v>51</v>
      </c>
      <c r="C155" s="37" t="s">
        <v>547</v>
      </c>
      <c r="D155" s="37" t="s">
        <v>548</v>
      </c>
      <c r="E155" s="37">
        <v>101</v>
      </c>
      <c r="F155" s="37">
        <v>56</v>
      </c>
      <c r="G155" s="39">
        <v>0.554455445544555</v>
      </c>
      <c r="H155" s="37">
        <v>27</v>
      </c>
      <c r="I155" s="37">
        <v>20</v>
      </c>
      <c r="J155" s="37">
        <v>10</v>
      </c>
      <c r="K155" s="37">
        <v>0</v>
      </c>
      <c r="L155" s="40">
        <v>37.6166666666667</v>
      </c>
      <c r="M155" s="37"/>
      <c r="N155" s="37"/>
      <c r="O155" s="39"/>
      <c r="P155" s="37"/>
    </row>
    <row r="156" ht="16.5" customHeight="1" spans="1:16">
      <c r="A156" s="37" t="s">
        <v>576</v>
      </c>
      <c r="B156" s="37" t="s">
        <v>51</v>
      </c>
      <c r="C156" s="37" t="s">
        <v>547</v>
      </c>
      <c r="D156" s="37" t="s">
        <v>556</v>
      </c>
      <c r="E156" s="37">
        <v>134</v>
      </c>
      <c r="F156" s="37">
        <v>67</v>
      </c>
      <c r="G156" s="39">
        <v>0.5</v>
      </c>
      <c r="H156" s="37">
        <v>25</v>
      </c>
      <c r="I156" s="37">
        <v>22</v>
      </c>
      <c r="J156" s="37">
        <v>7</v>
      </c>
      <c r="K156" s="37">
        <v>0</v>
      </c>
      <c r="L156" s="40">
        <v>32.1166666666667</v>
      </c>
      <c r="M156" s="37"/>
      <c r="N156" s="37"/>
      <c r="O156" s="39"/>
      <c r="P156" s="37"/>
    </row>
    <row r="157" ht="16.5" customHeight="1" spans="1:16">
      <c r="A157" s="37" t="s">
        <v>576</v>
      </c>
      <c r="B157" s="37" t="s">
        <v>51</v>
      </c>
      <c r="C157" s="37" t="s">
        <v>547</v>
      </c>
      <c r="D157" s="37" t="s">
        <v>569</v>
      </c>
      <c r="E157" s="37">
        <v>70</v>
      </c>
      <c r="F157" s="37">
        <v>38</v>
      </c>
      <c r="G157" s="39">
        <v>0.542857142857143</v>
      </c>
      <c r="H157" s="37">
        <v>21</v>
      </c>
      <c r="I157" s="37">
        <v>16</v>
      </c>
      <c r="J157" s="37">
        <v>9</v>
      </c>
      <c r="K157" s="37">
        <v>1</v>
      </c>
      <c r="L157" s="40">
        <v>29.1666666666667</v>
      </c>
      <c r="M157" s="37"/>
      <c r="N157" s="37"/>
      <c r="O157" s="39"/>
      <c r="P157" s="37"/>
    </row>
    <row r="158" ht="16.5" customHeight="1" spans="1:16">
      <c r="A158" s="37" t="s">
        <v>576</v>
      </c>
      <c r="B158" s="37" t="s">
        <v>51</v>
      </c>
      <c r="C158" s="37" t="s">
        <v>547</v>
      </c>
      <c r="D158" s="37" t="s">
        <v>554</v>
      </c>
      <c r="E158" s="37">
        <v>45</v>
      </c>
      <c r="F158" s="37">
        <v>21</v>
      </c>
      <c r="G158" s="39">
        <v>0.466666666666667</v>
      </c>
      <c r="H158" s="37">
        <v>6</v>
      </c>
      <c r="I158" s="37">
        <v>5</v>
      </c>
      <c r="J158" s="37">
        <v>4</v>
      </c>
      <c r="K158" s="37">
        <v>0</v>
      </c>
      <c r="L158" s="40">
        <v>11.2</v>
      </c>
      <c r="M158" s="37"/>
      <c r="N158" s="37"/>
      <c r="O158" s="39"/>
      <c r="P158" s="37"/>
    </row>
    <row r="159" ht="16.5" customHeight="1" spans="1:16">
      <c r="A159" s="37" t="s">
        <v>576</v>
      </c>
      <c r="B159" s="37" t="s">
        <v>51</v>
      </c>
      <c r="C159" s="37" t="s">
        <v>547</v>
      </c>
      <c r="D159" s="37" t="s">
        <v>551</v>
      </c>
      <c r="E159" s="37">
        <v>130</v>
      </c>
      <c r="F159" s="37">
        <v>63</v>
      </c>
      <c r="G159" s="39">
        <v>0.484615384615385</v>
      </c>
      <c r="H159" s="37">
        <v>33</v>
      </c>
      <c r="I159" s="37">
        <v>26</v>
      </c>
      <c r="J159" s="37">
        <v>17</v>
      </c>
      <c r="K159" s="37">
        <v>2</v>
      </c>
      <c r="L159" s="40">
        <v>48.0166666666667</v>
      </c>
      <c r="M159" s="37"/>
      <c r="N159" s="37"/>
      <c r="O159" s="39"/>
      <c r="P159" s="37"/>
    </row>
    <row r="160" ht="16.5" customHeight="1" spans="1:16">
      <c r="A160" s="37" t="s">
        <v>576</v>
      </c>
      <c r="B160" s="37" t="s">
        <v>51</v>
      </c>
      <c r="C160" s="37" t="s">
        <v>547</v>
      </c>
      <c r="D160" s="37" t="s">
        <v>567</v>
      </c>
      <c r="E160" s="37">
        <v>90</v>
      </c>
      <c r="F160" s="37">
        <v>39</v>
      </c>
      <c r="G160" s="39">
        <v>0.433333333333333</v>
      </c>
      <c r="H160" s="37">
        <v>15</v>
      </c>
      <c r="I160" s="37">
        <v>9</v>
      </c>
      <c r="J160" s="37">
        <v>6</v>
      </c>
      <c r="K160" s="37">
        <v>1</v>
      </c>
      <c r="L160" s="40">
        <v>25.2333333333333</v>
      </c>
      <c r="M160" s="37"/>
      <c r="N160" s="37"/>
      <c r="O160" s="39"/>
      <c r="P160" s="37"/>
    </row>
    <row r="161" ht="16.5" customHeight="1" spans="1:16">
      <c r="A161" s="37" t="s">
        <v>576</v>
      </c>
      <c r="B161" s="37" t="s">
        <v>51</v>
      </c>
      <c r="C161" s="37" t="s">
        <v>547</v>
      </c>
      <c r="D161" s="37" t="s">
        <v>561</v>
      </c>
      <c r="E161" s="37">
        <v>120</v>
      </c>
      <c r="F161" s="37">
        <v>55</v>
      </c>
      <c r="G161" s="39">
        <v>0.458333333333333</v>
      </c>
      <c r="H161" s="37">
        <v>23</v>
      </c>
      <c r="I161" s="37">
        <v>19</v>
      </c>
      <c r="J161" s="37">
        <v>9</v>
      </c>
      <c r="K161" s="37">
        <v>0</v>
      </c>
      <c r="L161" s="40">
        <v>32.4166666666667</v>
      </c>
      <c r="M161" s="37"/>
      <c r="N161" s="37"/>
      <c r="O161" s="39"/>
      <c r="P161" s="37"/>
    </row>
    <row r="162" ht="16.5" customHeight="1" spans="1:16">
      <c r="A162" s="37" t="s">
        <v>576</v>
      </c>
      <c r="B162" s="37" t="s">
        <v>51</v>
      </c>
      <c r="C162" s="37" t="s">
        <v>547</v>
      </c>
      <c r="D162" s="37" t="s">
        <v>563</v>
      </c>
      <c r="E162" s="37">
        <v>140</v>
      </c>
      <c r="F162" s="37">
        <v>69</v>
      </c>
      <c r="G162" s="39">
        <v>0.492857142857143</v>
      </c>
      <c r="H162" s="37">
        <v>29</v>
      </c>
      <c r="I162" s="37">
        <v>23</v>
      </c>
      <c r="J162" s="37">
        <v>11</v>
      </c>
      <c r="K162" s="37">
        <v>2</v>
      </c>
      <c r="L162" s="40">
        <v>44.75</v>
      </c>
      <c r="M162" s="37"/>
      <c r="N162" s="37"/>
      <c r="O162" s="39"/>
      <c r="P162" s="37"/>
    </row>
    <row r="163" ht="16.5" customHeight="1" spans="1:16">
      <c r="A163" s="37" t="s">
        <v>576</v>
      </c>
      <c r="B163" s="37" t="s">
        <v>51</v>
      </c>
      <c r="C163" s="37" t="s">
        <v>151</v>
      </c>
      <c r="D163" s="37" t="s">
        <v>155</v>
      </c>
      <c r="E163" s="37">
        <v>127</v>
      </c>
      <c r="F163" s="37">
        <v>66</v>
      </c>
      <c r="G163" s="39">
        <v>0.519685039370079</v>
      </c>
      <c r="H163" s="37">
        <v>24</v>
      </c>
      <c r="I163" s="37">
        <v>19</v>
      </c>
      <c r="J163" s="37">
        <v>9</v>
      </c>
      <c r="K163" s="37">
        <v>0</v>
      </c>
      <c r="L163" s="40">
        <v>36.35</v>
      </c>
      <c r="M163" s="37"/>
      <c r="N163" s="37"/>
      <c r="O163" s="39"/>
      <c r="P163" s="37"/>
    </row>
    <row r="164" ht="16.5" customHeight="1" spans="1:16">
      <c r="A164" s="37" t="s">
        <v>576</v>
      </c>
      <c r="B164" s="37" t="s">
        <v>51</v>
      </c>
      <c r="C164" s="37" t="s">
        <v>151</v>
      </c>
      <c r="D164" s="37" t="s">
        <v>175</v>
      </c>
      <c r="E164" s="37">
        <v>192</v>
      </c>
      <c r="F164" s="37">
        <v>99</v>
      </c>
      <c r="G164" s="39">
        <v>0.515625</v>
      </c>
      <c r="H164" s="37">
        <v>26</v>
      </c>
      <c r="I164" s="37">
        <v>13</v>
      </c>
      <c r="J164" s="37">
        <v>5</v>
      </c>
      <c r="K164" s="37">
        <v>1</v>
      </c>
      <c r="L164" s="40">
        <v>45.7166666666667</v>
      </c>
      <c r="M164" s="37"/>
      <c r="N164" s="37"/>
      <c r="O164" s="39"/>
      <c r="P164" s="37"/>
    </row>
    <row r="165" ht="16.5" customHeight="1" spans="1:16">
      <c r="A165" s="37" t="s">
        <v>576</v>
      </c>
      <c r="B165" s="37" t="s">
        <v>51</v>
      </c>
      <c r="C165" s="37" t="s">
        <v>151</v>
      </c>
      <c r="D165" s="37" t="s">
        <v>161</v>
      </c>
      <c r="E165" s="37">
        <v>341</v>
      </c>
      <c r="F165" s="37">
        <v>146</v>
      </c>
      <c r="G165" s="39">
        <v>0.428152492668622</v>
      </c>
      <c r="H165" s="37">
        <v>51</v>
      </c>
      <c r="I165" s="37">
        <v>31</v>
      </c>
      <c r="J165" s="37">
        <v>19</v>
      </c>
      <c r="K165" s="37">
        <v>2</v>
      </c>
      <c r="L165" s="40">
        <v>77.7666666666667</v>
      </c>
      <c r="M165" s="37"/>
      <c r="N165" s="37"/>
      <c r="O165" s="39"/>
      <c r="P165" s="37"/>
    </row>
    <row r="166" ht="16.5" customHeight="1" spans="1:16">
      <c r="A166" s="37" t="s">
        <v>576</v>
      </c>
      <c r="B166" s="37" t="s">
        <v>51</v>
      </c>
      <c r="C166" s="37" t="s">
        <v>151</v>
      </c>
      <c r="D166" s="37" t="s">
        <v>166</v>
      </c>
      <c r="E166" s="37">
        <v>195</v>
      </c>
      <c r="F166" s="37">
        <v>99</v>
      </c>
      <c r="G166" s="39">
        <v>0.507692307692308</v>
      </c>
      <c r="H166" s="37">
        <v>29</v>
      </c>
      <c r="I166" s="37">
        <v>18</v>
      </c>
      <c r="J166" s="37">
        <v>12</v>
      </c>
      <c r="K166" s="37">
        <v>0</v>
      </c>
      <c r="L166" s="40">
        <v>47.4333333333333</v>
      </c>
      <c r="M166" s="37"/>
      <c r="N166" s="37"/>
      <c r="O166" s="39"/>
      <c r="P166" s="37"/>
    </row>
    <row r="167" ht="16.5" customHeight="1" spans="1:16">
      <c r="A167" s="37" t="s">
        <v>576</v>
      </c>
      <c r="B167" s="37" t="s">
        <v>51</v>
      </c>
      <c r="C167" s="37" t="s">
        <v>151</v>
      </c>
      <c r="D167" s="37" t="s">
        <v>172</v>
      </c>
      <c r="E167" s="37">
        <v>160</v>
      </c>
      <c r="F167" s="37">
        <v>78</v>
      </c>
      <c r="G167" s="39">
        <v>0.4875</v>
      </c>
      <c r="H167" s="37">
        <v>37</v>
      </c>
      <c r="I167" s="37">
        <v>24</v>
      </c>
      <c r="J167" s="37">
        <v>13</v>
      </c>
      <c r="K167" s="37">
        <v>2</v>
      </c>
      <c r="L167" s="40">
        <v>75.05</v>
      </c>
      <c r="M167" s="37"/>
      <c r="N167" s="37"/>
      <c r="O167" s="39"/>
      <c r="P167" s="37"/>
    </row>
    <row r="168" ht="16.5" customHeight="1" spans="1:16">
      <c r="A168" s="37" t="s">
        <v>576</v>
      </c>
      <c r="B168" s="37" t="s">
        <v>51</v>
      </c>
      <c r="C168" s="37" t="s">
        <v>151</v>
      </c>
      <c r="D168" s="37" t="s">
        <v>169</v>
      </c>
      <c r="E168" s="37">
        <v>181</v>
      </c>
      <c r="F168" s="37">
        <v>112</v>
      </c>
      <c r="G168" s="39">
        <v>0.61878453038674</v>
      </c>
      <c r="H168" s="37">
        <v>54</v>
      </c>
      <c r="I168" s="37">
        <v>35</v>
      </c>
      <c r="J168" s="37">
        <v>24</v>
      </c>
      <c r="K168" s="37">
        <v>2</v>
      </c>
      <c r="L168" s="40">
        <v>82.7</v>
      </c>
      <c r="M168" s="37"/>
      <c r="N168" s="37"/>
      <c r="O168" s="39"/>
      <c r="P168" s="37"/>
    </row>
    <row r="169" ht="16.5" customHeight="1" spans="1:16">
      <c r="A169" s="37" t="s">
        <v>576</v>
      </c>
      <c r="B169" s="37" t="s">
        <v>51</v>
      </c>
      <c r="C169" s="37" t="s">
        <v>151</v>
      </c>
      <c r="D169" s="37" t="s">
        <v>163</v>
      </c>
      <c r="E169" s="37">
        <v>119</v>
      </c>
      <c r="F169" s="37">
        <v>50</v>
      </c>
      <c r="G169" s="39">
        <v>0.420168067226891</v>
      </c>
      <c r="H169" s="37">
        <v>27</v>
      </c>
      <c r="I169" s="37">
        <v>21</v>
      </c>
      <c r="J169" s="37">
        <v>12</v>
      </c>
      <c r="K169" s="37">
        <v>2</v>
      </c>
      <c r="L169" s="40">
        <v>38.05</v>
      </c>
      <c r="M169" s="37"/>
      <c r="N169" s="37"/>
      <c r="O169" s="39"/>
      <c r="P169" s="37"/>
    </row>
    <row r="170" ht="16.5" customHeight="1" spans="1:16">
      <c r="A170" s="37" t="s">
        <v>576</v>
      </c>
      <c r="B170" s="37" t="s">
        <v>51</v>
      </c>
      <c r="C170" s="37" t="s">
        <v>151</v>
      </c>
      <c r="D170" s="37" t="s">
        <v>158</v>
      </c>
      <c r="E170" s="37">
        <v>69</v>
      </c>
      <c r="F170" s="37">
        <v>33</v>
      </c>
      <c r="G170" s="39">
        <v>0.478260869565217</v>
      </c>
      <c r="H170" s="37">
        <v>17</v>
      </c>
      <c r="I170" s="37">
        <v>15</v>
      </c>
      <c r="J170" s="37">
        <v>5</v>
      </c>
      <c r="K170" s="37">
        <v>1</v>
      </c>
      <c r="L170" s="40">
        <v>26.4333333333333</v>
      </c>
      <c r="M170" s="37">
        <v>1</v>
      </c>
      <c r="N170" s="37">
        <v>1</v>
      </c>
      <c r="O170" s="39">
        <v>1</v>
      </c>
      <c r="P170" s="37">
        <v>22</v>
      </c>
    </row>
    <row r="171" ht="16.5" customHeight="1" spans="1:16">
      <c r="A171" s="37" t="s">
        <v>576</v>
      </c>
      <c r="B171" s="37" t="s">
        <v>51</v>
      </c>
      <c r="C171" s="37" t="s">
        <v>151</v>
      </c>
      <c r="D171" s="37" t="s">
        <v>152</v>
      </c>
      <c r="E171" s="37">
        <v>62</v>
      </c>
      <c r="F171" s="37">
        <v>30</v>
      </c>
      <c r="G171" s="39">
        <v>0.483870967741935</v>
      </c>
      <c r="H171" s="37">
        <v>10</v>
      </c>
      <c r="I171" s="37">
        <v>6</v>
      </c>
      <c r="J171" s="37">
        <v>6</v>
      </c>
      <c r="K171" s="37">
        <v>0</v>
      </c>
      <c r="L171" s="40">
        <v>15.2166666666667</v>
      </c>
      <c r="M171" s="37">
        <v>2</v>
      </c>
      <c r="N171" s="37">
        <v>0</v>
      </c>
      <c r="O171" s="39">
        <v>0</v>
      </c>
      <c r="P171" s="37">
        <v>87</v>
      </c>
    </row>
    <row r="172" ht="16.5" customHeight="1" spans="1:16">
      <c r="A172" s="37" t="s">
        <v>576</v>
      </c>
      <c r="B172" s="37" t="s">
        <v>51</v>
      </c>
      <c r="C172" s="37" t="s">
        <v>224</v>
      </c>
      <c r="D172" s="37" t="s">
        <v>235</v>
      </c>
      <c r="E172" s="37">
        <v>292</v>
      </c>
      <c r="F172" s="37">
        <v>120</v>
      </c>
      <c r="G172" s="39">
        <v>0.410958904109589</v>
      </c>
      <c r="H172" s="37">
        <v>38</v>
      </c>
      <c r="I172" s="37">
        <v>28</v>
      </c>
      <c r="J172" s="37">
        <v>15</v>
      </c>
      <c r="K172" s="37">
        <v>0</v>
      </c>
      <c r="L172" s="40">
        <v>59.4166666666667</v>
      </c>
      <c r="M172" s="37"/>
      <c r="N172" s="37"/>
      <c r="O172" s="39"/>
      <c r="P172" s="37"/>
    </row>
    <row r="173" ht="16.5" customHeight="1" spans="1:16">
      <c r="A173" s="37" t="s">
        <v>576</v>
      </c>
      <c r="B173" s="37" t="s">
        <v>51</v>
      </c>
      <c r="C173" s="37" t="s">
        <v>224</v>
      </c>
      <c r="D173" s="37" t="s">
        <v>245</v>
      </c>
      <c r="E173" s="37">
        <v>133</v>
      </c>
      <c r="F173" s="37">
        <v>55</v>
      </c>
      <c r="G173" s="39">
        <v>0.413533834586466</v>
      </c>
      <c r="H173" s="37">
        <v>19</v>
      </c>
      <c r="I173" s="37">
        <v>15</v>
      </c>
      <c r="J173" s="37">
        <v>8</v>
      </c>
      <c r="K173" s="37">
        <v>3</v>
      </c>
      <c r="L173" s="40">
        <v>42</v>
      </c>
      <c r="M173" s="37"/>
      <c r="N173" s="37"/>
      <c r="O173" s="39"/>
      <c r="P173" s="37"/>
    </row>
    <row r="174" ht="16.5" customHeight="1" spans="1:16">
      <c r="A174" s="37" t="s">
        <v>576</v>
      </c>
      <c r="B174" s="37" t="s">
        <v>51</v>
      </c>
      <c r="C174" s="37" t="s">
        <v>224</v>
      </c>
      <c r="D174" s="37" t="s">
        <v>231</v>
      </c>
      <c r="E174" s="37">
        <v>129</v>
      </c>
      <c r="F174" s="37">
        <v>66</v>
      </c>
      <c r="G174" s="39">
        <v>0.511627906976744</v>
      </c>
      <c r="H174" s="37">
        <v>33</v>
      </c>
      <c r="I174" s="37">
        <v>23</v>
      </c>
      <c r="J174" s="37">
        <v>16</v>
      </c>
      <c r="K174" s="37">
        <v>2</v>
      </c>
      <c r="L174" s="40">
        <v>47.2</v>
      </c>
      <c r="M174" s="37">
        <v>1</v>
      </c>
      <c r="N174" s="37">
        <v>0</v>
      </c>
      <c r="O174" s="39">
        <v>0</v>
      </c>
      <c r="P174" s="37">
        <v>161</v>
      </c>
    </row>
    <row r="175" ht="16.5" customHeight="1" spans="1:16">
      <c r="A175" s="37" t="s">
        <v>576</v>
      </c>
      <c r="B175" s="37" t="s">
        <v>51</v>
      </c>
      <c r="C175" s="37" t="s">
        <v>224</v>
      </c>
      <c r="D175" s="37" t="s">
        <v>237</v>
      </c>
      <c r="E175" s="37">
        <v>280</v>
      </c>
      <c r="F175" s="37">
        <v>138</v>
      </c>
      <c r="G175" s="39">
        <v>0.492857142857143</v>
      </c>
      <c r="H175" s="37">
        <v>50</v>
      </c>
      <c r="I175" s="37">
        <v>35</v>
      </c>
      <c r="J175" s="37">
        <v>18</v>
      </c>
      <c r="K175" s="37">
        <v>0</v>
      </c>
      <c r="L175" s="40">
        <v>68.8166666666667</v>
      </c>
      <c r="M175" s="37"/>
      <c r="N175" s="37"/>
      <c r="O175" s="39"/>
      <c r="P175" s="37"/>
    </row>
    <row r="176" ht="16.5" customHeight="1" spans="1:16">
      <c r="A176" s="37" t="s">
        <v>576</v>
      </c>
      <c r="B176" s="37" t="s">
        <v>51</v>
      </c>
      <c r="C176" s="37" t="s">
        <v>224</v>
      </c>
      <c r="D176" s="37" t="s">
        <v>242</v>
      </c>
      <c r="E176" s="37">
        <v>226</v>
      </c>
      <c r="F176" s="37">
        <v>115</v>
      </c>
      <c r="G176" s="39">
        <v>0.508849557522124</v>
      </c>
      <c r="H176" s="37">
        <v>41</v>
      </c>
      <c r="I176" s="37">
        <v>33</v>
      </c>
      <c r="J176" s="37">
        <v>18</v>
      </c>
      <c r="K176" s="37">
        <v>2</v>
      </c>
      <c r="L176" s="40">
        <v>67.9666666666667</v>
      </c>
      <c r="M176" s="37"/>
      <c r="N176" s="37"/>
      <c r="O176" s="39"/>
      <c r="P176" s="37"/>
    </row>
    <row r="177" ht="16.5" customHeight="1" spans="1:16">
      <c r="A177" s="37" t="s">
        <v>576</v>
      </c>
      <c r="B177" s="37" t="s">
        <v>51</v>
      </c>
      <c r="C177" s="37" t="s">
        <v>224</v>
      </c>
      <c r="D177" s="37" t="s">
        <v>228</v>
      </c>
      <c r="E177" s="37">
        <v>170</v>
      </c>
      <c r="F177" s="37">
        <v>74</v>
      </c>
      <c r="G177" s="39">
        <v>0.435294117647059</v>
      </c>
      <c r="H177" s="37">
        <v>36</v>
      </c>
      <c r="I177" s="37">
        <v>30</v>
      </c>
      <c r="J177" s="37">
        <v>12</v>
      </c>
      <c r="K177" s="37">
        <v>0</v>
      </c>
      <c r="L177" s="40">
        <v>44.9666666666667</v>
      </c>
      <c r="M177" s="37"/>
      <c r="N177" s="37"/>
      <c r="O177" s="39"/>
      <c r="P177" s="37"/>
    </row>
    <row r="178" ht="16.5" customHeight="1" spans="1:16">
      <c r="A178" s="37" t="s">
        <v>576</v>
      </c>
      <c r="B178" s="37" t="s">
        <v>51</v>
      </c>
      <c r="C178" s="37" t="s">
        <v>224</v>
      </c>
      <c r="D178" s="37" t="s">
        <v>239</v>
      </c>
      <c r="E178" s="37">
        <v>178</v>
      </c>
      <c r="F178" s="37">
        <v>89</v>
      </c>
      <c r="G178" s="39">
        <v>0.5</v>
      </c>
      <c r="H178" s="37">
        <v>45</v>
      </c>
      <c r="I178" s="37">
        <v>37</v>
      </c>
      <c r="J178" s="37">
        <v>24</v>
      </c>
      <c r="K178" s="37">
        <v>1</v>
      </c>
      <c r="L178" s="40">
        <v>63.9833333333333</v>
      </c>
      <c r="M178" s="37"/>
      <c r="N178" s="37"/>
      <c r="O178" s="39"/>
      <c r="P178" s="37"/>
    </row>
    <row r="179" ht="16.5" customHeight="1" spans="1:16">
      <c r="A179" s="37" t="s">
        <v>576</v>
      </c>
      <c r="B179" s="37" t="s">
        <v>51</v>
      </c>
      <c r="C179" s="37" t="s">
        <v>224</v>
      </c>
      <c r="D179" s="37" t="s">
        <v>225</v>
      </c>
      <c r="E179" s="37">
        <v>77</v>
      </c>
      <c r="F179" s="37">
        <v>45</v>
      </c>
      <c r="G179" s="39">
        <v>0.584415584415584</v>
      </c>
      <c r="H179" s="37">
        <v>14</v>
      </c>
      <c r="I179" s="37">
        <v>8</v>
      </c>
      <c r="J179" s="37">
        <v>5</v>
      </c>
      <c r="K179" s="37">
        <v>3</v>
      </c>
      <c r="L179" s="40">
        <v>32.85</v>
      </c>
      <c r="M179" s="37"/>
      <c r="N179" s="37"/>
      <c r="O179" s="39"/>
      <c r="P179" s="37"/>
    </row>
    <row r="180" ht="16.5" customHeight="1" spans="1:16">
      <c r="A180" s="37" t="s">
        <v>576</v>
      </c>
      <c r="B180" s="37" t="s">
        <v>51</v>
      </c>
      <c r="C180" s="37" t="s">
        <v>264</v>
      </c>
      <c r="D180" s="37" t="s">
        <v>448</v>
      </c>
      <c r="E180" s="37">
        <v>194</v>
      </c>
      <c r="F180" s="37">
        <v>85</v>
      </c>
      <c r="G180" s="39">
        <v>0.438144329896907</v>
      </c>
      <c r="H180" s="37">
        <v>39</v>
      </c>
      <c r="I180" s="37">
        <v>30</v>
      </c>
      <c r="J180" s="37">
        <v>20</v>
      </c>
      <c r="K180" s="37">
        <v>1</v>
      </c>
      <c r="L180" s="40">
        <v>61.1166666666667</v>
      </c>
      <c r="M180" s="37"/>
      <c r="N180" s="37"/>
      <c r="O180" s="39"/>
      <c r="P180" s="37"/>
    </row>
    <row r="181" ht="16.5" customHeight="1" spans="1:16">
      <c r="A181" s="37" t="s">
        <v>576</v>
      </c>
      <c r="B181" s="37" t="s">
        <v>51</v>
      </c>
      <c r="C181" s="37" t="s">
        <v>264</v>
      </c>
      <c r="D181" s="37" t="s">
        <v>451</v>
      </c>
      <c r="E181" s="37">
        <v>203</v>
      </c>
      <c r="F181" s="37">
        <v>81</v>
      </c>
      <c r="G181" s="39">
        <v>0.399014778325123</v>
      </c>
      <c r="H181" s="37">
        <v>36</v>
      </c>
      <c r="I181" s="37">
        <v>26</v>
      </c>
      <c r="J181" s="37">
        <v>11</v>
      </c>
      <c r="K181" s="37">
        <v>0</v>
      </c>
      <c r="L181" s="40">
        <v>44.3833333333333</v>
      </c>
      <c r="M181" s="37"/>
      <c r="N181" s="37"/>
      <c r="O181" s="39"/>
      <c r="P181" s="37"/>
    </row>
    <row r="182" ht="16.5" customHeight="1" spans="1:16">
      <c r="A182" s="37" t="s">
        <v>576</v>
      </c>
      <c r="B182" s="37" t="s">
        <v>51</v>
      </c>
      <c r="C182" s="37" t="s">
        <v>264</v>
      </c>
      <c r="D182" s="37" t="s">
        <v>466</v>
      </c>
      <c r="E182" s="37">
        <v>229</v>
      </c>
      <c r="F182" s="37">
        <v>94</v>
      </c>
      <c r="G182" s="39">
        <v>0.410480349344978</v>
      </c>
      <c r="H182" s="37">
        <v>25</v>
      </c>
      <c r="I182" s="37">
        <v>21</v>
      </c>
      <c r="J182" s="37">
        <v>8</v>
      </c>
      <c r="K182" s="37">
        <v>0</v>
      </c>
      <c r="L182" s="40">
        <v>40.45</v>
      </c>
      <c r="M182" s="37"/>
      <c r="N182" s="37"/>
      <c r="O182" s="39"/>
      <c r="P182" s="37"/>
    </row>
    <row r="183" ht="16.5" customHeight="1" spans="1:16">
      <c r="A183" s="37" t="s">
        <v>576</v>
      </c>
      <c r="B183" s="37" t="s">
        <v>51</v>
      </c>
      <c r="C183" s="37" t="s">
        <v>264</v>
      </c>
      <c r="D183" s="37" t="s">
        <v>473</v>
      </c>
      <c r="E183" s="37">
        <v>152</v>
      </c>
      <c r="F183" s="37">
        <v>73</v>
      </c>
      <c r="G183" s="39">
        <v>0.480263157894737</v>
      </c>
      <c r="H183" s="37">
        <v>40</v>
      </c>
      <c r="I183" s="37">
        <v>34</v>
      </c>
      <c r="J183" s="37">
        <v>20</v>
      </c>
      <c r="K183" s="37">
        <v>0</v>
      </c>
      <c r="L183" s="40">
        <v>55.1166666666667</v>
      </c>
      <c r="M183" s="37"/>
      <c r="N183" s="37"/>
      <c r="O183" s="39"/>
      <c r="P183" s="37"/>
    </row>
    <row r="184" ht="16.5" customHeight="1" spans="1:16">
      <c r="A184" s="37" t="s">
        <v>576</v>
      </c>
      <c r="B184" s="37" t="s">
        <v>51</v>
      </c>
      <c r="C184" s="37" t="s">
        <v>264</v>
      </c>
      <c r="D184" s="37" t="s">
        <v>457</v>
      </c>
      <c r="E184" s="37">
        <v>180</v>
      </c>
      <c r="F184" s="37">
        <v>81</v>
      </c>
      <c r="G184" s="39">
        <v>0.45</v>
      </c>
      <c r="H184" s="37">
        <v>31</v>
      </c>
      <c r="I184" s="37">
        <v>18</v>
      </c>
      <c r="J184" s="37">
        <v>10</v>
      </c>
      <c r="K184" s="37">
        <v>0</v>
      </c>
      <c r="L184" s="40">
        <v>41.9166666666667</v>
      </c>
      <c r="M184" s="37"/>
      <c r="N184" s="37"/>
      <c r="O184" s="39"/>
      <c r="P184" s="37"/>
    </row>
    <row r="185" ht="16.5" customHeight="1" spans="1:16">
      <c r="A185" s="37" t="s">
        <v>576</v>
      </c>
      <c r="B185" s="37" t="s">
        <v>51</v>
      </c>
      <c r="C185" s="37" t="s">
        <v>264</v>
      </c>
      <c r="D185" s="37" t="s">
        <v>441</v>
      </c>
      <c r="E185" s="37">
        <v>139</v>
      </c>
      <c r="F185" s="37">
        <v>59</v>
      </c>
      <c r="G185" s="39">
        <v>0.424460431654676</v>
      </c>
      <c r="H185" s="37">
        <v>27</v>
      </c>
      <c r="I185" s="37">
        <v>15</v>
      </c>
      <c r="J185" s="37">
        <v>14</v>
      </c>
      <c r="K185" s="37">
        <v>5</v>
      </c>
      <c r="L185" s="40">
        <v>47.6333333333333</v>
      </c>
      <c r="M185" s="37"/>
      <c r="N185" s="37"/>
      <c r="O185" s="39"/>
      <c r="P185" s="37"/>
    </row>
    <row r="186" ht="16.5" customHeight="1" spans="1:16">
      <c r="A186" s="37" t="s">
        <v>576</v>
      </c>
      <c r="B186" s="37" t="s">
        <v>51</v>
      </c>
      <c r="C186" s="37" t="s">
        <v>264</v>
      </c>
      <c r="D186" s="37" t="s">
        <v>471</v>
      </c>
      <c r="E186" s="37">
        <v>59</v>
      </c>
      <c r="F186" s="37">
        <v>33</v>
      </c>
      <c r="G186" s="39">
        <v>0.559322033898305</v>
      </c>
      <c r="H186" s="37">
        <v>10</v>
      </c>
      <c r="I186" s="37">
        <v>9</v>
      </c>
      <c r="J186" s="37">
        <v>6</v>
      </c>
      <c r="K186" s="37">
        <v>0</v>
      </c>
      <c r="L186" s="40">
        <v>17.9166666666667</v>
      </c>
      <c r="M186" s="37"/>
      <c r="N186" s="37"/>
      <c r="O186" s="39"/>
      <c r="P186" s="37"/>
    </row>
    <row r="187" ht="16.5" customHeight="1" spans="1:16">
      <c r="A187" s="37" t="s">
        <v>576</v>
      </c>
      <c r="B187" s="37" t="s">
        <v>51</v>
      </c>
      <c r="C187" s="37" t="s">
        <v>264</v>
      </c>
      <c r="D187" s="37" t="s">
        <v>445</v>
      </c>
      <c r="E187" s="37">
        <v>212</v>
      </c>
      <c r="F187" s="37">
        <v>108</v>
      </c>
      <c r="G187" s="39">
        <v>0.509433962264151</v>
      </c>
      <c r="H187" s="37">
        <v>36</v>
      </c>
      <c r="I187" s="37">
        <v>24</v>
      </c>
      <c r="J187" s="37">
        <v>9</v>
      </c>
      <c r="K187" s="37">
        <v>3</v>
      </c>
      <c r="L187" s="40">
        <v>59.5166666666667</v>
      </c>
      <c r="M187" s="37"/>
      <c r="N187" s="37"/>
      <c r="O187" s="39"/>
      <c r="P187" s="37"/>
    </row>
    <row r="188" ht="16.5" customHeight="1" spans="1:16">
      <c r="A188" s="37" t="s">
        <v>576</v>
      </c>
      <c r="B188" s="37" t="s">
        <v>51</v>
      </c>
      <c r="C188" s="37" t="s">
        <v>264</v>
      </c>
      <c r="D188" s="37" t="s">
        <v>454</v>
      </c>
      <c r="E188" s="37">
        <v>149</v>
      </c>
      <c r="F188" s="37">
        <v>70</v>
      </c>
      <c r="G188" s="39">
        <v>0.469798657718121</v>
      </c>
      <c r="H188" s="37">
        <v>33</v>
      </c>
      <c r="I188" s="37">
        <v>26</v>
      </c>
      <c r="J188" s="37">
        <v>8</v>
      </c>
      <c r="K188" s="37">
        <v>0</v>
      </c>
      <c r="L188" s="40">
        <v>40.2833333333333</v>
      </c>
      <c r="M188" s="37">
        <v>1</v>
      </c>
      <c r="N188" s="37">
        <v>0</v>
      </c>
      <c r="O188" s="39">
        <v>0</v>
      </c>
      <c r="P188" s="37">
        <v>0</v>
      </c>
    </row>
    <row r="189" ht="16.5" customHeight="1" spans="1:16">
      <c r="A189" s="37" t="s">
        <v>576</v>
      </c>
      <c r="B189" s="37" t="s">
        <v>51</v>
      </c>
      <c r="C189" s="37" t="s">
        <v>22</v>
      </c>
      <c r="D189" s="37" t="s">
        <v>310</v>
      </c>
      <c r="E189" s="37">
        <v>251</v>
      </c>
      <c r="F189" s="37">
        <v>94</v>
      </c>
      <c r="G189" s="39">
        <v>0.374501992031873</v>
      </c>
      <c r="H189" s="37">
        <v>46</v>
      </c>
      <c r="I189" s="37">
        <v>31</v>
      </c>
      <c r="J189" s="37">
        <v>24</v>
      </c>
      <c r="K189" s="37">
        <v>2</v>
      </c>
      <c r="L189" s="40">
        <v>69.6166666666667</v>
      </c>
      <c r="M189" s="37"/>
      <c r="N189" s="37"/>
      <c r="O189" s="39"/>
      <c r="P189" s="37"/>
    </row>
    <row r="190" ht="16.5" customHeight="1" spans="1:16">
      <c r="A190" s="37" t="s">
        <v>576</v>
      </c>
      <c r="B190" s="37" t="s">
        <v>51</v>
      </c>
      <c r="C190" s="37" t="s">
        <v>22</v>
      </c>
      <c r="D190" s="37" t="s">
        <v>302</v>
      </c>
      <c r="E190" s="37">
        <v>42</v>
      </c>
      <c r="F190" s="37">
        <v>22</v>
      </c>
      <c r="G190" s="39">
        <v>0.523809523809524</v>
      </c>
      <c r="H190" s="37">
        <v>12</v>
      </c>
      <c r="I190" s="37">
        <v>10</v>
      </c>
      <c r="J190" s="37">
        <v>7</v>
      </c>
      <c r="K190" s="37">
        <v>0</v>
      </c>
      <c r="L190" s="40">
        <v>16.8666666666667</v>
      </c>
      <c r="M190" s="37"/>
      <c r="N190" s="37"/>
      <c r="O190" s="39"/>
      <c r="P190" s="37"/>
    </row>
    <row r="191" ht="16.5" customHeight="1" spans="1:16">
      <c r="A191" s="37" t="s">
        <v>576</v>
      </c>
      <c r="B191" s="37" t="s">
        <v>51</v>
      </c>
      <c r="C191" s="37" t="s">
        <v>22</v>
      </c>
      <c r="D191" s="37" t="s">
        <v>307</v>
      </c>
      <c r="E191" s="37">
        <v>35</v>
      </c>
      <c r="F191" s="37">
        <v>13</v>
      </c>
      <c r="G191" s="39">
        <v>0.371428571428571</v>
      </c>
      <c r="H191" s="37">
        <v>6</v>
      </c>
      <c r="I191" s="37">
        <v>4</v>
      </c>
      <c r="J191" s="37">
        <v>1</v>
      </c>
      <c r="K191" s="37">
        <v>0</v>
      </c>
      <c r="L191" s="40">
        <v>6.58333333333333</v>
      </c>
      <c r="M191" s="37"/>
      <c r="N191" s="37"/>
      <c r="O191" s="39"/>
      <c r="P191" s="37"/>
    </row>
    <row r="192" ht="16.5" customHeight="1" spans="1:16">
      <c r="A192" s="37" t="s">
        <v>576</v>
      </c>
      <c r="B192" s="37" t="s">
        <v>51</v>
      </c>
      <c r="C192" s="37" t="s">
        <v>22</v>
      </c>
      <c r="D192" s="37" t="s">
        <v>299</v>
      </c>
      <c r="E192" s="37">
        <v>14</v>
      </c>
      <c r="F192" s="37">
        <v>5</v>
      </c>
      <c r="G192" s="39">
        <v>0.357142857142857</v>
      </c>
      <c r="H192" s="37">
        <v>4</v>
      </c>
      <c r="I192" s="37">
        <v>4</v>
      </c>
      <c r="J192" s="37">
        <v>4</v>
      </c>
      <c r="K192" s="37">
        <v>0</v>
      </c>
      <c r="L192" s="40">
        <v>8.58333333333333</v>
      </c>
      <c r="M192" s="37"/>
      <c r="N192" s="37"/>
      <c r="O192" s="39"/>
      <c r="P192" s="37"/>
    </row>
    <row r="193" ht="16.5" customHeight="1" spans="1:16">
      <c r="A193" s="37" t="s">
        <v>576</v>
      </c>
      <c r="B193" s="37" t="s">
        <v>51</v>
      </c>
      <c r="C193" s="37" t="s">
        <v>22</v>
      </c>
      <c r="D193" s="37" t="s">
        <v>293</v>
      </c>
      <c r="E193" s="37">
        <v>27</v>
      </c>
      <c r="F193" s="37">
        <v>8</v>
      </c>
      <c r="G193" s="39">
        <v>0.296296296296296</v>
      </c>
      <c r="H193" s="37">
        <v>5</v>
      </c>
      <c r="I193" s="37">
        <v>3</v>
      </c>
      <c r="J193" s="37">
        <v>3</v>
      </c>
      <c r="K193" s="37">
        <v>1</v>
      </c>
      <c r="L193" s="40">
        <v>10.5666666666667</v>
      </c>
      <c r="M193" s="37"/>
      <c r="N193" s="37"/>
      <c r="O193" s="39"/>
      <c r="P193" s="37"/>
    </row>
    <row r="194" ht="16.5" customHeight="1" spans="1:16">
      <c r="A194" s="37" t="s">
        <v>576</v>
      </c>
      <c r="B194" s="37" t="s">
        <v>51</v>
      </c>
      <c r="C194" s="37" t="s">
        <v>22</v>
      </c>
      <c r="D194" s="37" t="s">
        <v>296</v>
      </c>
      <c r="E194" s="37">
        <v>18</v>
      </c>
      <c r="F194" s="37">
        <v>6</v>
      </c>
      <c r="G194" s="39">
        <v>0.333333333333333</v>
      </c>
      <c r="H194" s="37">
        <v>4</v>
      </c>
      <c r="I194" s="37">
        <v>4</v>
      </c>
      <c r="J194" s="37">
        <v>1</v>
      </c>
      <c r="K194" s="37">
        <v>0</v>
      </c>
      <c r="L194" s="40">
        <v>4.36666666666667</v>
      </c>
      <c r="M194" s="37"/>
      <c r="N194" s="37"/>
      <c r="O194" s="39"/>
      <c r="P194" s="37"/>
    </row>
    <row r="195" ht="16.5" customHeight="1" spans="1:16">
      <c r="A195" s="37" t="s">
        <v>576</v>
      </c>
      <c r="B195" s="37" t="s">
        <v>51</v>
      </c>
      <c r="C195" s="37" t="s">
        <v>22</v>
      </c>
      <c r="D195" s="37" t="s">
        <v>305</v>
      </c>
      <c r="E195" s="37">
        <v>20</v>
      </c>
      <c r="F195" s="37">
        <v>5</v>
      </c>
      <c r="G195" s="39">
        <v>0.25</v>
      </c>
      <c r="H195" s="37">
        <v>5</v>
      </c>
      <c r="I195" s="37">
        <v>4</v>
      </c>
      <c r="J195" s="37">
        <v>2</v>
      </c>
      <c r="K195" s="37">
        <v>0</v>
      </c>
      <c r="L195" s="40">
        <v>6</v>
      </c>
      <c r="M195" s="37"/>
      <c r="N195" s="37"/>
      <c r="O195" s="39"/>
      <c r="P195" s="37"/>
    </row>
    <row r="196" ht="16.5" customHeight="1" spans="1:16">
      <c r="A196" s="37" t="s">
        <v>576</v>
      </c>
      <c r="B196" s="37" t="s">
        <v>51</v>
      </c>
      <c r="C196" s="37" t="s">
        <v>22</v>
      </c>
      <c r="D196" s="37" t="s">
        <v>313</v>
      </c>
      <c r="E196" s="37">
        <v>10</v>
      </c>
      <c r="F196" s="37">
        <v>3</v>
      </c>
      <c r="G196" s="39">
        <v>0.3</v>
      </c>
      <c r="H196" s="37">
        <v>2</v>
      </c>
      <c r="I196" s="37">
        <v>1</v>
      </c>
      <c r="J196" s="37">
        <v>0</v>
      </c>
      <c r="K196" s="37">
        <v>0</v>
      </c>
      <c r="L196" s="40">
        <v>1.46666666666667</v>
      </c>
      <c r="M196" s="37"/>
      <c r="N196" s="37"/>
      <c r="O196" s="39"/>
      <c r="P196" s="37"/>
    </row>
    <row r="197" ht="16.5" customHeight="1" spans="1:16">
      <c r="A197" s="37" t="s">
        <v>576</v>
      </c>
      <c r="B197" s="37" t="s">
        <v>51</v>
      </c>
      <c r="C197" s="37" t="s">
        <v>125</v>
      </c>
      <c r="D197" s="37" t="s">
        <v>142</v>
      </c>
      <c r="E197" s="37">
        <v>2</v>
      </c>
      <c r="F197" s="37">
        <v>0</v>
      </c>
      <c r="G197" s="39">
        <v>0</v>
      </c>
      <c r="H197" s="37">
        <v>0</v>
      </c>
      <c r="I197" s="37">
        <v>0</v>
      </c>
      <c r="J197" s="37">
        <v>0</v>
      </c>
      <c r="K197" s="37">
        <v>0</v>
      </c>
      <c r="L197" s="40">
        <v>0</v>
      </c>
      <c r="M197" s="37"/>
      <c r="N197" s="37"/>
      <c r="O197" s="39"/>
      <c r="P197" s="37"/>
    </row>
    <row r="198" ht="16.5" customHeight="1" spans="1:16">
      <c r="A198" s="37" t="s">
        <v>576</v>
      </c>
      <c r="B198" s="37" t="s">
        <v>621</v>
      </c>
      <c r="C198" s="37" t="s">
        <v>52</v>
      </c>
      <c r="D198" s="37" t="s">
        <v>622</v>
      </c>
      <c r="E198" s="37">
        <v>48</v>
      </c>
      <c r="F198" s="37">
        <v>18</v>
      </c>
      <c r="G198" s="39">
        <v>0.375</v>
      </c>
      <c r="H198" s="37">
        <v>3</v>
      </c>
      <c r="I198" s="37">
        <v>2</v>
      </c>
      <c r="J198" s="37">
        <v>0</v>
      </c>
      <c r="K198" s="37">
        <v>0</v>
      </c>
      <c r="L198" s="40">
        <v>5.6</v>
      </c>
      <c r="M198" s="37">
        <v>1</v>
      </c>
      <c r="N198" s="37">
        <v>0</v>
      </c>
      <c r="O198" s="39">
        <v>0</v>
      </c>
      <c r="P198" s="37">
        <v>73</v>
      </c>
    </row>
    <row r="199" ht="16.5" customHeight="1" spans="1:16">
      <c r="A199" s="37" t="s">
        <v>576</v>
      </c>
      <c r="B199" s="37" t="s">
        <v>621</v>
      </c>
      <c r="C199" s="37" t="s">
        <v>52</v>
      </c>
      <c r="D199" s="37" t="s">
        <v>623</v>
      </c>
      <c r="E199" s="37">
        <v>52</v>
      </c>
      <c r="F199" s="37">
        <v>23</v>
      </c>
      <c r="G199" s="39">
        <v>0.442307692307692</v>
      </c>
      <c r="H199" s="37">
        <v>12</v>
      </c>
      <c r="I199" s="37">
        <v>7</v>
      </c>
      <c r="J199" s="37">
        <v>2</v>
      </c>
      <c r="K199" s="37">
        <v>0</v>
      </c>
      <c r="L199" s="40">
        <v>12.7833333333333</v>
      </c>
      <c r="M199" s="37">
        <v>1</v>
      </c>
      <c r="N199" s="37">
        <v>0</v>
      </c>
      <c r="O199" s="39">
        <v>0</v>
      </c>
      <c r="P199" s="37">
        <v>79</v>
      </c>
    </row>
    <row r="200" ht="16.5" customHeight="1" spans="1:16">
      <c r="A200" s="37" t="s">
        <v>576</v>
      </c>
      <c r="B200" s="37" t="s">
        <v>621</v>
      </c>
      <c r="C200" s="37" t="s">
        <v>52</v>
      </c>
      <c r="D200" s="37" t="s">
        <v>624</v>
      </c>
      <c r="E200" s="37">
        <v>12</v>
      </c>
      <c r="F200" s="37">
        <v>8</v>
      </c>
      <c r="G200" s="39">
        <v>0.666666666666667</v>
      </c>
      <c r="H200" s="37">
        <v>4</v>
      </c>
      <c r="I200" s="37">
        <v>3</v>
      </c>
      <c r="J200" s="37">
        <v>3</v>
      </c>
      <c r="K200" s="37">
        <v>1</v>
      </c>
      <c r="L200" s="40">
        <v>6.9</v>
      </c>
      <c r="M200" s="37">
        <v>2</v>
      </c>
      <c r="N200" s="37">
        <v>0</v>
      </c>
      <c r="O200" s="39">
        <v>0</v>
      </c>
      <c r="P200" s="37">
        <v>79</v>
      </c>
    </row>
    <row r="201" ht="16.5" customHeight="1" spans="1:16">
      <c r="A201" s="37" t="s">
        <v>576</v>
      </c>
      <c r="B201" s="37" t="s">
        <v>621</v>
      </c>
      <c r="C201" s="37" t="s">
        <v>52</v>
      </c>
      <c r="D201" s="37" t="s">
        <v>625</v>
      </c>
      <c r="E201" s="37">
        <v>8</v>
      </c>
      <c r="F201" s="37">
        <v>7</v>
      </c>
      <c r="G201" s="39">
        <v>0.875</v>
      </c>
      <c r="H201" s="37">
        <v>5</v>
      </c>
      <c r="I201" s="37">
        <v>5</v>
      </c>
      <c r="J201" s="37">
        <v>4</v>
      </c>
      <c r="K201" s="37">
        <v>0</v>
      </c>
      <c r="L201" s="40">
        <v>7.63333333333333</v>
      </c>
      <c r="M201" s="37">
        <v>1</v>
      </c>
      <c r="N201" s="37">
        <v>1</v>
      </c>
      <c r="O201" s="39">
        <v>1</v>
      </c>
      <c r="P201" s="37">
        <v>88</v>
      </c>
    </row>
    <row r="202" ht="16.5" customHeight="1" spans="1:16">
      <c r="A202" s="37" t="s">
        <v>576</v>
      </c>
      <c r="B202" s="37" t="s">
        <v>621</v>
      </c>
      <c r="C202" s="37" t="s">
        <v>264</v>
      </c>
      <c r="D202" s="37" t="s">
        <v>626</v>
      </c>
      <c r="E202" s="37">
        <v>187</v>
      </c>
      <c r="F202" s="37">
        <v>82</v>
      </c>
      <c r="G202" s="39">
        <v>0.438502673796791</v>
      </c>
      <c r="H202" s="37">
        <v>41</v>
      </c>
      <c r="I202" s="37">
        <v>30</v>
      </c>
      <c r="J202" s="37">
        <v>23</v>
      </c>
      <c r="K202" s="37">
        <v>1</v>
      </c>
      <c r="L202" s="40">
        <v>63.05</v>
      </c>
      <c r="M202" s="37"/>
      <c r="N202" s="37"/>
      <c r="O202" s="39"/>
      <c r="P202" s="37"/>
    </row>
    <row r="203" ht="16.5" customHeight="1" spans="1:16">
      <c r="A203" s="37" t="s">
        <v>576</v>
      </c>
      <c r="B203" s="37" t="s">
        <v>621</v>
      </c>
      <c r="C203" s="37" t="s">
        <v>264</v>
      </c>
      <c r="D203" s="37" t="s">
        <v>627</v>
      </c>
      <c r="E203" s="37">
        <v>128</v>
      </c>
      <c r="F203" s="37">
        <v>69</v>
      </c>
      <c r="G203" s="39">
        <v>0.5390625</v>
      </c>
      <c r="H203" s="37">
        <v>31</v>
      </c>
      <c r="I203" s="37">
        <v>21</v>
      </c>
      <c r="J203" s="37">
        <v>13</v>
      </c>
      <c r="K203" s="37">
        <v>2</v>
      </c>
      <c r="L203" s="40">
        <v>45.7833333333333</v>
      </c>
      <c r="M203" s="37"/>
      <c r="N203" s="37"/>
      <c r="O203" s="39"/>
      <c r="P203" s="37"/>
    </row>
    <row r="204" ht="16.5" customHeight="1" spans="1:16">
      <c r="A204" s="37" t="s">
        <v>576</v>
      </c>
      <c r="B204" s="37" t="s">
        <v>621</v>
      </c>
      <c r="C204" s="37" t="s">
        <v>264</v>
      </c>
      <c r="D204" s="37" t="s">
        <v>628</v>
      </c>
      <c r="E204" s="37">
        <v>116</v>
      </c>
      <c r="F204" s="37">
        <v>51</v>
      </c>
      <c r="G204" s="39">
        <v>0.439655172413793</v>
      </c>
      <c r="H204" s="37">
        <v>31</v>
      </c>
      <c r="I204" s="37">
        <v>22</v>
      </c>
      <c r="J204" s="37">
        <v>13</v>
      </c>
      <c r="K204" s="37">
        <v>0</v>
      </c>
      <c r="L204" s="40">
        <v>37.1333333333333</v>
      </c>
      <c r="M204" s="37">
        <v>1</v>
      </c>
      <c r="N204" s="37">
        <v>1</v>
      </c>
      <c r="O204" s="39">
        <v>1</v>
      </c>
      <c r="P204" s="37">
        <v>77</v>
      </c>
    </row>
    <row r="205" ht="16.5" customHeight="1" spans="1:16">
      <c r="A205" s="37" t="s">
        <v>576</v>
      </c>
      <c r="B205" s="37" t="s">
        <v>621</v>
      </c>
      <c r="C205" s="37" t="s">
        <v>264</v>
      </c>
      <c r="D205" s="37" t="s">
        <v>629</v>
      </c>
      <c r="E205" s="37">
        <v>155</v>
      </c>
      <c r="F205" s="37">
        <v>59</v>
      </c>
      <c r="G205" s="39">
        <v>0.380645161290323</v>
      </c>
      <c r="H205" s="37">
        <v>21</v>
      </c>
      <c r="I205" s="37">
        <v>16</v>
      </c>
      <c r="J205" s="37">
        <v>13</v>
      </c>
      <c r="K205" s="37">
        <v>1</v>
      </c>
      <c r="L205" s="40">
        <v>33.4333333333333</v>
      </c>
      <c r="M205" s="37">
        <v>1</v>
      </c>
      <c r="N205" s="37">
        <v>1</v>
      </c>
      <c r="O205" s="39">
        <v>1</v>
      </c>
      <c r="P205" s="37">
        <v>151</v>
      </c>
    </row>
    <row r="206" ht="16.5" customHeight="1" spans="1:16">
      <c r="A206" s="37" t="s">
        <v>576</v>
      </c>
      <c r="B206" s="37" t="s">
        <v>621</v>
      </c>
      <c r="C206" s="37" t="s">
        <v>264</v>
      </c>
      <c r="D206" s="37" t="s">
        <v>630</v>
      </c>
      <c r="E206" s="37">
        <v>142</v>
      </c>
      <c r="F206" s="37">
        <v>54</v>
      </c>
      <c r="G206" s="39">
        <v>0.380281690140845</v>
      </c>
      <c r="H206" s="37">
        <v>25</v>
      </c>
      <c r="I206" s="37">
        <v>18</v>
      </c>
      <c r="J206" s="37">
        <v>10</v>
      </c>
      <c r="K206" s="37">
        <v>2</v>
      </c>
      <c r="L206" s="40">
        <v>50.6833333333333</v>
      </c>
      <c r="M206" s="37"/>
      <c r="N206" s="37"/>
      <c r="O206" s="39"/>
      <c r="P206" s="37"/>
    </row>
    <row r="207" ht="16.5" customHeight="1" spans="1:16">
      <c r="A207" s="37" t="s">
        <v>576</v>
      </c>
      <c r="B207" s="37" t="s">
        <v>621</v>
      </c>
      <c r="C207" s="37" t="s">
        <v>264</v>
      </c>
      <c r="D207" s="37" t="s">
        <v>631</v>
      </c>
      <c r="E207" s="37">
        <v>184</v>
      </c>
      <c r="F207" s="37">
        <v>108</v>
      </c>
      <c r="G207" s="39">
        <v>0.58695652173913</v>
      </c>
      <c r="H207" s="37">
        <v>30</v>
      </c>
      <c r="I207" s="37">
        <v>24</v>
      </c>
      <c r="J207" s="37">
        <v>7</v>
      </c>
      <c r="K207" s="37">
        <v>0</v>
      </c>
      <c r="L207" s="40">
        <v>47.9</v>
      </c>
      <c r="M207" s="37"/>
      <c r="N207" s="37"/>
      <c r="O207" s="39"/>
      <c r="P207" s="37"/>
    </row>
    <row r="208" ht="16.5" customHeight="1" spans="1:16">
      <c r="A208" s="37" t="s">
        <v>576</v>
      </c>
      <c r="B208" s="37" t="s">
        <v>621</v>
      </c>
      <c r="C208" s="37" t="s">
        <v>264</v>
      </c>
      <c r="D208" s="37" t="s">
        <v>632</v>
      </c>
      <c r="E208" s="37">
        <v>121</v>
      </c>
      <c r="F208" s="37">
        <v>53</v>
      </c>
      <c r="G208" s="39">
        <v>0.43801652892562</v>
      </c>
      <c r="H208" s="37">
        <v>25</v>
      </c>
      <c r="I208" s="37">
        <v>20</v>
      </c>
      <c r="J208" s="37">
        <v>16</v>
      </c>
      <c r="K208" s="37">
        <v>1</v>
      </c>
      <c r="L208" s="40">
        <v>38.2666666666667</v>
      </c>
      <c r="M208" s="37">
        <v>1</v>
      </c>
      <c r="N208" s="37">
        <v>0</v>
      </c>
      <c r="O208" s="39">
        <v>0</v>
      </c>
      <c r="P208" s="37">
        <v>56</v>
      </c>
    </row>
    <row r="209" ht="16.5" customHeight="1" spans="1:16">
      <c r="A209" s="37" t="s">
        <v>576</v>
      </c>
      <c r="B209" s="37" t="s">
        <v>621</v>
      </c>
      <c r="C209" s="37" t="s">
        <v>22</v>
      </c>
      <c r="D209" s="37" t="s">
        <v>633</v>
      </c>
      <c r="E209" s="37">
        <v>126</v>
      </c>
      <c r="F209" s="37">
        <v>59</v>
      </c>
      <c r="G209" s="39">
        <v>0.468253968253968</v>
      </c>
      <c r="H209" s="37">
        <v>28</v>
      </c>
      <c r="I209" s="37">
        <v>22</v>
      </c>
      <c r="J209" s="37">
        <v>4</v>
      </c>
      <c r="K209" s="37">
        <v>0</v>
      </c>
      <c r="L209" s="40">
        <v>32.25</v>
      </c>
      <c r="M209" s="37"/>
      <c r="N209" s="37"/>
      <c r="O209" s="39"/>
      <c r="P209" s="37"/>
    </row>
    <row r="210" ht="16.5" customHeight="1" spans="1:16">
      <c r="A210" s="37" t="s">
        <v>576</v>
      </c>
      <c r="B210" s="37" t="s">
        <v>621</v>
      </c>
      <c r="C210" s="37" t="s">
        <v>22</v>
      </c>
      <c r="D210" s="37" t="s">
        <v>634</v>
      </c>
      <c r="E210" s="37">
        <v>68</v>
      </c>
      <c r="F210" s="37">
        <v>39</v>
      </c>
      <c r="G210" s="39">
        <v>0.573529411764706</v>
      </c>
      <c r="H210" s="37">
        <v>28</v>
      </c>
      <c r="I210" s="37">
        <v>25</v>
      </c>
      <c r="J210" s="37">
        <v>17</v>
      </c>
      <c r="K210" s="37">
        <v>1</v>
      </c>
      <c r="L210" s="40">
        <v>38.9666666666667</v>
      </c>
      <c r="M210" s="37"/>
      <c r="N210" s="37"/>
      <c r="O210" s="39"/>
      <c r="P210" s="37"/>
    </row>
    <row r="211" ht="16.5" customHeight="1" spans="1:16">
      <c r="A211" s="37" t="s">
        <v>576</v>
      </c>
      <c r="B211" s="37" t="s">
        <v>621</v>
      </c>
      <c r="C211" s="37" t="s">
        <v>22</v>
      </c>
      <c r="D211" s="37" t="s">
        <v>635</v>
      </c>
      <c r="E211" s="37">
        <v>1</v>
      </c>
      <c r="F211" s="37">
        <v>1</v>
      </c>
      <c r="G211" s="39">
        <v>1</v>
      </c>
      <c r="H211" s="37">
        <v>1</v>
      </c>
      <c r="I211" s="37">
        <v>1</v>
      </c>
      <c r="J211" s="37">
        <v>1</v>
      </c>
      <c r="K211" s="37">
        <v>0</v>
      </c>
      <c r="L211" s="40">
        <v>1.65</v>
      </c>
      <c r="M211" s="37"/>
      <c r="N211" s="37"/>
      <c r="O211" s="39"/>
      <c r="P211" s="37"/>
    </row>
    <row r="212" ht="16.5" customHeight="1" spans="1:16">
      <c r="A212" s="37" t="s">
        <v>576</v>
      </c>
      <c r="B212" s="37" t="s">
        <v>636</v>
      </c>
      <c r="C212" s="37" t="s">
        <v>102</v>
      </c>
      <c r="D212" s="37" t="s">
        <v>637</v>
      </c>
      <c r="E212" s="37">
        <v>1</v>
      </c>
      <c r="F212" s="37">
        <v>1</v>
      </c>
      <c r="G212" s="39">
        <v>1</v>
      </c>
      <c r="H212" s="37">
        <v>0</v>
      </c>
      <c r="I212" s="37">
        <v>0</v>
      </c>
      <c r="J212" s="37">
        <v>0</v>
      </c>
      <c r="K212" s="37">
        <v>0</v>
      </c>
      <c r="L212" s="40">
        <v>0.0666666666666667</v>
      </c>
      <c r="M212" s="37"/>
      <c r="N212" s="37"/>
      <c r="O212" s="39"/>
      <c r="P212" s="37"/>
    </row>
    <row r="213" ht="16.5" customHeight="1" spans="1:16">
      <c r="A213" s="37" t="s">
        <v>576</v>
      </c>
      <c r="B213" s="37" t="s">
        <v>636</v>
      </c>
      <c r="C213" s="37" t="s">
        <v>52</v>
      </c>
      <c r="D213" s="37" t="s">
        <v>638</v>
      </c>
      <c r="E213" s="37">
        <v>85</v>
      </c>
      <c r="F213" s="37">
        <v>44</v>
      </c>
      <c r="G213" s="39">
        <v>0.517647058823529</v>
      </c>
      <c r="H213" s="37">
        <v>21</v>
      </c>
      <c r="I213" s="37">
        <v>16</v>
      </c>
      <c r="J213" s="37">
        <v>12</v>
      </c>
      <c r="K213" s="37">
        <v>1</v>
      </c>
      <c r="L213" s="40">
        <v>35.2666666666667</v>
      </c>
      <c r="M213" s="37"/>
      <c r="N213" s="37"/>
      <c r="O213" s="39"/>
      <c r="P213" s="37"/>
    </row>
    <row r="214" ht="16.5" customHeight="1" spans="1:16">
      <c r="A214" s="37" t="s">
        <v>576</v>
      </c>
      <c r="B214" s="37" t="s">
        <v>636</v>
      </c>
      <c r="C214" s="37" t="s">
        <v>52</v>
      </c>
      <c r="D214" s="37" t="s">
        <v>639</v>
      </c>
      <c r="E214" s="37"/>
      <c r="F214" s="37"/>
      <c r="G214" s="39"/>
      <c r="H214" s="37"/>
      <c r="I214" s="37"/>
      <c r="J214" s="37"/>
      <c r="K214" s="37"/>
      <c r="L214" s="40"/>
      <c r="M214" s="37">
        <v>1</v>
      </c>
      <c r="N214" s="37">
        <v>0</v>
      </c>
      <c r="O214" s="39">
        <v>0</v>
      </c>
      <c r="P214" s="37">
        <v>62</v>
      </c>
    </row>
    <row r="215" ht="16.5" customHeight="1" spans="1:16">
      <c r="A215" s="37" t="s">
        <v>576</v>
      </c>
      <c r="B215" s="37" t="s">
        <v>636</v>
      </c>
      <c r="C215" s="37" t="s">
        <v>52</v>
      </c>
      <c r="D215" s="37" t="s">
        <v>640</v>
      </c>
      <c r="E215" s="37">
        <v>1</v>
      </c>
      <c r="F215" s="37">
        <v>1</v>
      </c>
      <c r="G215" s="39">
        <v>1</v>
      </c>
      <c r="H215" s="37">
        <v>0</v>
      </c>
      <c r="I215" s="37">
        <v>0</v>
      </c>
      <c r="J215" s="37">
        <v>0</v>
      </c>
      <c r="K215" s="37">
        <v>0</v>
      </c>
      <c r="L215" s="40">
        <v>0.183333333333333</v>
      </c>
      <c r="M215" s="37">
        <v>2</v>
      </c>
      <c r="N215" s="37">
        <v>0</v>
      </c>
      <c r="O215" s="39">
        <v>0</v>
      </c>
      <c r="P215" s="37">
        <v>60</v>
      </c>
    </row>
    <row r="216" ht="16.5" customHeight="1" spans="1:16">
      <c r="A216" s="37" t="s">
        <v>576</v>
      </c>
      <c r="B216" s="37" t="s">
        <v>636</v>
      </c>
      <c r="C216" s="37" t="s">
        <v>52</v>
      </c>
      <c r="D216" s="37" t="s">
        <v>641</v>
      </c>
      <c r="E216" s="37">
        <v>21</v>
      </c>
      <c r="F216" s="37">
        <v>7</v>
      </c>
      <c r="G216" s="39">
        <v>0.333333333333333</v>
      </c>
      <c r="H216" s="37">
        <v>2</v>
      </c>
      <c r="I216" s="37">
        <v>2</v>
      </c>
      <c r="J216" s="37">
        <v>2</v>
      </c>
      <c r="K216" s="37">
        <v>0</v>
      </c>
      <c r="L216" s="40">
        <v>5.25</v>
      </c>
      <c r="M216" s="37"/>
      <c r="N216" s="37"/>
      <c r="O216" s="39"/>
      <c r="P216" s="37"/>
    </row>
    <row r="217" ht="16.5" customHeight="1" spans="1:16">
      <c r="A217" s="37" t="s">
        <v>576</v>
      </c>
      <c r="B217" s="37" t="s">
        <v>636</v>
      </c>
      <c r="C217" s="37" t="s">
        <v>52</v>
      </c>
      <c r="D217" s="37" t="s">
        <v>642</v>
      </c>
      <c r="E217" s="37">
        <v>42</v>
      </c>
      <c r="F217" s="37">
        <v>14</v>
      </c>
      <c r="G217" s="39">
        <v>0.333333333333333</v>
      </c>
      <c r="H217" s="37">
        <v>4</v>
      </c>
      <c r="I217" s="37">
        <v>4</v>
      </c>
      <c r="J217" s="37">
        <v>3</v>
      </c>
      <c r="K217" s="37">
        <v>0</v>
      </c>
      <c r="L217" s="40">
        <v>6.4</v>
      </c>
      <c r="M217" s="37"/>
      <c r="N217" s="37"/>
      <c r="O217" s="39"/>
      <c r="P217" s="37"/>
    </row>
    <row r="218" ht="16.5" customHeight="1" spans="1:16">
      <c r="A218" s="37" t="s">
        <v>576</v>
      </c>
      <c r="B218" s="37" t="s">
        <v>636</v>
      </c>
      <c r="C218" s="37" t="s">
        <v>151</v>
      </c>
      <c r="D218" s="37" t="s">
        <v>643</v>
      </c>
      <c r="E218" s="37">
        <v>182</v>
      </c>
      <c r="F218" s="37">
        <v>94</v>
      </c>
      <c r="G218" s="39">
        <v>0.516483516483517</v>
      </c>
      <c r="H218" s="37">
        <v>34</v>
      </c>
      <c r="I218" s="37">
        <v>19</v>
      </c>
      <c r="J218" s="37">
        <v>11</v>
      </c>
      <c r="K218" s="37">
        <v>2</v>
      </c>
      <c r="L218" s="40">
        <v>54.7</v>
      </c>
      <c r="M218" s="37"/>
      <c r="N218" s="37"/>
      <c r="O218" s="39"/>
      <c r="P218" s="37"/>
    </row>
    <row r="219" ht="16.5" customHeight="1" spans="1:16">
      <c r="A219" s="37" t="s">
        <v>576</v>
      </c>
      <c r="B219" s="37" t="s">
        <v>636</v>
      </c>
      <c r="C219" s="37" t="s">
        <v>151</v>
      </c>
      <c r="D219" s="37" t="s">
        <v>644</v>
      </c>
      <c r="E219" s="37"/>
      <c r="F219" s="37"/>
      <c r="G219" s="39"/>
      <c r="H219" s="37"/>
      <c r="I219" s="37"/>
      <c r="J219" s="37"/>
      <c r="K219" s="37"/>
      <c r="L219" s="40"/>
      <c r="M219" s="37">
        <v>2</v>
      </c>
      <c r="N219" s="37">
        <v>1</v>
      </c>
      <c r="O219" s="39">
        <v>0.5</v>
      </c>
      <c r="P219" s="37">
        <v>71</v>
      </c>
    </row>
    <row r="220" ht="16.5" customHeight="1" spans="1:16">
      <c r="A220" s="37" t="s">
        <v>576</v>
      </c>
      <c r="B220" s="37" t="s">
        <v>636</v>
      </c>
      <c r="C220" s="37" t="s">
        <v>151</v>
      </c>
      <c r="D220" s="37" t="s">
        <v>645</v>
      </c>
      <c r="E220" s="37">
        <v>179</v>
      </c>
      <c r="F220" s="37">
        <v>84</v>
      </c>
      <c r="G220" s="39">
        <v>0.46927374301676</v>
      </c>
      <c r="H220" s="37">
        <v>30</v>
      </c>
      <c r="I220" s="37">
        <v>17</v>
      </c>
      <c r="J220" s="37">
        <v>8</v>
      </c>
      <c r="K220" s="37">
        <v>0</v>
      </c>
      <c r="L220" s="40">
        <v>41.2833333333333</v>
      </c>
      <c r="M220" s="37">
        <v>1</v>
      </c>
      <c r="N220" s="37">
        <v>0</v>
      </c>
      <c r="O220" s="39">
        <v>0</v>
      </c>
      <c r="P220" s="37">
        <v>62</v>
      </c>
    </row>
    <row r="221" ht="16.5" customHeight="1" spans="1:16">
      <c r="A221" s="37" t="s">
        <v>576</v>
      </c>
      <c r="B221" s="37" t="s">
        <v>636</v>
      </c>
      <c r="C221" s="37" t="s">
        <v>151</v>
      </c>
      <c r="D221" s="37" t="s">
        <v>646</v>
      </c>
      <c r="E221" s="37">
        <v>50</v>
      </c>
      <c r="F221" s="37">
        <v>23</v>
      </c>
      <c r="G221" s="39">
        <v>0.46</v>
      </c>
      <c r="H221" s="37">
        <v>14</v>
      </c>
      <c r="I221" s="37">
        <v>13</v>
      </c>
      <c r="J221" s="37">
        <v>10</v>
      </c>
      <c r="K221" s="37">
        <v>0</v>
      </c>
      <c r="L221" s="40">
        <v>20.0333333333333</v>
      </c>
      <c r="M221" s="37">
        <v>1</v>
      </c>
      <c r="N221" s="37">
        <v>0</v>
      </c>
      <c r="O221" s="39">
        <v>0</v>
      </c>
      <c r="P221" s="37">
        <v>0</v>
      </c>
    </row>
    <row r="222" ht="16.5" customHeight="1" spans="1:16">
      <c r="A222" s="37" t="s">
        <v>576</v>
      </c>
      <c r="B222" s="37" t="s">
        <v>636</v>
      </c>
      <c r="C222" s="37" t="s">
        <v>151</v>
      </c>
      <c r="D222" s="37" t="s">
        <v>647</v>
      </c>
      <c r="E222" s="37">
        <v>80</v>
      </c>
      <c r="F222" s="37">
        <v>34</v>
      </c>
      <c r="G222" s="39">
        <v>0.425</v>
      </c>
      <c r="H222" s="37">
        <v>19</v>
      </c>
      <c r="I222" s="37">
        <v>14</v>
      </c>
      <c r="J222" s="37">
        <v>5</v>
      </c>
      <c r="K222" s="37">
        <v>2</v>
      </c>
      <c r="L222" s="40">
        <v>28.7</v>
      </c>
      <c r="M222" s="37"/>
      <c r="N222" s="37"/>
      <c r="O222" s="39"/>
      <c r="P222" s="37"/>
    </row>
    <row r="223" ht="16.5" customHeight="1" spans="1:16">
      <c r="A223" s="37" t="s">
        <v>576</v>
      </c>
      <c r="B223" s="37" t="s">
        <v>636</v>
      </c>
      <c r="C223" s="37" t="s">
        <v>151</v>
      </c>
      <c r="D223" s="37" t="s">
        <v>648</v>
      </c>
      <c r="E223" s="37">
        <v>167</v>
      </c>
      <c r="F223" s="37">
        <v>66</v>
      </c>
      <c r="G223" s="39">
        <v>0.395209580838323</v>
      </c>
      <c r="H223" s="37">
        <v>23</v>
      </c>
      <c r="I223" s="37">
        <v>20</v>
      </c>
      <c r="J223" s="37">
        <v>8</v>
      </c>
      <c r="K223" s="37">
        <v>1</v>
      </c>
      <c r="L223" s="40">
        <v>38.5833333333333</v>
      </c>
      <c r="M223" s="37">
        <v>1</v>
      </c>
      <c r="N223" s="37">
        <v>0</v>
      </c>
      <c r="O223" s="39">
        <v>0</v>
      </c>
      <c r="P223" s="37">
        <v>62</v>
      </c>
    </row>
    <row r="224" ht="16.5" customHeight="1" spans="1:16">
      <c r="A224" s="37" t="s">
        <v>576</v>
      </c>
      <c r="B224" s="37" t="s">
        <v>636</v>
      </c>
      <c r="C224" s="37" t="s">
        <v>151</v>
      </c>
      <c r="D224" s="37" t="s">
        <v>649</v>
      </c>
      <c r="E224" s="37">
        <v>80</v>
      </c>
      <c r="F224" s="37">
        <v>26</v>
      </c>
      <c r="G224" s="39">
        <v>0.325</v>
      </c>
      <c r="H224" s="37">
        <v>11</v>
      </c>
      <c r="I224" s="37">
        <v>11</v>
      </c>
      <c r="J224" s="37">
        <v>6</v>
      </c>
      <c r="K224" s="37">
        <v>0</v>
      </c>
      <c r="L224" s="40">
        <v>16.2</v>
      </c>
      <c r="M224" s="37"/>
      <c r="N224" s="37"/>
      <c r="O224" s="39"/>
      <c r="P224" s="37"/>
    </row>
    <row r="225" ht="16.5" customHeight="1" spans="1:16">
      <c r="A225" s="37" t="s">
        <v>576</v>
      </c>
      <c r="B225" s="37" t="s">
        <v>636</v>
      </c>
      <c r="C225" s="37" t="s">
        <v>151</v>
      </c>
      <c r="D225" s="37" t="s">
        <v>650</v>
      </c>
      <c r="E225" s="37">
        <v>205</v>
      </c>
      <c r="F225" s="37">
        <v>109</v>
      </c>
      <c r="G225" s="39">
        <v>0.531707317073171</v>
      </c>
      <c r="H225" s="37">
        <v>44</v>
      </c>
      <c r="I225" s="37">
        <v>35</v>
      </c>
      <c r="J225" s="37">
        <v>8</v>
      </c>
      <c r="K225" s="37">
        <v>0</v>
      </c>
      <c r="L225" s="40">
        <v>57.5333333333333</v>
      </c>
      <c r="M225" s="37"/>
      <c r="N225" s="37"/>
      <c r="O225" s="39"/>
      <c r="P225" s="37"/>
    </row>
    <row r="226" ht="16.5" customHeight="1" spans="1:16">
      <c r="A226" s="37" t="s">
        <v>576</v>
      </c>
      <c r="B226" s="37" t="s">
        <v>636</v>
      </c>
      <c r="C226" s="37" t="s">
        <v>224</v>
      </c>
      <c r="D226" s="37" t="s">
        <v>651</v>
      </c>
      <c r="E226" s="37">
        <v>238</v>
      </c>
      <c r="F226" s="37">
        <v>124</v>
      </c>
      <c r="G226" s="39">
        <v>0.521008403361345</v>
      </c>
      <c r="H226" s="37">
        <v>43</v>
      </c>
      <c r="I226" s="37">
        <v>35</v>
      </c>
      <c r="J226" s="37">
        <v>17</v>
      </c>
      <c r="K226" s="37">
        <v>0</v>
      </c>
      <c r="L226" s="40">
        <v>63.3</v>
      </c>
      <c r="M226" s="37"/>
      <c r="N226" s="37"/>
      <c r="O226" s="39"/>
      <c r="P226" s="37"/>
    </row>
    <row r="227" ht="16.5" customHeight="1" spans="1:16">
      <c r="A227" s="37" t="s">
        <v>576</v>
      </c>
      <c r="B227" s="37" t="s">
        <v>636</v>
      </c>
      <c r="C227" s="37" t="s">
        <v>224</v>
      </c>
      <c r="D227" s="37" t="s">
        <v>652</v>
      </c>
      <c r="E227" s="37">
        <v>64</v>
      </c>
      <c r="F227" s="37">
        <v>29</v>
      </c>
      <c r="G227" s="39">
        <v>0.453125</v>
      </c>
      <c r="H227" s="37">
        <v>9</v>
      </c>
      <c r="I227" s="37">
        <v>5</v>
      </c>
      <c r="J227" s="37">
        <v>2</v>
      </c>
      <c r="K227" s="37">
        <v>0</v>
      </c>
      <c r="L227" s="40">
        <v>12</v>
      </c>
      <c r="M227" s="37">
        <v>2</v>
      </c>
      <c r="N227" s="37">
        <v>0</v>
      </c>
      <c r="O227" s="39">
        <v>0</v>
      </c>
      <c r="P227" s="37">
        <v>52</v>
      </c>
    </row>
    <row r="228" ht="16.5" customHeight="1" spans="1:16">
      <c r="A228" s="37" t="s">
        <v>576</v>
      </c>
      <c r="B228" s="37" t="s">
        <v>636</v>
      </c>
      <c r="C228" s="37" t="s">
        <v>224</v>
      </c>
      <c r="D228" s="37" t="s">
        <v>653</v>
      </c>
      <c r="E228" s="37">
        <v>97</v>
      </c>
      <c r="F228" s="37">
        <v>52</v>
      </c>
      <c r="G228" s="39">
        <v>0.536082474226804</v>
      </c>
      <c r="H228" s="37">
        <v>23</v>
      </c>
      <c r="I228" s="37">
        <v>17</v>
      </c>
      <c r="J228" s="37">
        <v>7</v>
      </c>
      <c r="K228" s="37">
        <v>0</v>
      </c>
      <c r="L228" s="40">
        <v>28.55</v>
      </c>
      <c r="M228" s="37">
        <v>2</v>
      </c>
      <c r="N228" s="37">
        <v>0</v>
      </c>
      <c r="O228" s="39">
        <v>0</v>
      </c>
      <c r="P228" s="37">
        <v>51</v>
      </c>
    </row>
    <row r="229" ht="16.5" customHeight="1" spans="1:16">
      <c r="A229" s="37" t="s">
        <v>576</v>
      </c>
      <c r="B229" s="37" t="s">
        <v>636</v>
      </c>
      <c r="C229" s="37" t="s">
        <v>224</v>
      </c>
      <c r="D229" s="37" t="s">
        <v>654</v>
      </c>
      <c r="E229" s="37">
        <v>109</v>
      </c>
      <c r="F229" s="37">
        <v>50</v>
      </c>
      <c r="G229" s="39">
        <v>0.458715596330275</v>
      </c>
      <c r="H229" s="37">
        <v>16</v>
      </c>
      <c r="I229" s="37">
        <v>11</v>
      </c>
      <c r="J229" s="37">
        <v>3</v>
      </c>
      <c r="K229" s="37">
        <v>0</v>
      </c>
      <c r="L229" s="40">
        <v>22.4</v>
      </c>
      <c r="M229" s="37">
        <v>2</v>
      </c>
      <c r="N229" s="37">
        <v>0</v>
      </c>
      <c r="O229" s="39">
        <v>0</v>
      </c>
      <c r="P229" s="37">
        <v>58</v>
      </c>
    </row>
    <row r="230" ht="16.5" customHeight="1" spans="1:16">
      <c r="A230" s="37" t="s">
        <v>576</v>
      </c>
      <c r="B230" s="37" t="s">
        <v>636</v>
      </c>
      <c r="C230" s="37" t="s">
        <v>224</v>
      </c>
      <c r="D230" s="37" t="s">
        <v>655</v>
      </c>
      <c r="E230" s="37">
        <v>102</v>
      </c>
      <c r="F230" s="37">
        <v>48</v>
      </c>
      <c r="G230" s="39">
        <v>0.470588235294118</v>
      </c>
      <c r="H230" s="37">
        <v>14</v>
      </c>
      <c r="I230" s="37">
        <v>8</v>
      </c>
      <c r="J230" s="37">
        <v>6</v>
      </c>
      <c r="K230" s="37">
        <v>0</v>
      </c>
      <c r="L230" s="40">
        <v>21.25</v>
      </c>
      <c r="M230" s="37"/>
      <c r="N230" s="37"/>
      <c r="O230" s="39"/>
      <c r="P230" s="37"/>
    </row>
    <row r="231" ht="16.5" customHeight="1" spans="1:16">
      <c r="A231" s="37" t="s">
        <v>576</v>
      </c>
      <c r="B231" s="37" t="s">
        <v>636</v>
      </c>
      <c r="C231" s="37" t="s">
        <v>224</v>
      </c>
      <c r="D231" s="37" t="s">
        <v>656</v>
      </c>
      <c r="E231" s="37">
        <v>307</v>
      </c>
      <c r="F231" s="37">
        <v>156</v>
      </c>
      <c r="G231" s="39">
        <v>0.50814332247557</v>
      </c>
      <c r="H231" s="37">
        <v>48</v>
      </c>
      <c r="I231" s="37">
        <v>35</v>
      </c>
      <c r="J231" s="37">
        <v>14</v>
      </c>
      <c r="K231" s="37">
        <v>0</v>
      </c>
      <c r="L231" s="40">
        <v>69.3666666666667</v>
      </c>
      <c r="M231" s="37"/>
      <c r="N231" s="37"/>
      <c r="O231" s="39"/>
      <c r="P231" s="37"/>
    </row>
    <row r="232" ht="16.5" customHeight="1" spans="1:16">
      <c r="A232" s="37" t="s">
        <v>576</v>
      </c>
      <c r="B232" s="37" t="s">
        <v>636</v>
      </c>
      <c r="C232" s="37" t="s">
        <v>224</v>
      </c>
      <c r="D232" s="37" t="s">
        <v>657</v>
      </c>
      <c r="E232" s="37">
        <v>312</v>
      </c>
      <c r="F232" s="37">
        <v>134</v>
      </c>
      <c r="G232" s="39">
        <v>0.429487179487179</v>
      </c>
      <c r="H232" s="37">
        <v>34</v>
      </c>
      <c r="I232" s="37">
        <v>26</v>
      </c>
      <c r="J232" s="37">
        <v>7</v>
      </c>
      <c r="K232" s="37">
        <v>0</v>
      </c>
      <c r="L232" s="40">
        <v>56.5333333333333</v>
      </c>
      <c r="M232" s="37"/>
      <c r="N232" s="37"/>
      <c r="O232" s="39"/>
      <c r="P232" s="37"/>
    </row>
    <row r="233" ht="16.5" customHeight="1" spans="1:16">
      <c r="A233" s="37" t="s">
        <v>576</v>
      </c>
      <c r="B233" s="37" t="s">
        <v>636</v>
      </c>
      <c r="C233" s="37" t="s">
        <v>224</v>
      </c>
      <c r="D233" s="37" t="s">
        <v>658</v>
      </c>
      <c r="E233" s="37">
        <v>70</v>
      </c>
      <c r="F233" s="37">
        <v>34</v>
      </c>
      <c r="G233" s="39">
        <v>0.485714285714286</v>
      </c>
      <c r="H233" s="37">
        <v>11</v>
      </c>
      <c r="I233" s="37">
        <v>10</v>
      </c>
      <c r="J233" s="37">
        <v>4</v>
      </c>
      <c r="K233" s="37">
        <v>1</v>
      </c>
      <c r="L233" s="40">
        <v>16.8</v>
      </c>
      <c r="M233" s="37">
        <v>2</v>
      </c>
      <c r="N233" s="37">
        <v>0</v>
      </c>
      <c r="O233" s="39">
        <v>0</v>
      </c>
      <c r="P233" s="37">
        <v>95</v>
      </c>
    </row>
    <row r="234" ht="16.5" customHeight="1" spans="1:16">
      <c r="A234" s="37" t="s">
        <v>576</v>
      </c>
      <c r="B234" s="37" t="s">
        <v>636</v>
      </c>
      <c r="C234" s="37" t="s">
        <v>224</v>
      </c>
      <c r="D234" s="37" t="s">
        <v>659</v>
      </c>
      <c r="E234" s="37">
        <v>113</v>
      </c>
      <c r="F234" s="37">
        <v>43</v>
      </c>
      <c r="G234" s="39">
        <v>0.380530973451327</v>
      </c>
      <c r="H234" s="37">
        <v>19</v>
      </c>
      <c r="I234" s="37">
        <v>15</v>
      </c>
      <c r="J234" s="37">
        <v>8</v>
      </c>
      <c r="K234" s="37">
        <v>2</v>
      </c>
      <c r="L234" s="40">
        <v>31.3333333333333</v>
      </c>
      <c r="M234" s="37"/>
      <c r="N234" s="37"/>
      <c r="O234" s="39"/>
      <c r="P234" s="37"/>
    </row>
    <row r="235" ht="16.5" customHeight="1" spans="1:16">
      <c r="A235" s="37" t="s">
        <v>576</v>
      </c>
      <c r="B235" s="37" t="s">
        <v>636</v>
      </c>
      <c r="C235" s="37" t="s">
        <v>264</v>
      </c>
      <c r="D235" s="37" t="s">
        <v>660</v>
      </c>
      <c r="E235" s="37">
        <v>50</v>
      </c>
      <c r="F235" s="37">
        <v>20</v>
      </c>
      <c r="G235" s="39">
        <v>0.4</v>
      </c>
      <c r="H235" s="37">
        <v>4</v>
      </c>
      <c r="I235" s="37">
        <v>3</v>
      </c>
      <c r="J235" s="37">
        <v>0</v>
      </c>
      <c r="K235" s="37">
        <v>0</v>
      </c>
      <c r="L235" s="40">
        <v>6.6</v>
      </c>
      <c r="M235" s="37">
        <v>1</v>
      </c>
      <c r="N235" s="37">
        <v>1</v>
      </c>
      <c r="O235" s="39">
        <v>1</v>
      </c>
      <c r="P235" s="37">
        <v>58</v>
      </c>
    </row>
    <row r="236" ht="16.5" customHeight="1" spans="1:16">
      <c r="A236" s="37" t="s">
        <v>576</v>
      </c>
      <c r="B236" s="37" t="s">
        <v>636</v>
      </c>
      <c r="C236" s="37" t="s">
        <v>264</v>
      </c>
      <c r="D236" s="37" t="s">
        <v>661</v>
      </c>
      <c r="E236" s="37">
        <v>92</v>
      </c>
      <c r="F236" s="37">
        <v>48</v>
      </c>
      <c r="G236" s="39">
        <v>0.521739130434783</v>
      </c>
      <c r="H236" s="37">
        <v>13</v>
      </c>
      <c r="I236" s="37">
        <v>8</v>
      </c>
      <c r="J236" s="37">
        <v>5</v>
      </c>
      <c r="K236" s="37">
        <v>1</v>
      </c>
      <c r="L236" s="40">
        <v>25.1166666666667</v>
      </c>
      <c r="M236" s="37"/>
      <c r="N236" s="37"/>
      <c r="O236" s="39"/>
      <c r="P236" s="37"/>
    </row>
    <row r="237" ht="16.5" customHeight="1" spans="1:16">
      <c r="A237" s="37" t="s">
        <v>576</v>
      </c>
      <c r="B237" s="37" t="s">
        <v>636</v>
      </c>
      <c r="C237" s="37" t="s">
        <v>264</v>
      </c>
      <c r="D237" s="37" t="s">
        <v>662</v>
      </c>
      <c r="E237" s="37">
        <v>173</v>
      </c>
      <c r="F237" s="37">
        <v>80</v>
      </c>
      <c r="G237" s="39">
        <v>0.46242774566474</v>
      </c>
      <c r="H237" s="37">
        <v>27</v>
      </c>
      <c r="I237" s="37">
        <v>17</v>
      </c>
      <c r="J237" s="37">
        <v>12</v>
      </c>
      <c r="K237" s="37">
        <v>0</v>
      </c>
      <c r="L237" s="40">
        <v>43.15</v>
      </c>
      <c r="M237" s="37">
        <v>1</v>
      </c>
      <c r="N237" s="37">
        <v>0</v>
      </c>
      <c r="O237" s="39">
        <v>0</v>
      </c>
      <c r="P237" s="37">
        <v>58</v>
      </c>
    </row>
    <row r="238" ht="16.5" customHeight="1" spans="1:16">
      <c r="A238" s="37" t="s">
        <v>576</v>
      </c>
      <c r="B238" s="37" t="s">
        <v>636</v>
      </c>
      <c r="C238" s="37" t="s">
        <v>264</v>
      </c>
      <c r="D238" s="37" t="s">
        <v>663</v>
      </c>
      <c r="E238" s="37">
        <v>86</v>
      </c>
      <c r="F238" s="37">
        <v>45</v>
      </c>
      <c r="G238" s="39">
        <v>0.523255813953488</v>
      </c>
      <c r="H238" s="37">
        <v>20</v>
      </c>
      <c r="I238" s="37">
        <v>17</v>
      </c>
      <c r="J238" s="37">
        <v>10</v>
      </c>
      <c r="K238" s="37">
        <v>2</v>
      </c>
      <c r="L238" s="40">
        <v>36.4</v>
      </c>
      <c r="M238" s="37"/>
      <c r="N238" s="37"/>
      <c r="O238" s="39"/>
      <c r="P238" s="37"/>
    </row>
    <row r="239" ht="16.5" customHeight="1" spans="1:16">
      <c r="A239" s="37" t="s">
        <v>576</v>
      </c>
      <c r="B239" s="37" t="s">
        <v>636</v>
      </c>
      <c r="C239" s="37" t="s">
        <v>264</v>
      </c>
      <c r="D239" s="37" t="s">
        <v>664</v>
      </c>
      <c r="E239" s="37">
        <v>282</v>
      </c>
      <c r="F239" s="37">
        <v>139</v>
      </c>
      <c r="G239" s="39">
        <v>0.49290780141844</v>
      </c>
      <c r="H239" s="37">
        <v>54</v>
      </c>
      <c r="I239" s="37">
        <v>35</v>
      </c>
      <c r="J239" s="37">
        <v>9</v>
      </c>
      <c r="K239" s="37">
        <v>0</v>
      </c>
      <c r="L239" s="40">
        <v>70.2666666666667</v>
      </c>
      <c r="M239" s="37"/>
      <c r="N239" s="37"/>
      <c r="O239" s="39"/>
      <c r="P239" s="37"/>
    </row>
    <row r="240" ht="16.5" customHeight="1" spans="1:16">
      <c r="A240" s="37" t="s">
        <v>576</v>
      </c>
      <c r="B240" s="37" t="s">
        <v>636</v>
      </c>
      <c r="C240" s="37" t="s">
        <v>264</v>
      </c>
      <c r="D240" s="37" t="s">
        <v>665</v>
      </c>
      <c r="E240" s="37">
        <v>260</v>
      </c>
      <c r="F240" s="37">
        <v>113</v>
      </c>
      <c r="G240" s="39">
        <v>0.434615384615385</v>
      </c>
      <c r="H240" s="37">
        <v>35</v>
      </c>
      <c r="I240" s="37">
        <v>27</v>
      </c>
      <c r="J240" s="37">
        <v>19</v>
      </c>
      <c r="K240" s="37">
        <v>2</v>
      </c>
      <c r="L240" s="40">
        <v>63.25</v>
      </c>
      <c r="M240" s="37"/>
      <c r="N240" s="37"/>
      <c r="O240" s="39"/>
      <c r="P240" s="37"/>
    </row>
    <row r="241" ht="16.5" customHeight="1" spans="1:16">
      <c r="A241" s="37" t="s">
        <v>576</v>
      </c>
      <c r="B241" s="37" t="s">
        <v>636</v>
      </c>
      <c r="C241" s="37" t="s">
        <v>22</v>
      </c>
      <c r="D241" s="37" t="s">
        <v>666</v>
      </c>
      <c r="E241" s="37">
        <v>3</v>
      </c>
      <c r="F241" s="37">
        <v>2</v>
      </c>
      <c r="G241" s="39">
        <v>0.666666666666667</v>
      </c>
      <c r="H241" s="37">
        <v>2</v>
      </c>
      <c r="I241" s="37">
        <v>1</v>
      </c>
      <c r="J241" s="37">
        <v>1</v>
      </c>
      <c r="K241" s="37">
        <v>0</v>
      </c>
      <c r="L241" s="40">
        <v>1.75</v>
      </c>
      <c r="M241" s="37"/>
      <c r="N241" s="37"/>
      <c r="O241" s="39"/>
      <c r="P241" s="37"/>
    </row>
    <row r="242" ht="16.5" customHeight="1" spans="1:16">
      <c r="A242" s="37" t="s">
        <v>576</v>
      </c>
      <c r="B242" s="37" t="s">
        <v>636</v>
      </c>
      <c r="C242" s="37" t="s">
        <v>22</v>
      </c>
      <c r="D242" s="37" t="s">
        <v>667</v>
      </c>
      <c r="E242" s="37">
        <v>2</v>
      </c>
      <c r="F242" s="37">
        <v>2</v>
      </c>
      <c r="G242" s="39">
        <v>1</v>
      </c>
      <c r="H242" s="37">
        <v>0</v>
      </c>
      <c r="I242" s="37">
        <v>0</v>
      </c>
      <c r="J242" s="37">
        <v>0</v>
      </c>
      <c r="K242" s="37">
        <v>0</v>
      </c>
      <c r="L242" s="40">
        <v>0.616666666666667</v>
      </c>
      <c r="M242" s="37"/>
      <c r="N242" s="37"/>
      <c r="O242" s="39"/>
      <c r="P242" s="37"/>
    </row>
    <row r="243" ht="16.5" customHeight="1" spans="1:16">
      <c r="A243" s="37" t="s">
        <v>576</v>
      </c>
      <c r="B243" s="37" t="s">
        <v>636</v>
      </c>
      <c r="C243" s="37" t="s">
        <v>22</v>
      </c>
      <c r="D243" s="37" t="s">
        <v>668</v>
      </c>
      <c r="E243" s="37">
        <v>3</v>
      </c>
      <c r="F243" s="37">
        <v>1</v>
      </c>
      <c r="G243" s="39">
        <v>0.333333333333333</v>
      </c>
      <c r="H243" s="37">
        <v>1</v>
      </c>
      <c r="I243" s="37">
        <v>1</v>
      </c>
      <c r="J243" s="37">
        <v>0</v>
      </c>
      <c r="K243" s="37">
        <v>0</v>
      </c>
      <c r="L243" s="40">
        <v>0.883333333333333</v>
      </c>
      <c r="M243" s="37">
        <v>1</v>
      </c>
      <c r="N243" s="37">
        <v>0</v>
      </c>
      <c r="O243" s="39">
        <v>0</v>
      </c>
      <c r="P243" s="37">
        <v>79</v>
      </c>
    </row>
    <row r="244" ht="16.5" customHeight="1" spans="1:16">
      <c r="A244" s="37" t="s">
        <v>576</v>
      </c>
      <c r="B244" s="37" t="s">
        <v>636</v>
      </c>
      <c r="C244" s="37" t="s">
        <v>22</v>
      </c>
      <c r="D244" s="37" t="s">
        <v>669</v>
      </c>
      <c r="E244" s="37">
        <v>21</v>
      </c>
      <c r="F244" s="37">
        <v>8</v>
      </c>
      <c r="G244" s="39">
        <v>0.380952380952381</v>
      </c>
      <c r="H244" s="37">
        <v>8</v>
      </c>
      <c r="I244" s="37">
        <v>7</v>
      </c>
      <c r="J244" s="37">
        <v>5</v>
      </c>
      <c r="K244" s="37">
        <v>1</v>
      </c>
      <c r="L244" s="40">
        <v>12.4833333333333</v>
      </c>
      <c r="M244" s="37">
        <v>1</v>
      </c>
      <c r="N244" s="37">
        <v>1</v>
      </c>
      <c r="O244" s="39">
        <v>1</v>
      </c>
      <c r="P244" s="37">
        <v>48</v>
      </c>
    </row>
    <row r="245" ht="16.5" customHeight="1" spans="1:16">
      <c r="A245" s="37" t="s">
        <v>576</v>
      </c>
      <c r="B245" s="37" t="s">
        <v>636</v>
      </c>
      <c r="C245" s="37" t="s">
        <v>22</v>
      </c>
      <c r="D245" s="37" t="s">
        <v>670</v>
      </c>
      <c r="E245" s="37">
        <v>10</v>
      </c>
      <c r="F245" s="37">
        <v>5</v>
      </c>
      <c r="G245" s="39">
        <v>0.5</v>
      </c>
      <c r="H245" s="37">
        <v>2</v>
      </c>
      <c r="I245" s="37">
        <v>2</v>
      </c>
      <c r="J245" s="37">
        <v>1</v>
      </c>
      <c r="K245" s="37">
        <v>0</v>
      </c>
      <c r="L245" s="40">
        <v>3.23333333333333</v>
      </c>
      <c r="M245" s="37"/>
      <c r="N245" s="37"/>
      <c r="O245" s="39"/>
      <c r="P245" s="37"/>
    </row>
    <row r="246" ht="16.5" customHeight="1" spans="1:16">
      <c r="A246" s="37" t="s">
        <v>576</v>
      </c>
      <c r="B246" s="37" t="s">
        <v>636</v>
      </c>
      <c r="C246" s="37" t="s">
        <v>22</v>
      </c>
      <c r="D246" s="37" t="s">
        <v>671</v>
      </c>
      <c r="E246" s="37">
        <v>7</v>
      </c>
      <c r="F246" s="37">
        <v>7</v>
      </c>
      <c r="G246" s="39">
        <v>1</v>
      </c>
      <c r="H246" s="37">
        <v>6</v>
      </c>
      <c r="I246" s="37">
        <v>6</v>
      </c>
      <c r="J246" s="37">
        <v>6</v>
      </c>
      <c r="K246" s="37">
        <v>0</v>
      </c>
      <c r="L246" s="40">
        <v>9.6</v>
      </c>
      <c r="M246" s="37">
        <v>1</v>
      </c>
      <c r="N246" s="37">
        <v>0</v>
      </c>
      <c r="O246" s="39">
        <v>0</v>
      </c>
      <c r="P246" s="37">
        <v>0</v>
      </c>
    </row>
    <row r="247" ht="16.5" customHeight="1" spans="1:16">
      <c r="A247" s="37" t="s">
        <v>576</v>
      </c>
      <c r="B247" s="37" t="s">
        <v>672</v>
      </c>
      <c r="C247" s="37" t="s">
        <v>52</v>
      </c>
      <c r="D247" s="37" t="s">
        <v>673</v>
      </c>
      <c r="E247" s="37"/>
      <c r="F247" s="37"/>
      <c r="G247" s="39"/>
      <c r="H247" s="37"/>
      <c r="I247" s="37"/>
      <c r="J247" s="37"/>
      <c r="K247" s="37"/>
      <c r="L247" s="40"/>
      <c r="M247" s="37">
        <v>2</v>
      </c>
      <c r="N247" s="37">
        <v>0</v>
      </c>
      <c r="O247" s="39">
        <v>0</v>
      </c>
      <c r="P247" s="37">
        <v>168</v>
      </c>
    </row>
    <row r="248" ht="16.5" customHeight="1" spans="1:16">
      <c r="A248" s="37" t="s">
        <v>576</v>
      </c>
      <c r="B248" s="37" t="s">
        <v>672</v>
      </c>
      <c r="C248" s="37" t="s">
        <v>52</v>
      </c>
      <c r="D248" s="37" t="s">
        <v>674</v>
      </c>
      <c r="E248" s="37">
        <v>1</v>
      </c>
      <c r="F248" s="37">
        <v>0</v>
      </c>
      <c r="G248" s="39">
        <v>0</v>
      </c>
      <c r="H248" s="37">
        <v>0</v>
      </c>
      <c r="I248" s="37">
        <v>0</v>
      </c>
      <c r="J248" s="37">
        <v>0</v>
      </c>
      <c r="K248" s="37">
        <v>0</v>
      </c>
      <c r="L248" s="40">
        <v>0</v>
      </c>
      <c r="M248" s="37">
        <v>2</v>
      </c>
      <c r="N248" s="37">
        <v>0</v>
      </c>
      <c r="O248" s="39">
        <v>0</v>
      </c>
      <c r="P248" s="37">
        <v>42</v>
      </c>
    </row>
    <row r="249" ht="16.5" customHeight="1" spans="1:16">
      <c r="A249" s="37" t="s">
        <v>576</v>
      </c>
      <c r="B249" s="37" t="s">
        <v>672</v>
      </c>
      <c r="C249" s="37" t="s">
        <v>52</v>
      </c>
      <c r="D249" s="37" t="s">
        <v>675</v>
      </c>
      <c r="E249" s="37"/>
      <c r="F249" s="37"/>
      <c r="G249" s="39"/>
      <c r="H249" s="37"/>
      <c r="I249" s="37"/>
      <c r="J249" s="37"/>
      <c r="K249" s="37"/>
      <c r="L249" s="40"/>
      <c r="M249" s="37">
        <v>2</v>
      </c>
      <c r="N249" s="37">
        <v>1</v>
      </c>
      <c r="O249" s="39">
        <v>0.5</v>
      </c>
      <c r="P249" s="37">
        <v>235</v>
      </c>
    </row>
    <row r="250" ht="16.5" customHeight="1" spans="1:16">
      <c r="A250" s="37" t="s">
        <v>576</v>
      </c>
      <c r="B250" s="37" t="s">
        <v>672</v>
      </c>
      <c r="C250" s="37" t="s">
        <v>75</v>
      </c>
      <c r="D250" s="37" t="s">
        <v>676</v>
      </c>
      <c r="E250" s="37">
        <v>135</v>
      </c>
      <c r="F250" s="37">
        <v>58</v>
      </c>
      <c r="G250" s="39">
        <v>0.42962962962963</v>
      </c>
      <c r="H250" s="37">
        <v>25</v>
      </c>
      <c r="I250" s="37">
        <v>20</v>
      </c>
      <c r="J250" s="37">
        <v>10</v>
      </c>
      <c r="K250" s="37">
        <v>0</v>
      </c>
      <c r="L250" s="40">
        <v>33.2</v>
      </c>
      <c r="M250" s="37"/>
      <c r="N250" s="37"/>
      <c r="O250" s="39"/>
      <c r="P250" s="37"/>
    </row>
    <row r="251" ht="16.5" customHeight="1" spans="1:16">
      <c r="A251" s="37" t="s">
        <v>576</v>
      </c>
      <c r="B251" s="37" t="s">
        <v>672</v>
      </c>
      <c r="C251" s="37" t="s">
        <v>75</v>
      </c>
      <c r="D251" s="37" t="s">
        <v>677</v>
      </c>
      <c r="E251" s="37">
        <v>64</v>
      </c>
      <c r="F251" s="37">
        <v>35</v>
      </c>
      <c r="G251" s="39">
        <v>0.546875</v>
      </c>
      <c r="H251" s="37">
        <v>14</v>
      </c>
      <c r="I251" s="37">
        <v>10</v>
      </c>
      <c r="J251" s="37">
        <v>9</v>
      </c>
      <c r="K251" s="37">
        <v>0</v>
      </c>
      <c r="L251" s="40">
        <v>23.4166666666667</v>
      </c>
      <c r="M251" s="37">
        <v>1</v>
      </c>
      <c r="N251" s="37">
        <v>1</v>
      </c>
      <c r="O251" s="39">
        <v>1</v>
      </c>
      <c r="P251" s="37">
        <v>190</v>
      </c>
    </row>
    <row r="252" ht="16.5" customHeight="1" spans="1:16">
      <c r="A252" s="37" t="s">
        <v>576</v>
      </c>
      <c r="B252" s="37" t="s">
        <v>672</v>
      </c>
      <c r="C252" s="37" t="s">
        <v>75</v>
      </c>
      <c r="D252" s="37" t="s">
        <v>678</v>
      </c>
      <c r="E252" s="37">
        <v>63</v>
      </c>
      <c r="F252" s="37">
        <v>28</v>
      </c>
      <c r="G252" s="39">
        <v>0.444444444444444</v>
      </c>
      <c r="H252" s="37">
        <v>9</v>
      </c>
      <c r="I252" s="37">
        <v>8</v>
      </c>
      <c r="J252" s="37">
        <v>5</v>
      </c>
      <c r="K252" s="37">
        <v>0</v>
      </c>
      <c r="L252" s="40">
        <v>13.8833333333333</v>
      </c>
      <c r="M252" s="37"/>
      <c r="N252" s="37"/>
      <c r="O252" s="39"/>
      <c r="P252" s="37"/>
    </row>
    <row r="253" ht="16.5" customHeight="1" spans="1:16">
      <c r="A253" s="37" t="s">
        <v>576</v>
      </c>
      <c r="B253" s="37" t="s">
        <v>672</v>
      </c>
      <c r="C253" s="37" t="s">
        <v>75</v>
      </c>
      <c r="D253" s="37" t="s">
        <v>305</v>
      </c>
      <c r="E253" s="37">
        <v>132</v>
      </c>
      <c r="F253" s="37">
        <v>56</v>
      </c>
      <c r="G253" s="39">
        <v>0.424242424242424</v>
      </c>
      <c r="H253" s="37">
        <v>28</v>
      </c>
      <c r="I253" s="37">
        <v>26</v>
      </c>
      <c r="J253" s="37">
        <v>15</v>
      </c>
      <c r="K253" s="37">
        <v>1</v>
      </c>
      <c r="L253" s="40">
        <v>39.1</v>
      </c>
      <c r="M253" s="37"/>
      <c r="N253" s="37"/>
      <c r="O253" s="39"/>
      <c r="P253" s="37"/>
    </row>
    <row r="254" ht="16.5" customHeight="1" spans="1:16">
      <c r="A254" s="37" t="s">
        <v>576</v>
      </c>
      <c r="B254" s="37" t="s">
        <v>672</v>
      </c>
      <c r="C254" s="37" t="s">
        <v>75</v>
      </c>
      <c r="D254" s="37" t="s">
        <v>679</v>
      </c>
      <c r="E254" s="37">
        <v>148</v>
      </c>
      <c r="F254" s="37">
        <v>51</v>
      </c>
      <c r="G254" s="39">
        <v>0.344594594594595</v>
      </c>
      <c r="H254" s="37">
        <v>21</v>
      </c>
      <c r="I254" s="37">
        <v>17</v>
      </c>
      <c r="J254" s="37">
        <v>11</v>
      </c>
      <c r="K254" s="37">
        <v>1</v>
      </c>
      <c r="L254" s="40">
        <v>35.4166666666667</v>
      </c>
      <c r="M254" s="37"/>
      <c r="N254" s="37"/>
      <c r="O254" s="39"/>
      <c r="P254" s="37"/>
    </row>
    <row r="255" ht="16.5" customHeight="1" spans="1:16">
      <c r="A255" s="37" t="s">
        <v>576</v>
      </c>
      <c r="B255" s="37" t="s">
        <v>672</v>
      </c>
      <c r="C255" s="37" t="s">
        <v>75</v>
      </c>
      <c r="D255" s="37" t="s">
        <v>680</v>
      </c>
      <c r="E255" s="37">
        <v>166</v>
      </c>
      <c r="F255" s="37">
        <v>80</v>
      </c>
      <c r="G255" s="39">
        <v>0.481927710843373</v>
      </c>
      <c r="H255" s="37">
        <v>34</v>
      </c>
      <c r="I255" s="37">
        <v>27</v>
      </c>
      <c r="J255" s="37">
        <v>17</v>
      </c>
      <c r="K255" s="37">
        <v>2</v>
      </c>
      <c r="L255" s="40">
        <v>55.4</v>
      </c>
      <c r="M255" s="37"/>
      <c r="N255" s="37"/>
      <c r="O255" s="39"/>
      <c r="P255" s="37"/>
    </row>
    <row r="256" ht="16.5" customHeight="1" spans="1:16">
      <c r="A256" s="37" t="s">
        <v>576</v>
      </c>
      <c r="B256" s="37" t="s">
        <v>672</v>
      </c>
      <c r="C256" s="37" t="s">
        <v>75</v>
      </c>
      <c r="D256" s="37" t="s">
        <v>681</v>
      </c>
      <c r="E256" s="37">
        <v>48</v>
      </c>
      <c r="F256" s="37">
        <v>21</v>
      </c>
      <c r="G256" s="39">
        <v>0.4375</v>
      </c>
      <c r="H256" s="37">
        <v>11</v>
      </c>
      <c r="I256" s="37">
        <v>9</v>
      </c>
      <c r="J256" s="37">
        <v>7</v>
      </c>
      <c r="K256" s="37">
        <v>3</v>
      </c>
      <c r="L256" s="40">
        <v>42.3</v>
      </c>
      <c r="M256" s="37"/>
      <c r="N256" s="37"/>
      <c r="O256" s="39"/>
      <c r="P256" s="37"/>
    </row>
    <row r="257" ht="16.5" customHeight="1" spans="1:16">
      <c r="A257" s="37" t="s">
        <v>576</v>
      </c>
      <c r="B257" s="37" t="s">
        <v>672</v>
      </c>
      <c r="C257" s="37" t="s">
        <v>75</v>
      </c>
      <c r="D257" s="37" t="s">
        <v>682</v>
      </c>
      <c r="E257" s="37">
        <v>182</v>
      </c>
      <c r="F257" s="37">
        <v>73</v>
      </c>
      <c r="G257" s="39">
        <v>0.401098901098901</v>
      </c>
      <c r="H257" s="37">
        <v>38</v>
      </c>
      <c r="I257" s="37">
        <v>28</v>
      </c>
      <c r="J257" s="37">
        <v>19</v>
      </c>
      <c r="K257" s="37">
        <v>1</v>
      </c>
      <c r="L257" s="40">
        <v>51.7666666666667</v>
      </c>
      <c r="M257" s="37"/>
      <c r="N257" s="37"/>
      <c r="O257" s="39"/>
      <c r="P257" s="37"/>
    </row>
    <row r="258" ht="16.5" customHeight="1" spans="1:16">
      <c r="A258" s="37" t="s">
        <v>576</v>
      </c>
      <c r="B258" s="37" t="s">
        <v>672</v>
      </c>
      <c r="C258" s="37" t="s">
        <v>75</v>
      </c>
      <c r="D258" s="37" t="s">
        <v>683</v>
      </c>
      <c r="E258" s="37">
        <v>84</v>
      </c>
      <c r="F258" s="37">
        <v>37</v>
      </c>
      <c r="G258" s="39">
        <v>0.44047619047619</v>
      </c>
      <c r="H258" s="37">
        <v>17</v>
      </c>
      <c r="I258" s="37">
        <v>14</v>
      </c>
      <c r="J258" s="37">
        <v>7</v>
      </c>
      <c r="K258" s="37">
        <v>1</v>
      </c>
      <c r="L258" s="40">
        <v>28.6</v>
      </c>
      <c r="M258" s="37"/>
      <c r="N258" s="37"/>
      <c r="O258" s="39"/>
      <c r="P258" s="37"/>
    </row>
    <row r="259" ht="16.5" customHeight="1" spans="1:16">
      <c r="A259" s="37" t="s">
        <v>576</v>
      </c>
      <c r="B259" s="37" t="s">
        <v>672</v>
      </c>
      <c r="C259" s="37" t="s">
        <v>151</v>
      </c>
      <c r="D259" s="37" t="s">
        <v>684</v>
      </c>
      <c r="E259" s="37">
        <v>173</v>
      </c>
      <c r="F259" s="37">
        <v>76</v>
      </c>
      <c r="G259" s="39">
        <v>0.439306358381503</v>
      </c>
      <c r="H259" s="37">
        <v>42</v>
      </c>
      <c r="I259" s="37">
        <v>33</v>
      </c>
      <c r="J259" s="37">
        <v>26</v>
      </c>
      <c r="K259" s="37">
        <v>0</v>
      </c>
      <c r="L259" s="40">
        <v>56.55</v>
      </c>
      <c r="M259" s="37"/>
      <c r="N259" s="37"/>
      <c r="O259" s="39"/>
      <c r="P259" s="37"/>
    </row>
    <row r="260" ht="16.5" customHeight="1" spans="1:16">
      <c r="A260" s="37" t="s">
        <v>576</v>
      </c>
      <c r="B260" s="37" t="s">
        <v>672</v>
      </c>
      <c r="C260" s="37" t="s">
        <v>151</v>
      </c>
      <c r="D260" s="37" t="s">
        <v>685</v>
      </c>
      <c r="E260" s="37">
        <v>232</v>
      </c>
      <c r="F260" s="37">
        <v>97</v>
      </c>
      <c r="G260" s="39">
        <v>0.418103448275862</v>
      </c>
      <c r="H260" s="37">
        <v>41</v>
      </c>
      <c r="I260" s="37">
        <v>26</v>
      </c>
      <c r="J260" s="37">
        <v>9</v>
      </c>
      <c r="K260" s="37">
        <v>0</v>
      </c>
      <c r="L260" s="40">
        <v>49.9333333333333</v>
      </c>
      <c r="M260" s="37"/>
      <c r="N260" s="37"/>
      <c r="O260" s="39"/>
      <c r="P260" s="37"/>
    </row>
    <row r="261" ht="16.5" customHeight="1" spans="1:16">
      <c r="A261" s="37" t="s">
        <v>576</v>
      </c>
      <c r="B261" s="37" t="s">
        <v>672</v>
      </c>
      <c r="C261" s="37" t="s">
        <v>151</v>
      </c>
      <c r="D261" s="37" t="s">
        <v>686</v>
      </c>
      <c r="E261" s="37">
        <v>217</v>
      </c>
      <c r="F261" s="37">
        <v>91</v>
      </c>
      <c r="G261" s="39">
        <v>0.419354838709677</v>
      </c>
      <c r="H261" s="37">
        <v>33</v>
      </c>
      <c r="I261" s="37">
        <v>25</v>
      </c>
      <c r="J261" s="37">
        <v>8</v>
      </c>
      <c r="K261" s="37">
        <v>0</v>
      </c>
      <c r="L261" s="40">
        <v>48.55</v>
      </c>
      <c r="M261" s="37"/>
      <c r="N261" s="37"/>
      <c r="O261" s="39"/>
      <c r="P261" s="37"/>
    </row>
    <row r="262" ht="16.5" customHeight="1" spans="1:16">
      <c r="A262" s="37" t="s">
        <v>576</v>
      </c>
      <c r="B262" s="37" t="s">
        <v>672</v>
      </c>
      <c r="C262" s="37" t="s">
        <v>151</v>
      </c>
      <c r="D262" s="37" t="s">
        <v>687</v>
      </c>
      <c r="E262" s="37">
        <v>267</v>
      </c>
      <c r="F262" s="37">
        <v>123</v>
      </c>
      <c r="G262" s="39">
        <v>0.460674157303371</v>
      </c>
      <c r="H262" s="37">
        <v>44</v>
      </c>
      <c r="I262" s="37">
        <v>30</v>
      </c>
      <c r="J262" s="37">
        <v>10</v>
      </c>
      <c r="K262" s="37">
        <v>0</v>
      </c>
      <c r="L262" s="40">
        <v>57.9166666666667</v>
      </c>
      <c r="M262" s="37"/>
      <c r="N262" s="37"/>
      <c r="O262" s="39"/>
      <c r="P262" s="37"/>
    </row>
    <row r="263" ht="16.5" customHeight="1" spans="1:16">
      <c r="A263" s="37" t="s">
        <v>576</v>
      </c>
      <c r="B263" s="37" t="s">
        <v>672</v>
      </c>
      <c r="C263" s="37" t="s">
        <v>224</v>
      </c>
      <c r="D263" s="37" t="s">
        <v>688</v>
      </c>
      <c r="E263" s="37">
        <v>210</v>
      </c>
      <c r="F263" s="37">
        <v>100</v>
      </c>
      <c r="G263" s="39">
        <v>0.476190476190476</v>
      </c>
      <c r="H263" s="37">
        <v>54</v>
      </c>
      <c r="I263" s="37">
        <v>35</v>
      </c>
      <c r="J263" s="37">
        <v>19</v>
      </c>
      <c r="K263" s="37">
        <v>2</v>
      </c>
      <c r="L263" s="40">
        <v>70.15</v>
      </c>
      <c r="M263" s="37"/>
      <c r="N263" s="37"/>
      <c r="O263" s="39"/>
      <c r="P263" s="37"/>
    </row>
    <row r="264" ht="16.5" customHeight="1" spans="1:16">
      <c r="A264" s="37" t="s">
        <v>576</v>
      </c>
      <c r="B264" s="37" t="s">
        <v>672</v>
      </c>
      <c r="C264" s="37" t="s">
        <v>224</v>
      </c>
      <c r="D264" s="37" t="s">
        <v>689</v>
      </c>
      <c r="E264" s="37">
        <v>105</v>
      </c>
      <c r="F264" s="37">
        <v>19</v>
      </c>
      <c r="G264" s="39">
        <v>0.180952380952381</v>
      </c>
      <c r="H264" s="37">
        <v>9</v>
      </c>
      <c r="I264" s="37">
        <v>9</v>
      </c>
      <c r="J264" s="37">
        <v>5</v>
      </c>
      <c r="K264" s="37">
        <v>1</v>
      </c>
      <c r="L264" s="40">
        <v>24.95</v>
      </c>
      <c r="M264" s="37"/>
      <c r="N264" s="37"/>
      <c r="O264" s="39"/>
      <c r="P264" s="37"/>
    </row>
    <row r="265" ht="16.5" customHeight="1" spans="1:16">
      <c r="A265" s="37" t="s">
        <v>576</v>
      </c>
      <c r="B265" s="37" t="s">
        <v>672</v>
      </c>
      <c r="C265" s="37" t="s">
        <v>224</v>
      </c>
      <c r="D265" s="37" t="s">
        <v>690</v>
      </c>
      <c r="E265" s="37">
        <v>54</v>
      </c>
      <c r="F265" s="37">
        <v>22</v>
      </c>
      <c r="G265" s="39">
        <v>0.407407407407407</v>
      </c>
      <c r="H265" s="37">
        <v>10</v>
      </c>
      <c r="I265" s="37">
        <v>8</v>
      </c>
      <c r="J265" s="37">
        <v>4</v>
      </c>
      <c r="K265" s="37">
        <v>0</v>
      </c>
      <c r="L265" s="40">
        <v>14.0666666666667</v>
      </c>
      <c r="M265" s="37"/>
      <c r="N265" s="37"/>
      <c r="O265" s="39"/>
      <c r="P265" s="37"/>
    </row>
    <row r="266" ht="16.5" customHeight="1" spans="1:16">
      <c r="A266" s="37" t="s">
        <v>576</v>
      </c>
      <c r="B266" s="37" t="s">
        <v>672</v>
      </c>
      <c r="C266" s="37" t="s">
        <v>224</v>
      </c>
      <c r="D266" s="37" t="s">
        <v>691</v>
      </c>
      <c r="E266" s="37">
        <v>98</v>
      </c>
      <c r="F266" s="37">
        <v>46</v>
      </c>
      <c r="G266" s="39">
        <v>0.469387755102041</v>
      </c>
      <c r="H266" s="37">
        <v>15</v>
      </c>
      <c r="I266" s="37">
        <v>13</v>
      </c>
      <c r="J266" s="37">
        <v>5</v>
      </c>
      <c r="K266" s="37">
        <v>0</v>
      </c>
      <c r="L266" s="40">
        <v>21.45</v>
      </c>
      <c r="M266" s="37"/>
      <c r="N266" s="37"/>
      <c r="O266" s="39"/>
      <c r="P266" s="37"/>
    </row>
    <row r="267" ht="16.5" customHeight="1" spans="1:16">
      <c r="A267" s="37" t="s">
        <v>576</v>
      </c>
      <c r="B267" s="37" t="s">
        <v>672</v>
      </c>
      <c r="C267" s="37" t="s">
        <v>224</v>
      </c>
      <c r="D267" s="37" t="s">
        <v>692</v>
      </c>
      <c r="E267" s="37">
        <v>311</v>
      </c>
      <c r="F267" s="37">
        <v>118</v>
      </c>
      <c r="G267" s="39">
        <v>0.379421221864952</v>
      </c>
      <c r="H267" s="37">
        <v>53</v>
      </c>
      <c r="I267" s="37">
        <v>43</v>
      </c>
      <c r="J267" s="37">
        <v>13</v>
      </c>
      <c r="K267" s="37">
        <v>0</v>
      </c>
      <c r="L267" s="40">
        <v>70.8333333333333</v>
      </c>
      <c r="M267" s="37"/>
      <c r="N267" s="37"/>
      <c r="O267" s="39"/>
      <c r="P267" s="37"/>
    </row>
    <row r="268" ht="16.5" customHeight="1" spans="1:16">
      <c r="A268" s="37" t="s">
        <v>576</v>
      </c>
      <c r="B268" s="37" t="s">
        <v>672</v>
      </c>
      <c r="C268" s="37" t="s">
        <v>224</v>
      </c>
      <c r="D268" s="37" t="s">
        <v>693</v>
      </c>
      <c r="E268" s="37">
        <v>283</v>
      </c>
      <c r="F268" s="37">
        <v>103</v>
      </c>
      <c r="G268" s="39">
        <v>0.363957597173145</v>
      </c>
      <c r="H268" s="37">
        <v>40</v>
      </c>
      <c r="I268" s="37">
        <v>26</v>
      </c>
      <c r="J268" s="37">
        <v>11</v>
      </c>
      <c r="K268" s="37">
        <v>1</v>
      </c>
      <c r="L268" s="40">
        <v>54.5666666666667</v>
      </c>
      <c r="M268" s="37"/>
      <c r="N268" s="37"/>
      <c r="O268" s="39"/>
      <c r="P268" s="37"/>
    </row>
    <row r="269" ht="16.5" customHeight="1" spans="1:16">
      <c r="A269" s="37" t="s">
        <v>576</v>
      </c>
      <c r="B269" s="37" t="s">
        <v>672</v>
      </c>
      <c r="C269" s="37" t="s">
        <v>224</v>
      </c>
      <c r="D269" s="37" t="s">
        <v>694</v>
      </c>
      <c r="E269" s="37">
        <v>121</v>
      </c>
      <c r="F269" s="37">
        <v>47</v>
      </c>
      <c r="G269" s="39">
        <v>0.388429752066116</v>
      </c>
      <c r="H269" s="37">
        <v>22</v>
      </c>
      <c r="I269" s="37">
        <v>17</v>
      </c>
      <c r="J269" s="37">
        <v>8</v>
      </c>
      <c r="K269" s="37">
        <v>1</v>
      </c>
      <c r="L269" s="40">
        <v>31.3</v>
      </c>
      <c r="M269" s="37"/>
      <c r="N269" s="37"/>
      <c r="O269" s="39"/>
      <c r="P269" s="37"/>
    </row>
    <row r="270" ht="16.5" customHeight="1" spans="1:16">
      <c r="A270" s="37" t="s">
        <v>576</v>
      </c>
      <c r="B270" s="37" t="s">
        <v>672</v>
      </c>
      <c r="C270" s="37" t="s">
        <v>224</v>
      </c>
      <c r="D270" s="37" t="s">
        <v>695</v>
      </c>
      <c r="E270" s="37">
        <v>53</v>
      </c>
      <c r="F270" s="37">
        <v>25</v>
      </c>
      <c r="G270" s="39">
        <v>0.471698113207547</v>
      </c>
      <c r="H270" s="37">
        <v>17</v>
      </c>
      <c r="I270" s="37">
        <v>11</v>
      </c>
      <c r="J270" s="37">
        <v>4</v>
      </c>
      <c r="K270" s="37">
        <v>0</v>
      </c>
      <c r="L270" s="40">
        <v>15.9166666666667</v>
      </c>
      <c r="M270" s="37"/>
      <c r="N270" s="37"/>
      <c r="O270" s="39"/>
      <c r="P270" s="37"/>
    </row>
    <row r="271" ht="16.5" customHeight="1" spans="1:16">
      <c r="A271" s="37" t="s">
        <v>576</v>
      </c>
      <c r="B271" s="37" t="s">
        <v>672</v>
      </c>
      <c r="C271" s="37" t="s">
        <v>224</v>
      </c>
      <c r="D271" s="37" t="s">
        <v>696</v>
      </c>
      <c r="E271" s="37">
        <v>59</v>
      </c>
      <c r="F271" s="37">
        <v>13</v>
      </c>
      <c r="G271" s="39">
        <v>0.220338983050847</v>
      </c>
      <c r="H271" s="37">
        <v>11</v>
      </c>
      <c r="I271" s="37">
        <v>10</v>
      </c>
      <c r="J271" s="37">
        <v>5</v>
      </c>
      <c r="K271" s="37">
        <v>0</v>
      </c>
      <c r="L271" s="40">
        <v>12.1</v>
      </c>
      <c r="M271" s="37"/>
      <c r="N271" s="37"/>
      <c r="O271" s="39"/>
      <c r="P271" s="37"/>
    </row>
    <row r="272" ht="16.5" customHeight="1" spans="1:16">
      <c r="A272" s="37" t="s">
        <v>576</v>
      </c>
      <c r="B272" s="37" t="s">
        <v>672</v>
      </c>
      <c r="C272" s="37" t="s">
        <v>264</v>
      </c>
      <c r="D272" s="37" t="s">
        <v>697</v>
      </c>
      <c r="E272" s="37">
        <v>76</v>
      </c>
      <c r="F272" s="37">
        <v>25</v>
      </c>
      <c r="G272" s="39">
        <v>0.328947368421053</v>
      </c>
      <c r="H272" s="37">
        <v>9</v>
      </c>
      <c r="I272" s="37">
        <v>6</v>
      </c>
      <c r="J272" s="37">
        <v>5</v>
      </c>
      <c r="K272" s="37">
        <v>0</v>
      </c>
      <c r="L272" s="40">
        <v>14.3833333333333</v>
      </c>
      <c r="M272" s="37"/>
      <c r="N272" s="37"/>
      <c r="O272" s="39"/>
      <c r="P272" s="37"/>
    </row>
    <row r="273" ht="16.5" customHeight="1" spans="1:16">
      <c r="A273" s="37" t="s">
        <v>576</v>
      </c>
      <c r="B273" s="37" t="s">
        <v>672</v>
      </c>
      <c r="C273" s="37" t="s">
        <v>264</v>
      </c>
      <c r="D273" s="37" t="s">
        <v>698</v>
      </c>
      <c r="E273" s="37">
        <v>74</v>
      </c>
      <c r="F273" s="37">
        <v>28</v>
      </c>
      <c r="G273" s="39">
        <v>0.378378378378378</v>
      </c>
      <c r="H273" s="37">
        <v>22</v>
      </c>
      <c r="I273" s="37">
        <v>18</v>
      </c>
      <c r="J273" s="37">
        <v>10</v>
      </c>
      <c r="K273" s="37">
        <v>2</v>
      </c>
      <c r="L273" s="40">
        <v>38.2833333333333</v>
      </c>
      <c r="M273" s="37"/>
      <c r="N273" s="37"/>
      <c r="O273" s="39"/>
      <c r="P273" s="37"/>
    </row>
    <row r="274" ht="16.5" customHeight="1" spans="1:16">
      <c r="A274" s="37" t="s">
        <v>576</v>
      </c>
      <c r="B274" s="37" t="s">
        <v>672</v>
      </c>
      <c r="C274" s="37" t="s">
        <v>264</v>
      </c>
      <c r="D274" s="37" t="s">
        <v>699</v>
      </c>
      <c r="E274" s="37">
        <v>124</v>
      </c>
      <c r="F274" s="37">
        <v>45</v>
      </c>
      <c r="G274" s="39">
        <v>0.362903225806452</v>
      </c>
      <c r="H274" s="37">
        <v>21</v>
      </c>
      <c r="I274" s="37">
        <v>11</v>
      </c>
      <c r="J274" s="37">
        <v>6</v>
      </c>
      <c r="K274" s="37">
        <v>1</v>
      </c>
      <c r="L274" s="40">
        <v>27.6333333333333</v>
      </c>
      <c r="M274" s="37"/>
      <c r="N274" s="37"/>
      <c r="O274" s="39"/>
      <c r="P274" s="37"/>
    </row>
    <row r="275" ht="16.5" customHeight="1" spans="1:16">
      <c r="A275" s="37" t="s">
        <v>576</v>
      </c>
      <c r="B275" s="37" t="s">
        <v>672</v>
      </c>
      <c r="C275" s="37" t="s">
        <v>264</v>
      </c>
      <c r="D275" s="37" t="s">
        <v>700</v>
      </c>
      <c r="E275" s="37">
        <v>116</v>
      </c>
      <c r="F275" s="37">
        <v>48</v>
      </c>
      <c r="G275" s="39">
        <v>0.413793103448276</v>
      </c>
      <c r="H275" s="37">
        <v>20</v>
      </c>
      <c r="I275" s="37">
        <v>13</v>
      </c>
      <c r="J275" s="37">
        <v>10</v>
      </c>
      <c r="K275" s="37">
        <v>0</v>
      </c>
      <c r="L275" s="40">
        <v>29.9</v>
      </c>
      <c r="M275" s="37"/>
      <c r="N275" s="37"/>
      <c r="O275" s="39"/>
      <c r="P275" s="37"/>
    </row>
    <row r="276" ht="16.5" customHeight="1" spans="1:16">
      <c r="A276" s="37" t="s">
        <v>576</v>
      </c>
      <c r="B276" s="37" t="s">
        <v>672</v>
      </c>
      <c r="C276" s="37" t="s">
        <v>264</v>
      </c>
      <c r="D276" s="37" t="s">
        <v>701</v>
      </c>
      <c r="E276" s="37">
        <v>110</v>
      </c>
      <c r="F276" s="37">
        <v>44</v>
      </c>
      <c r="G276" s="39">
        <v>0.4</v>
      </c>
      <c r="H276" s="37">
        <v>17</v>
      </c>
      <c r="I276" s="37">
        <v>11</v>
      </c>
      <c r="J276" s="37">
        <v>4</v>
      </c>
      <c r="K276" s="37">
        <v>2</v>
      </c>
      <c r="L276" s="40">
        <v>31.0333333333333</v>
      </c>
      <c r="M276" s="37"/>
      <c r="N276" s="37"/>
      <c r="O276" s="39"/>
      <c r="P276" s="37"/>
    </row>
    <row r="277" ht="16.5" customHeight="1" spans="1:16">
      <c r="A277" s="37" t="s">
        <v>576</v>
      </c>
      <c r="B277" s="37" t="s">
        <v>672</v>
      </c>
      <c r="C277" s="37" t="s">
        <v>264</v>
      </c>
      <c r="D277" s="37" t="s">
        <v>702</v>
      </c>
      <c r="E277" s="37">
        <v>223</v>
      </c>
      <c r="F277" s="37">
        <v>100</v>
      </c>
      <c r="G277" s="39">
        <v>0.448430493273543</v>
      </c>
      <c r="H277" s="37">
        <v>47</v>
      </c>
      <c r="I277" s="37">
        <v>26</v>
      </c>
      <c r="J277" s="37">
        <v>14</v>
      </c>
      <c r="K277" s="37">
        <v>0</v>
      </c>
      <c r="L277" s="40">
        <v>56.7</v>
      </c>
      <c r="M277" s="37"/>
      <c r="N277" s="37"/>
      <c r="O277" s="39"/>
      <c r="P277" s="37"/>
    </row>
    <row r="278" ht="16.5" customHeight="1" spans="1:16">
      <c r="A278" s="37" t="s">
        <v>576</v>
      </c>
      <c r="B278" s="37" t="s">
        <v>672</v>
      </c>
      <c r="C278" s="37" t="s">
        <v>264</v>
      </c>
      <c r="D278" s="37" t="s">
        <v>703</v>
      </c>
      <c r="E278" s="37">
        <v>150</v>
      </c>
      <c r="F278" s="37">
        <v>65</v>
      </c>
      <c r="G278" s="39">
        <v>0.433333333333333</v>
      </c>
      <c r="H278" s="37">
        <v>31</v>
      </c>
      <c r="I278" s="37">
        <v>19</v>
      </c>
      <c r="J278" s="37">
        <v>10</v>
      </c>
      <c r="K278" s="37">
        <v>0</v>
      </c>
      <c r="L278" s="40">
        <v>38.1</v>
      </c>
      <c r="M278" s="37"/>
      <c r="N278" s="37"/>
      <c r="O278" s="39"/>
      <c r="P278" s="37"/>
    </row>
    <row r="279" ht="16.5" customHeight="1" spans="1:16">
      <c r="A279" s="37" t="s">
        <v>576</v>
      </c>
      <c r="B279" s="37" t="s">
        <v>672</v>
      </c>
      <c r="C279" s="37" t="s">
        <v>264</v>
      </c>
      <c r="D279" s="37" t="s">
        <v>704</v>
      </c>
      <c r="E279" s="37">
        <v>143</v>
      </c>
      <c r="F279" s="37">
        <v>50</v>
      </c>
      <c r="G279" s="39">
        <v>0.34965034965035</v>
      </c>
      <c r="H279" s="37">
        <v>17</v>
      </c>
      <c r="I279" s="37">
        <v>15</v>
      </c>
      <c r="J279" s="37">
        <v>8</v>
      </c>
      <c r="K279" s="37">
        <v>0</v>
      </c>
      <c r="L279" s="40">
        <v>24.6333333333333</v>
      </c>
      <c r="M279" s="37"/>
      <c r="N279" s="37"/>
      <c r="O279" s="39"/>
      <c r="P279" s="37"/>
    </row>
    <row r="280" ht="16.5" customHeight="1" spans="1:16">
      <c r="A280" s="37" t="s">
        <v>576</v>
      </c>
      <c r="B280" s="37" t="s">
        <v>672</v>
      </c>
      <c r="C280" s="37" t="s">
        <v>264</v>
      </c>
      <c r="D280" s="37" t="s">
        <v>705</v>
      </c>
      <c r="E280" s="37">
        <v>89</v>
      </c>
      <c r="F280" s="37">
        <v>38</v>
      </c>
      <c r="G280" s="39">
        <v>0.426966292134831</v>
      </c>
      <c r="H280" s="37">
        <v>16</v>
      </c>
      <c r="I280" s="37">
        <v>9</v>
      </c>
      <c r="J280" s="37">
        <v>6</v>
      </c>
      <c r="K280" s="37">
        <v>0</v>
      </c>
      <c r="L280" s="40">
        <v>20.5833333333333</v>
      </c>
      <c r="M280" s="37"/>
      <c r="N280" s="37"/>
      <c r="O280" s="39"/>
      <c r="P280" s="37"/>
    </row>
    <row r="281" ht="16.5" customHeight="1" spans="1:16">
      <c r="A281" s="37" t="s">
        <v>576</v>
      </c>
      <c r="B281" s="37" t="s">
        <v>672</v>
      </c>
      <c r="C281" s="37" t="s">
        <v>264</v>
      </c>
      <c r="D281" s="37" t="s">
        <v>706</v>
      </c>
      <c r="E281" s="37">
        <v>132</v>
      </c>
      <c r="F281" s="37">
        <v>47</v>
      </c>
      <c r="G281" s="39">
        <v>0.356060606060606</v>
      </c>
      <c r="H281" s="37">
        <v>14</v>
      </c>
      <c r="I281" s="37">
        <v>9</v>
      </c>
      <c r="J281" s="37">
        <v>4</v>
      </c>
      <c r="K281" s="37">
        <v>0</v>
      </c>
      <c r="L281" s="40">
        <v>20.8666666666667</v>
      </c>
      <c r="M281" s="37"/>
      <c r="N281" s="37"/>
      <c r="O281" s="39"/>
      <c r="P281" s="37"/>
    </row>
    <row r="282" ht="16.5" customHeight="1" spans="1:16">
      <c r="A282" s="37" t="s">
        <v>576</v>
      </c>
      <c r="B282" s="37" t="s">
        <v>672</v>
      </c>
      <c r="C282" s="37" t="s">
        <v>22</v>
      </c>
      <c r="D282" s="37" t="s">
        <v>707</v>
      </c>
      <c r="E282" s="37">
        <v>7</v>
      </c>
      <c r="F282" s="37">
        <v>2</v>
      </c>
      <c r="G282" s="39">
        <v>0.285714285714286</v>
      </c>
      <c r="H282" s="37">
        <v>2</v>
      </c>
      <c r="I282" s="37">
        <v>2</v>
      </c>
      <c r="J282" s="37">
        <v>1</v>
      </c>
      <c r="K282" s="37">
        <v>0</v>
      </c>
      <c r="L282" s="40">
        <v>1.98333333333333</v>
      </c>
      <c r="M282" s="37"/>
      <c r="N282" s="37"/>
      <c r="O282" s="39"/>
      <c r="P282" s="37"/>
    </row>
    <row r="283" ht="16.5" customHeight="1" spans="1:16">
      <c r="A283" s="37" t="s">
        <v>576</v>
      </c>
      <c r="B283" s="37" t="s">
        <v>672</v>
      </c>
      <c r="C283" s="37" t="s">
        <v>22</v>
      </c>
      <c r="D283" s="37" t="s">
        <v>708</v>
      </c>
      <c r="E283" s="37">
        <v>8</v>
      </c>
      <c r="F283" s="37">
        <v>5</v>
      </c>
      <c r="G283" s="39">
        <v>0.625</v>
      </c>
      <c r="H283" s="37">
        <v>5</v>
      </c>
      <c r="I283" s="37">
        <v>5</v>
      </c>
      <c r="J283" s="37">
        <v>5</v>
      </c>
      <c r="K283" s="37">
        <v>3</v>
      </c>
      <c r="L283" s="40">
        <v>14.6166666666667</v>
      </c>
      <c r="M283" s="37"/>
      <c r="N283" s="37"/>
      <c r="O283" s="39"/>
      <c r="P283" s="37"/>
    </row>
    <row r="284" ht="16.5" customHeight="1" spans="1:16">
      <c r="A284" s="37" t="s">
        <v>576</v>
      </c>
      <c r="B284" s="37" t="s">
        <v>672</v>
      </c>
      <c r="C284" s="37" t="s">
        <v>22</v>
      </c>
      <c r="D284" s="37" t="s">
        <v>709</v>
      </c>
      <c r="E284" s="37">
        <v>30</v>
      </c>
      <c r="F284" s="37">
        <v>7</v>
      </c>
      <c r="G284" s="39">
        <v>0.233333333333333</v>
      </c>
      <c r="H284" s="37">
        <v>6</v>
      </c>
      <c r="I284" s="37">
        <v>5</v>
      </c>
      <c r="J284" s="37">
        <v>4</v>
      </c>
      <c r="K284" s="37">
        <v>1</v>
      </c>
      <c r="L284" s="40">
        <v>9.35</v>
      </c>
      <c r="M284" s="37"/>
      <c r="N284" s="37"/>
      <c r="O284" s="39"/>
      <c r="P284" s="37"/>
    </row>
    <row r="285" ht="16.5" customHeight="1" spans="1:16">
      <c r="A285" s="37" t="s">
        <v>576</v>
      </c>
      <c r="B285" s="37" t="s">
        <v>672</v>
      </c>
      <c r="C285" s="37" t="s">
        <v>22</v>
      </c>
      <c r="D285" s="37" t="s">
        <v>710</v>
      </c>
      <c r="E285" s="37">
        <v>49</v>
      </c>
      <c r="F285" s="37">
        <v>30</v>
      </c>
      <c r="G285" s="39">
        <v>0.612244897959184</v>
      </c>
      <c r="H285" s="37">
        <v>17</v>
      </c>
      <c r="I285" s="37">
        <v>14</v>
      </c>
      <c r="J285" s="37">
        <v>8</v>
      </c>
      <c r="K285" s="37">
        <v>2</v>
      </c>
      <c r="L285" s="40">
        <v>33.7</v>
      </c>
      <c r="M285" s="37"/>
      <c r="N285" s="37"/>
      <c r="O285" s="39"/>
      <c r="P285" s="37"/>
    </row>
    <row r="286" ht="16.5" customHeight="1" spans="1:16">
      <c r="A286" s="37" t="s">
        <v>576</v>
      </c>
      <c r="B286" s="37" t="s">
        <v>672</v>
      </c>
      <c r="C286" s="37" t="s">
        <v>22</v>
      </c>
      <c r="D286" s="37" t="s">
        <v>711</v>
      </c>
      <c r="E286" s="37">
        <v>17</v>
      </c>
      <c r="F286" s="37">
        <v>11</v>
      </c>
      <c r="G286" s="39">
        <v>0.647058823529412</v>
      </c>
      <c r="H286" s="37">
        <v>5</v>
      </c>
      <c r="I286" s="37">
        <v>5</v>
      </c>
      <c r="J286" s="37">
        <v>4</v>
      </c>
      <c r="K286" s="37">
        <v>1</v>
      </c>
      <c r="L286" s="40">
        <v>21.15</v>
      </c>
      <c r="M286" s="37"/>
      <c r="N286" s="37"/>
      <c r="O286" s="39"/>
      <c r="P286" s="37"/>
    </row>
    <row r="287" ht="16.5" customHeight="1" spans="1:16">
      <c r="A287" s="37" t="s">
        <v>576</v>
      </c>
      <c r="B287" s="37" t="s">
        <v>672</v>
      </c>
      <c r="C287" s="37" t="s">
        <v>22</v>
      </c>
      <c r="D287" s="37" t="s">
        <v>712</v>
      </c>
      <c r="E287" s="37">
        <v>27</v>
      </c>
      <c r="F287" s="37">
        <v>8</v>
      </c>
      <c r="G287" s="39">
        <v>0.296296296296296</v>
      </c>
      <c r="H287" s="37">
        <v>4</v>
      </c>
      <c r="I287" s="37">
        <v>4</v>
      </c>
      <c r="J287" s="37">
        <v>3</v>
      </c>
      <c r="K287" s="37">
        <v>2</v>
      </c>
      <c r="L287" s="40">
        <v>21.3333333333333</v>
      </c>
      <c r="M287" s="37"/>
      <c r="N287" s="37"/>
      <c r="O287" s="39"/>
      <c r="P287" s="37"/>
    </row>
    <row r="288" ht="16.5" customHeight="1" spans="1:16">
      <c r="A288" s="37" t="s">
        <v>576</v>
      </c>
      <c r="B288" s="37" t="s">
        <v>672</v>
      </c>
      <c r="C288" s="37" t="s">
        <v>22</v>
      </c>
      <c r="D288" s="37" t="s">
        <v>713</v>
      </c>
      <c r="E288" s="37">
        <v>21</v>
      </c>
      <c r="F288" s="37">
        <v>11</v>
      </c>
      <c r="G288" s="39">
        <v>0.523809523809524</v>
      </c>
      <c r="H288" s="37">
        <v>6</v>
      </c>
      <c r="I288" s="37">
        <v>6</v>
      </c>
      <c r="J288" s="37">
        <v>5</v>
      </c>
      <c r="K288" s="37">
        <v>0</v>
      </c>
      <c r="L288" s="40">
        <v>11.3833333333333</v>
      </c>
      <c r="M288" s="37"/>
      <c r="N288" s="37"/>
      <c r="O288" s="39"/>
      <c r="P288" s="37"/>
    </row>
    <row r="289" ht="16.5" customHeight="1" spans="1:16">
      <c r="A289" s="37" t="s">
        <v>576</v>
      </c>
      <c r="B289" s="37" t="s">
        <v>672</v>
      </c>
      <c r="C289" s="37" t="s">
        <v>22</v>
      </c>
      <c r="D289" s="37" t="s">
        <v>714</v>
      </c>
      <c r="E289" s="37">
        <v>13</v>
      </c>
      <c r="F289" s="37">
        <v>5</v>
      </c>
      <c r="G289" s="39">
        <v>0.384615384615385</v>
      </c>
      <c r="H289" s="37">
        <v>4</v>
      </c>
      <c r="I289" s="37">
        <v>3</v>
      </c>
      <c r="J289" s="37">
        <v>3</v>
      </c>
      <c r="K289" s="37">
        <v>1</v>
      </c>
      <c r="L289" s="40">
        <v>8.36666666666667</v>
      </c>
      <c r="M289" s="37"/>
      <c r="N289" s="37"/>
      <c r="O289" s="39"/>
      <c r="P289" s="37"/>
    </row>
    <row r="290" ht="16.5" customHeight="1" spans="1:16">
      <c r="A290" s="37" t="s">
        <v>576</v>
      </c>
      <c r="B290" s="37" t="s">
        <v>715</v>
      </c>
      <c r="C290" s="37" t="s">
        <v>102</v>
      </c>
      <c r="D290" s="37" t="s">
        <v>716</v>
      </c>
      <c r="E290" s="37"/>
      <c r="F290" s="37"/>
      <c r="G290" s="39"/>
      <c r="H290" s="37"/>
      <c r="I290" s="37"/>
      <c r="J290" s="37"/>
      <c r="K290" s="37"/>
      <c r="L290" s="40"/>
      <c r="M290" s="37">
        <v>1</v>
      </c>
      <c r="N290" s="37">
        <v>0</v>
      </c>
      <c r="O290" s="39">
        <v>0</v>
      </c>
      <c r="P290" s="37">
        <v>4</v>
      </c>
    </row>
    <row r="291" ht="16.5" customHeight="1" spans="1:16">
      <c r="A291" s="37" t="s">
        <v>576</v>
      </c>
      <c r="B291" s="37" t="s">
        <v>715</v>
      </c>
      <c r="C291" s="37" t="s">
        <v>102</v>
      </c>
      <c r="D291" s="37" t="s">
        <v>717</v>
      </c>
      <c r="E291" s="37">
        <v>74</v>
      </c>
      <c r="F291" s="37">
        <v>40</v>
      </c>
      <c r="G291" s="39">
        <v>0.540540540540541</v>
      </c>
      <c r="H291" s="37">
        <v>31</v>
      </c>
      <c r="I291" s="37">
        <v>10</v>
      </c>
      <c r="J291" s="37">
        <v>6</v>
      </c>
      <c r="K291" s="37">
        <v>0</v>
      </c>
      <c r="L291" s="40">
        <v>29.15</v>
      </c>
      <c r="M291" s="37"/>
      <c r="N291" s="37"/>
      <c r="O291" s="39"/>
      <c r="P291" s="37"/>
    </row>
    <row r="292" ht="16.5" customHeight="1" spans="1:16">
      <c r="A292" s="37" t="s">
        <v>576</v>
      </c>
      <c r="B292" s="37" t="s">
        <v>715</v>
      </c>
      <c r="C292" s="37" t="s">
        <v>102</v>
      </c>
      <c r="D292" s="37" t="s">
        <v>718</v>
      </c>
      <c r="E292" s="37">
        <v>81</v>
      </c>
      <c r="F292" s="37">
        <v>22</v>
      </c>
      <c r="G292" s="39">
        <v>0.271604938271605</v>
      </c>
      <c r="H292" s="37">
        <v>13</v>
      </c>
      <c r="I292" s="37">
        <v>3</v>
      </c>
      <c r="J292" s="37">
        <v>1</v>
      </c>
      <c r="K292" s="37">
        <v>0</v>
      </c>
      <c r="L292" s="40">
        <v>11.4333333333333</v>
      </c>
      <c r="M292" s="37"/>
      <c r="N292" s="37"/>
      <c r="O292" s="39"/>
      <c r="P292" s="37"/>
    </row>
    <row r="293" ht="16.5" customHeight="1" spans="1:16">
      <c r="A293" s="37" t="s">
        <v>576</v>
      </c>
      <c r="B293" s="37" t="s">
        <v>715</v>
      </c>
      <c r="C293" s="37" t="s">
        <v>102</v>
      </c>
      <c r="D293" s="37" t="s">
        <v>719</v>
      </c>
      <c r="E293" s="37">
        <v>61</v>
      </c>
      <c r="F293" s="37">
        <v>26</v>
      </c>
      <c r="G293" s="39">
        <v>0.426229508196721</v>
      </c>
      <c r="H293" s="37">
        <v>12</v>
      </c>
      <c r="I293" s="37">
        <v>5</v>
      </c>
      <c r="J293" s="37">
        <v>1</v>
      </c>
      <c r="K293" s="37">
        <v>0</v>
      </c>
      <c r="L293" s="40">
        <v>12.2333333333333</v>
      </c>
      <c r="M293" s="37"/>
      <c r="N293" s="37"/>
      <c r="O293" s="39"/>
      <c r="P293" s="37"/>
    </row>
    <row r="294" ht="16.5" customHeight="1" spans="1:16">
      <c r="A294" s="37" t="s">
        <v>576</v>
      </c>
      <c r="B294" s="37" t="s">
        <v>715</v>
      </c>
      <c r="C294" s="37" t="s">
        <v>52</v>
      </c>
      <c r="D294" s="37" t="s">
        <v>720</v>
      </c>
      <c r="E294" s="37">
        <v>14</v>
      </c>
      <c r="F294" s="37">
        <v>3</v>
      </c>
      <c r="G294" s="39">
        <v>0.214285714285714</v>
      </c>
      <c r="H294" s="37">
        <v>1</v>
      </c>
      <c r="I294" s="37">
        <v>1</v>
      </c>
      <c r="J294" s="37">
        <v>1</v>
      </c>
      <c r="K294" s="37">
        <v>0</v>
      </c>
      <c r="L294" s="40">
        <v>1.96666666666667</v>
      </c>
      <c r="M294" s="37"/>
      <c r="N294" s="37"/>
      <c r="O294" s="39"/>
      <c r="P294" s="37"/>
    </row>
    <row r="295" ht="16.5" customHeight="1" spans="1:16">
      <c r="A295" s="37" t="s">
        <v>576</v>
      </c>
      <c r="B295" s="37" t="s">
        <v>715</v>
      </c>
      <c r="C295" s="37" t="s">
        <v>52</v>
      </c>
      <c r="D295" s="37" t="s">
        <v>721</v>
      </c>
      <c r="E295" s="37">
        <v>4</v>
      </c>
      <c r="F295" s="37">
        <v>2</v>
      </c>
      <c r="G295" s="39">
        <v>0.5</v>
      </c>
      <c r="H295" s="37">
        <v>0</v>
      </c>
      <c r="I295" s="37">
        <v>0</v>
      </c>
      <c r="J295" s="37">
        <v>0</v>
      </c>
      <c r="K295" s="37">
        <v>0</v>
      </c>
      <c r="L295" s="40">
        <v>0.716666666666667</v>
      </c>
      <c r="M295" s="37">
        <v>1</v>
      </c>
      <c r="N295" s="37">
        <v>0</v>
      </c>
      <c r="O295" s="39">
        <v>0</v>
      </c>
      <c r="P295" s="37">
        <v>0</v>
      </c>
    </row>
    <row r="296" ht="16.5" customHeight="1" spans="1:16">
      <c r="A296" s="37" t="s">
        <v>576</v>
      </c>
      <c r="B296" s="37" t="s">
        <v>715</v>
      </c>
      <c r="C296" s="37" t="s">
        <v>52</v>
      </c>
      <c r="D296" s="37" t="s">
        <v>722</v>
      </c>
      <c r="E296" s="37">
        <v>3</v>
      </c>
      <c r="F296" s="37">
        <v>3</v>
      </c>
      <c r="G296" s="39">
        <v>1</v>
      </c>
      <c r="H296" s="37">
        <v>2</v>
      </c>
      <c r="I296" s="37">
        <v>1</v>
      </c>
      <c r="J296" s="37">
        <v>1</v>
      </c>
      <c r="K296" s="37">
        <v>0</v>
      </c>
      <c r="L296" s="40">
        <v>2.33333333333333</v>
      </c>
      <c r="M296" s="37"/>
      <c r="N296" s="37"/>
      <c r="O296" s="39"/>
      <c r="P296" s="37"/>
    </row>
    <row r="297" ht="16.5" customHeight="1" spans="1:16">
      <c r="A297" s="37" t="s">
        <v>576</v>
      </c>
      <c r="B297" s="37" t="s">
        <v>715</v>
      </c>
      <c r="C297" s="37" t="s">
        <v>75</v>
      </c>
      <c r="D297" s="37" t="s">
        <v>723</v>
      </c>
      <c r="E297" s="37">
        <v>132</v>
      </c>
      <c r="F297" s="37">
        <v>49</v>
      </c>
      <c r="G297" s="39">
        <v>0.371212121212121</v>
      </c>
      <c r="H297" s="37">
        <v>20</v>
      </c>
      <c r="I297" s="37">
        <v>12</v>
      </c>
      <c r="J297" s="37">
        <v>8</v>
      </c>
      <c r="K297" s="37">
        <v>2</v>
      </c>
      <c r="L297" s="40">
        <v>31.25</v>
      </c>
      <c r="M297" s="37"/>
      <c r="N297" s="37"/>
      <c r="O297" s="39"/>
      <c r="P297" s="37"/>
    </row>
    <row r="298" ht="16.5" customHeight="1" spans="1:16">
      <c r="A298" s="37" t="s">
        <v>576</v>
      </c>
      <c r="B298" s="37" t="s">
        <v>715</v>
      </c>
      <c r="C298" s="37" t="s">
        <v>75</v>
      </c>
      <c r="D298" s="37" t="s">
        <v>724</v>
      </c>
      <c r="E298" s="37">
        <v>123</v>
      </c>
      <c r="F298" s="37">
        <v>16</v>
      </c>
      <c r="G298" s="39">
        <v>0.130081300813008</v>
      </c>
      <c r="H298" s="37">
        <v>13</v>
      </c>
      <c r="I298" s="37">
        <v>13</v>
      </c>
      <c r="J298" s="37">
        <v>10</v>
      </c>
      <c r="K298" s="37">
        <v>3</v>
      </c>
      <c r="L298" s="40">
        <v>33.6666666666667</v>
      </c>
      <c r="M298" s="37"/>
      <c r="N298" s="37"/>
      <c r="O298" s="39"/>
      <c r="P298" s="37"/>
    </row>
    <row r="299" ht="16.5" customHeight="1" spans="1:16">
      <c r="A299" s="37" t="s">
        <v>576</v>
      </c>
      <c r="B299" s="37" t="s">
        <v>715</v>
      </c>
      <c r="C299" s="37" t="s">
        <v>75</v>
      </c>
      <c r="D299" s="37" t="s">
        <v>725</v>
      </c>
      <c r="E299" s="37">
        <v>192</v>
      </c>
      <c r="F299" s="37">
        <v>80</v>
      </c>
      <c r="G299" s="39">
        <v>0.416666666666667</v>
      </c>
      <c r="H299" s="37">
        <v>46</v>
      </c>
      <c r="I299" s="37">
        <v>39</v>
      </c>
      <c r="J299" s="37">
        <v>16</v>
      </c>
      <c r="K299" s="37">
        <v>0</v>
      </c>
      <c r="L299" s="40">
        <v>54.4833333333333</v>
      </c>
      <c r="M299" s="37"/>
      <c r="N299" s="37"/>
      <c r="O299" s="39"/>
      <c r="P299" s="37"/>
    </row>
    <row r="300" ht="16.5" customHeight="1" spans="1:16">
      <c r="A300" s="37" t="s">
        <v>576</v>
      </c>
      <c r="B300" s="37" t="s">
        <v>715</v>
      </c>
      <c r="C300" s="37" t="s">
        <v>75</v>
      </c>
      <c r="D300" s="37" t="s">
        <v>726</v>
      </c>
      <c r="E300" s="37">
        <v>180</v>
      </c>
      <c r="F300" s="37">
        <v>83</v>
      </c>
      <c r="G300" s="39">
        <v>0.461111111111111</v>
      </c>
      <c r="H300" s="37">
        <v>42</v>
      </c>
      <c r="I300" s="37">
        <v>35</v>
      </c>
      <c r="J300" s="37">
        <v>16</v>
      </c>
      <c r="K300" s="37">
        <v>1</v>
      </c>
      <c r="L300" s="40">
        <v>58.4</v>
      </c>
      <c r="M300" s="37"/>
      <c r="N300" s="37"/>
      <c r="O300" s="39"/>
      <c r="P300" s="37"/>
    </row>
    <row r="301" ht="16.5" customHeight="1" spans="1:16">
      <c r="A301" s="37" t="s">
        <v>576</v>
      </c>
      <c r="B301" s="37" t="s">
        <v>715</v>
      </c>
      <c r="C301" s="37" t="s">
        <v>75</v>
      </c>
      <c r="D301" s="37" t="s">
        <v>727</v>
      </c>
      <c r="E301" s="37">
        <v>167</v>
      </c>
      <c r="F301" s="37">
        <v>68</v>
      </c>
      <c r="G301" s="39">
        <v>0.407185628742515</v>
      </c>
      <c r="H301" s="37">
        <v>15</v>
      </c>
      <c r="I301" s="37">
        <v>11</v>
      </c>
      <c r="J301" s="37">
        <v>5</v>
      </c>
      <c r="K301" s="37">
        <v>0</v>
      </c>
      <c r="L301" s="40">
        <v>26.2833333333333</v>
      </c>
      <c r="M301" s="37"/>
      <c r="N301" s="37"/>
      <c r="O301" s="39"/>
      <c r="P301" s="37"/>
    </row>
    <row r="302" ht="16.5" customHeight="1" spans="1:16">
      <c r="A302" s="37" t="s">
        <v>576</v>
      </c>
      <c r="B302" s="37" t="s">
        <v>715</v>
      </c>
      <c r="C302" s="37" t="s">
        <v>75</v>
      </c>
      <c r="D302" s="37" t="s">
        <v>728</v>
      </c>
      <c r="E302" s="37">
        <v>107</v>
      </c>
      <c r="F302" s="37">
        <v>47</v>
      </c>
      <c r="G302" s="39">
        <v>0.439252336448598</v>
      </c>
      <c r="H302" s="37">
        <v>23</v>
      </c>
      <c r="I302" s="37">
        <v>18</v>
      </c>
      <c r="J302" s="37">
        <v>5</v>
      </c>
      <c r="K302" s="37">
        <v>0</v>
      </c>
      <c r="L302" s="40">
        <v>27.8833333333333</v>
      </c>
      <c r="M302" s="37"/>
      <c r="N302" s="37"/>
      <c r="O302" s="39"/>
      <c r="P302" s="37"/>
    </row>
    <row r="303" ht="16.5" customHeight="1" spans="1:16">
      <c r="A303" s="37" t="s">
        <v>576</v>
      </c>
      <c r="B303" s="37" t="s">
        <v>715</v>
      </c>
      <c r="C303" s="37" t="s">
        <v>151</v>
      </c>
      <c r="D303" s="37" t="s">
        <v>729</v>
      </c>
      <c r="E303" s="37">
        <v>214</v>
      </c>
      <c r="F303" s="37">
        <v>104</v>
      </c>
      <c r="G303" s="39">
        <v>0.485981308411215</v>
      </c>
      <c r="H303" s="37">
        <v>48</v>
      </c>
      <c r="I303" s="37">
        <v>29</v>
      </c>
      <c r="J303" s="37">
        <v>15</v>
      </c>
      <c r="K303" s="37">
        <v>0</v>
      </c>
      <c r="L303" s="40">
        <v>59.9166666666667</v>
      </c>
      <c r="M303" s="37"/>
      <c r="N303" s="37"/>
      <c r="O303" s="39"/>
      <c r="P303" s="37"/>
    </row>
    <row r="304" ht="16.5" customHeight="1" spans="1:16">
      <c r="A304" s="37" t="s">
        <v>576</v>
      </c>
      <c r="B304" s="37" t="s">
        <v>715</v>
      </c>
      <c r="C304" s="37" t="s">
        <v>151</v>
      </c>
      <c r="D304" s="37" t="s">
        <v>730</v>
      </c>
      <c r="E304" s="37">
        <v>165</v>
      </c>
      <c r="F304" s="37">
        <v>80</v>
      </c>
      <c r="G304" s="39">
        <v>0.484848484848485</v>
      </c>
      <c r="H304" s="37">
        <v>51</v>
      </c>
      <c r="I304" s="37">
        <v>40</v>
      </c>
      <c r="J304" s="37">
        <v>16</v>
      </c>
      <c r="K304" s="37">
        <v>1</v>
      </c>
      <c r="L304" s="40">
        <v>59.8833333333333</v>
      </c>
      <c r="M304" s="37"/>
      <c r="N304" s="37"/>
      <c r="O304" s="39"/>
      <c r="P304" s="37"/>
    </row>
    <row r="305" ht="16.5" customHeight="1" spans="1:16">
      <c r="A305" s="37" t="s">
        <v>576</v>
      </c>
      <c r="B305" s="37" t="s">
        <v>715</v>
      </c>
      <c r="C305" s="37" t="s">
        <v>151</v>
      </c>
      <c r="D305" s="37" t="s">
        <v>731</v>
      </c>
      <c r="E305" s="37">
        <v>118</v>
      </c>
      <c r="F305" s="37">
        <v>49</v>
      </c>
      <c r="G305" s="39">
        <v>0.415254237288136</v>
      </c>
      <c r="H305" s="37">
        <v>29</v>
      </c>
      <c r="I305" s="37">
        <v>25</v>
      </c>
      <c r="J305" s="37">
        <v>5</v>
      </c>
      <c r="K305" s="37">
        <v>0</v>
      </c>
      <c r="L305" s="40">
        <v>30.6333333333333</v>
      </c>
      <c r="M305" s="37"/>
      <c r="N305" s="37"/>
      <c r="O305" s="39"/>
      <c r="P305" s="37"/>
    </row>
    <row r="306" ht="16.5" customHeight="1" spans="1:16">
      <c r="A306" s="37" t="s">
        <v>576</v>
      </c>
      <c r="B306" s="37" t="s">
        <v>715</v>
      </c>
      <c r="C306" s="37" t="s">
        <v>151</v>
      </c>
      <c r="D306" s="37" t="s">
        <v>732</v>
      </c>
      <c r="E306" s="37">
        <v>44</v>
      </c>
      <c r="F306" s="37">
        <v>15</v>
      </c>
      <c r="G306" s="39">
        <v>0.340909090909091</v>
      </c>
      <c r="H306" s="37">
        <v>6</v>
      </c>
      <c r="I306" s="37">
        <v>5</v>
      </c>
      <c r="J306" s="37">
        <v>4</v>
      </c>
      <c r="K306" s="37">
        <v>0</v>
      </c>
      <c r="L306" s="40">
        <v>9.93333333333333</v>
      </c>
      <c r="M306" s="37"/>
      <c r="N306" s="37"/>
      <c r="O306" s="39"/>
      <c r="P306" s="37"/>
    </row>
    <row r="307" ht="16.5" customHeight="1" spans="1:16">
      <c r="A307" s="37" t="s">
        <v>576</v>
      </c>
      <c r="B307" s="37" t="s">
        <v>715</v>
      </c>
      <c r="C307" s="37" t="s">
        <v>151</v>
      </c>
      <c r="D307" s="37" t="s">
        <v>733</v>
      </c>
      <c r="E307" s="37">
        <v>158</v>
      </c>
      <c r="F307" s="37">
        <v>74</v>
      </c>
      <c r="G307" s="39">
        <v>0.468354430379747</v>
      </c>
      <c r="H307" s="37">
        <v>48</v>
      </c>
      <c r="I307" s="37">
        <v>40</v>
      </c>
      <c r="J307" s="37">
        <v>31</v>
      </c>
      <c r="K307" s="37">
        <v>0</v>
      </c>
      <c r="L307" s="40">
        <v>65.2666666666667</v>
      </c>
      <c r="M307" s="37"/>
      <c r="N307" s="37"/>
      <c r="O307" s="39"/>
      <c r="P307" s="37"/>
    </row>
    <row r="308" ht="16.5" customHeight="1" spans="1:16">
      <c r="A308" s="37" t="s">
        <v>576</v>
      </c>
      <c r="B308" s="37" t="s">
        <v>715</v>
      </c>
      <c r="C308" s="37" t="s">
        <v>151</v>
      </c>
      <c r="D308" s="37" t="s">
        <v>734</v>
      </c>
      <c r="E308" s="37">
        <v>2</v>
      </c>
      <c r="F308" s="37">
        <v>2</v>
      </c>
      <c r="G308" s="39">
        <v>1</v>
      </c>
      <c r="H308" s="37">
        <v>2</v>
      </c>
      <c r="I308" s="37">
        <v>2</v>
      </c>
      <c r="J308" s="37">
        <v>1</v>
      </c>
      <c r="K308" s="37">
        <v>1</v>
      </c>
      <c r="L308" s="40">
        <v>4.75</v>
      </c>
      <c r="M308" s="37"/>
      <c r="N308" s="37"/>
      <c r="O308" s="39"/>
      <c r="P308" s="37"/>
    </row>
    <row r="309" ht="16.5" customHeight="1" spans="1:16">
      <c r="A309" s="37" t="s">
        <v>576</v>
      </c>
      <c r="B309" s="37" t="s">
        <v>715</v>
      </c>
      <c r="C309" s="37" t="s">
        <v>151</v>
      </c>
      <c r="D309" s="37" t="s">
        <v>735</v>
      </c>
      <c r="E309" s="37">
        <v>142</v>
      </c>
      <c r="F309" s="37">
        <v>26</v>
      </c>
      <c r="G309" s="39">
        <v>0.183098591549296</v>
      </c>
      <c r="H309" s="37">
        <v>15</v>
      </c>
      <c r="I309" s="37">
        <v>12</v>
      </c>
      <c r="J309" s="37">
        <v>5</v>
      </c>
      <c r="K309" s="37">
        <v>0</v>
      </c>
      <c r="L309" s="40">
        <v>16.3</v>
      </c>
      <c r="M309" s="37"/>
      <c r="N309" s="37"/>
      <c r="O309" s="39"/>
      <c r="P309" s="37"/>
    </row>
    <row r="310" ht="16.5" customHeight="1" spans="1:16">
      <c r="A310" s="37" t="s">
        <v>576</v>
      </c>
      <c r="B310" s="37" t="s">
        <v>715</v>
      </c>
      <c r="C310" s="37" t="s">
        <v>224</v>
      </c>
      <c r="D310" s="37" t="s">
        <v>736</v>
      </c>
      <c r="E310" s="37">
        <v>66</v>
      </c>
      <c r="F310" s="37">
        <v>24</v>
      </c>
      <c r="G310" s="39">
        <v>0.363636363636364</v>
      </c>
      <c r="H310" s="37">
        <v>10</v>
      </c>
      <c r="I310" s="37">
        <v>7</v>
      </c>
      <c r="J310" s="37">
        <v>5</v>
      </c>
      <c r="K310" s="37">
        <v>0</v>
      </c>
      <c r="L310" s="40">
        <v>15.1666666666667</v>
      </c>
      <c r="M310" s="37"/>
      <c r="N310" s="37"/>
      <c r="O310" s="39"/>
      <c r="P310" s="37"/>
    </row>
    <row r="311" ht="16.5" customHeight="1" spans="1:16">
      <c r="A311" s="37" t="s">
        <v>576</v>
      </c>
      <c r="B311" s="37" t="s">
        <v>715</v>
      </c>
      <c r="C311" s="37" t="s">
        <v>224</v>
      </c>
      <c r="D311" s="37" t="s">
        <v>737</v>
      </c>
      <c r="E311" s="37">
        <v>186</v>
      </c>
      <c r="F311" s="37">
        <v>66</v>
      </c>
      <c r="G311" s="39">
        <v>0.354838709677419</v>
      </c>
      <c r="H311" s="37">
        <v>35</v>
      </c>
      <c r="I311" s="37">
        <v>22</v>
      </c>
      <c r="J311" s="37">
        <v>9</v>
      </c>
      <c r="K311" s="37">
        <v>0</v>
      </c>
      <c r="L311" s="40">
        <v>40.6333333333333</v>
      </c>
      <c r="M311" s="37"/>
      <c r="N311" s="37"/>
      <c r="O311" s="39"/>
      <c r="P311" s="37"/>
    </row>
    <row r="312" ht="16.5" customHeight="1" spans="1:16">
      <c r="A312" s="37" t="s">
        <v>576</v>
      </c>
      <c r="B312" s="37" t="s">
        <v>715</v>
      </c>
      <c r="C312" s="37" t="s">
        <v>224</v>
      </c>
      <c r="D312" s="37" t="s">
        <v>738</v>
      </c>
      <c r="E312" s="37">
        <v>136</v>
      </c>
      <c r="F312" s="37">
        <v>64</v>
      </c>
      <c r="G312" s="39">
        <v>0.470588235294118</v>
      </c>
      <c r="H312" s="37">
        <v>43</v>
      </c>
      <c r="I312" s="37">
        <v>35</v>
      </c>
      <c r="J312" s="37">
        <v>23</v>
      </c>
      <c r="K312" s="37">
        <v>0</v>
      </c>
      <c r="L312" s="40">
        <v>51.8</v>
      </c>
      <c r="M312" s="37"/>
      <c r="N312" s="37"/>
      <c r="O312" s="39"/>
      <c r="P312" s="37"/>
    </row>
    <row r="313" ht="16.5" customHeight="1" spans="1:16">
      <c r="A313" s="37" t="s">
        <v>576</v>
      </c>
      <c r="B313" s="37" t="s">
        <v>715</v>
      </c>
      <c r="C313" s="37" t="s">
        <v>264</v>
      </c>
      <c r="D313" s="37" t="s">
        <v>739</v>
      </c>
      <c r="E313" s="37">
        <v>122</v>
      </c>
      <c r="F313" s="37">
        <v>48</v>
      </c>
      <c r="G313" s="39">
        <v>0.39344262295082</v>
      </c>
      <c r="H313" s="37">
        <v>19</v>
      </c>
      <c r="I313" s="37">
        <v>12</v>
      </c>
      <c r="J313" s="37">
        <v>6</v>
      </c>
      <c r="K313" s="37">
        <v>0</v>
      </c>
      <c r="L313" s="40">
        <v>25.7</v>
      </c>
      <c r="M313" s="37"/>
      <c r="N313" s="37"/>
      <c r="O313" s="39"/>
      <c r="P313" s="37"/>
    </row>
    <row r="314" ht="16.5" customHeight="1" spans="1:16">
      <c r="A314" s="37" t="s">
        <v>576</v>
      </c>
      <c r="B314" s="37" t="s">
        <v>715</v>
      </c>
      <c r="C314" s="37" t="s">
        <v>264</v>
      </c>
      <c r="D314" s="37" t="s">
        <v>740</v>
      </c>
      <c r="E314" s="37">
        <v>149</v>
      </c>
      <c r="F314" s="37">
        <v>68</v>
      </c>
      <c r="G314" s="39">
        <v>0.456375838926175</v>
      </c>
      <c r="H314" s="37">
        <v>30</v>
      </c>
      <c r="I314" s="37">
        <v>29</v>
      </c>
      <c r="J314" s="37">
        <v>17</v>
      </c>
      <c r="K314" s="37">
        <v>2</v>
      </c>
      <c r="L314" s="40">
        <v>45.7333333333333</v>
      </c>
      <c r="M314" s="37"/>
      <c r="N314" s="37"/>
      <c r="O314" s="39"/>
      <c r="P314" s="37"/>
    </row>
    <row r="315" ht="16.5" customHeight="1" spans="1:16">
      <c r="A315" s="37" t="s">
        <v>576</v>
      </c>
      <c r="B315" s="37" t="s">
        <v>715</v>
      </c>
      <c r="C315" s="37" t="s">
        <v>264</v>
      </c>
      <c r="D315" s="37" t="s">
        <v>741</v>
      </c>
      <c r="E315" s="37">
        <v>168</v>
      </c>
      <c r="F315" s="37">
        <v>75</v>
      </c>
      <c r="G315" s="39">
        <v>0.446428571428571</v>
      </c>
      <c r="H315" s="37">
        <v>36</v>
      </c>
      <c r="I315" s="37">
        <v>33</v>
      </c>
      <c r="J315" s="37">
        <v>24</v>
      </c>
      <c r="K315" s="37">
        <v>3</v>
      </c>
      <c r="L315" s="40">
        <v>60.3</v>
      </c>
      <c r="M315" s="37"/>
      <c r="N315" s="37"/>
      <c r="O315" s="39"/>
      <c r="P315" s="37"/>
    </row>
    <row r="316" ht="16.5" customHeight="1" spans="1:16">
      <c r="A316" s="37" t="s">
        <v>576</v>
      </c>
      <c r="B316" s="37" t="s">
        <v>715</v>
      </c>
      <c r="C316" s="37" t="s">
        <v>264</v>
      </c>
      <c r="D316" s="37" t="s">
        <v>742</v>
      </c>
      <c r="E316" s="37">
        <v>101</v>
      </c>
      <c r="F316" s="37">
        <v>46</v>
      </c>
      <c r="G316" s="39">
        <v>0.455445544554455</v>
      </c>
      <c r="H316" s="37">
        <v>33</v>
      </c>
      <c r="I316" s="37">
        <v>30</v>
      </c>
      <c r="J316" s="37">
        <v>21</v>
      </c>
      <c r="K316" s="37">
        <v>2</v>
      </c>
      <c r="L316" s="40">
        <v>52.0166666666667</v>
      </c>
      <c r="M316" s="37"/>
      <c r="N316" s="37"/>
      <c r="O316" s="39"/>
      <c r="P316" s="37"/>
    </row>
    <row r="317" ht="16.5" customHeight="1" spans="1:16">
      <c r="A317" s="37" t="s">
        <v>576</v>
      </c>
      <c r="B317" s="37" t="s">
        <v>715</v>
      </c>
      <c r="C317" s="37" t="s">
        <v>264</v>
      </c>
      <c r="D317" s="37" t="s">
        <v>743</v>
      </c>
      <c r="E317" s="37">
        <v>167</v>
      </c>
      <c r="F317" s="37">
        <v>63</v>
      </c>
      <c r="G317" s="39">
        <v>0.377245508982036</v>
      </c>
      <c r="H317" s="37">
        <v>39</v>
      </c>
      <c r="I317" s="37">
        <v>35</v>
      </c>
      <c r="J317" s="37">
        <v>20</v>
      </c>
      <c r="K317" s="37">
        <v>1</v>
      </c>
      <c r="L317" s="40">
        <v>53.1833333333333</v>
      </c>
      <c r="M317" s="37"/>
      <c r="N317" s="37"/>
      <c r="O317" s="39"/>
      <c r="P317" s="37"/>
    </row>
    <row r="318" ht="16.5" customHeight="1" spans="1:16">
      <c r="A318" s="37" t="s">
        <v>576</v>
      </c>
      <c r="B318" s="37" t="s">
        <v>715</v>
      </c>
      <c r="C318" s="37" t="s">
        <v>264</v>
      </c>
      <c r="D318" s="37" t="s">
        <v>744</v>
      </c>
      <c r="E318" s="37">
        <v>130</v>
      </c>
      <c r="F318" s="37">
        <v>69</v>
      </c>
      <c r="G318" s="39">
        <v>0.530769230769231</v>
      </c>
      <c r="H318" s="37">
        <v>35</v>
      </c>
      <c r="I318" s="37">
        <v>26</v>
      </c>
      <c r="J318" s="37">
        <v>18</v>
      </c>
      <c r="K318" s="37">
        <v>2</v>
      </c>
      <c r="L318" s="40">
        <v>51.9</v>
      </c>
      <c r="M318" s="37"/>
      <c r="N318" s="37"/>
      <c r="O318" s="39"/>
      <c r="P318" s="37"/>
    </row>
    <row r="319" ht="16.5" customHeight="1" spans="1:16">
      <c r="A319" s="37" t="s">
        <v>576</v>
      </c>
      <c r="B319" s="37" t="s">
        <v>715</v>
      </c>
      <c r="C319" s="37" t="s">
        <v>264</v>
      </c>
      <c r="D319" s="37" t="s">
        <v>745</v>
      </c>
      <c r="E319" s="37">
        <v>107</v>
      </c>
      <c r="F319" s="37">
        <v>46</v>
      </c>
      <c r="G319" s="39">
        <v>0.429906542056075</v>
      </c>
      <c r="H319" s="37">
        <v>17</v>
      </c>
      <c r="I319" s="37">
        <v>13</v>
      </c>
      <c r="J319" s="37">
        <v>8</v>
      </c>
      <c r="K319" s="37">
        <v>3</v>
      </c>
      <c r="L319" s="40">
        <v>34.25</v>
      </c>
      <c r="M319" s="37"/>
      <c r="N319" s="37"/>
      <c r="O319" s="39"/>
      <c r="P319" s="37"/>
    </row>
    <row r="320" ht="16.5" customHeight="1" spans="1:16">
      <c r="A320" s="37" t="s">
        <v>576</v>
      </c>
      <c r="B320" s="37" t="s">
        <v>715</v>
      </c>
      <c r="C320" s="37" t="s">
        <v>264</v>
      </c>
      <c r="D320" s="37" t="s">
        <v>746</v>
      </c>
      <c r="E320" s="37">
        <v>178</v>
      </c>
      <c r="F320" s="37">
        <v>69</v>
      </c>
      <c r="G320" s="39">
        <v>0.387640449438202</v>
      </c>
      <c r="H320" s="37">
        <v>31</v>
      </c>
      <c r="I320" s="37">
        <v>22</v>
      </c>
      <c r="J320" s="37">
        <v>11</v>
      </c>
      <c r="K320" s="37">
        <v>0</v>
      </c>
      <c r="L320" s="40">
        <v>40.9333333333333</v>
      </c>
      <c r="M320" s="37"/>
      <c r="N320" s="37"/>
      <c r="O320" s="39"/>
      <c r="P320" s="37"/>
    </row>
    <row r="321" ht="16.5" customHeight="1" spans="1:16">
      <c r="A321" s="37" t="s">
        <v>576</v>
      </c>
      <c r="B321" s="37" t="s">
        <v>715</v>
      </c>
      <c r="C321" s="37" t="s">
        <v>22</v>
      </c>
      <c r="D321" s="37" t="s">
        <v>747</v>
      </c>
      <c r="E321" s="37">
        <v>64</v>
      </c>
      <c r="F321" s="37">
        <v>14</v>
      </c>
      <c r="G321" s="39">
        <v>0.21875</v>
      </c>
      <c r="H321" s="37">
        <v>7</v>
      </c>
      <c r="I321" s="37">
        <v>6</v>
      </c>
      <c r="J321" s="37">
        <v>1</v>
      </c>
      <c r="K321" s="37">
        <v>0</v>
      </c>
      <c r="L321" s="40">
        <v>8.26666666666667</v>
      </c>
      <c r="M321" s="37"/>
      <c r="N321" s="37"/>
      <c r="O321" s="39"/>
      <c r="P321" s="37"/>
    </row>
    <row r="322" ht="16.5" customHeight="1" spans="1:16">
      <c r="A322" s="37" t="s">
        <v>576</v>
      </c>
      <c r="B322" s="37" t="s">
        <v>715</v>
      </c>
      <c r="C322" s="37" t="s">
        <v>22</v>
      </c>
      <c r="D322" s="37" t="s">
        <v>748</v>
      </c>
      <c r="E322" s="37">
        <v>34</v>
      </c>
      <c r="F322" s="37">
        <v>11</v>
      </c>
      <c r="G322" s="39">
        <v>0.323529411764706</v>
      </c>
      <c r="H322" s="37">
        <v>6</v>
      </c>
      <c r="I322" s="37">
        <v>4</v>
      </c>
      <c r="J322" s="37">
        <v>4</v>
      </c>
      <c r="K322" s="37">
        <v>0</v>
      </c>
      <c r="L322" s="40">
        <v>7.6</v>
      </c>
      <c r="M322" s="37"/>
      <c r="N322" s="37"/>
      <c r="O322" s="39"/>
      <c r="P322" s="37"/>
    </row>
    <row r="323" ht="16.5" customHeight="1" spans="1:16">
      <c r="A323" s="37" t="s">
        <v>576</v>
      </c>
      <c r="B323" s="37" t="s">
        <v>715</v>
      </c>
      <c r="C323" s="37" t="s">
        <v>22</v>
      </c>
      <c r="D323" s="37" t="s">
        <v>749</v>
      </c>
      <c r="E323" s="37">
        <v>40</v>
      </c>
      <c r="F323" s="37">
        <v>17</v>
      </c>
      <c r="G323" s="39">
        <v>0.425</v>
      </c>
      <c r="H323" s="37">
        <v>9</v>
      </c>
      <c r="I323" s="37">
        <v>8</v>
      </c>
      <c r="J323" s="37">
        <v>5</v>
      </c>
      <c r="K323" s="37">
        <v>0</v>
      </c>
      <c r="L323" s="40">
        <v>13.6166666666667</v>
      </c>
      <c r="M323" s="37"/>
      <c r="N323" s="37"/>
      <c r="O323" s="39"/>
      <c r="P323" s="37"/>
    </row>
    <row r="324" ht="16.5" customHeight="1" spans="1:16">
      <c r="A324" s="37" t="s">
        <v>576</v>
      </c>
      <c r="B324" s="37" t="s">
        <v>715</v>
      </c>
      <c r="C324" s="37" t="s">
        <v>22</v>
      </c>
      <c r="D324" s="37" t="s">
        <v>750</v>
      </c>
      <c r="E324" s="37">
        <v>43</v>
      </c>
      <c r="F324" s="37">
        <v>19</v>
      </c>
      <c r="G324" s="39">
        <v>0.441860465116279</v>
      </c>
      <c r="H324" s="37">
        <v>9</v>
      </c>
      <c r="I324" s="37">
        <v>8</v>
      </c>
      <c r="J324" s="37">
        <v>7</v>
      </c>
      <c r="K324" s="37">
        <v>1</v>
      </c>
      <c r="L324" s="40">
        <v>18.2666666666667</v>
      </c>
      <c r="M324" s="37"/>
      <c r="N324" s="37"/>
      <c r="O324" s="39"/>
      <c r="P324" s="37"/>
    </row>
    <row r="325" ht="16.5" customHeight="1" spans="1:16">
      <c r="A325" s="37" t="s">
        <v>576</v>
      </c>
      <c r="B325" s="37" t="s">
        <v>715</v>
      </c>
      <c r="C325" s="37" t="s">
        <v>22</v>
      </c>
      <c r="D325" s="37" t="s">
        <v>751</v>
      </c>
      <c r="E325" s="37">
        <v>83</v>
      </c>
      <c r="F325" s="37">
        <v>30</v>
      </c>
      <c r="G325" s="39">
        <v>0.36144578313253</v>
      </c>
      <c r="H325" s="37">
        <v>17</v>
      </c>
      <c r="I325" s="37">
        <v>11</v>
      </c>
      <c r="J325" s="37">
        <v>9</v>
      </c>
      <c r="K325" s="37">
        <v>0</v>
      </c>
      <c r="L325" s="40">
        <v>20.6</v>
      </c>
      <c r="M325" s="37"/>
      <c r="N325" s="37"/>
      <c r="O325" s="39"/>
      <c r="P325" s="37"/>
    </row>
    <row r="326" ht="16.5" customHeight="1" spans="1:16">
      <c r="A326" s="37" t="s">
        <v>576</v>
      </c>
      <c r="B326" s="37" t="s">
        <v>715</v>
      </c>
      <c r="C326" s="37" t="s">
        <v>22</v>
      </c>
      <c r="D326" s="37" t="s">
        <v>752</v>
      </c>
      <c r="E326" s="37">
        <v>75</v>
      </c>
      <c r="F326" s="37">
        <v>32</v>
      </c>
      <c r="G326" s="39">
        <v>0.426666666666667</v>
      </c>
      <c r="H326" s="37">
        <v>14</v>
      </c>
      <c r="I326" s="37">
        <v>13</v>
      </c>
      <c r="J326" s="37">
        <v>2</v>
      </c>
      <c r="K326" s="37">
        <v>0</v>
      </c>
      <c r="L326" s="40">
        <v>18.9166666666667</v>
      </c>
      <c r="M326" s="37"/>
      <c r="N326" s="37"/>
      <c r="O326" s="39"/>
      <c r="P326" s="37"/>
    </row>
    <row r="327" ht="16.5" customHeight="1" spans="1:16">
      <c r="A327" s="37" t="s">
        <v>576</v>
      </c>
      <c r="B327" s="37" t="s">
        <v>715</v>
      </c>
      <c r="C327" s="37" t="s">
        <v>22</v>
      </c>
      <c r="D327" s="37" t="s">
        <v>753</v>
      </c>
      <c r="E327" s="37">
        <v>90</v>
      </c>
      <c r="F327" s="37">
        <v>32</v>
      </c>
      <c r="G327" s="39">
        <v>0.355555555555556</v>
      </c>
      <c r="H327" s="37">
        <v>15</v>
      </c>
      <c r="I327" s="37">
        <v>12</v>
      </c>
      <c r="J327" s="37">
        <v>5</v>
      </c>
      <c r="K327" s="37">
        <v>0</v>
      </c>
      <c r="L327" s="40">
        <v>20.8166666666667</v>
      </c>
      <c r="M327" s="37"/>
      <c r="N327" s="37"/>
      <c r="O327" s="39"/>
      <c r="P327" s="37"/>
    </row>
    <row r="328" ht="16.5" customHeight="1" spans="1:16">
      <c r="A328" s="37" t="s">
        <v>576</v>
      </c>
      <c r="B328" s="37" t="s">
        <v>754</v>
      </c>
      <c r="C328" s="37" t="s">
        <v>755</v>
      </c>
      <c r="D328" s="37" t="s">
        <v>756</v>
      </c>
      <c r="E328" s="37">
        <v>4</v>
      </c>
      <c r="F328" s="37">
        <v>0</v>
      </c>
      <c r="G328" s="39">
        <v>0</v>
      </c>
      <c r="H328" s="37">
        <v>0</v>
      </c>
      <c r="I328" s="37">
        <v>0</v>
      </c>
      <c r="J328" s="37">
        <v>0</v>
      </c>
      <c r="K328" s="37">
        <v>0</v>
      </c>
      <c r="L328" s="40">
        <v>0</v>
      </c>
      <c r="M328" s="37">
        <v>1</v>
      </c>
      <c r="N328" s="37">
        <v>0</v>
      </c>
      <c r="O328" s="39">
        <v>0</v>
      </c>
      <c r="P328" s="37">
        <v>153</v>
      </c>
    </row>
    <row r="329" ht="16.5" customHeight="1" spans="1:16">
      <c r="A329" s="37" t="s">
        <v>576</v>
      </c>
      <c r="B329" s="37" t="s">
        <v>754</v>
      </c>
      <c r="C329" s="37" t="s">
        <v>755</v>
      </c>
      <c r="D329" s="37" t="s">
        <v>757</v>
      </c>
      <c r="E329" s="37">
        <v>57</v>
      </c>
      <c r="F329" s="37">
        <v>20</v>
      </c>
      <c r="G329" s="39">
        <v>0.350877192982456</v>
      </c>
      <c r="H329" s="37">
        <v>8</v>
      </c>
      <c r="I329" s="37">
        <v>6</v>
      </c>
      <c r="J329" s="37">
        <v>3</v>
      </c>
      <c r="K329" s="37">
        <v>1</v>
      </c>
      <c r="L329" s="40">
        <v>13.2333333333333</v>
      </c>
      <c r="M329" s="37"/>
      <c r="N329" s="37"/>
      <c r="O329" s="39"/>
      <c r="P329" s="37"/>
    </row>
    <row r="330" ht="16.5" customHeight="1" spans="1:16">
      <c r="A330" s="37" t="s">
        <v>576</v>
      </c>
      <c r="B330" s="37" t="s">
        <v>754</v>
      </c>
      <c r="C330" s="37" t="s">
        <v>755</v>
      </c>
      <c r="D330" s="37" t="s">
        <v>758</v>
      </c>
      <c r="E330" s="37">
        <v>1</v>
      </c>
      <c r="F330" s="37">
        <v>0</v>
      </c>
      <c r="G330" s="39">
        <v>0</v>
      </c>
      <c r="H330" s="37">
        <v>0</v>
      </c>
      <c r="I330" s="37">
        <v>0</v>
      </c>
      <c r="J330" s="37">
        <v>0</v>
      </c>
      <c r="K330" s="37">
        <v>0</v>
      </c>
      <c r="L330" s="40">
        <v>0</v>
      </c>
      <c r="M330" s="37"/>
      <c r="N330" s="37"/>
      <c r="O330" s="39"/>
      <c r="P330" s="37"/>
    </row>
    <row r="331" ht="16.5" customHeight="1" spans="1:16">
      <c r="A331" s="37" t="s">
        <v>576</v>
      </c>
      <c r="B331" s="37" t="s">
        <v>754</v>
      </c>
      <c r="C331" s="37" t="s">
        <v>755</v>
      </c>
      <c r="D331" s="37" t="s">
        <v>759</v>
      </c>
      <c r="E331" s="37">
        <v>22</v>
      </c>
      <c r="F331" s="37">
        <v>7</v>
      </c>
      <c r="G331" s="39">
        <v>0.318181818181818</v>
      </c>
      <c r="H331" s="37">
        <v>1</v>
      </c>
      <c r="I331" s="37">
        <v>1</v>
      </c>
      <c r="J331" s="37">
        <v>1</v>
      </c>
      <c r="K331" s="37">
        <v>0</v>
      </c>
      <c r="L331" s="40">
        <v>2.76666666666667</v>
      </c>
      <c r="M331" s="37"/>
      <c r="N331" s="37"/>
      <c r="O331" s="39"/>
      <c r="P331" s="37"/>
    </row>
    <row r="332" ht="16.5" customHeight="1" spans="1:16">
      <c r="A332" s="37" t="s">
        <v>576</v>
      </c>
      <c r="B332" s="37" t="s">
        <v>754</v>
      </c>
      <c r="C332" s="37" t="s">
        <v>755</v>
      </c>
      <c r="D332" s="37" t="s">
        <v>760</v>
      </c>
      <c r="E332" s="37">
        <v>170</v>
      </c>
      <c r="F332" s="37">
        <v>27</v>
      </c>
      <c r="G332" s="39">
        <v>0.158823529411765</v>
      </c>
      <c r="H332" s="37">
        <v>11</v>
      </c>
      <c r="I332" s="37">
        <v>9</v>
      </c>
      <c r="J332" s="37">
        <v>6</v>
      </c>
      <c r="K332" s="37">
        <v>0</v>
      </c>
      <c r="L332" s="40">
        <v>16.3166666666667</v>
      </c>
      <c r="M332" s="37"/>
      <c r="N332" s="37"/>
      <c r="O332" s="39"/>
      <c r="P332" s="37"/>
    </row>
    <row r="333" ht="16.5" customHeight="1" spans="1:16">
      <c r="A333" s="37" t="s">
        <v>576</v>
      </c>
      <c r="B333" s="37" t="s">
        <v>754</v>
      </c>
      <c r="C333" s="37" t="s">
        <v>755</v>
      </c>
      <c r="D333" s="37" t="s">
        <v>761</v>
      </c>
      <c r="E333" s="37">
        <v>2</v>
      </c>
      <c r="F333" s="37">
        <v>1</v>
      </c>
      <c r="G333" s="39">
        <v>0.5</v>
      </c>
      <c r="H333" s="37">
        <v>1</v>
      </c>
      <c r="I333" s="37">
        <v>1</v>
      </c>
      <c r="J333" s="37">
        <v>1</v>
      </c>
      <c r="K333" s="37">
        <v>0</v>
      </c>
      <c r="L333" s="40">
        <v>1.2</v>
      </c>
      <c r="M333" s="37"/>
      <c r="N333" s="37"/>
      <c r="O333" s="39"/>
      <c r="P333" s="37"/>
    </row>
    <row r="334" ht="16.5" customHeight="1" spans="1:16">
      <c r="A334" s="37" t="s">
        <v>576</v>
      </c>
      <c r="B334" s="37" t="s">
        <v>754</v>
      </c>
      <c r="C334" s="37" t="s">
        <v>755</v>
      </c>
      <c r="D334" s="37" t="s">
        <v>762</v>
      </c>
      <c r="E334" s="37">
        <v>3</v>
      </c>
      <c r="F334" s="37">
        <v>1</v>
      </c>
      <c r="G334" s="39">
        <v>0.333333333333333</v>
      </c>
      <c r="H334" s="37">
        <v>0</v>
      </c>
      <c r="I334" s="37">
        <v>0</v>
      </c>
      <c r="J334" s="37">
        <v>0</v>
      </c>
      <c r="K334" s="37">
        <v>0</v>
      </c>
      <c r="L334" s="40">
        <v>0.383333333333333</v>
      </c>
      <c r="M334" s="37">
        <v>1</v>
      </c>
      <c r="N334" s="37">
        <v>0</v>
      </c>
      <c r="O334" s="39">
        <v>0</v>
      </c>
      <c r="P334" s="37">
        <v>123</v>
      </c>
    </row>
    <row r="335" ht="16.5" customHeight="1" spans="1:16">
      <c r="A335" s="37" t="s">
        <v>576</v>
      </c>
      <c r="B335" s="37" t="s">
        <v>754</v>
      </c>
      <c r="C335" s="37" t="s">
        <v>102</v>
      </c>
      <c r="D335" s="37" t="s">
        <v>763</v>
      </c>
      <c r="E335" s="37">
        <v>5</v>
      </c>
      <c r="F335" s="37">
        <v>1</v>
      </c>
      <c r="G335" s="39">
        <v>0.2</v>
      </c>
      <c r="H335" s="37">
        <v>0</v>
      </c>
      <c r="I335" s="37">
        <v>0</v>
      </c>
      <c r="J335" s="37">
        <v>0</v>
      </c>
      <c r="K335" s="37">
        <v>0</v>
      </c>
      <c r="L335" s="40">
        <v>0.233333333333333</v>
      </c>
      <c r="M335" s="37"/>
      <c r="N335" s="37"/>
      <c r="O335" s="39"/>
      <c r="P335" s="37"/>
    </row>
    <row r="336" ht="16.5" customHeight="1" spans="1:16">
      <c r="A336" s="37" t="s">
        <v>576</v>
      </c>
      <c r="B336" s="37" t="s">
        <v>754</v>
      </c>
      <c r="C336" s="37" t="s">
        <v>102</v>
      </c>
      <c r="D336" s="37" t="s">
        <v>764</v>
      </c>
      <c r="E336" s="37">
        <v>8</v>
      </c>
      <c r="F336" s="37">
        <v>1</v>
      </c>
      <c r="G336" s="39">
        <v>0.125</v>
      </c>
      <c r="H336" s="37">
        <v>0</v>
      </c>
      <c r="I336" s="37">
        <v>0</v>
      </c>
      <c r="J336" s="37">
        <v>0</v>
      </c>
      <c r="K336" s="37">
        <v>0</v>
      </c>
      <c r="L336" s="40">
        <v>0.4</v>
      </c>
      <c r="M336" s="37">
        <v>1</v>
      </c>
      <c r="N336" s="37">
        <v>0</v>
      </c>
      <c r="O336" s="39">
        <v>0</v>
      </c>
      <c r="P336" s="37">
        <v>0</v>
      </c>
    </row>
    <row r="337" ht="16.5" customHeight="1" spans="1:16">
      <c r="A337" s="37" t="s">
        <v>576</v>
      </c>
      <c r="B337" s="37" t="s">
        <v>754</v>
      </c>
      <c r="C337" s="37" t="s">
        <v>102</v>
      </c>
      <c r="D337" s="37" t="s">
        <v>765</v>
      </c>
      <c r="E337" s="37">
        <v>2</v>
      </c>
      <c r="F337" s="37">
        <v>2</v>
      </c>
      <c r="G337" s="39">
        <v>1</v>
      </c>
      <c r="H337" s="37">
        <v>1</v>
      </c>
      <c r="I337" s="37">
        <v>1</v>
      </c>
      <c r="J337" s="37">
        <v>1</v>
      </c>
      <c r="K337" s="37">
        <v>0</v>
      </c>
      <c r="L337" s="40">
        <v>2.03333333333333</v>
      </c>
      <c r="M337" s="37">
        <v>1</v>
      </c>
      <c r="N337" s="37">
        <v>0</v>
      </c>
      <c r="O337" s="39">
        <v>0</v>
      </c>
      <c r="P337" s="37">
        <v>31</v>
      </c>
    </row>
    <row r="338" ht="16.5" customHeight="1" spans="1:16">
      <c r="A338" s="37" t="s">
        <v>576</v>
      </c>
      <c r="B338" s="37" t="s">
        <v>754</v>
      </c>
      <c r="C338" s="37" t="s">
        <v>102</v>
      </c>
      <c r="D338" s="37" t="s">
        <v>766</v>
      </c>
      <c r="E338" s="37">
        <v>49</v>
      </c>
      <c r="F338" s="37">
        <v>18</v>
      </c>
      <c r="G338" s="39">
        <v>0.36734693877551</v>
      </c>
      <c r="H338" s="37">
        <v>11</v>
      </c>
      <c r="I338" s="37">
        <v>6</v>
      </c>
      <c r="J338" s="37">
        <v>2</v>
      </c>
      <c r="K338" s="37">
        <v>0</v>
      </c>
      <c r="L338" s="40">
        <v>11.5166666666667</v>
      </c>
      <c r="M338" s="37"/>
      <c r="N338" s="37"/>
      <c r="O338" s="39"/>
      <c r="P338" s="37"/>
    </row>
    <row r="339" ht="16.5" customHeight="1" spans="1:16">
      <c r="A339" s="37" t="s">
        <v>576</v>
      </c>
      <c r="B339" s="37" t="s">
        <v>754</v>
      </c>
      <c r="C339" s="37" t="s">
        <v>102</v>
      </c>
      <c r="D339" s="37" t="s">
        <v>767</v>
      </c>
      <c r="E339" s="37">
        <v>7</v>
      </c>
      <c r="F339" s="37">
        <v>3</v>
      </c>
      <c r="G339" s="39">
        <v>0.428571428571429</v>
      </c>
      <c r="H339" s="37">
        <v>3</v>
      </c>
      <c r="I339" s="37">
        <v>3</v>
      </c>
      <c r="J339" s="37">
        <v>1</v>
      </c>
      <c r="K339" s="37">
        <v>0</v>
      </c>
      <c r="L339" s="40">
        <v>3.98333333333333</v>
      </c>
      <c r="M339" s="37"/>
      <c r="N339" s="37"/>
      <c r="O339" s="39"/>
      <c r="P339" s="37"/>
    </row>
    <row r="340" ht="16.5" customHeight="1" spans="1:16">
      <c r="A340" s="37" t="s">
        <v>576</v>
      </c>
      <c r="B340" s="37" t="s">
        <v>754</v>
      </c>
      <c r="C340" s="37" t="s">
        <v>768</v>
      </c>
      <c r="D340" s="37" t="s">
        <v>769</v>
      </c>
      <c r="E340" s="37">
        <v>41</v>
      </c>
      <c r="F340" s="37">
        <v>20</v>
      </c>
      <c r="G340" s="39">
        <v>0.48780487804878</v>
      </c>
      <c r="H340" s="37">
        <v>0</v>
      </c>
      <c r="I340" s="37">
        <v>0</v>
      </c>
      <c r="J340" s="37">
        <v>0</v>
      </c>
      <c r="K340" s="37">
        <v>0</v>
      </c>
      <c r="L340" s="40">
        <v>4.98333333333333</v>
      </c>
      <c r="M340" s="37">
        <v>1</v>
      </c>
      <c r="N340" s="37">
        <v>0</v>
      </c>
      <c r="O340" s="39">
        <v>0</v>
      </c>
      <c r="P340" s="37">
        <v>50</v>
      </c>
    </row>
    <row r="341" ht="16.5" customHeight="1" spans="1:16">
      <c r="A341" s="37" t="s">
        <v>576</v>
      </c>
      <c r="B341" s="37" t="s">
        <v>754</v>
      </c>
      <c r="C341" s="37" t="s">
        <v>768</v>
      </c>
      <c r="D341" s="37" t="s">
        <v>770</v>
      </c>
      <c r="E341" s="37">
        <v>1</v>
      </c>
      <c r="F341" s="37">
        <v>0</v>
      </c>
      <c r="G341" s="39">
        <v>0</v>
      </c>
      <c r="H341" s="37">
        <v>0</v>
      </c>
      <c r="I341" s="37">
        <v>0</v>
      </c>
      <c r="J341" s="37">
        <v>0</v>
      </c>
      <c r="K341" s="37">
        <v>0</v>
      </c>
      <c r="L341" s="40">
        <v>0</v>
      </c>
      <c r="M341" s="37">
        <v>1</v>
      </c>
      <c r="N341" s="37">
        <v>0</v>
      </c>
      <c r="O341" s="39">
        <v>0</v>
      </c>
      <c r="P341" s="37">
        <v>109</v>
      </c>
    </row>
    <row r="342" ht="16.5" customHeight="1" spans="1:16">
      <c r="A342" s="37" t="s">
        <v>576</v>
      </c>
      <c r="B342" s="37" t="s">
        <v>754</v>
      </c>
      <c r="C342" s="37" t="s">
        <v>768</v>
      </c>
      <c r="D342" s="37" t="s">
        <v>771</v>
      </c>
      <c r="E342" s="37">
        <v>18</v>
      </c>
      <c r="F342" s="37">
        <v>5</v>
      </c>
      <c r="G342" s="39">
        <v>0.277777777777778</v>
      </c>
      <c r="H342" s="37">
        <v>0</v>
      </c>
      <c r="I342" s="37">
        <v>0</v>
      </c>
      <c r="J342" s="37">
        <v>0</v>
      </c>
      <c r="K342" s="37">
        <v>0</v>
      </c>
      <c r="L342" s="40">
        <v>1.35</v>
      </c>
      <c r="M342" s="37"/>
      <c r="N342" s="37"/>
      <c r="O342" s="39"/>
      <c r="P342" s="37"/>
    </row>
    <row r="343" ht="16.5" customHeight="1" spans="1:16">
      <c r="A343" s="37" t="s">
        <v>576</v>
      </c>
      <c r="B343" s="37" t="s">
        <v>754</v>
      </c>
      <c r="C343" s="37" t="s">
        <v>768</v>
      </c>
      <c r="D343" s="37" t="s">
        <v>772</v>
      </c>
      <c r="E343" s="37">
        <v>10</v>
      </c>
      <c r="F343" s="37">
        <v>5</v>
      </c>
      <c r="G343" s="39">
        <v>0.5</v>
      </c>
      <c r="H343" s="37">
        <v>4</v>
      </c>
      <c r="I343" s="37">
        <v>1</v>
      </c>
      <c r="J343" s="37">
        <v>1</v>
      </c>
      <c r="K343" s="37">
        <v>1</v>
      </c>
      <c r="L343" s="40">
        <v>5.61666666666667</v>
      </c>
      <c r="M343" s="37">
        <v>3</v>
      </c>
      <c r="N343" s="37">
        <v>0</v>
      </c>
      <c r="O343" s="39">
        <v>0</v>
      </c>
      <c r="P343" s="37">
        <v>148</v>
      </c>
    </row>
    <row r="344" ht="16.5" customHeight="1" spans="1:16">
      <c r="A344" s="37" t="s">
        <v>576</v>
      </c>
      <c r="B344" s="37" t="s">
        <v>754</v>
      </c>
      <c r="C344" s="37" t="s">
        <v>52</v>
      </c>
      <c r="D344" s="37" t="s">
        <v>773</v>
      </c>
      <c r="E344" s="37"/>
      <c r="F344" s="37"/>
      <c r="G344" s="39"/>
      <c r="H344" s="37"/>
      <c r="I344" s="37"/>
      <c r="J344" s="37"/>
      <c r="K344" s="37"/>
      <c r="L344" s="40"/>
      <c r="M344" s="37">
        <v>1</v>
      </c>
      <c r="N344" s="37">
        <v>1</v>
      </c>
      <c r="O344" s="39">
        <v>1</v>
      </c>
      <c r="P344" s="37">
        <v>174</v>
      </c>
    </row>
    <row r="345" ht="16.5" customHeight="1" spans="1:16">
      <c r="A345" s="37" t="s">
        <v>576</v>
      </c>
      <c r="B345" s="37" t="s">
        <v>754</v>
      </c>
      <c r="C345" s="37" t="s">
        <v>52</v>
      </c>
      <c r="D345" s="37" t="s">
        <v>774</v>
      </c>
      <c r="E345" s="37"/>
      <c r="F345" s="37"/>
      <c r="G345" s="39"/>
      <c r="H345" s="37"/>
      <c r="I345" s="37"/>
      <c r="J345" s="37"/>
      <c r="K345" s="37"/>
      <c r="L345" s="40"/>
      <c r="M345" s="37">
        <v>1</v>
      </c>
      <c r="N345" s="37">
        <v>0</v>
      </c>
      <c r="O345" s="39">
        <v>0</v>
      </c>
      <c r="P345" s="37">
        <v>0</v>
      </c>
    </row>
    <row r="346" ht="16.5" customHeight="1" spans="1:16">
      <c r="A346" s="37" t="s">
        <v>576</v>
      </c>
      <c r="B346" s="37" t="s">
        <v>754</v>
      </c>
      <c r="C346" s="37" t="s">
        <v>52</v>
      </c>
      <c r="D346" s="37" t="s">
        <v>775</v>
      </c>
      <c r="E346" s="37">
        <v>35</v>
      </c>
      <c r="F346" s="37">
        <v>9</v>
      </c>
      <c r="G346" s="39">
        <v>0.257142857142857</v>
      </c>
      <c r="H346" s="37">
        <v>3</v>
      </c>
      <c r="I346" s="37">
        <v>2</v>
      </c>
      <c r="J346" s="37">
        <v>1</v>
      </c>
      <c r="K346" s="37">
        <v>0</v>
      </c>
      <c r="L346" s="40">
        <v>4.11666666666667</v>
      </c>
      <c r="M346" s="37"/>
      <c r="N346" s="37"/>
      <c r="O346" s="39"/>
      <c r="P346" s="37"/>
    </row>
    <row r="347" ht="16.5" customHeight="1" spans="1:16">
      <c r="A347" s="37" t="s">
        <v>576</v>
      </c>
      <c r="B347" s="37" t="s">
        <v>754</v>
      </c>
      <c r="C347" s="37" t="s">
        <v>52</v>
      </c>
      <c r="D347" s="37" t="s">
        <v>776</v>
      </c>
      <c r="E347" s="37">
        <v>25</v>
      </c>
      <c r="F347" s="37">
        <v>2</v>
      </c>
      <c r="G347" s="39">
        <v>0.08</v>
      </c>
      <c r="H347" s="37">
        <v>2</v>
      </c>
      <c r="I347" s="37">
        <v>1</v>
      </c>
      <c r="J347" s="37">
        <v>1</v>
      </c>
      <c r="K347" s="37">
        <v>0</v>
      </c>
      <c r="L347" s="40">
        <v>2.33333333333333</v>
      </c>
      <c r="M347" s="37">
        <v>1</v>
      </c>
      <c r="N347" s="37">
        <v>0</v>
      </c>
      <c r="O347" s="39">
        <v>0</v>
      </c>
      <c r="P347" s="37">
        <v>132</v>
      </c>
    </row>
    <row r="348" ht="16.5" customHeight="1" spans="1:16">
      <c r="A348" s="37" t="s">
        <v>576</v>
      </c>
      <c r="B348" s="37" t="s">
        <v>754</v>
      </c>
      <c r="C348" s="37" t="s">
        <v>52</v>
      </c>
      <c r="D348" s="37" t="s">
        <v>777</v>
      </c>
      <c r="E348" s="37">
        <v>29</v>
      </c>
      <c r="F348" s="37">
        <v>8</v>
      </c>
      <c r="G348" s="39">
        <v>0.275862068965517</v>
      </c>
      <c r="H348" s="37">
        <v>4</v>
      </c>
      <c r="I348" s="37">
        <v>3</v>
      </c>
      <c r="J348" s="37">
        <v>1</v>
      </c>
      <c r="K348" s="37">
        <v>0</v>
      </c>
      <c r="L348" s="40">
        <v>4.75</v>
      </c>
      <c r="M348" s="37">
        <v>1</v>
      </c>
      <c r="N348" s="37">
        <v>0</v>
      </c>
      <c r="O348" s="39">
        <v>0</v>
      </c>
      <c r="P348" s="37">
        <v>27</v>
      </c>
    </row>
    <row r="349" ht="16.5" customHeight="1" spans="1:16">
      <c r="A349" s="37" t="s">
        <v>576</v>
      </c>
      <c r="B349" s="37" t="s">
        <v>754</v>
      </c>
      <c r="C349" s="37" t="s">
        <v>75</v>
      </c>
      <c r="D349" s="37" t="s">
        <v>778</v>
      </c>
      <c r="E349" s="37">
        <v>275</v>
      </c>
      <c r="F349" s="37">
        <v>95</v>
      </c>
      <c r="G349" s="39">
        <v>0.345454545454545</v>
      </c>
      <c r="H349" s="37">
        <v>48</v>
      </c>
      <c r="I349" s="37">
        <v>36</v>
      </c>
      <c r="J349" s="37">
        <v>24</v>
      </c>
      <c r="K349" s="37">
        <v>3</v>
      </c>
      <c r="L349" s="40">
        <v>78.4333333333333</v>
      </c>
      <c r="M349" s="37"/>
      <c r="N349" s="37"/>
      <c r="O349" s="39"/>
      <c r="P349" s="37"/>
    </row>
    <row r="350" ht="16.5" customHeight="1" spans="1:16">
      <c r="A350" s="37" t="s">
        <v>576</v>
      </c>
      <c r="B350" s="37" t="s">
        <v>754</v>
      </c>
      <c r="C350" s="37" t="s">
        <v>75</v>
      </c>
      <c r="D350" s="37" t="s">
        <v>779</v>
      </c>
      <c r="E350" s="37">
        <v>213</v>
      </c>
      <c r="F350" s="37">
        <v>91</v>
      </c>
      <c r="G350" s="39">
        <v>0.427230046948357</v>
      </c>
      <c r="H350" s="37">
        <v>39</v>
      </c>
      <c r="I350" s="37">
        <v>34</v>
      </c>
      <c r="J350" s="37">
        <v>17</v>
      </c>
      <c r="K350" s="37">
        <v>2</v>
      </c>
      <c r="L350" s="40">
        <v>61.2</v>
      </c>
      <c r="M350" s="37"/>
      <c r="N350" s="37"/>
      <c r="O350" s="39"/>
      <c r="P350" s="37"/>
    </row>
    <row r="351" ht="16.5" customHeight="1" spans="1:16">
      <c r="A351" s="37" t="s">
        <v>576</v>
      </c>
      <c r="B351" s="37" t="s">
        <v>754</v>
      </c>
      <c r="C351" s="37" t="s">
        <v>75</v>
      </c>
      <c r="D351" s="37" t="s">
        <v>780</v>
      </c>
      <c r="E351" s="37">
        <v>162</v>
      </c>
      <c r="F351" s="37">
        <v>50</v>
      </c>
      <c r="G351" s="39">
        <v>0.308641975308642</v>
      </c>
      <c r="H351" s="37">
        <v>18</v>
      </c>
      <c r="I351" s="37">
        <v>13</v>
      </c>
      <c r="J351" s="37">
        <v>9</v>
      </c>
      <c r="K351" s="37">
        <v>1</v>
      </c>
      <c r="L351" s="40">
        <v>33.65</v>
      </c>
      <c r="M351" s="37"/>
      <c r="N351" s="37"/>
      <c r="O351" s="39"/>
      <c r="P351" s="37"/>
    </row>
    <row r="352" ht="16.5" customHeight="1" spans="1:16">
      <c r="A352" s="37" t="s">
        <v>576</v>
      </c>
      <c r="B352" s="37" t="s">
        <v>754</v>
      </c>
      <c r="C352" s="37" t="s">
        <v>75</v>
      </c>
      <c r="D352" s="37" t="s">
        <v>781</v>
      </c>
      <c r="E352" s="37">
        <v>213</v>
      </c>
      <c r="F352" s="37">
        <v>79</v>
      </c>
      <c r="G352" s="39">
        <v>0.370892018779343</v>
      </c>
      <c r="H352" s="37">
        <v>36</v>
      </c>
      <c r="I352" s="37">
        <v>29</v>
      </c>
      <c r="J352" s="37">
        <v>18</v>
      </c>
      <c r="K352" s="37">
        <v>1</v>
      </c>
      <c r="L352" s="40">
        <v>54.9833333333333</v>
      </c>
      <c r="M352" s="37"/>
      <c r="N352" s="37"/>
      <c r="O352" s="39"/>
      <c r="P352" s="37"/>
    </row>
    <row r="353" ht="16.5" customHeight="1" spans="1:16">
      <c r="A353" s="37" t="s">
        <v>576</v>
      </c>
      <c r="B353" s="37" t="s">
        <v>754</v>
      </c>
      <c r="C353" s="37" t="s">
        <v>75</v>
      </c>
      <c r="D353" s="37" t="s">
        <v>782</v>
      </c>
      <c r="E353" s="37">
        <v>41</v>
      </c>
      <c r="F353" s="37">
        <v>14</v>
      </c>
      <c r="G353" s="39">
        <v>0.341463414634146</v>
      </c>
      <c r="H353" s="37">
        <v>7</v>
      </c>
      <c r="I353" s="37">
        <v>5</v>
      </c>
      <c r="J353" s="37">
        <v>4</v>
      </c>
      <c r="K353" s="37">
        <v>1</v>
      </c>
      <c r="L353" s="40">
        <v>11.8</v>
      </c>
      <c r="M353" s="37"/>
      <c r="N353" s="37"/>
      <c r="O353" s="39"/>
      <c r="P353" s="37"/>
    </row>
    <row r="354" ht="16.5" customHeight="1" spans="1:16">
      <c r="A354" s="37" t="s">
        <v>576</v>
      </c>
      <c r="B354" s="37" t="s">
        <v>754</v>
      </c>
      <c r="C354" s="37" t="s">
        <v>547</v>
      </c>
      <c r="D354" s="37" t="s">
        <v>783</v>
      </c>
      <c r="E354" s="37">
        <v>74</v>
      </c>
      <c r="F354" s="37">
        <v>43</v>
      </c>
      <c r="G354" s="39">
        <v>0.581081081081081</v>
      </c>
      <c r="H354" s="37">
        <v>17</v>
      </c>
      <c r="I354" s="37">
        <v>11</v>
      </c>
      <c r="J354" s="37">
        <v>9</v>
      </c>
      <c r="K354" s="37">
        <v>2</v>
      </c>
      <c r="L354" s="40">
        <v>33.8</v>
      </c>
      <c r="M354" s="37"/>
      <c r="N354" s="37"/>
      <c r="O354" s="39"/>
      <c r="P354" s="37"/>
    </row>
    <row r="355" ht="16.5" customHeight="1" spans="1:16">
      <c r="A355" s="37" t="s">
        <v>576</v>
      </c>
      <c r="B355" s="37" t="s">
        <v>754</v>
      </c>
      <c r="C355" s="37" t="s">
        <v>547</v>
      </c>
      <c r="D355" s="37" t="s">
        <v>784</v>
      </c>
      <c r="E355" s="37">
        <v>64</v>
      </c>
      <c r="F355" s="37">
        <v>28</v>
      </c>
      <c r="G355" s="39">
        <v>0.4375</v>
      </c>
      <c r="H355" s="37">
        <v>11</v>
      </c>
      <c r="I355" s="37">
        <v>4</v>
      </c>
      <c r="J355" s="37">
        <v>3</v>
      </c>
      <c r="K355" s="37">
        <v>0</v>
      </c>
      <c r="L355" s="40">
        <v>13.2666666666667</v>
      </c>
      <c r="M355" s="37"/>
      <c r="N355" s="37"/>
      <c r="O355" s="39"/>
      <c r="P355" s="37"/>
    </row>
    <row r="356" ht="16.5" customHeight="1" spans="1:16">
      <c r="A356" s="37" t="s">
        <v>576</v>
      </c>
      <c r="B356" s="37" t="s">
        <v>754</v>
      </c>
      <c r="C356" s="37" t="s">
        <v>547</v>
      </c>
      <c r="D356" s="37" t="s">
        <v>785</v>
      </c>
      <c r="E356" s="37">
        <v>191</v>
      </c>
      <c r="F356" s="37">
        <v>72</v>
      </c>
      <c r="G356" s="39">
        <v>0.37696335078534</v>
      </c>
      <c r="H356" s="37">
        <v>30</v>
      </c>
      <c r="I356" s="37">
        <v>19</v>
      </c>
      <c r="J356" s="37">
        <v>16</v>
      </c>
      <c r="K356" s="37">
        <v>2</v>
      </c>
      <c r="L356" s="40">
        <v>48.85</v>
      </c>
      <c r="M356" s="37"/>
      <c r="N356" s="37"/>
      <c r="O356" s="39"/>
      <c r="P356" s="37"/>
    </row>
    <row r="357" ht="16.5" customHeight="1" spans="1:16">
      <c r="A357" s="37" t="s">
        <v>576</v>
      </c>
      <c r="B357" s="37" t="s">
        <v>754</v>
      </c>
      <c r="C357" s="37" t="s">
        <v>547</v>
      </c>
      <c r="D357" s="37" t="s">
        <v>786</v>
      </c>
      <c r="E357" s="37">
        <v>95</v>
      </c>
      <c r="F357" s="37">
        <v>40</v>
      </c>
      <c r="G357" s="39">
        <v>0.421052631578947</v>
      </c>
      <c r="H357" s="37">
        <v>17</v>
      </c>
      <c r="I357" s="37">
        <v>12</v>
      </c>
      <c r="J357" s="37">
        <v>8</v>
      </c>
      <c r="K357" s="37">
        <v>1</v>
      </c>
      <c r="L357" s="40">
        <v>26.6833333333333</v>
      </c>
      <c r="M357" s="37"/>
      <c r="N357" s="37"/>
      <c r="O357" s="39"/>
      <c r="P357" s="37"/>
    </row>
    <row r="358" ht="16.5" customHeight="1" spans="1:16">
      <c r="A358" s="37" t="s">
        <v>576</v>
      </c>
      <c r="B358" s="37" t="s">
        <v>754</v>
      </c>
      <c r="C358" s="37" t="s">
        <v>547</v>
      </c>
      <c r="D358" s="37" t="s">
        <v>787</v>
      </c>
      <c r="E358" s="37">
        <v>99</v>
      </c>
      <c r="F358" s="37">
        <v>43</v>
      </c>
      <c r="G358" s="39">
        <v>0.434343434343434</v>
      </c>
      <c r="H358" s="37">
        <v>22</v>
      </c>
      <c r="I358" s="37">
        <v>12</v>
      </c>
      <c r="J358" s="37">
        <v>8</v>
      </c>
      <c r="K358" s="37">
        <v>1</v>
      </c>
      <c r="L358" s="40">
        <v>31.7166666666667</v>
      </c>
      <c r="M358" s="37"/>
      <c r="N358" s="37"/>
      <c r="O358" s="39"/>
      <c r="P358" s="37"/>
    </row>
    <row r="359" ht="16.5" customHeight="1" spans="1:16">
      <c r="A359" s="37" t="s">
        <v>576</v>
      </c>
      <c r="B359" s="37" t="s">
        <v>754</v>
      </c>
      <c r="C359" s="37" t="s">
        <v>547</v>
      </c>
      <c r="D359" s="37" t="s">
        <v>788</v>
      </c>
      <c r="E359" s="37">
        <v>134</v>
      </c>
      <c r="F359" s="37">
        <v>57</v>
      </c>
      <c r="G359" s="39">
        <v>0.425373134328358</v>
      </c>
      <c r="H359" s="37">
        <v>21</v>
      </c>
      <c r="I359" s="37">
        <v>16</v>
      </c>
      <c r="J359" s="37">
        <v>6</v>
      </c>
      <c r="K359" s="37">
        <v>1</v>
      </c>
      <c r="L359" s="40">
        <v>40.4</v>
      </c>
      <c r="M359" s="37"/>
      <c r="N359" s="37"/>
      <c r="O359" s="39"/>
      <c r="P359" s="37"/>
    </row>
    <row r="360" ht="16.5" customHeight="1" spans="1:16">
      <c r="A360" s="37" t="s">
        <v>576</v>
      </c>
      <c r="B360" s="37" t="s">
        <v>754</v>
      </c>
      <c r="C360" s="37" t="s">
        <v>151</v>
      </c>
      <c r="D360" s="37" t="s">
        <v>789</v>
      </c>
      <c r="E360" s="37">
        <v>131</v>
      </c>
      <c r="F360" s="37">
        <v>45</v>
      </c>
      <c r="G360" s="39">
        <v>0.343511450381679</v>
      </c>
      <c r="H360" s="37">
        <v>28</v>
      </c>
      <c r="I360" s="37">
        <v>24</v>
      </c>
      <c r="J360" s="37">
        <v>20</v>
      </c>
      <c r="K360" s="37">
        <v>3</v>
      </c>
      <c r="L360" s="40">
        <v>48.4333333333333</v>
      </c>
      <c r="M360" s="37"/>
      <c r="N360" s="37"/>
      <c r="O360" s="39"/>
      <c r="P360" s="37"/>
    </row>
    <row r="361" ht="16.5" customHeight="1" spans="1:16">
      <c r="A361" s="37" t="s">
        <v>576</v>
      </c>
      <c r="B361" s="37" t="s">
        <v>754</v>
      </c>
      <c r="C361" s="37" t="s">
        <v>151</v>
      </c>
      <c r="D361" s="37" t="s">
        <v>790</v>
      </c>
      <c r="E361" s="37">
        <v>141</v>
      </c>
      <c r="F361" s="37">
        <v>62</v>
      </c>
      <c r="G361" s="39">
        <v>0.439716312056738</v>
      </c>
      <c r="H361" s="37">
        <v>22</v>
      </c>
      <c r="I361" s="37">
        <v>14</v>
      </c>
      <c r="J361" s="37">
        <v>8</v>
      </c>
      <c r="K361" s="37">
        <v>1</v>
      </c>
      <c r="L361" s="40">
        <v>33.75</v>
      </c>
      <c r="M361" s="37"/>
      <c r="N361" s="37"/>
      <c r="O361" s="39"/>
      <c r="P361" s="37"/>
    </row>
    <row r="362" ht="16.5" customHeight="1" spans="1:16">
      <c r="A362" s="37" t="s">
        <v>576</v>
      </c>
      <c r="B362" s="37" t="s">
        <v>754</v>
      </c>
      <c r="C362" s="37" t="s">
        <v>151</v>
      </c>
      <c r="D362" s="37" t="s">
        <v>791</v>
      </c>
      <c r="E362" s="37">
        <v>207</v>
      </c>
      <c r="F362" s="37">
        <v>82</v>
      </c>
      <c r="G362" s="39">
        <v>0.396135265700483</v>
      </c>
      <c r="H362" s="37">
        <v>42</v>
      </c>
      <c r="I362" s="37">
        <v>34</v>
      </c>
      <c r="J362" s="37">
        <v>26</v>
      </c>
      <c r="K362" s="37">
        <v>3</v>
      </c>
      <c r="L362" s="40">
        <v>75.1666666666667</v>
      </c>
      <c r="M362" s="37"/>
      <c r="N362" s="37"/>
      <c r="O362" s="39"/>
      <c r="P362" s="37"/>
    </row>
    <row r="363" ht="16.5" customHeight="1" spans="1:16">
      <c r="A363" s="37" t="s">
        <v>576</v>
      </c>
      <c r="B363" s="37" t="s">
        <v>754</v>
      </c>
      <c r="C363" s="37" t="s">
        <v>151</v>
      </c>
      <c r="D363" s="37" t="s">
        <v>792</v>
      </c>
      <c r="E363" s="37">
        <v>169</v>
      </c>
      <c r="F363" s="37">
        <v>62</v>
      </c>
      <c r="G363" s="39">
        <v>0.366863905325444</v>
      </c>
      <c r="H363" s="37">
        <v>4</v>
      </c>
      <c r="I363" s="37">
        <v>3</v>
      </c>
      <c r="J363" s="37">
        <v>2</v>
      </c>
      <c r="K363" s="37">
        <v>0</v>
      </c>
      <c r="L363" s="40">
        <v>16.1</v>
      </c>
      <c r="M363" s="37"/>
      <c r="N363" s="37"/>
      <c r="O363" s="39"/>
      <c r="P363" s="37"/>
    </row>
    <row r="364" ht="16.5" customHeight="1" spans="1:16">
      <c r="A364" s="37" t="s">
        <v>576</v>
      </c>
      <c r="B364" s="37" t="s">
        <v>754</v>
      </c>
      <c r="C364" s="37" t="s">
        <v>151</v>
      </c>
      <c r="D364" s="37" t="s">
        <v>793</v>
      </c>
      <c r="E364" s="37">
        <v>195</v>
      </c>
      <c r="F364" s="37">
        <v>68</v>
      </c>
      <c r="G364" s="39">
        <v>0.348717948717949</v>
      </c>
      <c r="H364" s="37">
        <v>29</v>
      </c>
      <c r="I364" s="37">
        <v>24</v>
      </c>
      <c r="J364" s="37">
        <v>11</v>
      </c>
      <c r="K364" s="37">
        <v>1</v>
      </c>
      <c r="L364" s="40">
        <v>44.7166666666667</v>
      </c>
      <c r="M364" s="37"/>
      <c r="N364" s="37"/>
      <c r="O364" s="39"/>
      <c r="P364" s="37"/>
    </row>
    <row r="365" ht="16.5" customHeight="1" spans="1:16">
      <c r="A365" s="37" t="s">
        <v>576</v>
      </c>
      <c r="B365" s="37" t="s">
        <v>754</v>
      </c>
      <c r="C365" s="37" t="s">
        <v>151</v>
      </c>
      <c r="D365" s="37" t="s">
        <v>794</v>
      </c>
      <c r="E365" s="37">
        <v>200</v>
      </c>
      <c r="F365" s="37">
        <v>62</v>
      </c>
      <c r="G365" s="39">
        <v>0.31</v>
      </c>
      <c r="H365" s="37">
        <v>39</v>
      </c>
      <c r="I365" s="37">
        <v>29</v>
      </c>
      <c r="J365" s="37">
        <v>25</v>
      </c>
      <c r="K365" s="37">
        <v>6</v>
      </c>
      <c r="L365" s="40">
        <v>75.05</v>
      </c>
      <c r="M365" s="37"/>
      <c r="N365" s="37"/>
      <c r="O365" s="39"/>
      <c r="P365" s="37"/>
    </row>
    <row r="366" ht="16.5" customHeight="1" spans="1:16">
      <c r="A366" s="37" t="s">
        <v>576</v>
      </c>
      <c r="B366" s="37" t="s">
        <v>754</v>
      </c>
      <c r="C366" s="37" t="s">
        <v>151</v>
      </c>
      <c r="D366" s="37" t="s">
        <v>795</v>
      </c>
      <c r="E366" s="37">
        <v>196</v>
      </c>
      <c r="F366" s="37">
        <v>76</v>
      </c>
      <c r="G366" s="39">
        <v>0.387755102040816</v>
      </c>
      <c r="H366" s="37">
        <v>40</v>
      </c>
      <c r="I366" s="37">
        <v>29</v>
      </c>
      <c r="J366" s="37">
        <v>18</v>
      </c>
      <c r="K366" s="37">
        <v>2</v>
      </c>
      <c r="L366" s="40">
        <v>60.8833333333333</v>
      </c>
      <c r="M366" s="37"/>
      <c r="N366" s="37"/>
      <c r="O366" s="39"/>
      <c r="P366" s="37"/>
    </row>
    <row r="367" ht="16.5" customHeight="1" spans="1:16">
      <c r="A367" s="37" t="s">
        <v>576</v>
      </c>
      <c r="B367" s="37" t="s">
        <v>754</v>
      </c>
      <c r="C367" s="37" t="s">
        <v>151</v>
      </c>
      <c r="D367" s="37" t="s">
        <v>796</v>
      </c>
      <c r="E367" s="37">
        <v>176</v>
      </c>
      <c r="F367" s="37">
        <v>82</v>
      </c>
      <c r="G367" s="39">
        <v>0.465909090909091</v>
      </c>
      <c r="H367" s="37">
        <v>40</v>
      </c>
      <c r="I367" s="37">
        <v>22</v>
      </c>
      <c r="J367" s="37">
        <v>12</v>
      </c>
      <c r="K367" s="37">
        <v>1</v>
      </c>
      <c r="L367" s="40">
        <v>53.0333333333333</v>
      </c>
      <c r="M367" s="37"/>
      <c r="N367" s="37"/>
      <c r="O367" s="39"/>
      <c r="P367" s="37"/>
    </row>
    <row r="368" ht="16.5" customHeight="1" spans="1:16">
      <c r="A368" s="37" t="s">
        <v>576</v>
      </c>
      <c r="B368" s="37" t="s">
        <v>754</v>
      </c>
      <c r="C368" s="37" t="s">
        <v>151</v>
      </c>
      <c r="D368" s="37" t="s">
        <v>797</v>
      </c>
      <c r="E368" s="37">
        <v>272</v>
      </c>
      <c r="F368" s="37">
        <v>142</v>
      </c>
      <c r="G368" s="39">
        <v>0.522058823529412</v>
      </c>
      <c r="H368" s="37">
        <v>43</v>
      </c>
      <c r="I368" s="37">
        <v>25</v>
      </c>
      <c r="J368" s="37">
        <v>16</v>
      </c>
      <c r="K368" s="37">
        <v>4</v>
      </c>
      <c r="L368" s="40">
        <v>82.6</v>
      </c>
      <c r="M368" s="37"/>
      <c r="N368" s="37"/>
      <c r="O368" s="39"/>
      <c r="P368" s="37"/>
    </row>
    <row r="369" ht="16.5" customHeight="1" spans="1:16">
      <c r="A369" s="37" t="s">
        <v>576</v>
      </c>
      <c r="B369" s="37" t="s">
        <v>754</v>
      </c>
      <c r="C369" s="37" t="s">
        <v>798</v>
      </c>
      <c r="D369" s="37" t="s">
        <v>799</v>
      </c>
      <c r="E369" s="37">
        <v>124</v>
      </c>
      <c r="F369" s="37">
        <v>54</v>
      </c>
      <c r="G369" s="39">
        <v>0.435483870967742</v>
      </c>
      <c r="H369" s="37">
        <v>38</v>
      </c>
      <c r="I369" s="37">
        <v>30</v>
      </c>
      <c r="J369" s="37">
        <v>20</v>
      </c>
      <c r="K369" s="37">
        <v>1</v>
      </c>
      <c r="L369" s="40">
        <v>50.8166666666667</v>
      </c>
      <c r="M369" s="37"/>
      <c r="N369" s="37"/>
      <c r="O369" s="39"/>
      <c r="P369" s="37"/>
    </row>
    <row r="370" ht="16.5" customHeight="1" spans="1:16">
      <c r="A370" s="37" t="s">
        <v>576</v>
      </c>
      <c r="B370" s="37" t="s">
        <v>754</v>
      </c>
      <c r="C370" s="37" t="s">
        <v>798</v>
      </c>
      <c r="D370" s="37" t="s">
        <v>800</v>
      </c>
      <c r="E370" s="37">
        <v>198</v>
      </c>
      <c r="F370" s="37">
        <v>89</v>
      </c>
      <c r="G370" s="39">
        <v>0.44949494949495</v>
      </c>
      <c r="H370" s="37">
        <v>47</v>
      </c>
      <c r="I370" s="37">
        <v>33</v>
      </c>
      <c r="J370" s="37">
        <v>14</v>
      </c>
      <c r="K370" s="37">
        <v>1</v>
      </c>
      <c r="L370" s="40">
        <v>59.7333333333333</v>
      </c>
      <c r="M370" s="37"/>
      <c r="N370" s="37"/>
      <c r="O370" s="39"/>
      <c r="P370" s="37"/>
    </row>
    <row r="371" ht="16.5" customHeight="1" spans="1:16">
      <c r="A371" s="37" t="s">
        <v>576</v>
      </c>
      <c r="B371" s="37" t="s">
        <v>754</v>
      </c>
      <c r="C371" s="37" t="s">
        <v>798</v>
      </c>
      <c r="D371" s="37" t="s">
        <v>801</v>
      </c>
      <c r="E371" s="37">
        <v>275</v>
      </c>
      <c r="F371" s="37">
        <v>144</v>
      </c>
      <c r="G371" s="39">
        <v>0.523636363636364</v>
      </c>
      <c r="H371" s="37">
        <v>49</v>
      </c>
      <c r="I371" s="37">
        <v>30</v>
      </c>
      <c r="J371" s="37">
        <v>12</v>
      </c>
      <c r="K371" s="37">
        <v>1</v>
      </c>
      <c r="L371" s="40">
        <v>71.85</v>
      </c>
      <c r="M371" s="37"/>
      <c r="N371" s="37"/>
      <c r="O371" s="39"/>
      <c r="P371" s="37"/>
    </row>
    <row r="372" ht="16.5" customHeight="1" spans="1:16">
      <c r="A372" s="37" t="s">
        <v>576</v>
      </c>
      <c r="B372" s="37" t="s">
        <v>754</v>
      </c>
      <c r="C372" s="37" t="s">
        <v>798</v>
      </c>
      <c r="D372" s="37" t="s">
        <v>802</v>
      </c>
      <c r="E372" s="37">
        <v>113</v>
      </c>
      <c r="F372" s="37">
        <v>51</v>
      </c>
      <c r="G372" s="39">
        <v>0.451327433628319</v>
      </c>
      <c r="H372" s="37">
        <v>29</v>
      </c>
      <c r="I372" s="37">
        <v>26</v>
      </c>
      <c r="J372" s="37">
        <v>20</v>
      </c>
      <c r="K372" s="37">
        <v>8</v>
      </c>
      <c r="L372" s="40">
        <v>63.5833333333333</v>
      </c>
      <c r="M372" s="37"/>
      <c r="N372" s="37"/>
      <c r="O372" s="39"/>
      <c r="P372" s="37"/>
    </row>
    <row r="373" ht="16.5" customHeight="1" spans="1:16">
      <c r="A373" s="37" t="s">
        <v>576</v>
      </c>
      <c r="B373" s="37" t="s">
        <v>754</v>
      </c>
      <c r="C373" s="37" t="s">
        <v>798</v>
      </c>
      <c r="D373" s="37" t="s">
        <v>803</v>
      </c>
      <c r="E373" s="37">
        <v>80</v>
      </c>
      <c r="F373" s="37">
        <v>32</v>
      </c>
      <c r="G373" s="39">
        <v>0.4</v>
      </c>
      <c r="H373" s="37">
        <v>15</v>
      </c>
      <c r="I373" s="37">
        <v>13</v>
      </c>
      <c r="J373" s="37">
        <v>9</v>
      </c>
      <c r="K373" s="37">
        <v>3</v>
      </c>
      <c r="L373" s="40">
        <v>32.8666666666667</v>
      </c>
      <c r="M373" s="37"/>
      <c r="N373" s="37"/>
      <c r="O373" s="39"/>
      <c r="P373" s="37"/>
    </row>
    <row r="374" ht="16.5" customHeight="1" spans="1:16">
      <c r="A374" s="37" t="s">
        <v>576</v>
      </c>
      <c r="B374" s="37" t="s">
        <v>754</v>
      </c>
      <c r="C374" s="37" t="s">
        <v>798</v>
      </c>
      <c r="D374" s="37" t="s">
        <v>804</v>
      </c>
      <c r="E374" s="37">
        <v>257</v>
      </c>
      <c r="F374" s="37">
        <v>94</v>
      </c>
      <c r="G374" s="39">
        <v>0.365758754863813</v>
      </c>
      <c r="H374" s="37">
        <v>28</v>
      </c>
      <c r="I374" s="37">
        <v>15</v>
      </c>
      <c r="J374" s="37">
        <v>3</v>
      </c>
      <c r="K374" s="37">
        <v>0</v>
      </c>
      <c r="L374" s="40">
        <v>41.6</v>
      </c>
      <c r="M374" s="37"/>
      <c r="N374" s="37"/>
      <c r="O374" s="39"/>
      <c r="P374" s="37"/>
    </row>
    <row r="375" ht="16.5" customHeight="1" spans="1:16">
      <c r="A375" s="37" t="s">
        <v>576</v>
      </c>
      <c r="B375" s="37" t="s">
        <v>754</v>
      </c>
      <c r="C375" s="37" t="s">
        <v>798</v>
      </c>
      <c r="D375" s="37" t="s">
        <v>805</v>
      </c>
      <c r="E375" s="37">
        <v>144</v>
      </c>
      <c r="F375" s="37">
        <v>62</v>
      </c>
      <c r="G375" s="39">
        <v>0.430555555555556</v>
      </c>
      <c r="H375" s="37">
        <v>22</v>
      </c>
      <c r="I375" s="37">
        <v>19</v>
      </c>
      <c r="J375" s="37">
        <v>12</v>
      </c>
      <c r="K375" s="37">
        <v>2</v>
      </c>
      <c r="L375" s="40">
        <v>48.6333333333333</v>
      </c>
      <c r="M375" s="37"/>
      <c r="N375" s="37"/>
      <c r="O375" s="39"/>
      <c r="P375" s="37"/>
    </row>
    <row r="376" ht="16.5" customHeight="1" spans="1:16">
      <c r="A376" s="37" t="s">
        <v>576</v>
      </c>
      <c r="B376" s="37" t="s">
        <v>754</v>
      </c>
      <c r="C376" s="37" t="s">
        <v>798</v>
      </c>
      <c r="D376" s="37" t="s">
        <v>806</v>
      </c>
      <c r="E376" s="37">
        <v>169</v>
      </c>
      <c r="F376" s="37">
        <v>68</v>
      </c>
      <c r="G376" s="39">
        <v>0.402366863905325</v>
      </c>
      <c r="H376" s="37">
        <v>40</v>
      </c>
      <c r="I376" s="37">
        <v>37</v>
      </c>
      <c r="J376" s="37">
        <v>24</v>
      </c>
      <c r="K376" s="37">
        <v>0</v>
      </c>
      <c r="L376" s="40">
        <v>56.7166666666667</v>
      </c>
      <c r="M376" s="37"/>
      <c r="N376" s="37"/>
      <c r="O376" s="39"/>
      <c r="P376" s="37"/>
    </row>
    <row r="377" ht="16.5" customHeight="1" spans="1:16">
      <c r="A377" s="37" t="s">
        <v>576</v>
      </c>
      <c r="B377" s="37" t="s">
        <v>754</v>
      </c>
      <c r="C377" s="37" t="s">
        <v>798</v>
      </c>
      <c r="D377" s="37" t="s">
        <v>807</v>
      </c>
      <c r="E377" s="37">
        <v>156</v>
      </c>
      <c r="F377" s="37">
        <v>56</v>
      </c>
      <c r="G377" s="39">
        <v>0.358974358974359</v>
      </c>
      <c r="H377" s="37">
        <v>36</v>
      </c>
      <c r="I377" s="37">
        <v>30</v>
      </c>
      <c r="J377" s="37">
        <v>14</v>
      </c>
      <c r="K377" s="37">
        <v>1</v>
      </c>
      <c r="L377" s="40">
        <v>44.3166666666667</v>
      </c>
      <c r="M377" s="37"/>
      <c r="N377" s="37"/>
      <c r="O377" s="39"/>
      <c r="P377" s="37"/>
    </row>
    <row r="378" ht="16.5" customHeight="1" spans="1:16">
      <c r="A378" s="37" t="s">
        <v>576</v>
      </c>
      <c r="B378" s="37" t="s">
        <v>754</v>
      </c>
      <c r="C378" s="37" t="s">
        <v>798</v>
      </c>
      <c r="D378" s="37" t="s">
        <v>808</v>
      </c>
      <c r="E378" s="37">
        <v>207</v>
      </c>
      <c r="F378" s="37">
        <v>80</v>
      </c>
      <c r="G378" s="39">
        <v>0.386473429951691</v>
      </c>
      <c r="H378" s="37">
        <v>36</v>
      </c>
      <c r="I378" s="37">
        <v>29</v>
      </c>
      <c r="J378" s="37">
        <v>18</v>
      </c>
      <c r="K378" s="37">
        <v>2</v>
      </c>
      <c r="L378" s="40">
        <v>75.5666666666667</v>
      </c>
      <c r="M378" s="37"/>
      <c r="N378" s="37"/>
      <c r="O378" s="39"/>
      <c r="P378" s="37"/>
    </row>
    <row r="379" ht="16.5" customHeight="1" spans="1:16">
      <c r="A379" s="37" t="s">
        <v>576</v>
      </c>
      <c r="B379" s="37" t="s">
        <v>754</v>
      </c>
      <c r="C379" s="37" t="s">
        <v>264</v>
      </c>
      <c r="D379" s="37" t="s">
        <v>809</v>
      </c>
      <c r="E379" s="37">
        <v>47</v>
      </c>
      <c r="F379" s="37">
        <v>21</v>
      </c>
      <c r="G379" s="39">
        <v>0.446808510638298</v>
      </c>
      <c r="H379" s="37">
        <v>10</v>
      </c>
      <c r="I379" s="37">
        <v>7</v>
      </c>
      <c r="J379" s="37">
        <v>5</v>
      </c>
      <c r="K379" s="37">
        <v>2</v>
      </c>
      <c r="L379" s="40">
        <v>24.9166666666667</v>
      </c>
      <c r="M379" s="37">
        <v>1</v>
      </c>
      <c r="N379" s="37">
        <v>1</v>
      </c>
      <c r="O379" s="39">
        <v>1</v>
      </c>
      <c r="P379" s="37">
        <v>162</v>
      </c>
    </row>
    <row r="380" ht="16.5" customHeight="1" spans="1:16">
      <c r="A380" s="37" t="s">
        <v>576</v>
      </c>
      <c r="B380" s="37" t="s">
        <v>754</v>
      </c>
      <c r="C380" s="37" t="s">
        <v>264</v>
      </c>
      <c r="D380" s="37" t="s">
        <v>810</v>
      </c>
      <c r="E380" s="37">
        <v>66</v>
      </c>
      <c r="F380" s="37">
        <v>34</v>
      </c>
      <c r="G380" s="39">
        <v>0.515151515151515</v>
      </c>
      <c r="H380" s="37">
        <v>26</v>
      </c>
      <c r="I380" s="37">
        <v>23</v>
      </c>
      <c r="J380" s="37">
        <v>16</v>
      </c>
      <c r="K380" s="37">
        <v>0</v>
      </c>
      <c r="L380" s="40">
        <v>33.8333333333333</v>
      </c>
      <c r="M380" s="37"/>
      <c r="N380" s="37"/>
      <c r="O380" s="39"/>
      <c r="P380" s="37"/>
    </row>
    <row r="381" ht="16.5" customHeight="1" spans="1:16">
      <c r="A381" s="37" t="s">
        <v>576</v>
      </c>
      <c r="B381" s="37" t="s">
        <v>754</v>
      </c>
      <c r="C381" s="37" t="s">
        <v>264</v>
      </c>
      <c r="D381" s="37" t="s">
        <v>811</v>
      </c>
      <c r="E381" s="37">
        <v>134</v>
      </c>
      <c r="F381" s="37">
        <v>60</v>
      </c>
      <c r="G381" s="39">
        <v>0.447761194029851</v>
      </c>
      <c r="H381" s="37">
        <v>36</v>
      </c>
      <c r="I381" s="37">
        <v>35</v>
      </c>
      <c r="J381" s="37">
        <v>12</v>
      </c>
      <c r="K381" s="37">
        <v>1</v>
      </c>
      <c r="L381" s="40">
        <v>44.4</v>
      </c>
      <c r="M381" s="37"/>
      <c r="N381" s="37"/>
      <c r="O381" s="39"/>
      <c r="P381" s="37"/>
    </row>
    <row r="382" ht="16.5" customHeight="1" spans="1:16">
      <c r="A382" s="37" t="s">
        <v>576</v>
      </c>
      <c r="B382" s="37" t="s">
        <v>754</v>
      </c>
      <c r="C382" s="37" t="s">
        <v>264</v>
      </c>
      <c r="D382" s="37" t="s">
        <v>812</v>
      </c>
      <c r="E382" s="37">
        <v>63</v>
      </c>
      <c r="F382" s="37">
        <v>31</v>
      </c>
      <c r="G382" s="39">
        <v>0.492063492063492</v>
      </c>
      <c r="H382" s="37">
        <v>21</v>
      </c>
      <c r="I382" s="37">
        <v>18</v>
      </c>
      <c r="J382" s="37">
        <v>14</v>
      </c>
      <c r="K382" s="37">
        <v>1</v>
      </c>
      <c r="L382" s="40">
        <v>35.6833333333333</v>
      </c>
      <c r="M382" s="37"/>
      <c r="N382" s="37"/>
      <c r="O382" s="39"/>
      <c r="P382" s="37"/>
    </row>
    <row r="383" ht="16.5" customHeight="1" spans="1:16">
      <c r="A383" s="37" t="s">
        <v>576</v>
      </c>
      <c r="B383" s="37" t="s">
        <v>754</v>
      </c>
      <c r="C383" s="37" t="s">
        <v>264</v>
      </c>
      <c r="D383" s="37" t="s">
        <v>813</v>
      </c>
      <c r="E383" s="37">
        <v>65</v>
      </c>
      <c r="F383" s="37">
        <v>25</v>
      </c>
      <c r="G383" s="39">
        <v>0.384615384615385</v>
      </c>
      <c r="H383" s="37">
        <v>15</v>
      </c>
      <c r="I383" s="37">
        <v>14</v>
      </c>
      <c r="J383" s="37">
        <v>10</v>
      </c>
      <c r="K383" s="37">
        <v>3</v>
      </c>
      <c r="L383" s="40">
        <v>46.2833333333333</v>
      </c>
      <c r="M383" s="37"/>
      <c r="N383" s="37"/>
      <c r="O383" s="39"/>
      <c r="P383" s="37"/>
    </row>
    <row r="384" ht="16.5" customHeight="1" spans="1:16">
      <c r="A384" s="37" t="s">
        <v>576</v>
      </c>
      <c r="B384" s="37" t="s">
        <v>754</v>
      </c>
      <c r="C384" s="37" t="s">
        <v>264</v>
      </c>
      <c r="D384" s="37" t="s">
        <v>814</v>
      </c>
      <c r="E384" s="37">
        <v>112</v>
      </c>
      <c r="F384" s="37">
        <v>48</v>
      </c>
      <c r="G384" s="39">
        <v>0.428571428571429</v>
      </c>
      <c r="H384" s="37">
        <v>14</v>
      </c>
      <c r="I384" s="37">
        <v>9</v>
      </c>
      <c r="J384" s="37">
        <v>4</v>
      </c>
      <c r="K384" s="37">
        <v>2</v>
      </c>
      <c r="L384" s="40">
        <v>33.7833333333333</v>
      </c>
      <c r="M384" s="37"/>
      <c r="N384" s="37"/>
      <c r="O384" s="39"/>
      <c r="P384" s="37"/>
    </row>
    <row r="385" ht="16.5" customHeight="1" spans="1:16">
      <c r="A385" s="37" t="s">
        <v>576</v>
      </c>
      <c r="B385" s="37" t="s">
        <v>754</v>
      </c>
      <c r="C385" s="37" t="s">
        <v>264</v>
      </c>
      <c r="D385" s="37" t="s">
        <v>815</v>
      </c>
      <c r="E385" s="37">
        <v>281</v>
      </c>
      <c r="F385" s="37">
        <v>119</v>
      </c>
      <c r="G385" s="39">
        <v>0.423487544483986</v>
      </c>
      <c r="H385" s="37">
        <v>44</v>
      </c>
      <c r="I385" s="37">
        <v>26</v>
      </c>
      <c r="J385" s="37">
        <v>12</v>
      </c>
      <c r="K385" s="37">
        <v>0</v>
      </c>
      <c r="L385" s="40">
        <v>62.3666666666667</v>
      </c>
      <c r="M385" s="37"/>
      <c r="N385" s="37"/>
      <c r="O385" s="39"/>
      <c r="P385" s="37"/>
    </row>
    <row r="386" ht="16.5" customHeight="1" spans="1:16">
      <c r="A386" s="37" t="s">
        <v>576</v>
      </c>
      <c r="B386" s="37" t="s">
        <v>754</v>
      </c>
      <c r="C386" s="37" t="s">
        <v>22</v>
      </c>
      <c r="D386" s="37" t="s">
        <v>816</v>
      </c>
      <c r="E386" s="37">
        <v>8</v>
      </c>
      <c r="F386" s="37">
        <v>4</v>
      </c>
      <c r="G386" s="39">
        <v>0.5</v>
      </c>
      <c r="H386" s="37">
        <v>4</v>
      </c>
      <c r="I386" s="37">
        <v>3</v>
      </c>
      <c r="J386" s="37">
        <v>2</v>
      </c>
      <c r="K386" s="37">
        <v>0</v>
      </c>
      <c r="L386" s="40">
        <v>3.71666666666667</v>
      </c>
      <c r="M386" s="37"/>
      <c r="N386" s="37"/>
      <c r="O386" s="39"/>
      <c r="P386" s="37"/>
    </row>
    <row r="387" ht="16.5" customHeight="1" spans="1:16">
      <c r="A387" s="37" t="s">
        <v>576</v>
      </c>
      <c r="B387" s="37" t="s">
        <v>754</v>
      </c>
      <c r="C387" s="37" t="s">
        <v>22</v>
      </c>
      <c r="D387" s="37" t="s">
        <v>817</v>
      </c>
      <c r="E387" s="37">
        <v>9</v>
      </c>
      <c r="F387" s="37">
        <v>1</v>
      </c>
      <c r="G387" s="39">
        <v>0.111111111111111</v>
      </c>
      <c r="H387" s="37">
        <v>1</v>
      </c>
      <c r="I387" s="37">
        <v>1</v>
      </c>
      <c r="J387" s="37">
        <v>0</v>
      </c>
      <c r="K387" s="37">
        <v>0</v>
      </c>
      <c r="L387" s="40">
        <v>0.866666666666667</v>
      </c>
      <c r="M387" s="37"/>
      <c r="N387" s="37"/>
      <c r="O387" s="39"/>
      <c r="P387" s="37"/>
    </row>
    <row r="388" ht="16.5" customHeight="1" spans="1:16">
      <c r="A388" s="37" t="s">
        <v>576</v>
      </c>
      <c r="B388" s="37" t="s">
        <v>754</v>
      </c>
      <c r="C388" s="37" t="s">
        <v>22</v>
      </c>
      <c r="D388" s="37" t="s">
        <v>818</v>
      </c>
      <c r="E388" s="37">
        <v>4</v>
      </c>
      <c r="F388" s="37">
        <v>2</v>
      </c>
      <c r="G388" s="39">
        <v>0.5</v>
      </c>
      <c r="H388" s="37">
        <v>1</v>
      </c>
      <c r="I388" s="37">
        <v>1</v>
      </c>
      <c r="J388" s="37">
        <v>0</v>
      </c>
      <c r="K388" s="37">
        <v>0</v>
      </c>
      <c r="L388" s="40">
        <v>1.1</v>
      </c>
      <c r="M388" s="37"/>
      <c r="N388" s="37"/>
      <c r="O388" s="39"/>
      <c r="P388" s="37"/>
    </row>
    <row r="389" ht="16.5" customHeight="1" spans="1:16">
      <c r="A389" s="37" t="s">
        <v>576</v>
      </c>
      <c r="B389" s="37" t="s">
        <v>754</v>
      </c>
      <c r="C389" s="37" t="s">
        <v>22</v>
      </c>
      <c r="D389" s="37" t="s">
        <v>819</v>
      </c>
      <c r="E389" s="37">
        <v>21</v>
      </c>
      <c r="F389" s="37">
        <v>9</v>
      </c>
      <c r="G389" s="39">
        <v>0.428571428571429</v>
      </c>
      <c r="H389" s="37">
        <v>7</v>
      </c>
      <c r="I389" s="37" t="s">
        <v>820</v>
      </c>
      <c r="J389" s="37">
        <v>5</v>
      </c>
      <c r="K389" s="37">
        <v>2</v>
      </c>
      <c r="L389" s="40">
        <v>15.2833333333333</v>
      </c>
      <c r="M389" s="37"/>
      <c r="N389" s="37"/>
      <c r="O389" s="39"/>
      <c r="P389" s="37"/>
    </row>
    <row r="390" ht="16.5" customHeight="1" spans="1:16">
      <c r="A390" s="37" t="s">
        <v>576</v>
      </c>
      <c r="B390" s="37" t="s">
        <v>754</v>
      </c>
      <c r="C390" s="37" t="s">
        <v>22</v>
      </c>
      <c r="D390" s="37" t="s">
        <v>821</v>
      </c>
      <c r="E390" s="37">
        <v>17</v>
      </c>
      <c r="F390" s="37">
        <v>8</v>
      </c>
      <c r="G390" s="39">
        <v>0.470588235294118</v>
      </c>
      <c r="H390" s="37">
        <v>6</v>
      </c>
      <c r="I390" s="37">
        <v>6</v>
      </c>
      <c r="J390" s="37">
        <v>6</v>
      </c>
      <c r="K390" s="37">
        <v>1</v>
      </c>
      <c r="L390" s="40">
        <v>13.8833333333333</v>
      </c>
      <c r="M390" s="37"/>
      <c r="N390" s="37"/>
      <c r="O390" s="39"/>
      <c r="P390" s="37"/>
    </row>
    <row r="391" ht="16.5" customHeight="1" spans="1:16">
      <c r="A391" s="37" t="s">
        <v>576</v>
      </c>
      <c r="B391" s="37" t="s">
        <v>754</v>
      </c>
      <c r="C391" s="37" t="s">
        <v>22</v>
      </c>
      <c r="D391" s="37" t="s">
        <v>822</v>
      </c>
      <c r="E391" s="37">
        <v>18</v>
      </c>
      <c r="F391" s="37">
        <v>7</v>
      </c>
      <c r="G391" s="39">
        <v>0.388888888888889</v>
      </c>
      <c r="H391" s="37">
        <v>4</v>
      </c>
      <c r="I391" s="37">
        <v>4</v>
      </c>
      <c r="J391" s="37">
        <v>1</v>
      </c>
      <c r="K391" s="37">
        <v>0</v>
      </c>
      <c r="L391" s="40">
        <v>4.65</v>
      </c>
      <c r="M391" s="37"/>
      <c r="N391" s="37"/>
      <c r="O391" s="39"/>
      <c r="P391" s="37"/>
    </row>
    <row r="392" ht="16.5" customHeight="1" spans="1:16">
      <c r="A392" s="37" t="s">
        <v>576</v>
      </c>
      <c r="B392" s="37" t="s">
        <v>754</v>
      </c>
      <c r="C392" s="37" t="s">
        <v>22</v>
      </c>
      <c r="D392" s="37" t="s">
        <v>823</v>
      </c>
      <c r="E392" s="37">
        <v>36</v>
      </c>
      <c r="F392" s="37">
        <v>11</v>
      </c>
      <c r="G392" s="39">
        <v>0.305555555555556</v>
      </c>
      <c r="H392" s="37">
        <v>5</v>
      </c>
      <c r="I392" s="37">
        <v>5</v>
      </c>
      <c r="J392" s="37">
        <v>4</v>
      </c>
      <c r="K392" s="37">
        <v>0</v>
      </c>
      <c r="L392" s="40">
        <v>7.21666666666667</v>
      </c>
      <c r="M392" s="37"/>
      <c r="N392" s="37"/>
      <c r="O392" s="39"/>
      <c r="P392" s="37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88"/>
  <sheetViews>
    <sheetView workbookViewId="0">
      <selection activeCell="A1" sqref="A$1:J$1048576"/>
    </sheetView>
  </sheetViews>
  <sheetFormatPr defaultColWidth="9" defaultRowHeight="14"/>
  <cols>
    <col min="1" max="10" width="9" style="34" customWidth="1"/>
    <col min="11" max="16384" width="9" style="35" customWidth="1"/>
  </cols>
  <sheetData>
    <row r="1" ht="16.5" customHeight="1" spans="1:10">
      <c r="A1" s="36" t="s">
        <v>571</v>
      </c>
      <c r="B1" s="36" t="s">
        <v>572</v>
      </c>
      <c r="C1" s="36" t="s">
        <v>573</v>
      </c>
      <c r="D1" s="36" t="s">
        <v>574</v>
      </c>
      <c r="E1" s="36" t="s">
        <v>824</v>
      </c>
      <c r="F1" s="36" t="s">
        <v>825</v>
      </c>
      <c r="G1" s="36" t="s">
        <v>826</v>
      </c>
      <c r="H1" s="36" t="s">
        <v>827</v>
      </c>
      <c r="I1" s="36" t="s">
        <v>828</v>
      </c>
      <c r="J1" s="36" t="s">
        <v>829</v>
      </c>
    </row>
    <row r="2" ht="16.5" customHeight="1" spans="1:10">
      <c r="A2" s="37" t="s">
        <v>576</v>
      </c>
      <c r="B2" s="37" t="s">
        <v>21</v>
      </c>
      <c r="C2" s="37" t="s">
        <v>75</v>
      </c>
      <c r="D2" s="37" t="s">
        <v>209</v>
      </c>
      <c r="E2" s="37">
        <v>0</v>
      </c>
      <c r="F2" s="37">
        <v>0</v>
      </c>
      <c r="G2" s="38">
        <v>0</v>
      </c>
      <c r="H2" s="38">
        <v>3000</v>
      </c>
      <c r="I2" s="38">
        <v>3000</v>
      </c>
      <c r="J2" s="39">
        <v>1</v>
      </c>
    </row>
    <row r="3" ht="16.5" customHeight="1" spans="1:10">
      <c r="A3" s="37" t="s">
        <v>576</v>
      </c>
      <c r="B3" s="37" t="s">
        <v>21</v>
      </c>
      <c r="C3" s="37" t="s">
        <v>102</v>
      </c>
      <c r="D3" s="37" t="s">
        <v>420</v>
      </c>
      <c r="E3" s="37">
        <v>0</v>
      </c>
      <c r="F3" s="37">
        <v>0</v>
      </c>
      <c r="G3" s="38">
        <v>0</v>
      </c>
      <c r="H3" s="38">
        <v>0</v>
      </c>
      <c r="I3" s="38">
        <v>0</v>
      </c>
      <c r="J3" s="39"/>
    </row>
    <row r="4" ht="16.5" customHeight="1" spans="1:10">
      <c r="A4" s="37" t="s">
        <v>576</v>
      </c>
      <c r="B4" s="37" t="s">
        <v>21</v>
      </c>
      <c r="C4" s="37" t="s">
        <v>102</v>
      </c>
      <c r="D4" s="37" t="s">
        <v>416</v>
      </c>
      <c r="E4" s="37">
        <v>1</v>
      </c>
      <c r="F4" s="37">
        <v>2</v>
      </c>
      <c r="G4" s="38">
        <v>6628</v>
      </c>
      <c r="H4" s="38">
        <v>164842</v>
      </c>
      <c r="I4" s="38">
        <v>105316</v>
      </c>
      <c r="J4" s="39">
        <v>0.638890574004198</v>
      </c>
    </row>
    <row r="5" ht="16.5" customHeight="1" spans="1:10">
      <c r="A5" s="37" t="s">
        <v>576</v>
      </c>
      <c r="B5" s="37" t="s">
        <v>21</v>
      </c>
      <c r="C5" s="37" t="s">
        <v>151</v>
      </c>
      <c r="D5" s="37" t="s">
        <v>503</v>
      </c>
      <c r="E5" s="37">
        <v>0</v>
      </c>
      <c r="F5" s="37">
        <v>1</v>
      </c>
      <c r="G5" s="38">
        <v>3502</v>
      </c>
      <c r="H5" s="38">
        <v>36742</v>
      </c>
      <c r="I5" s="38">
        <v>3000</v>
      </c>
      <c r="J5" s="39">
        <v>0.0816504273039029</v>
      </c>
    </row>
    <row r="6" ht="16.5" customHeight="1" spans="1:10">
      <c r="A6" s="37" t="s">
        <v>576</v>
      </c>
      <c r="B6" s="37" t="s">
        <v>21</v>
      </c>
      <c r="C6" s="37" t="s">
        <v>264</v>
      </c>
      <c r="D6" s="37" t="s">
        <v>272</v>
      </c>
      <c r="E6" s="37">
        <v>0</v>
      </c>
      <c r="F6" s="37">
        <v>2</v>
      </c>
      <c r="G6" s="38">
        <v>9160</v>
      </c>
      <c r="H6" s="38">
        <v>49340</v>
      </c>
      <c r="I6" s="38">
        <v>4030</v>
      </c>
      <c r="J6" s="39">
        <v>0.081678151601135</v>
      </c>
    </row>
    <row r="7" ht="16.5" customHeight="1" spans="1:10">
      <c r="A7" s="37" t="s">
        <v>576</v>
      </c>
      <c r="B7" s="37" t="s">
        <v>21</v>
      </c>
      <c r="C7" s="37" t="s">
        <v>75</v>
      </c>
      <c r="D7" s="37" t="s">
        <v>220</v>
      </c>
      <c r="E7" s="37">
        <v>0</v>
      </c>
      <c r="F7" s="37">
        <v>1</v>
      </c>
      <c r="G7" s="38">
        <v>3980</v>
      </c>
      <c r="H7" s="38">
        <v>27960</v>
      </c>
      <c r="I7" s="38">
        <v>4030</v>
      </c>
      <c r="J7" s="39">
        <v>0.144134477825465</v>
      </c>
    </row>
    <row r="8" ht="16.5" customHeight="1" spans="1:10">
      <c r="A8" s="37" t="s">
        <v>576</v>
      </c>
      <c r="B8" s="37" t="s">
        <v>21</v>
      </c>
      <c r="C8" s="37" t="s">
        <v>264</v>
      </c>
      <c r="D8" s="37" t="s">
        <v>274</v>
      </c>
      <c r="E8" s="37">
        <v>0</v>
      </c>
      <c r="F8" s="37">
        <v>0</v>
      </c>
      <c r="G8" s="38">
        <v>0</v>
      </c>
      <c r="H8" s="38">
        <v>16180</v>
      </c>
      <c r="I8" s="38">
        <v>4030</v>
      </c>
      <c r="J8" s="39">
        <v>0.249072929542645</v>
      </c>
    </row>
    <row r="9" ht="16.5" customHeight="1" spans="1:10">
      <c r="A9" s="37" t="s">
        <v>576</v>
      </c>
      <c r="B9" s="37" t="s">
        <v>21</v>
      </c>
      <c r="C9" s="37" t="s">
        <v>264</v>
      </c>
      <c r="D9" s="37" t="s">
        <v>287</v>
      </c>
      <c r="E9" s="37">
        <v>0</v>
      </c>
      <c r="F9" s="37">
        <v>0</v>
      </c>
      <c r="G9" s="38">
        <v>0</v>
      </c>
      <c r="H9" s="38">
        <v>13740</v>
      </c>
      <c r="I9" s="38">
        <v>8610</v>
      </c>
      <c r="J9" s="39">
        <v>0.626637554585153</v>
      </c>
    </row>
    <row r="10" ht="16.5" customHeight="1" spans="1:10">
      <c r="A10" s="37" t="s">
        <v>576</v>
      </c>
      <c r="B10" s="37" t="s">
        <v>21</v>
      </c>
      <c r="C10" s="37" t="s">
        <v>22</v>
      </c>
      <c r="D10" s="37" t="s">
        <v>23</v>
      </c>
      <c r="E10" s="37">
        <v>0</v>
      </c>
      <c r="F10" s="37">
        <v>0</v>
      </c>
      <c r="G10" s="38">
        <v>0</v>
      </c>
      <c r="H10" s="38">
        <v>172316</v>
      </c>
      <c r="I10" s="38">
        <v>78222</v>
      </c>
      <c r="J10" s="39">
        <v>0.453945077648042</v>
      </c>
    </row>
    <row r="11" ht="16.5" customHeight="1" spans="1:10">
      <c r="A11" s="37" t="s">
        <v>576</v>
      </c>
      <c r="B11" s="37" t="s">
        <v>21</v>
      </c>
      <c r="C11" s="37" t="s">
        <v>22</v>
      </c>
      <c r="D11" s="37" t="s">
        <v>48</v>
      </c>
      <c r="E11" s="37">
        <v>0</v>
      </c>
      <c r="F11" s="37">
        <v>0</v>
      </c>
      <c r="G11" s="38">
        <v>0</v>
      </c>
      <c r="H11" s="38">
        <v>17742</v>
      </c>
      <c r="I11" s="38">
        <v>5000</v>
      </c>
      <c r="J11" s="39">
        <v>0.28181715702852</v>
      </c>
    </row>
    <row r="12" ht="16.5" customHeight="1" spans="1:10">
      <c r="A12" s="37" t="s">
        <v>576</v>
      </c>
      <c r="B12" s="37" t="s">
        <v>21</v>
      </c>
      <c r="C12" s="37" t="s">
        <v>125</v>
      </c>
      <c r="D12" s="37" t="s">
        <v>186</v>
      </c>
      <c r="E12" s="37">
        <v>0</v>
      </c>
      <c r="F12" s="37">
        <v>0</v>
      </c>
      <c r="G12" s="38">
        <v>0</v>
      </c>
      <c r="H12" s="38">
        <v>0</v>
      </c>
      <c r="I12" s="38">
        <v>0</v>
      </c>
      <c r="J12" s="39"/>
    </row>
    <row r="13" ht="16.5" customHeight="1" spans="1:10">
      <c r="A13" s="37" t="s">
        <v>576</v>
      </c>
      <c r="B13" s="37" t="s">
        <v>21</v>
      </c>
      <c r="C13" s="37" t="s">
        <v>151</v>
      </c>
      <c r="D13" s="37" t="s">
        <v>512</v>
      </c>
      <c r="E13" s="37">
        <v>0</v>
      </c>
      <c r="F13" s="37">
        <v>0</v>
      </c>
      <c r="G13" s="38">
        <v>0</v>
      </c>
      <c r="H13" s="38">
        <v>23402</v>
      </c>
      <c r="I13" s="38">
        <v>7030</v>
      </c>
      <c r="J13" s="39">
        <v>0.300401675070507</v>
      </c>
    </row>
    <row r="14" ht="16.5" customHeight="1" spans="1:10">
      <c r="A14" s="37" t="s">
        <v>576</v>
      </c>
      <c r="B14" s="37" t="s">
        <v>21</v>
      </c>
      <c r="C14" s="37" t="s">
        <v>264</v>
      </c>
      <c r="D14" s="37" t="s">
        <v>283</v>
      </c>
      <c r="E14" s="37">
        <v>0</v>
      </c>
      <c r="F14" s="37">
        <v>0</v>
      </c>
      <c r="G14" s="38">
        <v>0</v>
      </c>
      <c r="H14" s="38">
        <v>3980</v>
      </c>
      <c r="I14" s="38">
        <v>0</v>
      </c>
      <c r="J14" s="39">
        <v>0</v>
      </c>
    </row>
    <row r="15" ht="16.5" customHeight="1" spans="1:10">
      <c r="A15" s="37" t="s">
        <v>576</v>
      </c>
      <c r="B15" s="37" t="s">
        <v>21</v>
      </c>
      <c r="C15" s="37" t="s">
        <v>224</v>
      </c>
      <c r="D15" s="37" t="s">
        <v>543</v>
      </c>
      <c r="E15" s="37">
        <v>0</v>
      </c>
      <c r="F15" s="37">
        <v>0</v>
      </c>
      <c r="G15" s="38">
        <v>0</v>
      </c>
      <c r="H15" s="38">
        <v>5660</v>
      </c>
      <c r="I15" s="38">
        <v>0</v>
      </c>
      <c r="J15" s="39">
        <v>0</v>
      </c>
    </row>
    <row r="16" ht="16.5" customHeight="1" spans="1:10">
      <c r="A16" s="37" t="s">
        <v>576</v>
      </c>
      <c r="B16" s="37" t="s">
        <v>21</v>
      </c>
      <c r="C16" s="37" t="s">
        <v>22</v>
      </c>
      <c r="D16" s="37" t="s">
        <v>45</v>
      </c>
      <c r="E16" s="37">
        <v>0</v>
      </c>
      <c r="F16" s="37">
        <v>0</v>
      </c>
      <c r="G16" s="38">
        <v>0</v>
      </c>
      <c r="H16" s="38">
        <v>85280</v>
      </c>
      <c r="I16" s="38">
        <v>37592</v>
      </c>
      <c r="J16" s="39">
        <v>0.440806754221388</v>
      </c>
    </row>
    <row r="17" ht="16.5" customHeight="1" spans="1:10">
      <c r="A17" s="37" t="s">
        <v>576</v>
      </c>
      <c r="B17" s="37" t="s">
        <v>21</v>
      </c>
      <c r="C17" s="37" t="s">
        <v>224</v>
      </c>
      <c r="D17" s="37" t="s">
        <v>532</v>
      </c>
      <c r="E17" s="37">
        <v>0</v>
      </c>
      <c r="F17" s="37">
        <v>4</v>
      </c>
      <c r="G17" s="38">
        <v>20790</v>
      </c>
      <c r="H17" s="38">
        <v>38390</v>
      </c>
      <c r="I17" s="38">
        <v>0</v>
      </c>
      <c r="J17" s="39">
        <v>0</v>
      </c>
    </row>
    <row r="18" ht="16.5" customHeight="1" spans="1:10">
      <c r="A18" s="37" t="s">
        <v>576</v>
      </c>
      <c r="B18" s="37" t="s">
        <v>21</v>
      </c>
      <c r="C18" s="37" t="s">
        <v>264</v>
      </c>
      <c r="D18" s="37" t="s">
        <v>290</v>
      </c>
      <c r="E18" s="37">
        <v>0</v>
      </c>
      <c r="F18" s="37">
        <v>0</v>
      </c>
      <c r="G18" s="38">
        <v>0</v>
      </c>
      <c r="H18" s="38">
        <v>25280</v>
      </c>
      <c r="I18" s="38">
        <v>25280</v>
      </c>
      <c r="J18" s="39">
        <v>1</v>
      </c>
    </row>
    <row r="19" ht="16.5" customHeight="1" spans="1:10">
      <c r="A19" s="37" t="s">
        <v>576</v>
      </c>
      <c r="B19" s="37" t="s">
        <v>21</v>
      </c>
      <c r="C19" s="37" t="s">
        <v>75</v>
      </c>
      <c r="D19" s="37" t="s">
        <v>203</v>
      </c>
      <c r="E19" s="37">
        <v>0</v>
      </c>
      <c r="F19" s="37">
        <v>0</v>
      </c>
      <c r="G19" s="38">
        <v>0</v>
      </c>
      <c r="H19" s="38">
        <v>20520</v>
      </c>
      <c r="I19" s="38">
        <v>16062</v>
      </c>
      <c r="J19" s="39">
        <v>0.782748538011696</v>
      </c>
    </row>
    <row r="20" ht="16.5" customHeight="1" spans="1:10">
      <c r="A20" s="37" t="s">
        <v>576</v>
      </c>
      <c r="B20" s="37" t="s">
        <v>21</v>
      </c>
      <c r="C20" s="37" t="s">
        <v>264</v>
      </c>
      <c r="D20" s="37" t="s">
        <v>265</v>
      </c>
      <c r="E20" s="37">
        <v>0</v>
      </c>
      <c r="F20" s="37">
        <v>0</v>
      </c>
      <c r="G20" s="38">
        <v>0</v>
      </c>
      <c r="H20" s="38">
        <v>65028</v>
      </c>
      <c r="I20" s="38">
        <v>15990</v>
      </c>
      <c r="J20" s="39">
        <v>0.245894076397859</v>
      </c>
    </row>
    <row r="21" ht="16.5" customHeight="1" spans="1:10">
      <c r="A21" s="37" t="s">
        <v>576</v>
      </c>
      <c r="B21" s="37" t="s">
        <v>21</v>
      </c>
      <c r="C21" s="37" t="s">
        <v>22</v>
      </c>
      <c r="D21" s="37" t="s">
        <v>39</v>
      </c>
      <c r="E21" s="37">
        <v>0</v>
      </c>
      <c r="F21" s="37">
        <v>0</v>
      </c>
      <c r="G21" s="38">
        <v>0</v>
      </c>
      <c r="H21" s="38">
        <v>64624</v>
      </c>
      <c r="I21" s="38">
        <v>33864</v>
      </c>
      <c r="J21" s="39">
        <v>0.524015845506313</v>
      </c>
    </row>
    <row r="22" ht="16.5" customHeight="1" spans="1:10">
      <c r="A22" s="37" t="s">
        <v>576</v>
      </c>
      <c r="B22" s="37" t="s">
        <v>21</v>
      </c>
      <c r="C22" s="37" t="s">
        <v>22</v>
      </c>
      <c r="D22" s="37" t="s">
        <v>36</v>
      </c>
      <c r="E22" s="37">
        <v>0</v>
      </c>
      <c r="F22" s="37">
        <v>0</v>
      </c>
      <c r="G22" s="38">
        <v>0</v>
      </c>
      <c r="H22" s="38">
        <v>5600</v>
      </c>
      <c r="I22" s="38">
        <v>0</v>
      </c>
      <c r="J22" s="39">
        <v>0</v>
      </c>
    </row>
    <row r="23" ht="16.5" customHeight="1" spans="1:10">
      <c r="A23" s="37" t="s">
        <v>576</v>
      </c>
      <c r="B23" s="37" t="s">
        <v>21</v>
      </c>
      <c r="C23" s="37" t="s">
        <v>224</v>
      </c>
      <c r="D23" s="37" t="s">
        <v>534</v>
      </c>
      <c r="E23" s="37">
        <v>0</v>
      </c>
      <c r="F23" s="37">
        <v>0</v>
      </c>
      <c r="G23" s="38">
        <v>0</v>
      </c>
      <c r="H23" s="38">
        <v>0</v>
      </c>
      <c r="I23" s="38">
        <v>0</v>
      </c>
      <c r="J23" s="39"/>
    </row>
    <row r="24" ht="16.5" customHeight="1" spans="1:10">
      <c r="A24" s="37" t="s">
        <v>576</v>
      </c>
      <c r="B24" s="37" t="s">
        <v>21</v>
      </c>
      <c r="C24" s="37" t="s">
        <v>264</v>
      </c>
      <c r="D24" s="37" t="s">
        <v>280</v>
      </c>
      <c r="E24" s="37">
        <v>0</v>
      </c>
      <c r="F24" s="37">
        <v>1</v>
      </c>
      <c r="G24" s="38">
        <v>3980</v>
      </c>
      <c r="H24" s="38">
        <v>8660</v>
      </c>
      <c r="I24" s="38">
        <v>4680</v>
      </c>
      <c r="J24" s="39">
        <v>0.540415704387991</v>
      </c>
    </row>
    <row r="25" ht="16.5" customHeight="1" spans="1:10">
      <c r="A25" s="37" t="s">
        <v>576</v>
      </c>
      <c r="B25" s="37" t="s">
        <v>21</v>
      </c>
      <c r="C25" s="37" t="s">
        <v>75</v>
      </c>
      <c r="D25" s="37" t="s">
        <v>199</v>
      </c>
      <c r="E25" s="37">
        <v>0</v>
      </c>
      <c r="F25" s="37">
        <v>1</v>
      </c>
      <c r="G25" s="38">
        <v>3980</v>
      </c>
      <c r="H25" s="38">
        <v>78690</v>
      </c>
      <c r="I25" s="38">
        <v>2580</v>
      </c>
      <c r="J25" s="39">
        <v>0.0327868852459016</v>
      </c>
    </row>
    <row r="26" ht="16.5" customHeight="1" spans="1:10">
      <c r="A26" s="37" t="s">
        <v>576</v>
      </c>
      <c r="B26" s="37" t="s">
        <v>21</v>
      </c>
      <c r="C26" s="37" t="s">
        <v>224</v>
      </c>
      <c r="D26" s="37" t="s">
        <v>536</v>
      </c>
      <c r="E26" s="37">
        <v>0</v>
      </c>
      <c r="F26" s="37">
        <v>1</v>
      </c>
      <c r="G26" s="38">
        <v>3980</v>
      </c>
      <c r="H26" s="38">
        <v>3980</v>
      </c>
      <c r="I26" s="38">
        <v>0</v>
      </c>
      <c r="J26" s="39">
        <v>0</v>
      </c>
    </row>
    <row r="27" ht="16.5" customHeight="1" spans="1:10">
      <c r="A27" s="37" t="s">
        <v>576</v>
      </c>
      <c r="B27" s="37" t="s">
        <v>21</v>
      </c>
      <c r="C27" s="37" t="s">
        <v>52</v>
      </c>
      <c r="D27" s="37" t="s">
        <v>252</v>
      </c>
      <c r="E27" s="37">
        <v>0</v>
      </c>
      <c r="F27" s="37">
        <v>0</v>
      </c>
      <c r="G27" s="38">
        <v>0</v>
      </c>
      <c r="H27" s="38">
        <v>580139</v>
      </c>
      <c r="I27" s="38">
        <v>452475</v>
      </c>
      <c r="J27" s="39">
        <v>0.779942393116133</v>
      </c>
    </row>
    <row r="28" ht="16.5" customHeight="1" spans="1:10">
      <c r="A28" s="37" t="s">
        <v>576</v>
      </c>
      <c r="B28" s="37" t="s">
        <v>21</v>
      </c>
      <c r="C28" s="37" t="s">
        <v>264</v>
      </c>
      <c r="D28" s="37" t="s">
        <v>277</v>
      </c>
      <c r="E28" s="37">
        <v>0</v>
      </c>
      <c r="F28" s="37">
        <v>0</v>
      </c>
      <c r="G28" s="38">
        <v>0</v>
      </c>
      <c r="H28" s="38">
        <v>0</v>
      </c>
      <c r="I28" s="38">
        <v>0</v>
      </c>
      <c r="J28" s="39"/>
    </row>
    <row r="29" ht="16.5" customHeight="1" spans="1:10">
      <c r="A29" s="37" t="s">
        <v>576</v>
      </c>
      <c r="B29" s="37" t="s">
        <v>21</v>
      </c>
      <c r="C29" s="37" t="s">
        <v>52</v>
      </c>
      <c r="D29" s="37" t="s">
        <v>248</v>
      </c>
      <c r="E29" s="37">
        <v>0</v>
      </c>
      <c r="F29" s="37">
        <v>0</v>
      </c>
      <c r="G29" s="38">
        <v>0</v>
      </c>
      <c r="H29" s="38">
        <v>226455</v>
      </c>
      <c r="I29" s="38">
        <v>54821</v>
      </c>
      <c r="J29" s="39">
        <v>0.24208341613124</v>
      </c>
    </row>
    <row r="30" ht="16.5" customHeight="1" spans="1:10">
      <c r="A30" s="37" t="s">
        <v>576</v>
      </c>
      <c r="B30" s="37" t="s">
        <v>21</v>
      </c>
      <c r="C30" s="37" t="s">
        <v>151</v>
      </c>
      <c r="D30" s="37" t="s">
        <v>522</v>
      </c>
      <c r="E30" s="37">
        <v>0</v>
      </c>
      <c r="F30" s="37">
        <v>0</v>
      </c>
      <c r="G30" s="38">
        <v>0</v>
      </c>
      <c r="H30" s="38">
        <v>18920</v>
      </c>
      <c r="I30" s="38">
        <v>15062</v>
      </c>
      <c r="J30" s="39">
        <v>0.796088794926004</v>
      </c>
    </row>
    <row r="31" ht="16.5" customHeight="1" spans="1:10">
      <c r="A31" s="37" t="s">
        <v>576</v>
      </c>
      <c r="B31" s="37" t="s">
        <v>21</v>
      </c>
      <c r="C31" s="37" t="s">
        <v>52</v>
      </c>
      <c r="D31" s="37" t="s">
        <v>255</v>
      </c>
      <c r="E31" s="37">
        <v>0</v>
      </c>
      <c r="F31" s="37">
        <v>1</v>
      </c>
      <c r="G31" s="38">
        <v>10007</v>
      </c>
      <c r="H31" s="38">
        <v>166147</v>
      </c>
      <c r="I31" s="38">
        <v>97500</v>
      </c>
      <c r="J31" s="39">
        <v>0.586829735114086</v>
      </c>
    </row>
    <row r="32" ht="16.5" customHeight="1" spans="1:10">
      <c r="A32" s="37" t="s">
        <v>576</v>
      </c>
      <c r="B32" s="37" t="s">
        <v>21</v>
      </c>
      <c r="C32" s="37" t="s">
        <v>151</v>
      </c>
      <c r="D32" s="37" t="s">
        <v>510</v>
      </c>
      <c r="E32" s="37">
        <v>0</v>
      </c>
      <c r="F32" s="37">
        <v>0</v>
      </c>
      <c r="G32" s="38">
        <v>0</v>
      </c>
      <c r="H32" s="38">
        <v>23680</v>
      </c>
      <c r="I32" s="38">
        <v>4030</v>
      </c>
      <c r="J32" s="39">
        <v>0.170185810810811</v>
      </c>
    </row>
    <row r="33" ht="16.5" customHeight="1" spans="1:10">
      <c r="A33" s="37" t="s">
        <v>576</v>
      </c>
      <c r="B33" s="37" t="s">
        <v>21</v>
      </c>
      <c r="C33" s="37" t="s">
        <v>264</v>
      </c>
      <c r="D33" s="37" t="s">
        <v>285</v>
      </c>
      <c r="E33" s="37">
        <v>0</v>
      </c>
      <c r="F33" s="37">
        <v>1</v>
      </c>
      <c r="G33" s="38">
        <v>3502</v>
      </c>
      <c r="H33" s="38">
        <v>9762</v>
      </c>
      <c r="I33" s="38">
        <v>3000</v>
      </c>
      <c r="J33" s="39">
        <v>0.307314074984634</v>
      </c>
    </row>
    <row r="34" ht="16.5" customHeight="1" spans="1:10">
      <c r="A34" s="37" t="s">
        <v>576</v>
      </c>
      <c r="B34" s="37" t="s">
        <v>21</v>
      </c>
      <c r="C34" s="37" t="s">
        <v>224</v>
      </c>
      <c r="D34" s="37" t="s">
        <v>541</v>
      </c>
      <c r="E34" s="37">
        <v>0</v>
      </c>
      <c r="F34" s="37">
        <v>0</v>
      </c>
      <c r="G34" s="38">
        <v>0</v>
      </c>
      <c r="H34" s="38">
        <v>0</v>
      </c>
      <c r="I34" s="38">
        <v>0</v>
      </c>
      <c r="J34" s="39"/>
    </row>
    <row r="35" ht="16.5" customHeight="1" spans="1:10">
      <c r="A35" s="37" t="s">
        <v>576</v>
      </c>
      <c r="B35" s="37" t="s">
        <v>21</v>
      </c>
      <c r="C35" s="37" t="s">
        <v>224</v>
      </c>
      <c r="D35" s="37" t="s">
        <v>545</v>
      </c>
      <c r="E35" s="37">
        <v>0</v>
      </c>
      <c r="F35" s="37">
        <v>0</v>
      </c>
      <c r="G35" s="38">
        <v>0</v>
      </c>
      <c r="H35" s="38">
        <v>57060</v>
      </c>
      <c r="I35" s="38">
        <v>3000</v>
      </c>
      <c r="J35" s="39">
        <v>0.0525762355415352</v>
      </c>
    </row>
    <row r="36" ht="16.5" customHeight="1" spans="1:10">
      <c r="A36" s="37" t="s">
        <v>576</v>
      </c>
      <c r="B36" s="37" t="s">
        <v>21</v>
      </c>
      <c r="C36" s="37" t="s">
        <v>224</v>
      </c>
      <c r="D36" s="37" t="s">
        <v>530</v>
      </c>
      <c r="E36" s="37">
        <v>0</v>
      </c>
      <c r="F36" s="37">
        <v>2</v>
      </c>
      <c r="G36" s="38">
        <v>8010</v>
      </c>
      <c r="H36" s="38">
        <v>40730</v>
      </c>
      <c r="I36" s="38">
        <v>22162</v>
      </c>
      <c r="J36" s="39">
        <v>0.544119813405352</v>
      </c>
    </row>
    <row r="37" ht="16.5" customHeight="1" spans="1:10">
      <c r="A37" s="37" t="s">
        <v>576</v>
      </c>
      <c r="B37" s="37" t="s">
        <v>21</v>
      </c>
      <c r="C37" s="37" t="s">
        <v>22</v>
      </c>
      <c r="D37" s="37" t="s">
        <v>30</v>
      </c>
      <c r="E37" s="37">
        <v>0</v>
      </c>
      <c r="F37" s="37">
        <v>0</v>
      </c>
      <c r="G37" s="38">
        <v>0</v>
      </c>
      <c r="H37" s="38">
        <v>101414</v>
      </c>
      <c r="I37" s="38">
        <v>66138</v>
      </c>
      <c r="J37" s="39">
        <v>0.652158479105449</v>
      </c>
    </row>
    <row r="38" ht="16.5" customHeight="1" spans="1:10">
      <c r="A38" s="37" t="s">
        <v>576</v>
      </c>
      <c r="B38" s="37" t="s">
        <v>21</v>
      </c>
      <c r="C38" s="37" t="s">
        <v>125</v>
      </c>
      <c r="D38" s="37" t="s">
        <v>194</v>
      </c>
      <c r="E38" s="37">
        <v>0</v>
      </c>
      <c r="F38" s="37">
        <v>0</v>
      </c>
      <c r="G38" s="38">
        <v>0</v>
      </c>
      <c r="H38" s="38">
        <v>0</v>
      </c>
      <c r="I38" s="38">
        <v>0</v>
      </c>
      <c r="J38" s="39"/>
    </row>
    <row r="39" ht="16.5" customHeight="1" spans="1:10">
      <c r="A39" s="37" t="s">
        <v>576</v>
      </c>
      <c r="B39" s="37" t="s">
        <v>21</v>
      </c>
      <c r="C39" s="37" t="s">
        <v>224</v>
      </c>
      <c r="D39" s="37" t="s">
        <v>539</v>
      </c>
      <c r="E39" s="37">
        <v>0</v>
      </c>
      <c r="F39" s="37">
        <v>0</v>
      </c>
      <c r="G39" s="38">
        <v>0</v>
      </c>
      <c r="H39" s="38">
        <v>21920</v>
      </c>
      <c r="I39" s="38">
        <v>0</v>
      </c>
      <c r="J39" s="39">
        <v>0</v>
      </c>
    </row>
    <row r="40" ht="16.5" customHeight="1" spans="1:10">
      <c r="A40" s="37" t="s">
        <v>576</v>
      </c>
      <c r="B40" s="37" t="s">
        <v>21</v>
      </c>
      <c r="C40" s="37" t="s">
        <v>151</v>
      </c>
      <c r="D40" s="37" t="s">
        <v>516</v>
      </c>
      <c r="E40" s="37">
        <v>0</v>
      </c>
      <c r="F40" s="37">
        <v>0</v>
      </c>
      <c r="G40" s="38">
        <v>0</v>
      </c>
      <c r="H40" s="38">
        <v>48880</v>
      </c>
      <c r="I40" s="38">
        <v>31180</v>
      </c>
      <c r="J40" s="39">
        <v>0.637888707037643</v>
      </c>
    </row>
    <row r="41" ht="16.5" customHeight="1" spans="1:10">
      <c r="A41" s="37" t="s">
        <v>576</v>
      </c>
      <c r="B41" s="37" t="s">
        <v>21</v>
      </c>
      <c r="C41" s="37" t="s">
        <v>125</v>
      </c>
      <c r="D41" s="37" t="s">
        <v>180</v>
      </c>
      <c r="E41" s="37">
        <v>0</v>
      </c>
      <c r="F41" s="37">
        <v>0</v>
      </c>
      <c r="G41" s="38">
        <v>0</v>
      </c>
      <c r="H41" s="38">
        <v>0</v>
      </c>
      <c r="I41" s="38">
        <v>0</v>
      </c>
      <c r="J41" s="39"/>
    </row>
    <row r="42" ht="16.5" customHeight="1" spans="1:10">
      <c r="A42" s="37" t="s">
        <v>576</v>
      </c>
      <c r="B42" s="37" t="s">
        <v>21</v>
      </c>
      <c r="C42" s="37" t="s">
        <v>125</v>
      </c>
      <c r="D42" s="37" t="s">
        <v>183</v>
      </c>
      <c r="E42" s="37">
        <v>0</v>
      </c>
      <c r="F42" s="37">
        <v>0</v>
      </c>
      <c r="G42" s="38">
        <v>0</v>
      </c>
      <c r="H42" s="38">
        <v>0</v>
      </c>
      <c r="I42" s="38">
        <v>0</v>
      </c>
      <c r="J42" s="39"/>
    </row>
    <row r="43" ht="16.5" customHeight="1" spans="1:10">
      <c r="A43" s="37" t="s">
        <v>576</v>
      </c>
      <c r="B43" s="37" t="s">
        <v>21</v>
      </c>
      <c r="C43" s="37" t="s">
        <v>151</v>
      </c>
      <c r="D43" s="37" t="s">
        <v>524</v>
      </c>
      <c r="E43" s="37">
        <v>0</v>
      </c>
      <c r="F43" s="37">
        <v>0</v>
      </c>
      <c r="G43" s="38">
        <v>0</v>
      </c>
      <c r="H43" s="38">
        <v>13640</v>
      </c>
      <c r="I43" s="38">
        <v>9740</v>
      </c>
      <c r="J43" s="39">
        <v>0.714076246334311</v>
      </c>
    </row>
    <row r="44" ht="16.5" customHeight="1" spans="1:10">
      <c r="A44" s="37" t="s">
        <v>576</v>
      </c>
      <c r="B44" s="37" t="s">
        <v>21</v>
      </c>
      <c r="C44" s="37" t="s">
        <v>75</v>
      </c>
      <c r="D44" s="37" t="s">
        <v>222</v>
      </c>
      <c r="E44" s="37">
        <v>0</v>
      </c>
      <c r="F44" s="37">
        <v>0</v>
      </c>
      <c r="G44" s="38">
        <v>0</v>
      </c>
      <c r="H44" s="38">
        <v>12540</v>
      </c>
      <c r="I44" s="38">
        <v>4580</v>
      </c>
      <c r="J44" s="39">
        <v>0.365231259968102</v>
      </c>
    </row>
    <row r="45" ht="16.5" customHeight="1" spans="1:10">
      <c r="A45" s="37" t="s">
        <v>576</v>
      </c>
      <c r="B45" s="37" t="s">
        <v>21</v>
      </c>
      <c r="C45" s="37" t="s">
        <v>151</v>
      </c>
      <c r="D45" s="37" t="s">
        <v>499</v>
      </c>
      <c r="E45" s="37">
        <v>0</v>
      </c>
      <c r="F45" s="37">
        <v>0</v>
      </c>
      <c r="G45" s="38">
        <v>0</v>
      </c>
      <c r="H45" s="38">
        <v>10580</v>
      </c>
      <c r="I45" s="38">
        <v>0</v>
      </c>
      <c r="J45" s="39">
        <v>0</v>
      </c>
    </row>
    <row r="46" ht="16.5" customHeight="1" spans="1:10">
      <c r="A46" s="37" t="s">
        <v>576</v>
      </c>
      <c r="B46" s="37" t="s">
        <v>21</v>
      </c>
      <c r="C46" s="37" t="s">
        <v>125</v>
      </c>
      <c r="D46" s="37" t="s">
        <v>191</v>
      </c>
      <c r="E46" s="37">
        <v>0</v>
      </c>
      <c r="F46" s="37">
        <v>0</v>
      </c>
      <c r="G46" s="38">
        <v>0</v>
      </c>
      <c r="H46" s="38">
        <v>3380</v>
      </c>
      <c r="I46" s="38">
        <v>0</v>
      </c>
      <c r="J46" s="39">
        <v>0</v>
      </c>
    </row>
    <row r="47" ht="16.5" customHeight="1" spans="1:10">
      <c r="A47" s="37" t="s">
        <v>576</v>
      </c>
      <c r="B47" s="37" t="s">
        <v>21</v>
      </c>
      <c r="C47" s="37" t="s">
        <v>125</v>
      </c>
      <c r="D47" s="37" t="s">
        <v>197</v>
      </c>
      <c r="E47" s="37">
        <v>0</v>
      </c>
      <c r="F47" s="37">
        <v>0</v>
      </c>
      <c r="G47" s="38">
        <v>0</v>
      </c>
      <c r="H47" s="38">
        <v>0</v>
      </c>
      <c r="I47" s="38">
        <v>0</v>
      </c>
      <c r="J47" s="39"/>
    </row>
    <row r="48" ht="16.5" customHeight="1" spans="1:10">
      <c r="A48" s="37" t="s">
        <v>576</v>
      </c>
      <c r="B48" s="37" t="s">
        <v>21</v>
      </c>
      <c r="C48" s="37" t="s">
        <v>264</v>
      </c>
      <c r="D48" s="37" t="s">
        <v>269</v>
      </c>
      <c r="E48" s="37">
        <v>0</v>
      </c>
      <c r="F48" s="37">
        <v>1</v>
      </c>
      <c r="G48" s="38">
        <v>3980</v>
      </c>
      <c r="H48" s="38">
        <v>18540</v>
      </c>
      <c r="I48" s="38">
        <v>0</v>
      </c>
      <c r="J48" s="39">
        <v>0</v>
      </c>
    </row>
    <row r="49" ht="16.5" customHeight="1" spans="1:10">
      <c r="A49" s="37" t="s">
        <v>576</v>
      </c>
      <c r="B49" s="37" t="s">
        <v>21</v>
      </c>
      <c r="C49" s="37" t="s">
        <v>22</v>
      </c>
      <c r="D49" s="37" t="s">
        <v>33</v>
      </c>
      <c r="E49" s="37">
        <v>1</v>
      </c>
      <c r="F49" s="37">
        <v>0</v>
      </c>
      <c r="G49" s="38">
        <v>0</v>
      </c>
      <c r="H49" s="38">
        <v>30200</v>
      </c>
      <c r="I49" s="38">
        <v>21080</v>
      </c>
      <c r="J49" s="39">
        <v>0.698013245033113</v>
      </c>
    </row>
    <row r="50" ht="16.5" customHeight="1" spans="1:10">
      <c r="A50" s="37" t="s">
        <v>576</v>
      </c>
      <c r="B50" s="37" t="s">
        <v>21</v>
      </c>
      <c r="C50" s="37" t="s">
        <v>75</v>
      </c>
      <c r="D50" s="37" t="s">
        <v>212</v>
      </c>
      <c r="E50" s="37">
        <v>0</v>
      </c>
      <c r="F50" s="37">
        <v>0</v>
      </c>
      <c r="G50" s="38">
        <v>0</v>
      </c>
      <c r="H50" s="38">
        <v>17720</v>
      </c>
      <c r="I50" s="38">
        <v>0</v>
      </c>
      <c r="J50" s="39">
        <v>0</v>
      </c>
    </row>
    <row r="51" ht="16.5" customHeight="1" spans="1:10">
      <c r="A51" s="37" t="s">
        <v>576</v>
      </c>
      <c r="B51" s="37" t="s">
        <v>21</v>
      </c>
      <c r="C51" s="37" t="s">
        <v>22</v>
      </c>
      <c r="D51" s="37" t="s">
        <v>42</v>
      </c>
      <c r="E51" s="37">
        <v>0</v>
      </c>
      <c r="F51" s="37">
        <v>0</v>
      </c>
      <c r="G51" s="38">
        <v>0</v>
      </c>
      <c r="H51" s="38">
        <v>4980</v>
      </c>
      <c r="I51" s="38">
        <v>4980</v>
      </c>
      <c r="J51" s="39">
        <v>1</v>
      </c>
    </row>
    <row r="52" ht="16.5" customHeight="1" spans="1:10">
      <c r="A52" s="37" t="s">
        <v>576</v>
      </c>
      <c r="B52" s="37" t="s">
        <v>21</v>
      </c>
      <c r="C52" s="37" t="s">
        <v>75</v>
      </c>
      <c r="D52" s="37" t="s">
        <v>215</v>
      </c>
      <c r="E52" s="37">
        <v>0</v>
      </c>
      <c r="F52" s="37">
        <v>0</v>
      </c>
      <c r="G52" s="38">
        <v>0</v>
      </c>
      <c r="H52" s="38">
        <v>10240</v>
      </c>
      <c r="I52" s="38">
        <v>1680</v>
      </c>
      <c r="J52" s="39">
        <v>0.1640625</v>
      </c>
    </row>
    <row r="53" ht="16.5" customHeight="1" spans="1:10">
      <c r="A53" s="37" t="s">
        <v>576</v>
      </c>
      <c r="B53" s="37" t="s">
        <v>21</v>
      </c>
      <c r="C53" s="37" t="s">
        <v>151</v>
      </c>
      <c r="D53" s="37" t="s">
        <v>514</v>
      </c>
      <c r="E53" s="37">
        <v>0</v>
      </c>
      <c r="F53" s="37">
        <v>0</v>
      </c>
      <c r="G53" s="38">
        <v>0</v>
      </c>
      <c r="H53" s="38">
        <v>0</v>
      </c>
      <c r="I53" s="38">
        <v>0</v>
      </c>
      <c r="J53" s="39"/>
    </row>
    <row r="54" ht="16.5" customHeight="1" spans="1:10">
      <c r="A54" s="37" t="s">
        <v>576</v>
      </c>
      <c r="B54" s="37" t="s">
        <v>21</v>
      </c>
      <c r="C54" s="37" t="s">
        <v>224</v>
      </c>
      <c r="D54" s="37" t="s">
        <v>527</v>
      </c>
      <c r="E54" s="37">
        <v>0</v>
      </c>
      <c r="F54" s="37">
        <v>0</v>
      </c>
      <c r="G54" s="38">
        <v>0</v>
      </c>
      <c r="H54" s="38">
        <v>11960</v>
      </c>
      <c r="I54" s="38">
        <v>3000</v>
      </c>
      <c r="J54" s="39">
        <v>0.250836120401338</v>
      </c>
    </row>
    <row r="55" ht="16.5" customHeight="1" spans="1:10">
      <c r="A55" s="37" t="s">
        <v>576</v>
      </c>
      <c r="B55" s="37" t="s">
        <v>21</v>
      </c>
      <c r="C55" s="37" t="s">
        <v>52</v>
      </c>
      <c r="D55" s="37" t="s">
        <v>261</v>
      </c>
      <c r="E55" s="37">
        <v>0</v>
      </c>
      <c r="F55" s="37">
        <v>0</v>
      </c>
      <c r="G55" s="38">
        <v>0</v>
      </c>
      <c r="H55" s="38">
        <v>79808</v>
      </c>
      <c r="I55" s="38">
        <v>45688</v>
      </c>
      <c r="J55" s="39">
        <v>0.57247393744988</v>
      </c>
    </row>
    <row r="56" ht="16.5" customHeight="1" spans="1:10">
      <c r="A56" s="37" t="s">
        <v>576</v>
      </c>
      <c r="B56" s="37" t="s">
        <v>21</v>
      </c>
      <c r="C56" s="37" t="s">
        <v>75</v>
      </c>
      <c r="D56" s="37" t="s">
        <v>217</v>
      </c>
      <c r="E56" s="37">
        <v>0</v>
      </c>
      <c r="F56" s="37">
        <v>0</v>
      </c>
      <c r="G56" s="38">
        <v>0</v>
      </c>
      <c r="H56" s="38">
        <v>0</v>
      </c>
      <c r="I56" s="38">
        <v>0</v>
      </c>
      <c r="J56" s="39"/>
    </row>
    <row r="57" ht="16.5" customHeight="1" spans="1:10">
      <c r="A57" s="37" t="s">
        <v>576</v>
      </c>
      <c r="B57" s="37" t="s">
        <v>21</v>
      </c>
      <c r="C57" s="37" t="s">
        <v>151</v>
      </c>
      <c r="D57" s="37" t="s">
        <v>519</v>
      </c>
      <c r="E57" s="37">
        <v>0</v>
      </c>
      <c r="F57" s="37">
        <v>0</v>
      </c>
      <c r="G57" s="38">
        <v>0</v>
      </c>
      <c r="H57" s="38">
        <v>25550</v>
      </c>
      <c r="I57" s="38">
        <v>6610</v>
      </c>
      <c r="J57" s="39">
        <v>0.258708414872798</v>
      </c>
    </row>
    <row r="58" ht="16.5" customHeight="1" spans="1:10">
      <c r="A58" s="37" t="s">
        <v>576</v>
      </c>
      <c r="B58" s="37" t="s">
        <v>21</v>
      </c>
      <c r="C58" s="37" t="s">
        <v>52</v>
      </c>
      <c r="D58" s="37" t="s">
        <v>258</v>
      </c>
      <c r="E58" s="37">
        <v>0</v>
      </c>
      <c r="F58" s="37">
        <v>0</v>
      </c>
      <c r="G58" s="38">
        <v>0</v>
      </c>
      <c r="H58" s="38">
        <v>4080</v>
      </c>
      <c r="I58" s="38">
        <v>0</v>
      </c>
      <c r="J58" s="39">
        <v>0</v>
      </c>
    </row>
    <row r="59" ht="16.5" customHeight="1" spans="1:10">
      <c r="A59" s="37" t="s">
        <v>576</v>
      </c>
      <c r="B59" s="37" t="s">
        <v>21</v>
      </c>
      <c r="C59" s="37" t="s">
        <v>151</v>
      </c>
      <c r="D59" s="37" t="s">
        <v>505</v>
      </c>
      <c r="E59" s="37">
        <v>0</v>
      </c>
      <c r="F59" s="37">
        <v>0</v>
      </c>
      <c r="G59" s="38">
        <v>0</v>
      </c>
      <c r="H59" s="38">
        <v>0</v>
      </c>
      <c r="I59" s="38">
        <v>0</v>
      </c>
      <c r="J59" s="39"/>
    </row>
    <row r="60" ht="16.5" customHeight="1" spans="1:10">
      <c r="A60" s="37" t="s">
        <v>576</v>
      </c>
      <c r="B60" s="37" t="s">
        <v>21</v>
      </c>
      <c r="C60" s="37" t="s">
        <v>125</v>
      </c>
      <c r="D60" s="37" t="s">
        <v>189</v>
      </c>
      <c r="E60" s="37">
        <v>0</v>
      </c>
      <c r="F60" s="37">
        <v>0</v>
      </c>
      <c r="G60" s="38">
        <v>0</v>
      </c>
      <c r="H60" s="38">
        <v>2640</v>
      </c>
      <c r="I60" s="38">
        <v>0</v>
      </c>
      <c r="J60" s="39">
        <v>0</v>
      </c>
    </row>
    <row r="61" ht="16.5" customHeight="1" spans="1:10">
      <c r="A61" s="37" t="s">
        <v>576</v>
      </c>
      <c r="B61" s="37" t="s">
        <v>21</v>
      </c>
      <c r="C61" s="37" t="s">
        <v>75</v>
      </c>
      <c r="D61" s="37" t="s">
        <v>206</v>
      </c>
      <c r="E61" s="37">
        <v>0</v>
      </c>
      <c r="F61" s="37">
        <v>3</v>
      </c>
      <c r="G61" s="38">
        <v>11512</v>
      </c>
      <c r="H61" s="38">
        <v>90452</v>
      </c>
      <c r="I61" s="38">
        <v>4580</v>
      </c>
      <c r="J61" s="39">
        <v>0.050634590722151</v>
      </c>
    </row>
    <row r="62" ht="16.5" customHeight="1" spans="1:10">
      <c r="A62" s="37" t="s">
        <v>576</v>
      </c>
      <c r="B62" s="37" t="s">
        <v>21</v>
      </c>
      <c r="C62" s="37" t="s">
        <v>125</v>
      </c>
      <c r="D62" s="37" t="s">
        <v>177</v>
      </c>
      <c r="E62" s="37">
        <v>0</v>
      </c>
      <c r="F62" s="37">
        <v>0</v>
      </c>
      <c r="G62" s="38">
        <v>0</v>
      </c>
      <c r="H62" s="38">
        <v>4980</v>
      </c>
      <c r="I62" s="38">
        <v>0</v>
      </c>
      <c r="J62" s="39">
        <v>0</v>
      </c>
    </row>
    <row r="63" ht="16.5" customHeight="1" spans="1:10">
      <c r="A63" s="37" t="s">
        <v>576</v>
      </c>
      <c r="B63" s="37" t="s">
        <v>21</v>
      </c>
      <c r="C63" s="37" t="s">
        <v>151</v>
      </c>
      <c r="D63" s="37" t="s">
        <v>507</v>
      </c>
      <c r="E63" s="37">
        <v>0</v>
      </c>
      <c r="F63" s="37">
        <v>0</v>
      </c>
      <c r="G63" s="38">
        <v>0</v>
      </c>
      <c r="H63" s="38">
        <v>0</v>
      </c>
      <c r="I63" s="38">
        <v>0</v>
      </c>
      <c r="J63" s="39"/>
    </row>
    <row r="64" ht="16.5" customHeight="1" spans="1:10">
      <c r="A64" s="37" t="s">
        <v>576</v>
      </c>
      <c r="B64" s="37" t="s">
        <v>21</v>
      </c>
      <c r="C64" s="37" t="s">
        <v>22</v>
      </c>
      <c r="D64" s="37" t="s">
        <v>27</v>
      </c>
      <c r="E64" s="37">
        <v>0</v>
      </c>
      <c r="F64" s="37">
        <v>0</v>
      </c>
      <c r="G64" s="38">
        <v>0</v>
      </c>
      <c r="H64" s="38">
        <v>161400</v>
      </c>
      <c r="I64" s="38">
        <v>202840</v>
      </c>
      <c r="J64" s="39">
        <v>1.25675340768278</v>
      </c>
    </row>
    <row r="65" ht="16.5" customHeight="1" spans="1:10">
      <c r="A65" s="37" t="s">
        <v>576</v>
      </c>
      <c r="B65" s="37" t="s">
        <v>577</v>
      </c>
      <c r="C65" s="37" t="s">
        <v>224</v>
      </c>
      <c r="D65" s="37" t="s">
        <v>830</v>
      </c>
      <c r="E65" s="37">
        <v>0</v>
      </c>
      <c r="F65" s="37">
        <v>0</v>
      </c>
      <c r="G65" s="38">
        <v>0</v>
      </c>
      <c r="H65" s="38">
        <v>0</v>
      </c>
      <c r="I65" s="38">
        <v>0</v>
      </c>
      <c r="J65" s="39"/>
    </row>
    <row r="66" ht="16.5" customHeight="1" spans="1:10">
      <c r="A66" s="37" t="s">
        <v>576</v>
      </c>
      <c r="B66" s="37" t="s">
        <v>577</v>
      </c>
      <c r="C66" s="37" t="s">
        <v>125</v>
      </c>
      <c r="D66" s="37" t="s">
        <v>831</v>
      </c>
      <c r="E66" s="37">
        <v>0</v>
      </c>
      <c r="F66" s="37">
        <v>0</v>
      </c>
      <c r="G66" s="38">
        <v>0</v>
      </c>
      <c r="H66" s="38">
        <v>9000</v>
      </c>
      <c r="I66" s="38">
        <v>0</v>
      </c>
      <c r="J66" s="39">
        <v>0</v>
      </c>
    </row>
    <row r="67" ht="16.5" customHeight="1" spans="1:10">
      <c r="A67" s="37" t="s">
        <v>576</v>
      </c>
      <c r="B67" s="37" t="s">
        <v>577</v>
      </c>
      <c r="C67" s="37" t="s">
        <v>22</v>
      </c>
      <c r="D67" s="37" t="s">
        <v>620</v>
      </c>
      <c r="E67" s="37">
        <v>0</v>
      </c>
      <c r="F67" s="37">
        <v>0</v>
      </c>
      <c r="G67" s="38">
        <v>0</v>
      </c>
      <c r="H67" s="38">
        <v>114728</v>
      </c>
      <c r="I67" s="38">
        <v>51684</v>
      </c>
      <c r="J67" s="39">
        <v>0.450491597517607</v>
      </c>
    </row>
    <row r="68" ht="16.5" customHeight="1" spans="1:10">
      <c r="A68" s="37" t="s">
        <v>576</v>
      </c>
      <c r="B68" s="37" t="s">
        <v>577</v>
      </c>
      <c r="C68" s="37" t="s">
        <v>264</v>
      </c>
      <c r="D68" s="37" t="s">
        <v>607</v>
      </c>
      <c r="E68" s="37">
        <v>0</v>
      </c>
      <c r="F68" s="37">
        <v>0</v>
      </c>
      <c r="G68" s="38">
        <v>0</v>
      </c>
      <c r="H68" s="38">
        <v>32504</v>
      </c>
      <c r="I68" s="38">
        <v>13978</v>
      </c>
      <c r="J68" s="39">
        <v>0.430039379768644</v>
      </c>
    </row>
    <row r="69" ht="16.5" customHeight="1" spans="1:10">
      <c r="A69" s="37" t="s">
        <v>576</v>
      </c>
      <c r="B69" s="37" t="s">
        <v>577</v>
      </c>
      <c r="C69" s="37" t="s">
        <v>75</v>
      </c>
      <c r="D69" s="37" t="s">
        <v>832</v>
      </c>
      <c r="E69" s="37">
        <v>0</v>
      </c>
      <c r="F69" s="37">
        <v>0</v>
      </c>
      <c r="G69" s="38">
        <v>0</v>
      </c>
      <c r="H69" s="38">
        <v>14120</v>
      </c>
      <c r="I69" s="38">
        <v>13714</v>
      </c>
      <c r="J69" s="39">
        <v>0.971246458923513</v>
      </c>
    </row>
    <row r="70" ht="16.5" customHeight="1" spans="1:10">
      <c r="A70" s="37" t="s">
        <v>576</v>
      </c>
      <c r="B70" s="37" t="s">
        <v>577</v>
      </c>
      <c r="C70" s="37" t="s">
        <v>75</v>
      </c>
      <c r="D70" s="37" t="s">
        <v>594</v>
      </c>
      <c r="E70" s="37">
        <v>0</v>
      </c>
      <c r="F70" s="37">
        <v>0</v>
      </c>
      <c r="G70" s="38">
        <v>0</v>
      </c>
      <c r="H70" s="38">
        <v>10328</v>
      </c>
      <c r="I70" s="38">
        <v>2974</v>
      </c>
      <c r="J70" s="39">
        <v>0.287955073586367</v>
      </c>
    </row>
    <row r="71" ht="16.5" customHeight="1" spans="1:10">
      <c r="A71" s="37" t="s">
        <v>576</v>
      </c>
      <c r="B71" s="37" t="s">
        <v>577</v>
      </c>
      <c r="C71" s="37" t="s">
        <v>125</v>
      </c>
      <c r="D71" s="37" t="s">
        <v>833</v>
      </c>
      <c r="E71" s="37">
        <v>0</v>
      </c>
      <c r="F71" s="37">
        <v>0</v>
      </c>
      <c r="G71" s="38">
        <v>0</v>
      </c>
      <c r="H71" s="38">
        <v>0</v>
      </c>
      <c r="I71" s="38">
        <v>0</v>
      </c>
      <c r="J71" s="39"/>
    </row>
    <row r="72" ht="16.5" customHeight="1" spans="1:10">
      <c r="A72" s="37" t="s">
        <v>576</v>
      </c>
      <c r="B72" s="37" t="s">
        <v>577</v>
      </c>
      <c r="C72" s="37" t="s">
        <v>264</v>
      </c>
      <c r="D72" s="37" t="s">
        <v>611</v>
      </c>
      <c r="E72" s="37">
        <v>0</v>
      </c>
      <c r="F72" s="37">
        <v>1</v>
      </c>
      <c r="G72" s="38">
        <v>2974</v>
      </c>
      <c r="H72" s="38">
        <v>9328</v>
      </c>
      <c r="I72" s="38">
        <v>5948</v>
      </c>
      <c r="J72" s="39">
        <v>0.637650085763293</v>
      </c>
    </row>
    <row r="73" ht="16.5" customHeight="1" spans="1:10">
      <c r="A73" s="37" t="s">
        <v>576</v>
      </c>
      <c r="B73" s="37" t="s">
        <v>577</v>
      </c>
      <c r="C73" s="37" t="s">
        <v>224</v>
      </c>
      <c r="D73" s="37" t="s">
        <v>602</v>
      </c>
      <c r="E73" s="37">
        <v>0</v>
      </c>
      <c r="F73" s="37">
        <v>0</v>
      </c>
      <c r="G73" s="38">
        <v>0</v>
      </c>
      <c r="H73" s="38">
        <v>15120</v>
      </c>
      <c r="I73" s="38">
        <v>3380</v>
      </c>
      <c r="J73" s="39">
        <v>0.223544973544974</v>
      </c>
    </row>
    <row r="74" ht="16.5" customHeight="1" spans="1:10">
      <c r="A74" s="37" t="s">
        <v>576</v>
      </c>
      <c r="B74" s="37" t="s">
        <v>577</v>
      </c>
      <c r="C74" s="37" t="s">
        <v>224</v>
      </c>
      <c r="D74" s="37" t="s">
        <v>834</v>
      </c>
      <c r="E74" s="37">
        <v>0</v>
      </c>
      <c r="F74" s="37">
        <v>0</v>
      </c>
      <c r="G74" s="38">
        <v>0</v>
      </c>
      <c r="H74" s="38">
        <v>31840</v>
      </c>
      <c r="I74" s="38">
        <v>0</v>
      </c>
      <c r="J74" s="39">
        <v>0</v>
      </c>
    </row>
    <row r="75" ht="16.5" customHeight="1" spans="1:10">
      <c r="A75" s="37" t="s">
        <v>576</v>
      </c>
      <c r="B75" s="37" t="s">
        <v>577</v>
      </c>
      <c r="C75" s="37" t="s">
        <v>75</v>
      </c>
      <c r="D75" s="37" t="s">
        <v>591</v>
      </c>
      <c r="E75" s="37">
        <v>0</v>
      </c>
      <c r="F75" s="37">
        <v>0</v>
      </c>
      <c r="G75" s="38">
        <v>0</v>
      </c>
      <c r="H75" s="38">
        <v>25048</v>
      </c>
      <c r="I75" s="38">
        <v>16688</v>
      </c>
      <c r="J75" s="39">
        <v>0.66624081763015</v>
      </c>
    </row>
    <row r="76" ht="16.5" customHeight="1" spans="1:10">
      <c r="A76" s="37" t="s">
        <v>576</v>
      </c>
      <c r="B76" s="37" t="s">
        <v>577</v>
      </c>
      <c r="C76" s="37" t="s">
        <v>52</v>
      </c>
      <c r="D76" s="37" t="s">
        <v>583</v>
      </c>
      <c r="E76" s="37">
        <v>0</v>
      </c>
      <c r="F76" s="37">
        <v>0</v>
      </c>
      <c r="G76" s="38">
        <v>0</v>
      </c>
      <c r="H76" s="38">
        <v>0</v>
      </c>
      <c r="I76" s="38">
        <v>0</v>
      </c>
      <c r="J76" s="39"/>
    </row>
    <row r="77" ht="16.5" customHeight="1" spans="1:10">
      <c r="A77" s="37" t="s">
        <v>576</v>
      </c>
      <c r="B77" s="37" t="s">
        <v>577</v>
      </c>
      <c r="C77" s="37" t="s">
        <v>224</v>
      </c>
      <c r="D77" s="37" t="s">
        <v>601</v>
      </c>
      <c r="E77" s="37">
        <v>0</v>
      </c>
      <c r="F77" s="37">
        <v>0</v>
      </c>
      <c r="G77" s="38">
        <v>0</v>
      </c>
      <c r="H77" s="38">
        <v>0</v>
      </c>
      <c r="I77" s="38">
        <v>0</v>
      </c>
      <c r="J77" s="39"/>
    </row>
    <row r="78" ht="16.5" customHeight="1" spans="1:10">
      <c r="A78" s="37" t="s">
        <v>576</v>
      </c>
      <c r="B78" s="37" t="s">
        <v>577</v>
      </c>
      <c r="C78" s="37" t="s">
        <v>125</v>
      </c>
      <c r="D78" s="37" t="s">
        <v>835</v>
      </c>
      <c r="E78" s="37">
        <v>0</v>
      </c>
      <c r="F78" s="37">
        <v>0</v>
      </c>
      <c r="G78" s="38">
        <v>0</v>
      </c>
      <c r="H78" s="38">
        <v>0</v>
      </c>
      <c r="I78" s="38">
        <v>0</v>
      </c>
      <c r="J78" s="39"/>
    </row>
    <row r="79" ht="16.5" customHeight="1" spans="1:10">
      <c r="A79" s="37" t="s">
        <v>576</v>
      </c>
      <c r="B79" s="37" t="s">
        <v>577</v>
      </c>
      <c r="C79" s="37" t="s">
        <v>224</v>
      </c>
      <c r="D79" s="37" t="s">
        <v>604</v>
      </c>
      <c r="E79" s="37">
        <v>0</v>
      </c>
      <c r="F79" s="37">
        <v>0</v>
      </c>
      <c r="G79" s="38">
        <v>0</v>
      </c>
      <c r="H79" s="38">
        <v>3980</v>
      </c>
      <c r="I79" s="38">
        <v>0</v>
      </c>
      <c r="J79" s="39">
        <v>0</v>
      </c>
    </row>
    <row r="80" ht="16.5" customHeight="1" spans="1:10">
      <c r="A80" s="37" t="s">
        <v>576</v>
      </c>
      <c r="B80" s="37" t="s">
        <v>577</v>
      </c>
      <c r="C80" s="37" t="s">
        <v>264</v>
      </c>
      <c r="D80" s="37" t="s">
        <v>438</v>
      </c>
      <c r="E80" s="37">
        <v>0</v>
      </c>
      <c r="F80" s="37">
        <v>0</v>
      </c>
      <c r="G80" s="38">
        <v>0</v>
      </c>
      <c r="H80" s="38">
        <v>114900</v>
      </c>
      <c r="I80" s="38">
        <v>2974</v>
      </c>
      <c r="J80" s="39">
        <v>0.0258833768494343</v>
      </c>
    </row>
    <row r="81" ht="16.5" customHeight="1" spans="1:10">
      <c r="A81" s="37" t="s">
        <v>576</v>
      </c>
      <c r="B81" s="37" t="s">
        <v>577</v>
      </c>
      <c r="C81" s="37" t="s">
        <v>264</v>
      </c>
      <c r="D81" s="37" t="s">
        <v>610</v>
      </c>
      <c r="E81" s="37">
        <v>0</v>
      </c>
      <c r="F81" s="37">
        <v>1</v>
      </c>
      <c r="G81" s="38">
        <v>22800</v>
      </c>
      <c r="H81" s="38">
        <v>73800</v>
      </c>
      <c r="I81" s="38">
        <v>13642</v>
      </c>
      <c r="J81" s="39">
        <v>0.184850948509485</v>
      </c>
    </row>
    <row r="82" ht="16.5" customHeight="1" spans="1:10">
      <c r="A82" s="37" t="s">
        <v>576</v>
      </c>
      <c r="B82" s="37" t="s">
        <v>577</v>
      </c>
      <c r="C82" s="37" t="s">
        <v>75</v>
      </c>
      <c r="D82" s="37" t="s">
        <v>595</v>
      </c>
      <c r="E82" s="37">
        <v>0</v>
      </c>
      <c r="F82" s="37">
        <v>1</v>
      </c>
      <c r="G82" s="38">
        <v>3380</v>
      </c>
      <c r="H82" s="38">
        <v>13714</v>
      </c>
      <c r="I82" s="38">
        <v>6354</v>
      </c>
      <c r="J82" s="39">
        <v>0.463322152544845</v>
      </c>
    </row>
    <row r="83" ht="16.5" customHeight="1" spans="1:10">
      <c r="A83" s="37" t="s">
        <v>576</v>
      </c>
      <c r="B83" s="37" t="s">
        <v>577</v>
      </c>
      <c r="C83" s="37" t="s">
        <v>75</v>
      </c>
      <c r="D83" s="37" t="s">
        <v>590</v>
      </c>
      <c r="E83" s="37">
        <v>0</v>
      </c>
      <c r="F83" s="37">
        <v>1</v>
      </c>
      <c r="G83" s="38">
        <v>3380</v>
      </c>
      <c r="H83" s="38">
        <v>13520</v>
      </c>
      <c r="I83" s="38">
        <v>6354</v>
      </c>
      <c r="J83" s="39">
        <v>0.469970414201183</v>
      </c>
    </row>
    <row r="84" ht="16.5" customHeight="1" spans="1:10">
      <c r="A84" s="37" t="s">
        <v>576</v>
      </c>
      <c r="B84" s="37" t="s">
        <v>577</v>
      </c>
      <c r="C84" s="37" t="s">
        <v>264</v>
      </c>
      <c r="D84" s="37" t="s">
        <v>613</v>
      </c>
      <c r="E84" s="37">
        <v>0</v>
      </c>
      <c r="F84" s="37">
        <v>0</v>
      </c>
      <c r="G84" s="38">
        <v>0</v>
      </c>
      <c r="H84" s="38">
        <v>11740</v>
      </c>
      <c r="I84" s="38">
        <v>0</v>
      </c>
      <c r="J84" s="39">
        <v>0</v>
      </c>
    </row>
    <row r="85" ht="16.5" customHeight="1" spans="1:10">
      <c r="A85" s="37" t="s">
        <v>576</v>
      </c>
      <c r="B85" s="37" t="s">
        <v>577</v>
      </c>
      <c r="C85" s="37" t="s">
        <v>102</v>
      </c>
      <c r="D85" s="37" t="s">
        <v>579</v>
      </c>
      <c r="E85" s="37">
        <v>0</v>
      </c>
      <c r="F85" s="37">
        <v>0</v>
      </c>
      <c r="G85" s="38">
        <v>0</v>
      </c>
      <c r="H85" s="38">
        <v>4048</v>
      </c>
      <c r="I85" s="38">
        <v>0</v>
      </c>
      <c r="J85" s="39">
        <v>0</v>
      </c>
    </row>
    <row r="86" ht="16.5" customHeight="1" spans="1:10">
      <c r="A86" s="37" t="s">
        <v>576</v>
      </c>
      <c r="B86" s="37" t="s">
        <v>577</v>
      </c>
      <c r="C86" s="37" t="s">
        <v>224</v>
      </c>
      <c r="D86" s="37" t="s">
        <v>598</v>
      </c>
      <c r="E86" s="37">
        <v>0</v>
      </c>
      <c r="F86" s="37">
        <v>0</v>
      </c>
      <c r="G86" s="38">
        <v>0</v>
      </c>
      <c r="H86" s="38">
        <v>43860</v>
      </c>
      <c r="I86" s="38">
        <v>33000</v>
      </c>
      <c r="J86" s="39">
        <v>0.752393980848153</v>
      </c>
    </row>
    <row r="87" ht="16.5" customHeight="1" spans="1:10">
      <c r="A87" s="37" t="s">
        <v>576</v>
      </c>
      <c r="B87" s="37" t="s">
        <v>577</v>
      </c>
      <c r="C87" s="37" t="s">
        <v>264</v>
      </c>
      <c r="D87" s="37" t="s">
        <v>608</v>
      </c>
      <c r="E87" s="37">
        <v>0</v>
      </c>
      <c r="F87" s="37">
        <v>0</v>
      </c>
      <c r="G87" s="38">
        <v>0</v>
      </c>
      <c r="H87" s="38">
        <v>7360</v>
      </c>
      <c r="I87" s="38">
        <v>3980</v>
      </c>
      <c r="J87" s="39">
        <v>0.540760869565217</v>
      </c>
    </row>
    <row r="88" ht="16.5" customHeight="1" spans="1:10">
      <c r="A88" s="37" t="s">
        <v>576</v>
      </c>
      <c r="B88" s="37" t="s">
        <v>577</v>
      </c>
      <c r="C88" s="37" t="s">
        <v>125</v>
      </c>
      <c r="D88" s="37" t="s">
        <v>836</v>
      </c>
      <c r="E88" s="37">
        <v>0</v>
      </c>
      <c r="F88" s="37">
        <v>0</v>
      </c>
      <c r="G88" s="38">
        <v>0</v>
      </c>
      <c r="H88" s="38">
        <v>0</v>
      </c>
      <c r="I88" s="38">
        <v>0</v>
      </c>
      <c r="J88" s="39"/>
    </row>
    <row r="89" ht="16.5" customHeight="1" spans="1:10">
      <c r="A89" s="37" t="s">
        <v>576</v>
      </c>
      <c r="B89" s="37" t="s">
        <v>577</v>
      </c>
      <c r="C89" s="37" t="s">
        <v>125</v>
      </c>
      <c r="D89" s="37" t="s">
        <v>837</v>
      </c>
      <c r="E89" s="37">
        <v>0</v>
      </c>
      <c r="F89" s="37">
        <v>0</v>
      </c>
      <c r="G89" s="38">
        <v>0</v>
      </c>
      <c r="H89" s="38">
        <v>0</v>
      </c>
      <c r="I89" s="38">
        <v>0</v>
      </c>
      <c r="J89" s="39"/>
    </row>
    <row r="90" ht="16.5" customHeight="1" spans="1:10">
      <c r="A90" s="37" t="s">
        <v>576</v>
      </c>
      <c r="B90" s="37" t="s">
        <v>577</v>
      </c>
      <c r="C90" s="37" t="s">
        <v>224</v>
      </c>
      <c r="D90" s="37" t="s">
        <v>606</v>
      </c>
      <c r="E90" s="37">
        <v>0</v>
      </c>
      <c r="F90" s="37">
        <v>0</v>
      </c>
      <c r="G90" s="38">
        <v>0</v>
      </c>
      <c r="H90" s="38">
        <v>11140</v>
      </c>
      <c r="I90" s="38">
        <v>10328</v>
      </c>
      <c r="J90" s="39">
        <v>0.927109515260323</v>
      </c>
    </row>
    <row r="91" ht="16.5" customHeight="1" spans="1:10">
      <c r="A91" s="37" t="s">
        <v>576</v>
      </c>
      <c r="B91" s="37" t="s">
        <v>577</v>
      </c>
      <c r="C91" s="37" t="s">
        <v>224</v>
      </c>
      <c r="D91" s="37" t="s">
        <v>603</v>
      </c>
      <c r="E91" s="37">
        <v>0</v>
      </c>
      <c r="F91" s="37">
        <v>1</v>
      </c>
      <c r="G91" s="38">
        <v>4380</v>
      </c>
      <c r="H91" s="38">
        <v>22874</v>
      </c>
      <c r="I91" s="38">
        <v>2974</v>
      </c>
      <c r="J91" s="39">
        <v>0.130016612748098</v>
      </c>
    </row>
    <row r="92" ht="16.5" customHeight="1" spans="1:10">
      <c r="A92" s="37" t="s">
        <v>576</v>
      </c>
      <c r="B92" s="37" t="s">
        <v>577</v>
      </c>
      <c r="C92" s="37" t="s">
        <v>22</v>
      </c>
      <c r="D92" s="37" t="s">
        <v>616</v>
      </c>
      <c r="E92" s="37">
        <v>0</v>
      </c>
      <c r="F92" s="37">
        <v>0</v>
      </c>
      <c r="G92" s="38">
        <v>0</v>
      </c>
      <c r="H92" s="38">
        <v>246890</v>
      </c>
      <c r="I92" s="38">
        <v>82226</v>
      </c>
      <c r="J92" s="39">
        <v>0.333047105998623</v>
      </c>
    </row>
    <row r="93" ht="16.5" customHeight="1" spans="1:10">
      <c r="A93" s="37" t="s">
        <v>576</v>
      </c>
      <c r="B93" s="37" t="s">
        <v>577</v>
      </c>
      <c r="C93" s="37" t="s">
        <v>22</v>
      </c>
      <c r="D93" s="37" t="s">
        <v>617</v>
      </c>
      <c r="E93" s="37">
        <v>1</v>
      </c>
      <c r="F93" s="37">
        <v>0</v>
      </c>
      <c r="G93" s="38">
        <v>0</v>
      </c>
      <c r="H93" s="38">
        <v>20100</v>
      </c>
      <c r="I93" s="38">
        <v>3502</v>
      </c>
      <c r="J93" s="39">
        <v>0.174228855721393</v>
      </c>
    </row>
    <row r="94" ht="16.5" customHeight="1" spans="1:10">
      <c r="A94" s="37" t="s">
        <v>576</v>
      </c>
      <c r="B94" s="37" t="s">
        <v>577</v>
      </c>
      <c r="C94" s="37" t="s">
        <v>151</v>
      </c>
      <c r="D94" s="37" t="s">
        <v>597</v>
      </c>
      <c r="E94" s="37">
        <v>0</v>
      </c>
      <c r="F94" s="37">
        <v>1</v>
      </c>
      <c r="G94" s="38">
        <v>3980</v>
      </c>
      <c r="H94" s="38">
        <v>16902</v>
      </c>
      <c r="I94" s="38">
        <v>6974</v>
      </c>
      <c r="J94" s="39">
        <v>0.412613891847119</v>
      </c>
    </row>
    <row r="95" ht="16.5" customHeight="1" spans="1:10">
      <c r="A95" s="37" t="s">
        <v>576</v>
      </c>
      <c r="B95" s="37" t="s">
        <v>577</v>
      </c>
      <c r="C95" s="37" t="s">
        <v>22</v>
      </c>
      <c r="D95" s="37" t="s">
        <v>618</v>
      </c>
      <c r="E95" s="37">
        <v>0</v>
      </c>
      <c r="F95" s="37">
        <v>0</v>
      </c>
      <c r="G95" s="38">
        <v>0</v>
      </c>
      <c r="H95" s="38">
        <v>299501</v>
      </c>
      <c r="I95" s="38">
        <v>81993</v>
      </c>
      <c r="J95" s="39">
        <v>0.27376536305388</v>
      </c>
    </row>
    <row r="96" ht="16.5" customHeight="1" spans="1:10">
      <c r="A96" s="37" t="s">
        <v>576</v>
      </c>
      <c r="B96" s="37" t="s">
        <v>577</v>
      </c>
      <c r="C96" s="37" t="s">
        <v>52</v>
      </c>
      <c r="D96" s="37" t="s">
        <v>582</v>
      </c>
      <c r="E96" s="37">
        <v>0</v>
      </c>
      <c r="F96" s="37">
        <v>0</v>
      </c>
      <c r="G96" s="38">
        <v>0</v>
      </c>
      <c r="H96" s="38">
        <v>1157134</v>
      </c>
      <c r="I96" s="38">
        <v>79882</v>
      </c>
      <c r="J96" s="39">
        <v>0.0690343555716105</v>
      </c>
    </row>
    <row r="97" ht="16.5" customHeight="1" spans="1:10">
      <c r="A97" s="37" t="s">
        <v>576</v>
      </c>
      <c r="B97" s="37" t="s">
        <v>577</v>
      </c>
      <c r="C97" s="37" t="s">
        <v>224</v>
      </c>
      <c r="D97" s="37" t="s">
        <v>599</v>
      </c>
      <c r="E97" s="37">
        <v>0</v>
      </c>
      <c r="F97" s="37">
        <v>1</v>
      </c>
      <c r="G97" s="38">
        <v>3980</v>
      </c>
      <c r="H97" s="38">
        <v>7360</v>
      </c>
      <c r="I97" s="38">
        <v>0</v>
      </c>
      <c r="J97" s="39">
        <v>0</v>
      </c>
    </row>
    <row r="98" ht="16.5" customHeight="1" spans="1:10">
      <c r="A98" s="37" t="s">
        <v>576</v>
      </c>
      <c r="B98" s="37" t="s">
        <v>577</v>
      </c>
      <c r="C98" s="37" t="s">
        <v>22</v>
      </c>
      <c r="D98" s="37" t="s">
        <v>619</v>
      </c>
      <c r="E98" s="37">
        <v>0</v>
      </c>
      <c r="F98" s="37">
        <v>0</v>
      </c>
      <c r="G98" s="38">
        <v>0</v>
      </c>
      <c r="H98" s="38">
        <v>44811</v>
      </c>
      <c r="I98" s="38">
        <v>20907</v>
      </c>
      <c r="J98" s="39">
        <v>0.466559550110464</v>
      </c>
    </row>
    <row r="99" ht="16.5" customHeight="1" spans="1:10">
      <c r="A99" s="37" t="s">
        <v>576</v>
      </c>
      <c r="B99" s="37" t="s">
        <v>577</v>
      </c>
      <c r="C99" s="37" t="s">
        <v>125</v>
      </c>
      <c r="D99" s="37" t="s">
        <v>838</v>
      </c>
      <c r="E99" s="37">
        <v>0</v>
      </c>
      <c r="F99" s="37">
        <v>0</v>
      </c>
      <c r="G99" s="38">
        <v>0</v>
      </c>
      <c r="H99" s="38">
        <v>2640</v>
      </c>
      <c r="I99" s="38">
        <v>0</v>
      </c>
      <c r="J99" s="39">
        <v>0</v>
      </c>
    </row>
    <row r="100" ht="16.5" customHeight="1" spans="1:10">
      <c r="A100" s="37" t="s">
        <v>576</v>
      </c>
      <c r="B100" s="37" t="s">
        <v>577</v>
      </c>
      <c r="C100" s="37" t="s">
        <v>52</v>
      </c>
      <c r="D100" s="37" t="s">
        <v>585</v>
      </c>
      <c r="E100" s="37">
        <v>0</v>
      </c>
      <c r="F100" s="37">
        <v>0</v>
      </c>
      <c r="G100" s="38">
        <v>0</v>
      </c>
      <c r="H100" s="38">
        <v>154908</v>
      </c>
      <c r="I100" s="38">
        <v>116908</v>
      </c>
      <c r="J100" s="39">
        <v>0.754693108167428</v>
      </c>
    </row>
    <row r="101" ht="16.5" customHeight="1" spans="1:10">
      <c r="A101" s="37" t="s">
        <v>576</v>
      </c>
      <c r="B101" s="37" t="s">
        <v>577</v>
      </c>
      <c r="C101" s="37" t="s">
        <v>125</v>
      </c>
      <c r="D101" s="37" t="s">
        <v>839</v>
      </c>
      <c r="E101" s="37">
        <v>0</v>
      </c>
      <c r="F101" s="37">
        <v>0</v>
      </c>
      <c r="G101" s="38">
        <v>0</v>
      </c>
      <c r="H101" s="38">
        <v>0</v>
      </c>
      <c r="I101" s="38">
        <v>0</v>
      </c>
      <c r="J101" s="39"/>
    </row>
    <row r="102" ht="16.5" customHeight="1" spans="1:10">
      <c r="A102" s="37" t="s">
        <v>576</v>
      </c>
      <c r="B102" s="37" t="s">
        <v>577</v>
      </c>
      <c r="C102" s="37" t="s">
        <v>75</v>
      </c>
      <c r="D102" s="37" t="s">
        <v>588</v>
      </c>
      <c r="E102" s="37">
        <v>0</v>
      </c>
      <c r="F102" s="37">
        <v>0</v>
      </c>
      <c r="G102" s="38">
        <v>0</v>
      </c>
      <c r="H102" s="38">
        <v>10740</v>
      </c>
      <c r="I102" s="38">
        <v>7356</v>
      </c>
      <c r="J102" s="39">
        <v>0.684916201117318</v>
      </c>
    </row>
    <row r="103" ht="16.5" customHeight="1" spans="1:10">
      <c r="A103" s="37" t="s">
        <v>576</v>
      </c>
      <c r="B103" s="37" t="s">
        <v>577</v>
      </c>
      <c r="C103" s="37" t="s">
        <v>125</v>
      </c>
      <c r="D103" s="37" t="s">
        <v>840</v>
      </c>
      <c r="E103" s="37">
        <v>0</v>
      </c>
      <c r="F103" s="37">
        <v>0</v>
      </c>
      <c r="G103" s="38">
        <v>0</v>
      </c>
      <c r="H103" s="38">
        <v>0</v>
      </c>
      <c r="I103" s="38">
        <v>0</v>
      </c>
      <c r="J103" s="39"/>
    </row>
    <row r="104" ht="16.5" customHeight="1" spans="1:10">
      <c r="A104" s="37" t="s">
        <v>576</v>
      </c>
      <c r="B104" s="37" t="s">
        <v>577</v>
      </c>
      <c r="C104" s="37" t="s">
        <v>102</v>
      </c>
      <c r="D104" s="37" t="s">
        <v>580</v>
      </c>
      <c r="E104" s="37">
        <v>0</v>
      </c>
      <c r="F104" s="37">
        <v>0</v>
      </c>
      <c r="G104" s="38">
        <v>0</v>
      </c>
      <c r="H104" s="38">
        <v>52362</v>
      </c>
      <c r="I104" s="38">
        <v>7428</v>
      </c>
      <c r="J104" s="39">
        <v>0.141858599747909</v>
      </c>
    </row>
    <row r="105" ht="16.5" customHeight="1" spans="1:10">
      <c r="A105" s="37" t="s">
        <v>576</v>
      </c>
      <c r="B105" s="37" t="s">
        <v>577</v>
      </c>
      <c r="C105" s="37" t="s">
        <v>75</v>
      </c>
      <c r="D105" s="37" t="s">
        <v>589</v>
      </c>
      <c r="E105" s="37">
        <v>1</v>
      </c>
      <c r="F105" s="37">
        <v>0</v>
      </c>
      <c r="G105" s="38">
        <v>0</v>
      </c>
      <c r="H105" s="38">
        <v>10740</v>
      </c>
      <c r="I105" s="38">
        <v>6954</v>
      </c>
      <c r="J105" s="39">
        <v>0.647486033519553</v>
      </c>
    </row>
    <row r="106" ht="16.5" customHeight="1" spans="1:10">
      <c r="A106" s="37" t="s">
        <v>576</v>
      </c>
      <c r="B106" s="37" t="s">
        <v>577</v>
      </c>
      <c r="C106" s="37" t="s">
        <v>151</v>
      </c>
      <c r="D106" s="37" t="s">
        <v>841</v>
      </c>
      <c r="E106" s="37">
        <v>0</v>
      </c>
      <c r="F106" s="37">
        <v>0</v>
      </c>
      <c r="G106" s="38">
        <v>0</v>
      </c>
      <c r="H106" s="38">
        <v>0</v>
      </c>
      <c r="I106" s="38">
        <v>0</v>
      </c>
      <c r="J106" s="39"/>
    </row>
    <row r="107" ht="16.5" customHeight="1" spans="1:10">
      <c r="A107" s="37" t="s">
        <v>576</v>
      </c>
      <c r="B107" s="37" t="s">
        <v>577</v>
      </c>
      <c r="C107" s="37" t="s">
        <v>52</v>
      </c>
      <c r="D107" s="37" t="s">
        <v>584</v>
      </c>
      <c r="E107" s="37">
        <v>0</v>
      </c>
      <c r="F107" s="37">
        <v>0</v>
      </c>
      <c r="G107" s="38">
        <v>0</v>
      </c>
      <c r="H107" s="38">
        <v>365480</v>
      </c>
      <c r="I107" s="38">
        <v>70500</v>
      </c>
      <c r="J107" s="39">
        <v>0.192897012148408</v>
      </c>
    </row>
    <row r="108" ht="16.5" customHeight="1" spans="1:10">
      <c r="A108" s="37" t="s">
        <v>576</v>
      </c>
      <c r="B108" s="37" t="s">
        <v>577</v>
      </c>
      <c r="C108" s="37" t="s">
        <v>264</v>
      </c>
      <c r="D108" s="37" t="s">
        <v>612</v>
      </c>
      <c r="E108" s="37">
        <v>0</v>
      </c>
      <c r="F108" s="37">
        <v>1</v>
      </c>
      <c r="G108" s="38">
        <v>2974</v>
      </c>
      <c r="H108" s="38">
        <v>10934</v>
      </c>
      <c r="I108" s="38">
        <v>7960</v>
      </c>
      <c r="J108" s="39">
        <v>0.728004389976221</v>
      </c>
    </row>
    <row r="109" ht="16.5" customHeight="1" spans="1:10">
      <c r="A109" s="37" t="s">
        <v>576</v>
      </c>
      <c r="B109" s="37" t="s">
        <v>577</v>
      </c>
      <c r="C109" s="37" t="s">
        <v>52</v>
      </c>
      <c r="D109" s="37" t="s">
        <v>587</v>
      </c>
      <c r="E109" s="37">
        <v>0</v>
      </c>
      <c r="F109" s="37">
        <v>0</v>
      </c>
      <c r="G109" s="38">
        <v>0</v>
      </c>
      <c r="H109" s="38">
        <v>280142</v>
      </c>
      <c r="I109" s="38">
        <v>60550</v>
      </c>
      <c r="J109" s="39">
        <v>0.216140385947127</v>
      </c>
    </row>
    <row r="110" ht="16.5" customHeight="1" spans="1:10">
      <c r="A110" s="37" t="s">
        <v>576</v>
      </c>
      <c r="B110" s="37" t="s">
        <v>577</v>
      </c>
      <c r="C110" s="37" t="s">
        <v>75</v>
      </c>
      <c r="D110" s="37" t="s">
        <v>593</v>
      </c>
      <c r="E110" s="37">
        <v>0</v>
      </c>
      <c r="F110" s="37">
        <v>0</v>
      </c>
      <c r="G110" s="38">
        <v>0</v>
      </c>
      <c r="H110" s="38">
        <v>0</v>
      </c>
      <c r="I110" s="38">
        <v>0</v>
      </c>
      <c r="J110" s="39"/>
    </row>
    <row r="111" ht="16.5" customHeight="1" spans="1:10">
      <c r="A111" s="37" t="s">
        <v>576</v>
      </c>
      <c r="B111" s="37" t="s">
        <v>577</v>
      </c>
      <c r="C111" s="37" t="s">
        <v>125</v>
      </c>
      <c r="D111" s="37" t="s">
        <v>842</v>
      </c>
      <c r="E111" s="37">
        <v>0</v>
      </c>
      <c r="F111" s="37">
        <v>0</v>
      </c>
      <c r="G111" s="38">
        <v>0</v>
      </c>
      <c r="H111" s="38">
        <v>2640</v>
      </c>
      <c r="I111" s="38">
        <v>0</v>
      </c>
      <c r="J111" s="39">
        <v>0</v>
      </c>
    </row>
    <row r="112" ht="16.5" customHeight="1" spans="1:10">
      <c r="A112" s="37" t="s">
        <v>576</v>
      </c>
      <c r="B112" s="37" t="s">
        <v>577</v>
      </c>
      <c r="C112" s="37" t="s">
        <v>22</v>
      </c>
      <c r="D112" s="37" t="s">
        <v>614</v>
      </c>
      <c r="E112" s="37">
        <v>0</v>
      </c>
      <c r="F112" s="37">
        <v>0</v>
      </c>
      <c r="G112" s="38">
        <v>0</v>
      </c>
      <c r="H112" s="38">
        <v>7360</v>
      </c>
      <c r="I112" s="38">
        <v>0</v>
      </c>
      <c r="J112" s="39">
        <v>0</v>
      </c>
    </row>
    <row r="113" ht="16.5" customHeight="1" spans="1:10">
      <c r="A113" s="37" t="s">
        <v>576</v>
      </c>
      <c r="B113" s="37" t="s">
        <v>577</v>
      </c>
      <c r="C113" s="37" t="s">
        <v>52</v>
      </c>
      <c r="D113" s="37" t="s">
        <v>581</v>
      </c>
      <c r="E113" s="37">
        <v>0</v>
      </c>
      <c r="F113" s="37">
        <v>0</v>
      </c>
      <c r="G113" s="38">
        <v>0</v>
      </c>
      <c r="H113" s="38">
        <v>0</v>
      </c>
      <c r="I113" s="38">
        <v>0</v>
      </c>
      <c r="J113" s="39"/>
    </row>
    <row r="114" ht="16.5" customHeight="1" spans="1:10">
      <c r="A114" s="37" t="s">
        <v>576</v>
      </c>
      <c r="B114" s="37" t="s">
        <v>577</v>
      </c>
      <c r="C114" s="37" t="s">
        <v>125</v>
      </c>
      <c r="D114" s="37" t="s">
        <v>843</v>
      </c>
      <c r="E114" s="37">
        <v>0</v>
      </c>
      <c r="F114" s="37">
        <v>0</v>
      </c>
      <c r="G114" s="38">
        <v>0</v>
      </c>
      <c r="H114" s="38">
        <v>3000</v>
      </c>
      <c r="I114" s="38">
        <v>0</v>
      </c>
      <c r="J114" s="39">
        <v>0</v>
      </c>
    </row>
    <row r="115" ht="16.5" customHeight="1" spans="1:10">
      <c r="A115" s="37" t="s">
        <v>576</v>
      </c>
      <c r="B115" s="37" t="s">
        <v>577</v>
      </c>
      <c r="C115" s="37" t="s">
        <v>151</v>
      </c>
      <c r="D115" s="37" t="s">
        <v>596</v>
      </c>
      <c r="E115" s="37">
        <v>0</v>
      </c>
      <c r="F115" s="37">
        <v>1</v>
      </c>
      <c r="G115" s="38">
        <v>3380</v>
      </c>
      <c r="H115" s="38">
        <v>20100</v>
      </c>
      <c r="I115" s="38">
        <v>7360</v>
      </c>
      <c r="J115" s="39">
        <v>0.366169154228856</v>
      </c>
    </row>
    <row r="116" ht="16.5" customHeight="1" spans="1:10">
      <c r="A116" s="37" t="s">
        <v>576</v>
      </c>
      <c r="B116" s="37" t="s">
        <v>577</v>
      </c>
      <c r="C116" s="37" t="s">
        <v>125</v>
      </c>
      <c r="D116" s="37" t="s">
        <v>844</v>
      </c>
      <c r="E116" s="37">
        <v>0</v>
      </c>
      <c r="F116" s="37">
        <v>0</v>
      </c>
      <c r="G116" s="38">
        <v>0</v>
      </c>
      <c r="H116" s="38">
        <v>3000</v>
      </c>
      <c r="I116" s="38">
        <v>0</v>
      </c>
      <c r="J116" s="39">
        <v>0</v>
      </c>
    </row>
    <row r="117" ht="16.5" customHeight="1" spans="1:10">
      <c r="A117" s="37" t="s">
        <v>576</v>
      </c>
      <c r="B117" s="37" t="s">
        <v>577</v>
      </c>
      <c r="C117" s="37" t="s">
        <v>52</v>
      </c>
      <c r="D117" s="37" t="s">
        <v>586</v>
      </c>
      <c r="E117" s="37">
        <v>0</v>
      </c>
      <c r="F117" s="37">
        <v>0</v>
      </c>
      <c r="G117" s="38">
        <v>0</v>
      </c>
      <c r="H117" s="38">
        <v>7760</v>
      </c>
      <c r="I117" s="38">
        <v>0</v>
      </c>
      <c r="J117" s="39">
        <v>0</v>
      </c>
    </row>
    <row r="118" ht="16.5" customHeight="1" spans="1:10">
      <c r="A118" s="37" t="s">
        <v>576</v>
      </c>
      <c r="B118" s="37" t="s">
        <v>577</v>
      </c>
      <c r="C118" s="37" t="s">
        <v>22</v>
      </c>
      <c r="D118" s="37" t="s">
        <v>615</v>
      </c>
      <c r="E118" s="37">
        <v>0</v>
      </c>
      <c r="F118" s="37">
        <v>0</v>
      </c>
      <c r="G118" s="38">
        <v>0</v>
      </c>
      <c r="H118" s="38">
        <v>139620</v>
      </c>
      <c r="I118" s="38">
        <v>27517</v>
      </c>
      <c r="J118" s="39">
        <v>0.197084944850308</v>
      </c>
    </row>
    <row r="119" ht="16.5" customHeight="1" spans="1:10">
      <c r="A119" s="37" t="s">
        <v>576</v>
      </c>
      <c r="B119" s="37" t="s">
        <v>577</v>
      </c>
      <c r="C119" s="37" t="s">
        <v>224</v>
      </c>
      <c r="D119" s="37" t="s">
        <v>605</v>
      </c>
      <c r="E119" s="37">
        <v>0</v>
      </c>
      <c r="F119" s="37">
        <v>0</v>
      </c>
      <c r="G119" s="38">
        <v>0</v>
      </c>
      <c r="H119" s="38">
        <v>10740</v>
      </c>
      <c r="I119" s="38">
        <v>3980</v>
      </c>
      <c r="J119" s="39">
        <v>0.370577281191806</v>
      </c>
    </row>
    <row r="120" ht="16.5" customHeight="1" spans="1:10">
      <c r="A120" s="37" t="s">
        <v>576</v>
      </c>
      <c r="B120" s="37" t="s">
        <v>577</v>
      </c>
      <c r="C120" s="37" t="s">
        <v>264</v>
      </c>
      <c r="D120" s="37" t="s">
        <v>609</v>
      </c>
      <c r="E120" s="37">
        <v>0</v>
      </c>
      <c r="F120" s="37">
        <v>1</v>
      </c>
      <c r="G120" s="38">
        <v>3380</v>
      </c>
      <c r="H120" s="38">
        <v>3380</v>
      </c>
      <c r="I120" s="38">
        <v>0</v>
      </c>
      <c r="J120" s="39">
        <v>0</v>
      </c>
    </row>
    <row r="121" ht="16.5" customHeight="1" spans="1:10">
      <c r="A121" s="37" t="s">
        <v>576</v>
      </c>
      <c r="B121" s="37" t="s">
        <v>577</v>
      </c>
      <c r="C121" s="37" t="s">
        <v>75</v>
      </c>
      <c r="D121" s="37" t="s">
        <v>592</v>
      </c>
      <c r="E121" s="37">
        <v>1</v>
      </c>
      <c r="F121" s="37">
        <v>0</v>
      </c>
      <c r="G121" s="38">
        <v>0</v>
      </c>
      <c r="H121" s="38">
        <v>8360</v>
      </c>
      <c r="I121" s="38">
        <v>7356</v>
      </c>
      <c r="J121" s="39">
        <v>0.879904306220096</v>
      </c>
    </row>
    <row r="122" ht="16.5" customHeight="1" spans="1:10">
      <c r="A122" s="37" t="s">
        <v>576</v>
      </c>
      <c r="B122" s="37" t="s">
        <v>577</v>
      </c>
      <c r="C122" s="37" t="s">
        <v>224</v>
      </c>
      <c r="D122" s="37" t="s">
        <v>600</v>
      </c>
      <c r="E122" s="37">
        <v>0</v>
      </c>
      <c r="F122" s="37">
        <v>0</v>
      </c>
      <c r="G122" s="38">
        <v>0</v>
      </c>
      <c r="H122" s="38">
        <v>19940</v>
      </c>
      <c r="I122" s="38">
        <v>7980</v>
      </c>
      <c r="J122" s="39">
        <v>0.400200601805416</v>
      </c>
    </row>
    <row r="123" ht="16.5" customHeight="1" spans="1:10">
      <c r="A123" s="37" t="s">
        <v>576</v>
      </c>
      <c r="B123" s="37" t="s">
        <v>577</v>
      </c>
      <c r="C123" s="37" t="s">
        <v>102</v>
      </c>
      <c r="D123" s="37" t="s">
        <v>578</v>
      </c>
      <c r="E123" s="37">
        <v>0</v>
      </c>
      <c r="F123" s="37">
        <v>0</v>
      </c>
      <c r="G123" s="38">
        <v>0</v>
      </c>
      <c r="H123" s="38">
        <v>0</v>
      </c>
      <c r="I123" s="38">
        <v>0</v>
      </c>
      <c r="J123" s="39"/>
    </row>
    <row r="124" ht="16.5" customHeight="1" spans="1:10">
      <c r="A124" s="37" t="s">
        <v>576</v>
      </c>
      <c r="B124" s="37" t="s">
        <v>101</v>
      </c>
      <c r="C124" s="37" t="s">
        <v>224</v>
      </c>
      <c r="D124" s="37" t="s">
        <v>413</v>
      </c>
      <c r="E124" s="37">
        <v>0</v>
      </c>
      <c r="F124" s="37">
        <v>0</v>
      </c>
      <c r="G124" s="38">
        <v>0</v>
      </c>
      <c r="H124" s="38">
        <v>9248</v>
      </c>
      <c r="I124" s="38">
        <v>1888</v>
      </c>
      <c r="J124" s="39">
        <v>0.204152249134948</v>
      </c>
    </row>
    <row r="125" ht="16.5" customHeight="1" spans="1:10">
      <c r="A125" s="37" t="s">
        <v>576</v>
      </c>
      <c r="B125" s="37" t="s">
        <v>101</v>
      </c>
      <c r="C125" s="37" t="s">
        <v>224</v>
      </c>
      <c r="D125" s="37" t="s">
        <v>398</v>
      </c>
      <c r="E125" s="37">
        <v>3</v>
      </c>
      <c r="F125" s="37">
        <v>0</v>
      </c>
      <c r="G125" s="38">
        <v>0</v>
      </c>
      <c r="H125" s="38">
        <v>11640</v>
      </c>
      <c r="I125" s="38">
        <v>0</v>
      </c>
      <c r="J125" s="39">
        <v>0</v>
      </c>
    </row>
    <row r="126" ht="16.5" customHeight="1" spans="1:10">
      <c r="A126" s="37" t="s">
        <v>576</v>
      </c>
      <c r="B126" s="37" t="s">
        <v>101</v>
      </c>
      <c r="C126" s="37" t="s">
        <v>224</v>
      </c>
      <c r="D126" s="37" t="s">
        <v>386</v>
      </c>
      <c r="E126" s="37">
        <v>0</v>
      </c>
      <c r="F126" s="37">
        <v>0</v>
      </c>
      <c r="G126" s="38">
        <v>0</v>
      </c>
      <c r="H126" s="38">
        <v>0</v>
      </c>
      <c r="I126" s="38">
        <v>0</v>
      </c>
      <c r="J126" s="39"/>
    </row>
    <row r="127" ht="16.5" customHeight="1" spans="1:10">
      <c r="A127" s="37" t="s">
        <v>576</v>
      </c>
      <c r="B127" s="37" t="s">
        <v>101</v>
      </c>
      <c r="C127" s="37" t="s">
        <v>151</v>
      </c>
      <c r="D127" s="37" t="s">
        <v>316</v>
      </c>
      <c r="E127" s="37">
        <v>0</v>
      </c>
      <c r="F127" s="37">
        <v>0</v>
      </c>
      <c r="G127" s="38">
        <v>0</v>
      </c>
      <c r="H127" s="38">
        <v>20236</v>
      </c>
      <c r="I127" s="38">
        <v>8342</v>
      </c>
      <c r="J127" s="39">
        <v>0.412235619687685</v>
      </c>
    </row>
    <row r="128" ht="16.5" customHeight="1" spans="1:10">
      <c r="A128" s="37" t="s">
        <v>576</v>
      </c>
      <c r="B128" s="37" t="s">
        <v>101</v>
      </c>
      <c r="C128" s="37" t="s">
        <v>22</v>
      </c>
      <c r="D128" s="37" t="s">
        <v>355</v>
      </c>
      <c r="E128" s="37">
        <v>0</v>
      </c>
      <c r="F128" s="37">
        <v>0</v>
      </c>
      <c r="G128" s="38">
        <v>0</v>
      </c>
      <c r="H128" s="38">
        <v>56588</v>
      </c>
      <c r="I128" s="38">
        <v>13964</v>
      </c>
      <c r="J128" s="39">
        <v>0.246766098819538</v>
      </c>
    </row>
    <row r="129" ht="16.5" customHeight="1" spans="1:10">
      <c r="A129" s="37" t="s">
        <v>576</v>
      </c>
      <c r="B129" s="37" t="s">
        <v>101</v>
      </c>
      <c r="C129" s="37" t="s">
        <v>224</v>
      </c>
      <c r="D129" s="37" t="s">
        <v>396</v>
      </c>
      <c r="E129" s="37">
        <v>0</v>
      </c>
      <c r="F129" s="37">
        <v>0</v>
      </c>
      <c r="G129" s="38">
        <v>0</v>
      </c>
      <c r="H129" s="38">
        <v>10740</v>
      </c>
      <c r="I129" s="38">
        <v>0</v>
      </c>
      <c r="J129" s="39">
        <v>0</v>
      </c>
    </row>
    <row r="130" ht="16.5" customHeight="1" spans="1:10">
      <c r="A130" s="37" t="s">
        <v>576</v>
      </c>
      <c r="B130" s="37" t="s">
        <v>101</v>
      </c>
      <c r="C130" s="37" t="s">
        <v>22</v>
      </c>
      <c r="D130" s="37" t="s">
        <v>352</v>
      </c>
      <c r="E130" s="37">
        <v>0</v>
      </c>
      <c r="F130" s="37">
        <v>0</v>
      </c>
      <c r="G130" s="38">
        <v>0</v>
      </c>
      <c r="H130" s="38">
        <v>153186</v>
      </c>
      <c r="I130" s="38">
        <v>90527</v>
      </c>
      <c r="J130" s="39">
        <v>0.590961315002676</v>
      </c>
    </row>
    <row r="131" ht="16.5" customHeight="1" spans="1:10">
      <c r="A131" s="37" t="s">
        <v>576</v>
      </c>
      <c r="B131" s="37" t="s">
        <v>101</v>
      </c>
      <c r="C131" s="37" t="s">
        <v>224</v>
      </c>
      <c r="D131" s="37" t="s">
        <v>394</v>
      </c>
      <c r="E131" s="37">
        <v>0</v>
      </c>
      <c r="F131" s="37">
        <v>0</v>
      </c>
      <c r="G131" s="38">
        <v>0</v>
      </c>
      <c r="H131" s="38">
        <v>6980</v>
      </c>
      <c r="I131" s="38">
        <v>0</v>
      </c>
      <c r="J131" s="39">
        <v>0</v>
      </c>
    </row>
    <row r="132" ht="16.5" customHeight="1" spans="1:10">
      <c r="A132" s="37" t="s">
        <v>576</v>
      </c>
      <c r="B132" s="37" t="s">
        <v>101</v>
      </c>
      <c r="C132" s="37" t="s">
        <v>102</v>
      </c>
      <c r="D132" s="37" t="s">
        <v>103</v>
      </c>
      <c r="E132" s="37">
        <v>0</v>
      </c>
      <c r="F132" s="37">
        <v>0</v>
      </c>
      <c r="G132" s="38">
        <v>0</v>
      </c>
      <c r="H132" s="38">
        <v>63260</v>
      </c>
      <c r="I132" s="38">
        <v>33738</v>
      </c>
      <c r="J132" s="39">
        <v>0.533322794815049</v>
      </c>
    </row>
    <row r="133" ht="16.5" customHeight="1" spans="1:10">
      <c r="A133" s="37" t="s">
        <v>576</v>
      </c>
      <c r="B133" s="37" t="s">
        <v>101</v>
      </c>
      <c r="C133" s="37" t="s">
        <v>151</v>
      </c>
      <c r="D133" s="37" t="s">
        <v>323</v>
      </c>
      <c r="E133" s="37">
        <v>0</v>
      </c>
      <c r="F133" s="37">
        <v>2</v>
      </c>
      <c r="G133" s="38">
        <v>6980</v>
      </c>
      <c r="H133" s="38">
        <v>61582</v>
      </c>
      <c r="I133" s="38">
        <v>12902</v>
      </c>
      <c r="J133" s="39">
        <v>0.209509272189926</v>
      </c>
    </row>
    <row r="134" ht="16.5" customHeight="1" spans="1:10">
      <c r="A134" s="37" t="s">
        <v>576</v>
      </c>
      <c r="B134" s="37" t="s">
        <v>101</v>
      </c>
      <c r="C134" s="37" t="s">
        <v>151</v>
      </c>
      <c r="D134" s="37" t="s">
        <v>320</v>
      </c>
      <c r="E134" s="37">
        <v>0</v>
      </c>
      <c r="F134" s="37">
        <v>0</v>
      </c>
      <c r="G134" s="38">
        <v>0</v>
      </c>
      <c r="H134" s="38">
        <v>37260</v>
      </c>
      <c r="I134" s="38">
        <v>7882</v>
      </c>
      <c r="J134" s="39">
        <v>0.21154052603328</v>
      </c>
    </row>
    <row r="135" ht="16.5" customHeight="1" spans="1:10">
      <c r="A135" s="37" t="s">
        <v>576</v>
      </c>
      <c r="B135" s="37" t="s">
        <v>101</v>
      </c>
      <c r="C135" s="37" t="s">
        <v>52</v>
      </c>
      <c r="D135" s="37" t="s">
        <v>364</v>
      </c>
      <c r="E135" s="37">
        <v>0</v>
      </c>
      <c r="F135" s="37">
        <v>0</v>
      </c>
      <c r="G135" s="38">
        <v>0</v>
      </c>
      <c r="H135" s="38">
        <v>93562</v>
      </c>
      <c r="I135" s="38">
        <v>41920</v>
      </c>
      <c r="J135" s="39">
        <v>0.448045146533849</v>
      </c>
    </row>
    <row r="136" ht="16.5" customHeight="1" spans="1:10">
      <c r="A136" s="37" t="s">
        <v>576</v>
      </c>
      <c r="B136" s="37" t="s">
        <v>101</v>
      </c>
      <c r="C136" s="37" t="s">
        <v>224</v>
      </c>
      <c r="D136" s="37" t="s">
        <v>407</v>
      </c>
      <c r="E136" s="37">
        <v>0</v>
      </c>
      <c r="F136" s="37">
        <v>0</v>
      </c>
      <c r="G136" s="38">
        <v>0</v>
      </c>
      <c r="H136" s="38">
        <v>31270</v>
      </c>
      <c r="I136" s="38">
        <v>23310</v>
      </c>
      <c r="J136" s="39">
        <v>0.745442916533419</v>
      </c>
    </row>
    <row r="137" ht="16.5" customHeight="1" spans="1:10">
      <c r="A137" s="37" t="s">
        <v>576</v>
      </c>
      <c r="B137" s="37" t="s">
        <v>101</v>
      </c>
      <c r="C137" s="37" t="s">
        <v>52</v>
      </c>
      <c r="D137" s="37" t="s">
        <v>380</v>
      </c>
      <c r="E137" s="37">
        <v>0</v>
      </c>
      <c r="F137" s="37">
        <v>0</v>
      </c>
      <c r="G137" s="38">
        <v>0</v>
      </c>
      <c r="H137" s="38">
        <v>140939</v>
      </c>
      <c r="I137" s="38">
        <v>65393</v>
      </c>
      <c r="J137" s="39">
        <v>0.463980871157025</v>
      </c>
    </row>
    <row r="138" ht="16.5" customHeight="1" spans="1:10">
      <c r="A138" s="37" t="s">
        <v>576</v>
      </c>
      <c r="B138" s="37" t="s">
        <v>101</v>
      </c>
      <c r="C138" s="37" t="s">
        <v>224</v>
      </c>
      <c r="D138" s="37" t="s">
        <v>410</v>
      </c>
      <c r="E138" s="37">
        <v>1</v>
      </c>
      <c r="F138" s="37">
        <v>1</v>
      </c>
      <c r="G138" s="38">
        <v>3980</v>
      </c>
      <c r="H138" s="38">
        <v>17600</v>
      </c>
      <c r="I138" s="38">
        <v>0</v>
      </c>
      <c r="J138" s="39">
        <v>0</v>
      </c>
    </row>
    <row r="139" ht="16.5" customHeight="1" spans="1:10">
      <c r="A139" s="37" t="s">
        <v>576</v>
      </c>
      <c r="B139" s="37" t="s">
        <v>101</v>
      </c>
      <c r="C139" s="37" t="s">
        <v>75</v>
      </c>
      <c r="D139" s="37" t="s">
        <v>113</v>
      </c>
      <c r="E139" s="37">
        <v>2</v>
      </c>
      <c r="F139" s="37">
        <v>2</v>
      </c>
      <c r="G139" s="38">
        <v>7960</v>
      </c>
      <c r="H139" s="38">
        <v>50882</v>
      </c>
      <c r="I139" s="38">
        <v>4482</v>
      </c>
      <c r="J139" s="39">
        <v>0.0880861601352148</v>
      </c>
    </row>
    <row r="140" ht="16.5" customHeight="1" spans="1:10">
      <c r="A140" s="37" t="s">
        <v>576</v>
      </c>
      <c r="B140" s="37" t="s">
        <v>101</v>
      </c>
      <c r="C140" s="37" t="s">
        <v>22</v>
      </c>
      <c r="D140" s="37" t="s">
        <v>349</v>
      </c>
      <c r="E140" s="37">
        <v>0</v>
      </c>
      <c r="F140" s="37">
        <v>0</v>
      </c>
      <c r="G140" s="38">
        <v>0</v>
      </c>
      <c r="H140" s="38">
        <v>0</v>
      </c>
      <c r="I140" s="38">
        <v>0</v>
      </c>
      <c r="J140" s="39"/>
    </row>
    <row r="141" ht="16.5" customHeight="1" spans="1:10">
      <c r="A141" s="37" t="s">
        <v>576</v>
      </c>
      <c r="B141" s="37" t="s">
        <v>101</v>
      </c>
      <c r="C141" s="37" t="s">
        <v>75</v>
      </c>
      <c r="D141" s="37" t="s">
        <v>116</v>
      </c>
      <c r="E141" s="37">
        <v>0</v>
      </c>
      <c r="F141" s="37">
        <v>0</v>
      </c>
      <c r="G141" s="38">
        <v>0</v>
      </c>
      <c r="H141" s="38">
        <v>91120</v>
      </c>
      <c r="I141" s="38">
        <v>2640</v>
      </c>
      <c r="J141" s="39">
        <v>0.028972783143108</v>
      </c>
    </row>
    <row r="142" ht="16.5" customHeight="1" spans="1:10">
      <c r="A142" s="37" t="s">
        <v>576</v>
      </c>
      <c r="B142" s="37" t="s">
        <v>101</v>
      </c>
      <c r="C142" s="37" t="s">
        <v>75</v>
      </c>
      <c r="D142" s="37" t="s">
        <v>109</v>
      </c>
      <c r="E142" s="37">
        <v>1</v>
      </c>
      <c r="F142" s="37">
        <v>0</v>
      </c>
      <c r="G142" s="38">
        <v>0</v>
      </c>
      <c r="H142" s="38">
        <v>33240</v>
      </c>
      <c r="I142" s="38">
        <v>4680</v>
      </c>
      <c r="J142" s="39">
        <v>0.140794223826715</v>
      </c>
    </row>
    <row r="143" ht="16.5" customHeight="1" spans="1:10">
      <c r="A143" s="37" t="s">
        <v>576</v>
      </c>
      <c r="B143" s="37" t="s">
        <v>101</v>
      </c>
      <c r="C143" s="37" t="s">
        <v>52</v>
      </c>
      <c r="D143" s="37" t="s">
        <v>377</v>
      </c>
      <c r="E143" s="37">
        <v>0</v>
      </c>
      <c r="F143" s="37">
        <v>0</v>
      </c>
      <c r="G143" s="38">
        <v>0</v>
      </c>
      <c r="H143" s="38">
        <v>91957</v>
      </c>
      <c r="I143" s="38">
        <v>64488</v>
      </c>
      <c r="J143" s="39">
        <v>0.70128429592092</v>
      </c>
    </row>
    <row r="144" ht="16.5" customHeight="1" spans="1:10">
      <c r="A144" s="37" t="s">
        <v>576</v>
      </c>
      <c r="B144" s="37" t="s">
        <v>101</v>
      </c>
      <c r="C144" s="37" t="s">
        <v>224</v>
      </c>
      <c r="D144" s="37" t="s">
        <v>391</v>
      </c>
      <c r="E144" s="37">
        <v>2</v>
      </c>
      <c r="F144" s="37">
        <v>0</v>
      </c>
      <c r="G144" s="38">
        <v>0</v>
      </c>
      <c r="H144" s="38">
        <v>0</v>
      </c>
      <c r="I144" s="38">
        <v>0</v>
      </c>
      <c r="J144" s="39"/>
    </row>
    <row r="145" ht="16.5" customHeight="1" spans="1:10">
      <c r="A145" s="37" t="s">
        <v>576</v>
      </c>
      <c r="B145" s="37" t="s">
        <v>101</v>
      </c>
      <c r="C145" s="37" t="s">
        <v>224</v>
      </c>
      <c r="D145" s="37" t="s">
        <v>400</v>
      </c>
      <c r="E145" s="37">
        <v>0</v>
      </c>
      <c r="F145" s="37">
        <v>1</v>
      </c>
      <c r="G145" s="38">
        <v>1680</v>
      </c>
      <c r="H145" s="38">
        <v>24760</v>
      </c>
      <c r="I145" s="38">
        <v>3980</v>
      </c>
      <c r="J145" s="39">
        <v>0.160743134087237</v>
      </c>
    </row>
    <row r="146" ht="16.5" customHeight="1" spans="1:10">
      <c r="A146" s="37" t="s">
        <v>576</v>
      </c>
      <c r="B146" s="37" t="s">
        <v>101</v>
      </c>
      <c r="C146" s="37" t="s">
        <v>264</v>
      </c>
      <c r="D146" s="37" t="s">
        <v>493</v>
      </c>
      <c r="E146" s="37">
        <v>0</v>
      </c>
      <c r="F146" s="37">
        <v>0</v>
      </c>
      <c r="G146" s="38">
        <v>0</v>
      </c>
      <c r="H146" s="38">
        <v>21803</v>
      </c>
      <c r="I146" s="38">
        <v>4383</v>
      </c>
      <c r="J146" s="39">
        <v>0.201027381552997</v>
      </c>
    </row>
    <row r="147" ht="16.5" customHeight="1" spans="1:10">
      <c r="A147" s="37" t="s">
        <v>576</v>
      </c>
      <c r="B147" s="37" t="s">
        <v>101</v>
      </c>
      <c r="C147" s="37" t="s">
        <v>22</v>
      </c>
      <c r="D147" s="37" t="s">
        <v>358</v>
      </c>
      <c r="E147" s="37">
        <v>0</v>
      </c>
      <c r="F147" s="37">
        <v>0</v>
      </c>
      <c r="G147" s="38">
        <v>0</v>
      </c>
      <c r="H147" s="38">
        <v>55244</v>
      </c>
      <c r="I147" s="38">
        <v>40154.03</v>
      </c>
      <c r="J147" s="39">
        <v>0.726848707551951</v>
      </c>
    </row>
    <row r="148" ht="16.5" customHeight="1" spans="1:10">
      <c r="A148" s="37" t="s">
        <v>576</v>
      </c>
      <c r="B148" s="37" t="s">
        <v>101</v>
      </c>
      <c r="C148" s="37" t="s">
        <v>52</v>
      </c>
      <c r="D148" s="37" t="s">
        <v>368</v>
      </c>
      <c r="E148" s="37">
        <v>0</v>
      </c>
      <c r="F148" s="37">
        <v>0</v>
      </c>
      <c r="G148" s="38">
        <v>0</v>
      </c>
      <c r="H148" s="38">
        <v>79413</v>
      </c>
      <c r="I148" s="38">
        <v>13110</v>
      </c>
      <c r="J148" s="39">
        <v>0.165086320879453</v>
      </c>
    </row>
    <row r="149" ht="16.5" customHeight="1" spans="1:10">
      <c r="A149" s="37" t="s">
        <v>576</v>
      </c>
      <c r="B149" s="37" t="s">
        <v>101</v>
      </c>
      <c r="C149" s="37" t="s">
        <v>151</v>
      </c>
      <c r="D149" s="37" t="s">
        <v>337</v>
      </c>
      <c r="E149" s="37">
        <v>0</v>
      </c>
      <c r="F149" s="37">
        <v>0</v>
      </c>
      <c r="G149" s="38">
        <v>0</v>
      </c>
      <c r="H149" s="38">
        <v>3980</v>
      </c>
      <c r="I149" s="38">
        <v>0</v>
      </c>
      <c r="J149" s="39">
        <v>0</v>
      </c>
    </row>
    <row r="150" ht="16.5" customHeight="1" spans="1:10">
      <c r="A150" s="37" t="s">
        <v>576</v>
      </c>
      <c r="B150" s="37" t="s">
        <v>101</v>
      </c>
      <c r="C150" s="37" t="s">
        <v>22</v>
      </c>
      <c r="D150" s="37" t="s">
        <v>340</v>
      </c>
      <c r="E150" s="37">
        <v>0</v>
      </c>
      <c r="F150" s="37">
        <v>5</v>
      </c>
      <c r="G150" s="38">
        <v>10632</v>
      </c>
      <c r="H150" s="38">
        <v>55812</v>
      </c>
      <c r="I150" s="38">
        <v>21283</v>
      </c>
      <c r="J150" s="39">
        <v>0.381333763348384</v>
      </c>
    </row>
    <row r="151" ht="16.5" customHeight="1" spans="1:10">
      <c r="A151" s="37" t="s">
        <v>576</v>
      </c>
      <c r="B151" s="37" t="s">
        <v>101</v>
      </c>
      <c r="C151" s="37" t="s">
        <v>102</v>
      </c>
      <c r="D151" s="37" t="s">
        <v>106</v>
      </c>
      <c r="E151" s="37">
        <v>0</v>
      </c>
      <c r="F151" s="37">
        <v>0</v>
      </c>
      <c r="G151" s="38">
        <v>0</v>
      </c>
      <c r="H151" s="38">
        <v>101602</v>
      </c>
      <c r="I151" s="38">
        <v>21922</v>
      </c>
      <c r="J151" s="39">
        <v>0.215763469223047</v>
      </c>
    </row>
    <row r="152" ht="16.5" customHeight="1" spans="1:10">
      <c r="A152" s="37" t="s">
        <v>576</v>
      </c>
      <c r="B152" s="37" t="s">
        <v>101</v>
      </c>
      <c r="C152" s="37" t="s">
        <v>151</v>
      </c>
      <c r="D152" s="37" t="s">
        <v>326</v>
      </c>
      <c r="E152" s="37">
        <v>0</v>
      </c>
      <c r="F152" s="37">
        <v>0</v>
      </c>
      <c r="G152" s="38">
        <v>0</v>
      </c>
      <c r="H152" s="38">
        <v>19320</v>
      </c>
      <c r="I152" s="38">
        <v>3380</v>
      </c>
      <c r="J152" s="39">
        <v>0.174948240165631</v>
      </c>
    </row>
    <row r="153" ht="16.5" customHeight="1" spans="1:10">
      <c r="A153" s="37" t="s">
        <v>576</v>
      </c>
      <c r="B153" s="37" t="s">
        <v>101</v>
      </c>
      <c r="C153" s="37" t="s">
        <v>22</v>
      </c>
      <c r="D153" s="37" t="s">
        <v>343</v>
      </c>
      <c r="E153" s="37">
        <v>0</v>
      </c>
      <c r="F153" s="37">
        <v>0</v>
      </c>
      <c r="G153" s="38">
        <v>0</v>
      </c>
      <c r="H153" s="38">
        <v>31068</v>
      </c>
      <c r="I153" s="38">
        <v>26952</v>
      </c>
      <c r="J153" s="39">
        <v>0.86751641560448</v>
      </c>
    </row>
    <row r="154" ht="16.5" customHeight="1" spans="1:10">
      <c r="A154" s="37" t="s">
        <v>576</v>
      </c>
      <c r="B154" s="37" t="s">
        <v>101</v>
      </c>
      <c r="C154" s="37" t="s">
        <v>75</v>
      </c>
      <c r="D154" s="37" t="s">
        <v>119</v>
      </c>
      <c r="E154" s="37">
        <v>0</v>
      </c>
      <c r="F154" s="37">
        <v>0</v>
      </c>
      <c r="G154" s="38">
        <v>0</v>
      </c>
      <c r="H154" s="38">
        <v>4980</v>
      </c>
      <c r="I154" s="38">
        <v>0</v>
      </c>
      <c r="J154" s="39">
        <v>0</v>
      </c>
    </row>
    <row r="155" ht="16.5" customHeight="1" spans="1:10">
      <c r="A155" s="37" t="s">
        <v>576</v>
      </c>
      <c r="B155" s="37" t="s">
        <v>101</v>
      </c>
      <c r="C155" s="37" t="s">
        <v>22</v>
      </c>
      <c r="D155" s="37" t="s">
        <v>346</v>
      </c>
      <c r="E155" s="37">
        <v>0</v>
      </c>
      <c r="F155" s="37">
        <v>0</v>
      </c>
      <c r="G155" s="38">
        <v>0</v>
      </c>
      <c r="H155" s="38">
        <v>69995</v>
      </c>
      <c r="I155" s="38">
        <v>39112</v>
      </c>
      <c r="J155" s="39">
        <v>0.558782770197871</v>
      </c>
    </row>
    <row r="156" ht="16.5" customHeight="1" spans="1:10">
      <c r="A156" s="37" t="s">
        <v>576</v>
      </c>
      <c r="B156" s="37" t="s">
        <v>101</v>
      </c>
      <c r="C156" s="37" t="s">
        <v>75</v>
      </c>
      <c r="D156" s="37" t="s">
        <v>122</v>
      </c>
      <c r="E156" s="37">
        <v>2</v>
      </c>
      <c r="F156" s="37">
        <v>0</v>
      </c>
      <c r="G156" s="38">
        <v>0</v>
      </c>
      <c r="H156" s="38">
        <v>12940</v>
      </c>
      <c r="I156" s="38">
        <v>0</v>
      </c>
      <c r="J156" s="39">
        <v>0</v>
      </c>
    </row>
    <row r="157" ht="16.5" customHeight="1" spans="1:10">
      <c r="A157" s="37" t="s">
        <v>576</v>
      </c>
      <c r="B157" s="37" t="s">
        <v>101</v>
      </c>
      <c r="C157" s="37" t="s">
        <v>22</v>
      </c>
      <c r="D157" s="37" t="s">
        <v>361</v>
      </c>
      <c r="E157" s="37">
        <v>0</v>
      </c>
      <c r="F157" s="37">
        <v>1</v>
      </c>
      <c r="G157" s="38">
        <v>4080</v>
      </c>
      <c r="H157" s="38">
        <v>71489</v>
      </c>
      <c r="I157" s="38">
        <v>61627</v>
      </c>
      <c r="J157" s="39">
        <v>0.862048706794052</v>
      </c>
    </row>
    <row r="158" ht="16.5" customHeight="1" spans="1:10">
      <c r="A158" s="37" t="s">
        <v>576</v>
      </c>
      <c r="B158" s="37" t="s">
        <v>101</v>
      </c>
      <c r="C158" s="37" t="s">
        <v>264</v>
      </c>
      <c r="D158" s="37" t="s">
        <v>496</v>
      </c>
      <c r="E158" s="37">
        <v>0</v>
      </c>
      <c r="F158" s="37">
        <v>1</v>
      </c>
      <c r="G158" s="38">
        <v>3000</v>
      </c>
      <c r="H158" s="38">
        <v>39022</v>
      </c>
      <c r="I158" s="38">
        <v>24082</v>
      </c>
      <c r="J158" s="39">
        <v>0.617139049766798</v>
      </c>
    </row>
    <row r="159" ht="16.5" customHeight="1" spans="1:10">
      <c r="A159" s="37" t="s">
        <v>576</v>
      </c>
      <c r="B159" s="37" t="s">
        <v>101</v>
      </c>
      <c r="C159" s="37" t="s">
        <v>264</v>
      </c>
      <c r="D159" s="37" t="s">
        <v>480</v>
      </c>
      <c r="E159" s="37">
        <v>0</v>
      </c>
      <c r="F159" s="37">
        <v>1</v>
      </c>
      <c r="G159" s="38">
        <v>4980</v>
      </c>
      <c r="H159" s="38">
        <v>9960</v>
      </c>
      <c r="I159" s="38">
        <v>0</v>
      </c>
      <c r="J159" s="39">
        <v>0</v>
      </c>
    </row>
    <row r="160" ht="16.5" customHeight="1" spans="1:10">
      <c r="A160" s="37" t="s">
        <v>576</v>
      </c>
      <c r="B160" s="37" t="s">
        <v>101</v>
      </c>
      <c r="C160" s="37" t="s">
        <v>151</v>
      </c>
      <c r="D160" s="37" t="s">
        <v>334</v>
      </c>
      <c r="E160" s="37">
        <v>0</v>
      </c>
      <c r="F160" s="37">
        <v>0</v>
      </c>
      <c r="G160" s="38">
        <v>0</v>
      </c>
      <c r="H160" s="38">
        <v>4980</v>
      </c>
      <c r="I160" s="38">
        <v>0</v>
      </c>
      <c r="J160" s="39">
        <v>0</v>
      </c>
    </row>
    <row r="161" ht="16.5" customHeight="1" spans="1:10">
      <c r="A161" s="37" t="s">
        <v>576</v>
      </c>
      <c r="B161" s="37" t="s">
        <v>101</v>
      </c>
      <c r="C161" s="37" t="s">
        <v>52</v>
      </c>
      <c r="D161" s="37" t="s">
        <v>383</v>
      </c>
      <c r="E161" s="37">
        <v>0</v>
      </c>
      <c r="F161" s="37">
        <v>0</v>
      </c>
      <c r="G161" s="38">
        <v>0</v>
      </c>
      <c r="H161" s="38">
        <v>108202</v>
      </c>
      <c r="I161" s="38">
        <v>4382</v>
      </c>
      <c r="J161" s="39">
        <v>0.0404983272028243</v>
      </c>
    </row>
    <row r="162" ht="16.5" customHeight="1" spans="1:10">
      <c r="A162" s="37" t="s">
        <v>576</v>
      </c>
      <c r="B162" s="37" t="s">
        <v>101</v>
      </c>
      <c r="C162" s="37" t="s">
        <v>264</v>
      </c>
      <c r="D162" s="37" t="s">
        <v>491</v>
      </c>
      <c r="E162" s="37">
        <v>0</v>
      </c>
      <c r="F162" s="37">
        <v>3</v>
      </c>
      <c r="G162" s="38">
        <v>12340</v>
      </c>
      <c r="H162" s="38">
        <v>37274</v>
      </c>
      <c r="I162" s="38">
        <v>2974</v>
      </c>
      <c r="J162" s="39">
        <v>0.0797875194505553</v>
      </c>
    </row>
    <row r="163" ht="16.5" customHeight="1" spans="1:10">
      <c r="A163" s="37" t="s">
        <v>576</v>
      </c>
      <c r="B163" s="37" t="s">
        <v>101</v>
      </c>
      <c r="C163" s="37" t="s">
        <v>52</v>
      </c>
      <c r="D163" s="37" t="s">
        <v>374</v>
      </c>
      <c r="E163" s="37">
        <v>0</v>
      </c>
      <c r="F163" s="37">
        <v>0</v>
      </c>
      <c r="G163" s="38">
        <v>0</v>
      </c>
      <c r="H163" s="38">
        <v>84776</v>
      </c>
      <c r="I163" s="38">
        <v>28796</v>
      </c>
      <c r="J163" s="39">
        <v>0.339671605171275</v>
      </c>
    </row>
    <row r="164" ht="16.5" customHeight="1" spans="1:10">
      <c r="A164" s="37" t="s">
        <v>576</v>
      </c>
      <c r="B164" s="37" t="s">
        <v>101</v>
      </c>
      <c r="C164" s="37" t="s">
        <v>264</v>
      </c>
      <c r="D164" s="37" t="s">
        <v>483</v>
      </c>
      <c r="E164" s="37">
        <v>0</v>
      </c>
      <c r="F164" s="37">
        <v>0</v>
      </c>
      <c r="G164" s="38">
        <v>0</v>
      </c>
      <c r="H164" s="38">
        <v>34682</v>
      </c>
      <c r="I164" s="38">
        <v>11782</v>
      </c>
      <c r="J164" s="39">
        <v>0.339715126001961</v>
      </c>
    </row>
    <row r="165" ht="16.5" customHeight="1" spans="1:10">
      <c r="A165" s="37" t="s">
        <v>576</v>
      </c>
      <c r="B165" s="37" t="s">
        <v>101</v>
      </c>
      <c r="C165" s="37" t="s">
        <v>264</v>
      </c>
      <c r="D165" s="37" t="s">
        <v>488</v>
      </c>
      <c r="E165" s="37">
        <v>0</v>
      </c>
      <c r="F165" s="37">
        <v>1</v>
      </c>
      <c r="G165" s="38">
        <v>3980</v>
      </c>
      <c r="H165" s="38">
        <v>38884</v>
      </c>
      <c r="I165" s="38">
        <v>19544</v>
      </c>
      <c r="J165" s="39">
        <v>0.502623186914926</v>
      </c>
    </row>
    <row r="166" ht="16.5" customHeight="1" spans="1:10">
      <c r="A166" s="37" t="s">
        <v>576</v>
      </c>
      <c r="B166" s="37" t="s">
        <v>101</v>
      </c>
      <c r="C166" s="37" t="s">
        <v>151</v>
      </c>
      <c r="D166" s="37" t="s">
        <v>328</v>
      </c>
      <c r="E166" s="37">
        <v>0</v>
      </c>
      <c r="F166" s="37">
        <v>1</v>
      </c>
      <c r="G166" s="38">
        <v>3000</v>
      </c>
      <c r="H166" s="38">
        <v>29320</v>
      </c>
      <c r="I166" s="38">
        <v>3502</v>
      </c>
      <c r="J166" s="39">
        <v>0.119440654843111</v>
      </c>
    </row>
    <row r="167" ht="16.5" customHeight="1" spans="1:10">
      <c r="A167" s="37" t="s">
        <v>576</v>
      </c>
      <c r="B167" s="37" t="s">
        <v>101</v>
      </c>
      <c r="C167" s="37" t="s">
        <v>52</v>
      </c>
      <c r="D167" s="37" t="s">
        <v>371</v>
      </c>
      <c r="E167" s="37">
        <v>0</v>
      </c>
      <c r="F167" s="37">
        <v>0</v>
      </c>
      <c r="G167" s="38">
        <v>0</v>
      </c>
      <c r="H167" s="38">
        <v>150157</v>
      </c>
      <c r="I167" s="38">
        <v>65231</v>
      </c>
      <c r="J167" s="39">
        <v>0.43441864182156</v>
      </c>
    </row>
    <row r="168" ht="16.5" customHeight="1" spans="1:10">
      <c r="A168" s="37" t="s">
        <v>576</v>
      </c>
      <c r="B168" s="37" t="s">
        <v>101</v>
      </c>
      <c r="C168" s="37" t="s">
        <v>224</v>
      </c>
      <c r="D168" s="37" t="s">
        <v>389</v>
      </c>
      <c r="E168" s="37">
        <v>0</v>
      </c>
      <c r="F168" s="37">
        <v>3</v>
      </c>
      <c r="G168" s="38">
        <v>12340</v>
      </c>
      <c r="H168" s="38">
        <v>150630</v>
      </c>
      <c r="I168" s="38">
        <v>70008</v>
      </c>
      <c r="J168" s="39">
        <v>0.46476797450707</v>
      </c>
    </row>
    <row r="169" ht="16.5" customHeight="1" spans="1:10">
      <c r="A169" s="37" t="s">
        <v>576</v>
      </c>
      <c r="B169" s="37" t="s">
        <v>101</v>
      </c>
      <c r="C169" s="37" t="s">
        <v>151</v>
      </c>
      <c r="D169" s="37" t="s">
        <v>331</v>
      </c>
      <c r="E169" s="37">
        <v>0</v>
      </c>
      <c r="F169" s="37">
        <v>0</v>
      </c>
      <c r="G169" s="38">
        <v>0</v>
      </c>
      <c r="H169" s="38">
        <v>15354</v>
      </c>
      <c r="I169" s="38">
        <v>2974</v>
      </c>
      <c r="J169" s="39">
        <v>0.193695453953367</v>
      </c>
    </row>
    <row r="170" ht="16.5" customHeight="1" spans="1:10">
      <c r="A170" s="37" t="s">
        <v>576</v>
      </c>
      <c r="B170" s="37" t="s">
        <v>101</v>
      </c>
      <c r="C170" s="37" t="s">
        <v>264</v>
      </c>
      <c r="D170" s="37" t="s">
        <v>485</v>
      </c>
      <c r="E170" s="37">
        <v>0</v>
      </c>
      <c r="F170" s="37">
        <v>2</v>
      </c>
      <c r="G170" s="38">
        <v>9960</v>
      </c>
      <c r="H170" s="38">
        <v>49800</v>
      </c>
      <c r="I170" s="38">
        <v>6980</v>
      </c>
      <c r="J170" s="39">
        <v>0.140160642570281</v>
      </c>
    </row>
    <row r="171" ht="16.5" customHeight="1" spans="1:10">
      <c r="A171" s="37" t="s">
        <v>576</v>
      </c>
      <c r="B171" s="37" t="s">
        <v>101</v>
      </c>
      <c r="C171" s="37" t="s">
        <v>224</v>
      </c>
      <c r="D171" s="37" t="s">
        <v>405</v>
      </c>
      <c r="E171" s="37">
        <v>0</v>
      </c>
      <c r="F171" s="37">
        <v>0</v>
      </c>
      <c r="G171" s="38">
        <v>0</v>
      </c>
      <c r="H171" s="38">
        <v>23600</v>
      </c>
      <c r="I171" s="38">
        <v>4320</v>
      </c>
      <c r="J171" s="39">
        <v>0.183050847457627</v>
      </c>
    </row>
    <row r="172" ht="16.5" customHeight="1" spans="1:10">
      <c r="A172" s="37" t="s">
        <v>576</v>
      </c>
      <c r="B172" s="37" t="s">
        <v>101</v>
      </c>
      <c r="C172" s="37" t="s">
        <v>264</v>
      </c>
      <c r="D172" s="37" t="s">
        <v>476</v>
      </c>
      <c r="E172" s="37">
        <v>0</v>
      </c>
      <c r="F172" s="37">
        <v>2</v>
      </c>
      <c r="G172" s="38">
        <v>7760</v>
      </c>
      <c r="H172" s="38">
        <v>24979</v>
      </c>
      <c r="I172" s="38">
        <v>14219</v>
      </c>
      <c r="J172" s="39">
        <v>0.569238160054446</v>
      </c>
    </row>
    <row r="173" ht="16.5" customHeight="1" spans="1:10">
      <c r="A173" s="37" t="s">
        <v>576</v>
      </c>
      <c r="B173" s="37" t="s">
        <v>101</v>
      </c>
      <c r="C173" s="37" t="s">
        <v>224</v>
      </c>
      <c r="D173" s="37" t="s">
        <v>403</v>
      </c>
      <c r="E173" s="37">
        <v>0</v>
      </c>
      <c r="F173" s="37">
        <v>0</v>
      </c>
      <c r="G173" s="38">
        <v>0</v>
      </c>
      <c r="H173" s="38">
        <v>13340</v>
      </c>
      <c r="I173" s="38">
        <v>1680</v>
      </c>
      <c r="J173" s="39">
        <v>0.125937031484258</v>
      </c>
    </row>
    <row r="174" ht="16.5" customHeight="1" spans="1:10">
      <c r="A174" s="37" t="s">
        <v>576</v>
      </c>
      <c r="B174" s="37" t="s">
        <v>51</v>
      </c>
      <c r="C174" s="37" t="s">
        <v>224</v>
      </c>
      <c r="D174" s="37" t="s">
        <v>231</v>
      </c>
      <c r="E174" s="37">
        <v>0</v>
      </c>
      <c r="F174" s="37">
        <v>1</v>
      </c>
      <c r="G174" s="38">
        <v>3980</v>
      </c>
      <c r="H174" s="38">
        <v>15140</v>
      </c>
      <c r="I174" s="38">
        <v>7180</v>
      </c>
      <c r="J174" s="39">
        <v>0.474240422721268</v>
      </c>
    </row>
    <row r="175" ht="16.5" customHeight="1" spans="1:10">
      <c r="A175" s="37" t="s">
        <v>576</v>
      </c>
      <c r="B175" s="37" t="s">
        <v>51</v>
      </c>
      <c r="C175" s="37" t="s">
        <v>22</v>
      </c>
      <c r="D175" s="37" t="s">
        <v>299</v>
      </c>
      <c r="E175" s="37">
        <v>0</v>
      </c>
      <c r="F175" s="37">
        <v>0</v>
      </c>
      <c r="G175" s="38">
        <v>0</v>
      </c>
      <c r="H175" s="38">
        <v>40040</v>
      </c>
      <c r="I175" s="38">
        <v>8532</v>
      </c>
      <c r="J175" s="39">
        <v>0.213086913086913</v>
      </c>
    </row>
    <row r="176" ht="16.5" customHeight="1" spans="1:10">
      <c r="A176" s="37" t="s">
        <v>576</v>
      </c>
      <c r="B176" s="37" t="s">
        <v>51</v>
      </c>
      <c r="C176" s="37" t="s">
        <v>264</v>
      </c>
      <c r="D176" s="37" t="s">
        <v>451</v>
      </c>
      <c r="E176" s="37">
        <v>0</v>
      </c>
      <c r="F176" s="37">
        <v>0</v>
      </c>
      <c r="G176" s="38">
        <v>0</v>
      </c>
      <c r="H176" s="38">
        <v>2974</v>
      </c>
      <c r="I176" s="38">
        <v>2974</v>
      </c>
      <c r="J176" s="39">
        <v>1</v>
      </c>
    </row>
    <row r="177" ht="16.5" customHeight="1" spans="1:10">
      <c r="A177" s="37" t="s">
        <v>576</v>
      </c>
      <c r="B177" s="37" t="s">
        <v>51</v>
      </c>
      <c r="C177" s="37" t="s">
        <v>264</v>
      </c>
      <c r="D177" s="37" t="s">
        <v>461</v>
      </c>
      <c r="E177" s="37">
        <v>0</v>
      </c>
      <c r="F177" s="37">
        <v>0</v>
      </c>
      <c r="G177" s="38">
        <v>0</v>
      </c>
      <c r="H177" s="38">
        <v>0</v>
      </c>
      <c r="I177" s="38">
        <v>0</v>
      </c>
      <c r="J177" s="39"/>
    </row>
    <row r="178" ht="16.5" customHeight="1" spans="1:10">
      <c r="A178" s="37" t="s">
        <v>576</v>
      </c>
      <c r="B178" s="37" t="s">
        <v>51</v>
      </c>
      <c r="C178" s="37" t="s">
        <v>75</v>
      </c>
      <c r="D178" s="37" t="s">
        <v>92</v>
      </c>
      <c r="E178" s="37">
        <v>0</v>
      </c>
      <c r="F178" s="37">
        <v>0</v>
      </c>
      <c r="G178" s="38">
        <v>0</v>
      </c>
      <c r="H178" s="38">
        <v>22120</v>
      </c>
      <c r="I178" s="38">
        <v>0</v>
      </c>
      <c r="J178" s="39">
        <v>0</v>
      </c>
    </row>
    <row r="179" ht="16.5" customHeight="1" spans="1:10">
      <c r="A179" s="37" t="s">
        <v>576</v>
      </c>
      <c r="B179" s="37" t="s">
        <v>51</v>
      </c>
      <c r="C179" s="37" t="s">
        <v>547</v>
      </c>
      <c r="D179" s="37" t="s">
        <v>548</v>
      </c>
      <c r="E179" s="37">
        <v>0</v>
      </c>
      <c r="F179" s="37">
        <v>1</v>
      </c>
      <c r="G179" s="38">
        <v>1680</v>
      </c>
      <c r="H179" s="38">
        <v>1680</v>
      </c>
      <c r="I179" s="38">
        <v>1680</v>
      </c>
      <c r="J179" s="39">
        <v>1</v>
      </c>
    </row>
    <row r="180" ht="16.5" customHeight="1" spans="1:10">
      <c r="A180" s="37" t="s">
        <v>576</v>
      </c>
      <c r="B180" s="37" t="s">
        <v>51</v>
      </c>
      <c r="C180" s="37" t="s">
        <v>22</v>
      </c>
      <c r="D180" s="37" t="s">
        <v>310</v>
      </c>
      <c r="E180" s="37">
        <v>0</v>
      </c>
      <c r="F180" s="37">
        <v>0</v>
      </c>
      <c r="G180" s="38">
        <v>0</v>
      </c>
      <c r="H180" s="38">
        <v>0</v>
      </c>
      <c r="I180" s="38">
        <v>0</v>
      </c>
      <c r="J180" s="39"/>
    </row>
    <row r="181" ht="16.5" customHeight="1" spans="1:10">
      <c r="A181" s="37" t="s">
        <v>576</v>
      </c>
      <c r="B181" s="37" t="s">
        <v>51</v>
      </c>
      <c r="C181" s="37" t="s">
        <v>75</v>
      </c>
      <c r="D181" s="37" t="s">
        <v>83</v>
      </c>
      <c r="E181" s="37">
        <v>0</v>
      </c>
      <c r="F181" s="37">
        <v>0</v>
      </c>
      <c r="G181" s="38">
        <v>0</v>
      </c>
      <c r="H181" s="38">
        <v>55918</v>
      </c>
      <c r="I181" s="38">
        <v>31110</v>
      </c>
      <c r="J181" s="39">
        <v>0.556350370184914</v>
      </c>
    </row>
    <row r="182" ht="16.5" customHeight="1" spans="1:10">
      <c r="A182" s="37" t="s">
        <v>576</v>
      </c>
      <c r="B182" s="37" t="s">
        <v>51</v>
      </c>
      <c r="C182" s="37" t="s">
        <v>547</v>
      </c>
      <c r="D182" s="37" t="s">
        <v>563</v>
      </c>
      <c r="E182" s="37">
        <v>0</v>
      </c>
      <c r="F182" s="37">
        <v>0</v>
      </c>
      <c r="G182" s="38">
        <v>0</v>
      </c>
      <c r="H182" s="38">
        <v>18440</v>
      </c>
      <c r="I182" s="38">
        <v>0</v>
      </c>
      <c r="J182" s="39">
        <v>0</v>
      </c>
    </row>
    <row r="183" ht="16.5" customHeight="1" spans="1:10">
      <c r="A183" s="37" t="s">
        <v>576</v>
      </c>
      <c r="B183" s="37" t="s">
        <v>51</v>
      </c>
      <c r="C183" s="37" t="s">
        <v>102</v>
      </c>
      <c r="D183" s="37" t="s">
        <v>426</v>
      </c>
      <c r="E183" s="37">
        <v>0</v>
      </c>
      <c r="F183" s="37">
        <v>0</v>
      </c>
      <c r="G183" s="38">
        <v>0</v>
      </c>
      <c r="H183" s="38">
        <v>46848</v>
      </c>
      <c r="I183" s="38">
        <v>25642</v>
      </c>
      <c r="J183" s="39">
        <v>0.547344603825137</v>
      </c>
    </row>
    <row r="184" ht="16.5" customHeight="1" spans="1:10">
      <c r="A184" s="37" t="s">
        <v>576</v>
      </c>
      <c r="B184" s="37" t="s">
        <v>51</v>
      </c>
      <c r="C184" s="37" t="s">
        <v>102</v>
      </c>
      <c r="D184" s="37" t="s">
        <v>432</v>
      </c>
      <c r="E184" s="37">
        <v>0</v>
      </c>
      <c r="F184" s="37">
        <v>0</v>
      </c>
      <c r="G184" s="38">
        <v>0</v>
      </c>
      <c r="H184" s="38">
        <v>39809</v>
      </c>
      <c r="I184" s="38">
        <v>23009</v>
      </c>
      <c r="J184" s="39">
        <v>0.577984877791454</v>
      </c>
    </row>
    <row r="185" ht="16.5" customHeight="1" spans="1:10">
      <c r="A185" s="37" t="s">
        <v>576</v>
      </c>
      <c r="B185" s="37" t="s">
        <v>51</v>
      </c>
      <c r="C185" s="37" t="s">
        <v>264</v>
      </c>
      <c r="D185" s="37" t="s">
        <v>459</v>
      </c>
      <c r="E185" s="37">
        <v>0</v>
      </c>
      <c r="F185" s="37">
        <v>0</v>
      </c>
      <c r="G185" s="38">
        <v>0</v>
      </c>
      <c r="H185" s="38">
        <v>0</v>
      </c>
      <c r="I185" s="38">
        <v>0</v>
      </c>
      <c r="J185" s="39"/>
    </row>
    <row r="186" ht="16.5" customHeight="1" spans="1:10">
      <c r="A186" s="37" t="s">
        <v>576</v>
      </c>
      <c r="B186" s="37" t="s">
        <v>51</v>
      </c>
      <c r="C186" s="37" t="s">
        <v>224</v>
      </c>
      <c r="D186" s="37" t="s">
        <v>239</v>
      </c>
      <c r="E186" s="37">
        <v>0</v>
      </c>
      <c r="F186" s="37">
        <v>1</v>
      </c>
      <c r="G186" s="38">
        <v>3502</v>
      </c>
      <c r="H186" s="38">
        <v>37710</v>
      </c>
      <c r="I186" s="38">
        <v>34208</v>
      </c>
      <c r="J186" s="39">
        <v>0.907133386369663</v>
      </c>
    </row>
    <row r="187" ht="16.5" customHeight="1" spans="1:10">
      <c r="A187" s="37" t="s">
        <v>576</v>
      </c>
      <c r="B187" s="37" t="s">
        <v>51</v>
      </c>
      <c r="C187" s="37" t="s">
        <v>151</v>
      </c>
      <c r="D187" s="37" t="s">
        <v>158</v>
      </c>
      <c r="E187" s="37">
        <v>0</v>
      </c>
      <c r="F187" s="37">
        <v>1</v>
      </c>
      <c r="G187" s="38">
        <v>3502</v>
      </c>
      <c r="H187" s="38">
        <v>33754</v>
      </c>
      <c r="I187" s="38">
        <v>22694</v>
      </c>
      <c r="J187" s="39">
        <v>0.672335130651182</v>
      </c>
    </row>
    <row r="188" ht="16.5" customHeight="1" spans="1:10">
      <c r="A188" s="37" t="s">
        <v>576</v>
      </c>
      <c r="B188" s="37" t="s">
        <v>51</v>
      </c>
      <c r="C188" s="37" t="s">
        <v>125</v>
      </c>
      <c r="D188" s="37" t="s">
        <v>130</v>
      </c>
      <c r="E188" s="37">
        <v>0</v>
      </c>
      <c r="F188" s="37">
        <v>0</v>
      </c>
      <c r="G188" s="38">
        <v>0</v>
      </c>
      <c r="H188" s="38">
        <v>0</v>
      </c>
      <c r="I188" s="38">
        <v>0</v>
      </c>
      <c r="J188" s="39"/>
    </row>
    <row r="189" ht="16.5" customHeight="1" spans="1:10">
      <c r="A189" s="37" t="s">
        <v>576</v>
      </c>
      <c r="B189" s="37" t="s">
        <v>51</v>
      </c>
      <c r="C189" s="37" t="s">
        <v>22</v>
      </c>
      <c r="D189" s="37" t="s">
        <v>302</v>
      </c>
      <c r="E189" s="37">
        <v>0</v>
      </c>
      <c r="F189" s="37">
        <v>0</v>
      </c>
      <c r="G189" s="38">
        <v>0</v>
      </c>
      <c r="H189" s="38">
        <v>110036</v>
      </c>
      <c r="I189" s="38">
        <v>40116</v>
      </c>
      <c r="J189" s="39">
        <v>0.364571594750809</v>
      </c>
    </row>
    <row r="190" ht="16.5" customHeight="1" spans="1:10">
      <c r="A190" s="37" t="s">
        <v>576</v>
      </c>
      <c r="B190" s="37" t="s">
        <v>51</v>
      </c>
      <c r="C190" s="37" t="s">
        <v>264</v>
      </c>
      <c r="D190" s="37" t="s">
        <v>445</v>
      </c>
      <c r="E190" s="37">
        <v>0</v>
      </c>
      <c r="F190" s="37">
        <v>0</v>
      </c>
      <c r="G190" s="38">
        <v>0</v>
      </c>
      <c r="H190" s="38">
        <v>6560</v>
      </c>
      <c r="I190" s="38">
        <v>2580</v>
      </c>
      <c r="J190" s="39">
        <v>0.393292682926829</v>
      </c>
    </row>
    <row r="191" ht="16.5" customHeight="1" spans="1:10">
      <c r="A191" s="37" t="s">
        <v>576</v>
      </c>
      <c r="B191" s="37" t="s">
        <v>51</v>
      </c>
      <c r="C191" s="37" t="s">
        <v>52</v>
      </c>
      <c r="D191" s="37" t="s">
        <v>69</v>
      </c>
      <c r="E191" s="37">
        <v>0</v>
      </c>
      <c r="F191" s="37">
        <v>0</v>
      </c>
      <c r="G191" s="38">
        <v>0</v>
      </c>
      <c r="H191" s="38">
        <v>380000</v>
      </c>
      <c r="I191" s="38">
        <v>220000</v>
      </c>
      <c r="J191" s="39">
        <v>0.578947368421053</v>
      </c>
    </row>
    <row r="192" ht="16.5" customHeight="1" spans="1:10">
      <c r="A192" s="37" t="s">
        <v>576</v>
      </c>
      <c r="B192" s="37" t="s">
        <v>51</v>
      </c>
      <c r="C192" s="37" t="s">
        <v>547</v>
      </c>
      <c r="D192" s="37" t="s">
        <v>554</v>
      </c>
      <c r="E192" s="37">
        <v>0</v>
      </c>
      <c r="F192" s="37">
        <v>0</v>
      </c>
      <c r="G192" s="38">
        <v>0</v>
      </c>
      <c r="H192" s="38">
        <v>25920</v>
      </c>
      <c r="I192" s="38">
        <v>19306</v>
      </c>
      <c r="J192" s="39">
        <v>0.74483024691358</v>
      </c>
    </row>
    <row r="193" ht="16.5" customHeight="1" spans="1:10">
      <c r="A193" s="37" t="s">
        <v>576</v>
      </c>
      <c r="B193" s="37" t="s">
        <v>51</v>
      </c>
      <c r="C193" s="37" t="s">
        <v>151</v>
      </c>
      <c r="D193" s="37" t="s">
        <v>155</v>
      </c>
      <c r="E193" s="37">
        <v>0</v>
      </c>
      <c r="F193" s="37">
        <v>0</v>
      </c>
      <c r="G193" s="38">
        <v>0</v>
      </c>
      <c r="H193" s="38">
        <v>19422</v>
      </c>
      <c r="I193" s="38">
        <v>0</v>
      </c>
      <c r="J193" s="39">
        <v>0</v>
      </c>
    </row>
    <row r="194" ht="16.5" customHeight="1" spans="1:10">
      <c r="A194" s="37" t="s">
        <v>576</v>
      </c>
      <c r="B194" s="37" t="s">
        <v>51</v>
      </c>
      <c r="C194" s="37" t="s">
        <v>224</v>
      </c>
      <c r="D194" s="37" t="s">
        <v>225</v>
      </c>
      <c r="E194" s="37">
        <v>0</v>
      </c>
      <c r="F194" s="37">
        <v>1</v>
      </c>
      <c r="G194" s="38">
        <v>3000</v>
      </c>
      <c r="H194" s="38">
        <v>21666</v>
      </c>
      <c r="I194" s="38">
        <v>0</v>
      </c>
      <c r="J194" s="39">
        <v>0</v>
      </c>
    </row>
    <row r="195" ht="16.5" customHeight="1" spans="1:10">
      <c r="A195" s="37" t="s">
        <v>576</v>
      </c>
      <c r="B195" s="37" t="s">
        <v>51</v>
      </c>
      <c r="C195" s="37" t="s">
        <v>547</v>
      </c>
      <c r="D195" s="37" t="s">
        <v>561</v>
      </c>
      <c r="E195" s="37">
        <v>0</v>
      </c>
      <c r="F195" s="37">
        <v>0</v>
      </c>
      <c r="G195" s="38">
        <v>0</v>
      </c>
      <c r="H195" s="38">
        <v>4980</v>
      </c>
      <c r="I195" s="38">
        <v>0</v>
      </c>
      <c r="J195" s="39">
        <v>0</v>
      </c>
    </row>
    <row r="196" ht="16.5" customHeight="1" spans="1:10">
      <c r="A196" s="37" t="s">
        <v>576</v>
      </c>
      <c r="B196" s="37" t="s">
        <v>51</v>
      </c>
      <c r="C196" s="37" t="s">
        <v>52</v>
      </c>
      <c r="D196" s="37" t="s">
        <v>63</v>
      </c>
      <c r="E196" s="37">
        <v>0</v>
      </c>
      <c r="F196" s="37">
        <v>0</v>
      </c>
      <c r="G196" s="38">
        <v>0</v>
      </c>
      <c r="H196" s="38">
        <v>247000</v>
      </c>
      <c r="I196" s="38">
        <v>177000</v>
      </c>
      <c r="J196" s="39">
        <v>0.716599190283401</v>
      </c>
    </row>
    <row r="197" ht="16.5" customHeight="1" spans="1:10">
      <c r="A197" s="37" t="s">
        <v>576</v>
      </c>
      <c r="B197" s="37" t="s">
        <v>51</v>
      </c>
      <c r="C197" s="37" t="s">
        <v>52</v>
      </c>
      <c r="D197" s="37" t="s">
        <v>72</v>
      </c>
      <c r="E197" s="37">
        <v>0</v>
      </c>
      <c r="F197" s="37">
        <v>0</v>
      </c>
      <c r="G197" s="38">
        <v>0</v>
      </c>
      <c r="H197" s="38">
        <v>543025.9</v>
      </c>
      <c r="I197" s="38">
        <v>374157.9</v>
      </c>
      <c r="J197" s="39">
        <v>0.689024041026404</v>
      </c>
    </row>
    <row r="198" ht="16.5" customHeight="1" spans="1:10">
      <c r="A198" s="37" t="s">
        <v>576</v>
      </c>
      <c r="B198" s="37" t="s">
        <v>51</v>
      </c>
      <c r="C198" s="37" t="s">
        <v>224</v>
      </c>
      <c r="D198" s="37" t="s">
        <v>242</v>
      </c>
      <c r="E198" s="37">
        <v>0</v>
      </c>
      <c r="F198" s="37">
        <v>1</v>
      </c>
      <c r="G198" s="38">
        <v>4980</v>
      </c>
      <c r="H198" s="38">
        <v>12940</v>
      </c>
      <c r="I198" s="38">
        <v>0</v>
      </c>
      <c r="J198" s="39">
        <v>0</v>
      </c>
    </row>
    <row r="199" ht="16.5" customHeight="1" spans="1:10">
      <c r="A199" s="37" t="s">
        <v>576</v>
      </c>
      <c r="B199" s="37" t="s">
        <v>51</v>
      </c>
      <c r="C199" s="37" t="s">
        <v>547</v>
      </c>
      <c r="D199" s="37" t="s">
        <v>556</v>
      </c>
      <c r="E199" s="37">
        <v>0</v>
      </c>
      <c r="F199" s="37">
        <v>2</v>
      </c>
      <c r="G199" s="38">
        <v>6980</v>
      </c>
      <c r="H199" s="38">
        <v>72880</v>
      </c>
      <c r="I199" s="38">
        <v>56258</v>
      </c>
      <c r="J199" s="39">
        <v>0.771926454445664</v>
      </c>
    </row>
    <row r="200" ht="16.5" customHeight="1" spans="1:10">
      <c r="A200" s="37" t="s">
        <v>576</v>
      </c>
      <c r="B200" s="37" t="s">
        <v>51</v>
      </c>
      <c r="C200" s="37" t="s">
        <v>547</v>
      </c>
      <c r="D200" s="37" t="s">
        <v>567</v>
      </c>
      <c r="E200" s="37">
        <v>0</v>
      </c>
      <c r="F200" s="37">
        <v>0</v>
      </c>
      <c r="G200" s="38">
        <v>0</v>
      </c>
      <c r="H200" s="38">
        <v>15620</v>
      </c>
      <c r="I200" s="38">
        <v>3502</v>
      </c>
      <c r="J200" s="39">
        <v>0.224199743918054</v>
      </c>
    </row>
    <row r="201" ht="16.5" customHeight="1" spans="1:10">
      <c r="A201" s="37" t="s">
        <v>576</v>
      </c>
      <c r="B201" s="37" t="s">
        <v>51</v>
      </c>
      <c r="C201" s="37" t="s">
        <v>22</v>
      </c>
      <c r="D201" s="37" t="s">
        <v>313</v>
      </c>
      <c r="E201" s="37">
        <v>0</v>
      </c>
      <c r="F201" s="37">
        <v>0</v>
      </c>
      <c r="G201" s="38">
        <v>0</v>
      </c>
      <c r="H201" s="38">
        <v>59196</v>
      </c>
      <c r="I201" s="38">
        <v>45334</v>
      </c>
      <c r="J201" s="39">
        <v>0.765828772214339</v>
      </c>
    </row>
    <row r="202" ht="16.5" customHeight="1" spans="1:10">
      <c r="A202" s="37" t="s">
        <v>576</v>
      </c>
      <c r="B202" s="37" t="s">
        <v>51</v>
      </c>
      <c r="C202" s="37" t="s">
        <v>52</v>
      </c>
      <c r="D202" s="37" t="s">
        <v>53</v>
      </c>
      <c r="E202" s="37">
        <v>0</v>
      </c>
      <c r="F202" s="37">
        <v>0</v>
      </c>
      <c r="G202" s="38">
        <v>0</v>
      </c>
      <c r="H202" s="38">
        <v>94000</v>
      </c>
      <c r="I202" s="38">
        <v>35000</v>
      </c>
      <c r="J202" s="39">
        <v>0.372340425531915</v>
      </c>
    </row>
    <row r="203" ht="16.5" customHeight="1" spans="1:10">
      <c r="A203" s="37" t="s">
        <v>576</v>
      </c>
      <c r="B203" s="37" t="s">
        <v>51</v>
      </c>
      <c r="C203" s="37" t="s">
        <v>75</v>
      </c>
      <c r="D203" s="37" t="s">
        <v>86</v>
      </c>
      <c r="E203" s="37">
        <v>0</v>
      </c>
      <c r="F203" s="37">
        <v>0</v>
      </c>
      <c r="G203" s="38">
        <v>0</v>
      </c>
      <c r="H203" s="38">
        <v>10540</v>
      </c>
      <c r="I203" s="38">
        <v>0</v>
      </c>
      <c r="J203" s="39">
        <v>0</v>
      </c>
    </row>
    <row r="204" ht="16.5" customHeight="1" spans="1:10">
      <c r="A204" s="37" t="s">
        <v>576</v>
      </c>
      <c r="B204" s="37" t="s">
        <v>51</v>
      </c>
      <c r="C204" s="37" t="s">
        <v>125</v>
      </c>
      <c r="D204" s="37" t="s">
        <v>133</v>
      </c>
      <c r="E204" s="37">
        <v>0</v>
      </c>
      <c r="F204" s="37">
        <v>0</v>
      </c>
      <c r="G204" s="38">
        <v>0</v>
      </c>
      <c r="H204" s="38">
        <v>3980</v>
      </c>
      <c r="I204" s="38">
        <v>0</v>
      </c>
      <c r="J204" s="39">
        <v>0</v>
      </c>
    </row>
    <row r="205" ht="16.5" customHeight="1" spans="1:10">
      <c r="A205" s="37" t="s">
        <v>576</v>
      </c>
      <c r="B205" s="37" t="s">
        <v>51</v>
      </c>
      <c r="C205" s="37" t="s">
        <v>151</v>
      </c>
      <c r="D205" s="37" t="s">
        <v>169</v>
      </c>
      <c r="E205" s="37">
        <v>0</v>
      </c>
      <c r="F205" s="37">
        <v>0</v>
      </c>
      <c r="G205" s="38">
        <v>0</v>
      </c>
      <c r="H205" s="38">
        <v>0</v>
      </c>
      <c r="I205" s="38">
        <v>0</v>
      </c>
      <c r="J205" s="39"/>
    </row>
    <row r="206" ht="16.5" customHeight="1" spans="1:10">
      <c r="A206" s="37" t="s">
        <v>576</v>
      </c>
      <c r="B206" s="37" t="s">
        <v>51</v>
      </c>
      <c r="C206" s="37" t="s">
        <v>125</v>
      </c>
      <c r="D206" s="37" t="s">
        <v>126</v>
      </c>
      <c r="E206" s="37">
        <v>0</v>
      </c>
      <c r="F206" s="37">
        <v>0</v>
      </c>
      <c r="G206" s="38">
        <v>0</v>
      </c>
      <c r="H206" s="38">
        <v>0</v>
      </c>
      <c r="I206" s="38">
        <v>0</v>
      </c>
      <c r="J206" s="39"/>
    </row>
    <row r="207" ht="16.5" customHeight="1" spans="1:10">
      <c r="A207" s="37" t="s">
        <v>576</v>
      </c>
      <c r="B207" s="37" t="s">
        <v>51</v>
      </c>
      <c r="C207" s="37" t="s">
        <v>547</v>
      </c>
      <c r="D207" s="37" t="s">
        <v>551</v>
      </c>
      <c r="E207" s="37">
        <v>0</v>
      </c>
      <c r="F207" s="37">
        <v>0</v>
      </c>
      <c r="G207" s="38">
        <v>0</v>
      </c>
      <c r="H207" s="38">
        <v>9980</v>
      </c>
      <c r="I207" s="38">
        <v>3000</v>
      </c>
      <c r="J207" s="39">
        <v>0.30060120240481</v>
      </c>
    </row>
    <row r="208" ht="16.5" customHeight="1" spans="1:10">
      <c r="A208" s="37" t="s">
        <v>576</v>
      </c>
      <c r="B208" s="37" t="s">
        <v>51</v>
      </c>
      <c r="C208" s="37" t="s">
        <v>125</v>
      </c>
      <c r="D208" s="37" t="s">
        <v>148</v>
      </c>
      <c r="E208" s="37">
        <v>0</v>
      </c>
      <c r="F208" s="37">
        <v>0</v>
      </c>
      <c r="G208" s="38">
        <v>0</v>
      </c>
      <c r="H208" s="38">
        <v>31560</v>
      </c>
      <c r="I208" s="38">
        <v>4580</v>
      </c>
      <c r="J208" s="39">
        <v>0.145120405576679</v>
      </c>
    </row>
    <row r="209" ht="16.5" customHeight="1" spans="1:10">
      <c r="A209" s="37" t="s">
        <v>576</v>
      </c>
      <c r="B209" s="37" t="s">
        <v>51</v>
      </c>
      <c r="C209" s="37" t="s">
        <v>224</v>
      </c>
      <c r="D209" s="37" t="s">
        <v>233</v>
      </c>
      <c r="E209" s="37">
        <v>0</v>
      </c>
      <c r="F209" s="37">
        <v>0</v>
      </c>
      <c r="G209" s="38">
        <v>0</v>
      </c>
      <c r="H209" s="38">
        <v>0</v>
      </c>
      <c r="I209" s="38">
        <v>0</v>
      </c>
      <c r="J209" s="39"/>
    </row>
    <row r="210" ht="16.5" customHeight="1" spans="1:10">
      <c r="A210" s="37" t="s">
        <v>576</v>
      </c>
      <c r="B210" s="37" t="s">
        <v>51</v>
      </c>
      <c r="C210" s="37" t="s">
        <v>224</v>
      </c>
      <c r="D210" s="37" t="s">
        <v>237</v>
      </c>
      <c r="E210" s="37">
        <v>0</v>
      </c>
      <c r="F210" s="37">
        <v>0</v>
      </c>
      <c r="G210" s="38">
        <v>0</v>
      </c>
      <c r="H210" s="38">
        <v>0</v>
      </c>
      <c r="I210" s="38">
        <v>0</v>
      </c>
      <c r="J210" s="39"/>
    </row>
    <row r="211" ht="16.5" customHeight="1" spans="1:10">
      <c r="A211" s="37" t="s">
        <v>576</v>
      </c>
      <c r="B211" s="37" t="s">
        <v>51</v>
      </c>
      <c r="C211" s="37" t="s">
        <v>264</v>
      </c>
      <c r="D211" s="37" t="s">
        <v>471</v>
      </c>
      <c r="E211" s="37">
        <v>0</v>
      </c>
      <c r="F211" s="37">
        <v>1</v>
      </c>
      <c r="G211" s="38">
        <v>3502</v>
      </c>
      <c r="H211" s="38">
        <v>13784</v>
      </c>
      <c r="I211" s="38">
        <v>6780</v>
      </c>
      <c r="J211" s="39">
        <v>0.491874637260592</v>
      </c>
    </row>
    <row r="212" ht="16.5" customHeight="1" spans="1:10">
      <c r="A212" s="37" t="s">
        <v>576</v>
      </c>
      <c r="B212" s="37" t="s">
        <v>51</v>
      </c>
      <c r="C212" s="37" t="s">
        <v>75</v>
      </c>
      <c r="D212" s="37" t="s">
        <v>76</v>
      </c>
      <c r="E212" s="37">
        <v>0</v>
      </c>
      <c r="F212" s="37">
        <v>0</v>
      </c>
      <c r="G212" s="38">
        <v>0</v>
      </c>
      <c r="H212" s="38">
        <v>17024</v>
      </c>
      <c r="I212" s="38">
        <v>7884</v>
      </c>
      <c r="J212" s="39">
        <v>0.463110902255639</v>
      </c>
    </row>
    <row r="213" ht="16.5" customHeight="1" spans="1:10">
      <c r="A213" s="37" t="s">
        <v>576</v>
      </c>
      <c r="B213" s="37" t="s">
        <v>51</v>
      </c>
      <c r="C213" s="37" t="s">
        <v>224</v>
      </c>
      <c r="D213" s="37" t="s">
        <v>245</v>
      </c>
      <c r="E213" s="37">
        <v>0</v>
      </c>
      <c r="F213" s="37">
        <v>1</v>
      </c>
      <c r="G213" s="38">
        <v>3502</v>
      </c>
      <c r="H213" s="38">
        <v>26422</v>
      </c>
      <c r="I213" s="38">
        <v>4980</v>
      </c>
      <c r="J213" s="39">
        <v>0.188479297555068</v>
      </c>
    </row>
    <row r="214" ht="16.5" customHeight="1" spans="1:10">
      <c r="A214" s="37" t="s">
        <v>576</v>
      </c>
      <c r="B214" s="37" t="s">
        <v>51</v>
      </c>
      <c r="C214" s="37" t="s">
        <v>52</v>
      </c>
      <c r="D214" s="37" t="s">
        <v>60</v>
      </c>
      <c r="E214" s="37">
        <v>0</v>
      </c>
      <c r="F214" s="37">
        <v>0</v>
      </c>
      <c r="G214" s="38">
        <v>0</v>
      </c>
      <c r="H214" s="38">
        <v>86000</v>
      </c>
      <c r="I214" s="38">
        <v>20000</v>
      </c>
      <c r="J214" s="39">
        <v>0.232558139534884</v>
      </c>
    </row>
    <row r="215" ht="16.5" customHeight="1" spans="1:10">
      <c r="A215" s="37" t="s">
        <v>576</v>
      </c>
      <c r="B215" s="37" t="s">
        <v>51</v>
      </c>
      <c r="C215" s="37" t="s">
        <v>264</v>
      </c>
      <c r="D215" s="37" t="s">
        <v>457</v>
      </c>
      <c r="E215" s="37">
        <v>0</v>
      </c>
      <c r="F215" s="37">
        <v>0</v>
      </c>
      <c r="G215" s="38">
        <v>0</v>
      </c>
      <c r="H215" s="38">
        <v>13984</v>
      </c>
      <c r="I215" s="38">
        <v>7004</v>
      </c>
      <c r="J215" s="39">
        <v>0.500858123569794</v>
      </c>
    </row>
    <row r="216" ht="16.5" customHeight="1" spans="1:10">
      <c r="A216" s="37" t="s">
        <v>576</v>
      </c>
      <c r="B216" s="37" t="s">
        <v>51</v>
      </c>
      <c r="C216" s="37" t="s">
        <v>264</v>
      </c>
      <c r="D216" s="37" t="s">
        <v>441</v>
      </c>
      <c r="E216" s="37">
        <v>0</v>
      </c>
      <c r="F216" s="37">
        <v>0</v>
      </c>
      <c r="G216" s="38">
        <v>0</v>
      </c>
      <c r="H216" s="38">
        <v>14042</v>
      </c>
      <c r="I216" s="38">
        <v>6560</v>
      </c>
      <c r="J216" s="39">
        <v>0.467169918814984</v>
      </c>
    </row>
    <row r="217" ht="16.5" customHeight="1" spans="1:10">
      <c r="A217" s="37" t="s">
        <v>576</v>
      </c>
      <c r="B217" s="37" t="s">
        <v>51</v>
      </c>
      <c r="C217" s="37" t="s">
        <v>264</v>
      </c>
      <c r="D217" s="37" t="s">
        <v>466</v>
      </c>
      <c r="E217" s="37">
        <v>0</v>
      </c>
      <c r="F217" s="37">
        <v>0</v>
      </c>
      <c r="G217" s="38">
        <v>0</v>
      </c>
      <c r="H217" s="38">
        <v>32344</v>
      </c>
      <c r="I217" s="38">
        <v>10282</v>
      </c>
      <c r="J217" s="39">
        <v>0.317895127380658</v>
      </c>
    </row>
    <row r="218" ht="16.5" customHeight="1" spans="1:10">
      <c r="A218" s="37" t="s">
        <v>576</v>
      </c>
      <c r="B218" s="37" t="s">
        <v>51</v>
      </c>
      <c r="C218" s="37" t="s">
        <v>102</v>
      </c>
      <c r="D218" s="37" t="s">
        <v>429</v>
      </c>
      <c r="E218" s="37">
        <v>0</v>
      </c>
      <c r="F218" s="37">
        <v>0</v>
      </c>
      <c r="G218" s="38">
        <v>0</v>
      </c>
      <c r="H218" s="38">
        <v>0</v>
      </c>
      <c r="I218" s="38">
        <v>0</v>
      </c>
      <c r="J218" s="39"/>
    </row>
    <row r="219" ht="16.5" customHeight="1" spans="1:10">
      <c r="A219" s="37" t="s">
        <v>576</v>
      </c>
      <c r="B219" s="37" t="s">
        <v>51</v>
      </c>
      <c r="C219" s="37" t="s">
        <v>264</v>
      </c>
      <c r="D219" s="37" t="s">
        <v>448</v>
      </c>
      <c r="E219" s="37">
        <v>0</v>
      </c>
      <c r="F219" s="37">
        <v>1</v>
      </c>
      <c r="G219" s="38">
        <v>4383</v>
      </c>
      <c r="H219" s="38">
        <v>49199</v>
      </c>
      <c r="I219" s="38">
        <v>25525</v>
      </c>
      <c r="J219" s="39">
        <v>0.51881135795443</v>
      </c>
    </row>
    <row r="220" ht="16.5" customHeight="1" spans="1:10">
      <c r="A220" s="37" t="s">
        <v>576</v>
      </c>
      <c r="B220" s="37" t="s">
        <v>51</v>
      </c>
      <c r="C220" s="37" t="s">
        <v>125</v>
      </c>
      <c r="D220" s="37" t="s">
        <v>139</v>
      </c>
      <c r="E220" s="37">
        <v>0</v>
      </c>
      <c r="F220" s="37">
        <v>0</v>
      </c>
      <c r="G220" s="38">
        <v>0</v>
      </c>
      <c r="H220" s="38">
        <v>0</v>
      </c>
      <c r="I220" s="38">
        <v>0</v>
      </c>
      <c r="J220" s="39"/>
    </row>
    <row r="221" ht="16.5" customHeight="1" spans="1:10">
      <c r="A221" s="37" t="s">
        <v>576</v>
      </c>
      <c r="B221" s="37" t="s">
        <v>51</v>
      </c>
      <c r="C221" s="37" t="s">
        <v>224</v>
      </c>
      <c r="D221" s="37" t="s">
        <v>228</v>
      </c>
      <c r="E221" s="37">
        <v>0</v>
      </c>
      <c r="F221" s="37">
        <v>0</v>
      </c>
      <c r="G221" s="38">
        <v>0</v>
      </c>
      <c r="H221" s="38">
        <v>0</v>
      </c>
      <c r="I221" s="38">
        <v>0</v>
      </c>
      <c r="J221" s="39"/>
    </row>
    <row r="222" ht="16.5" customHeight="1" spans="1:10">
      <c r="A222" s="37" t="s">
        <v>576</v>
      </c>
      <c r="B222" s="37" t="s">
        <v>51</v>
      </c>
      <c r="C222" s="37" t="s">
        <v>52</v>
      </c>
      <c r="D222" s="37" t="s">
        <v>57</v>
      </c>
      <c r="E222" s="37">
        <v>0</v>
      </c>
      <c r="F222" s="37">
        <v>0</v>
      </c>
      <c r="G222" s="38">
        <v>0</v>
      </c>
      <c r="H222" s="38">
        <v>131868</v>
      </c>
      <c r="I222" s="38">
        <v>32307</v>
      </c>
      <c r="J222" s="39">
        <v>0.244994994994995</v>
      </c>
    </row>
    <row r="223" ht="16.5" customHeight="1" spans="1:10">
      <c r="A223" s="37" t="s">
        <v>576</v>
      </c>
      <c r="B223" s="37" t="s">
        <v>51</v>
      </c>
      <c r="C223" s="37" t="s">
        <v>151</v>
      </c>
      <c r="D223" s="37" t="s">
        <v>152</v>
      </c>
      <c r="E223" s="37">
        <v>0</v>
      </c>
      <c r="F223" s="37">
        <v>3</v>
      </c>
      <c r="G223" s="38">
        <v>14508</v>
      </c>
      <c r="H223" s="38">
        <v>24088</v>
      </c>
      <c r="I223" s="38">
        <v>9580</v>
      </c>
      <c r="J223" s="39">
        <v>0.397708402524078</v>
      </c>
    </row>
    <row r="224" ht="16.5" customHeight="1" spans="1:10">
      <c r="A224" s="37" t="s">
        <v>576</v>
      </c>
      <c r="B224" s="37" t="s">
        <v>51</v>
      </c>
      <c r="C224" s="37" t="s">
        <v>151</v>
      </c>
      <c r="D224" s="37" t="s">
        <v>163</v>
      </c>
      <c r="E224" s="37">
        <v>0</v>
      </c>
      <c r="F224" s="37">
        <v>0</v>
      </c>
      <c r="G224" s="38">
        <v>0</v>
      </c>
      <c r="H224" s="38">
        <v>18642</v>
      </c>
      <c r="I224" s="38">
        <v>12340</v>
      </c>
      <c r="J224" s="39">
        <v>0.661946143117691</v>
      </c>
    </row>
    <row r="225" ht="16.5" customHeight="1" spans="1:10">
      <c r="A225" s="37" t="s">
        <v>576</v>
      </c>
      <c r="B225" s="37" t="s">
        <v>51</v>
      </c>
      <c r="C225" s="37" t="s">
        <v>22</v>
      </c>
      <c r="D225" s="37" t="s">
        <v>307</v>
      </c>
      <c r="E225" s="37">
        <v>0</v>
      </c>
      <c r="F225" s="37">
        <v>0</v>
      </c>
      <c r="G225" s="38">
        <v>0</v>
      </c>
      <c r="H225" s="38">
        <v>55922</v>
      </c>
      <c r="I225" s="38">
        <v>40442</v>
      </c>
      <c r="J225" s="39">
        <v>0.723185866027681</v>
      </c>
    </row>
    <row r="226" ht="16.5" customHeight="1" spans="1:10">
      <c r="A226" s="37" t="s">
        <v>576</v>
      </c>
      <c r="B226" s="37" t="s">
        <v>51</v>
      </c>
      <c r="C226" s="37" t="s">
        <v>102</v>
      </c>
      <c r="D226" s="37" t="s">
        <v>435</v>
      </c>
      <c r="E226" s="37">
        <v>0</v>
      </c>
      <c r="F226" s="37">
        <v>0</v>
      </c>
      <c r="G226" s="38">
        <v>0</v>
      </c>
      <c r="H226" s="38">
        <v>38217</v>
      </c>
      <c r="I226" s="38">
        <v>15268</v>
      </c>
      <c r="J226" s="39">
        <v>0.399508072323835</v>
      </c>
    </row>
    <row r="227" ht="16.5" customHeight="1" spans="1:10">
      <c r="A227" s="37" t="s">
        <v>576</v>
      </c>
      <c r="B227" s="37" t="s">
        <v>51</v>
      </c>
      <c r="C227" s="37" t="s">
        <v>125</v>
      </c>
      <c r="D227" s="37" t="s">
        <v>142</v>
      </c>
      <c r="E227" s="37">
        <v>0</v>
      </c>
      <c r="F227" s="37">
        <v>0</v>
      </c>
      <c r="G227" s="38">
        <v>0</v>
      </c>
      <c r="H227" s="38">
        <v>4380</v>
      </c>
      <c r="I227" s="38">
        <v>0</v>
      </c>
      <c r="J227" s="39">
        <v>0</v>
      </c>
    </row>
    <row r="228" ht="16.5" customHeight="1" spans="1:10">
      <c r="A228" s="37" t="s">
        <v>576</v>
      </c>
      <c r="B228" s="37" t="s">
        <v>51</v>
      </c>
      <c r="C228" s="37" t="s">
        <v>151</v>
      </c>
      <c r="D228" s="37" t="s">
        <v>161</v>
      </c>
      <c r="E228" s="37">
        <v>0</v>
      </c>
      <c r="F228" s="37">
        <v>0</v>
      </c>
      <c r="G228" s="38">
        <v>0</v>
      </c>
      <c r="H228" s="38">
        <v>36968</v>
      </c>
      <c r="I228" s="38">
        <v>38709</v>
      </c>
      <c r="J228" s="39">
        <v>1.04709478467864</v>
      </c>
    </row>
    <row r="229" ht="16.5" customHeight="1" spans="1:10">
      <c r="A229" s="37" t="s">
        <v>576</v>
      </c>
      <c r="B229" s="37" t="s">
        <v>51</v>
      </c>
      <c r="C229" s="37" t="s">
        <v>125</v>
      </c>
      <c r="D229" s="37" t="s">
        <v>136</v>
      </c>
      <c r="E229" s="37">
        <v>0</v>
      </c>
      <c r="F229" s="37">
        <v>0</v>
      </c>
      <c r="G229" s="38">
        <v>0</v>
      </c>
      <c r="H229" s="38">
        <v>9480</v>
      </c>
      <c r="I229" s="38">
        <v>0</v>
      </c>
      <c r="J229" s="39">
        <v>0</v>
      </c>
    </row>
    <row r="230" ht="16.5" customHeight="1" spans="1:10">
      <c r="A230" s="37" t="s">
        <v>576</v>
      </c>
      <c r="B230" s="37" t="s">
        <v>51</v>
      </c>
      <c r="C230" s="37" t="s">
        <v>151</v>
      </c>
      <c r="D230" s="37" t="s">
        <v>172</v>
      </c>
      <c r="E230" s="37">
        <v>0</v>
      </c>
      <c r="F230" s="37">
        <v>0</v>
      </c>
      <c r="G230" s="38">
        <v>0</v>
      </c>
      <c r="H230" s="38">
        <v>10860</v>
      </c>
      <c r="I230" s="38">
        <v>4080</v>
      </c>
      <c r="J230" s="39">
        <v>0.375690607734807</v>
      </c>
    </row>
    <row r="231" ht="16.5" customHeight="1" spans="1:10">
      <c r="A231" s="37" t="s">
        <v>576</v>
      </c>
      <c r="B231" s="37" t="s">
        <v>51</v>
      </c>
      <c r="C231" s="37" t="s">
        <v>264</v>
      </c>
      <c r="D231" s="37" t="s">
        <v>473</v>
      </c>
      <c r="E231" s="37">
        <v>0</v>
      </c>
      <c r="F231" s="37">
        <v>0</v>
      </c>
      <c r="G231" s="38">
        <v>0</v>
      </c>
      <c r="H231" s="38">
        <v>18894</v>
      </c>
      <c r="I231" s="38">
        <v>2974</v>
      </c>
      <c r="J231" s="39">
        <v>0.157404467026569</v>
      </c>
    </row>
    <row r="232" ht="16.5" customHeight="1" spans="1:10">
      <c r="A232" s="37" t="s">
        <v>576</v>
      </c>
      <c r="B232" s="37" t="s">
        <v>51</v>
      </c>
      <c r="C232" s="37" t="s">
        <v>22</v>
      </c>
      <c r="D232" s="37" t="s">
        <v>296</v>
      </c>
      <c r="E232" s="37">
        <v>0</v>
      </c>
      <c r="F232" s="37">
        <v>0</v>
      </c>
      <c r="G232" s="38">
        <v>0</v>
      </c>
      <c r="H232" s="38">
        <v>68794</v>
      </c>
      <c r="I232" s="38">
        <v>44532</v>
      </c>
      <c r="J232" s="39">
        <v>0.647323894525685</v>
      </c>
    </row>
    <row r="233" ht="16.5" customHeight="1" spans="1:10">
      <c r="A233" s="37" t="s">
        <v>576</v>
      </c>
      <c r="B233" s="37" t="s">
        <v>51</v>
      </c>
      <c r="C233" s="37" t="s">
        <v>75</v>
      </c>
      <c r="D233" s="37" t="s">
        <v>80</v>
      </c>
      <c r="E233" s="37">
        <v>0</v>
      </c>
      <c r="F233" s="37">
        <v>0</v>
      </c>
      <c r="G233" s="38">
        <v>0</v>
      </c>
      <c r="H233" s="38">
        <v>33780</v>
      </c>
      <c r="I233" s="38">
        <v>19300</v>
      </c>
      <c r="J233" s="39">
        <v>0.571343990526939</v>
      </c>
    </row>
    <row r="234" ht="16.5" customHeight="1" spans="1:10">
      <c r="A234" s="37" t="s">
        <v>576</v>
      </c>
      <c r="B234" s="37" t="s">
        <v>51</v>
      </c>
      <c r="C234" s="37" t="s">
        <v>52</v>
      </c>
      <c r="D234" s="37" t="s">
        <v>66</v>
      </c>
      <c r="E234" s="37">
        <v>0</v>
      </c>
      <c r="F234" s="37">
        <v>0</v>
      </c>
      <c r="G234" s="38">
        <v>0</v>
      </c>
      <c r="H234" s="38">
        <v>100000</v>
      </c>
      <c r="I234" s="38">
        <v>50000</v>
      </c>
      <c r="J234" s="39">
        <v>0.5</v>
      </c>
    </row>
    <row r="235" ht="16.5" customHeight="1" spans="1:10">
      <c r="A235" s="37" t="s">
        <v>576</v>
      </c>
      <c r="B235" s="37" t="s">
        <v>51</v>
      </c>
      <c r="C235" s="37" t="s">
        <v>151</v>
      </c>
      <c r="D235" s="37" t="s">
        <v>175</v>
      </c>
      <c r="E235" s="37">
        <v>0</v>
      </c>
      <c r="F235" s="37">
        <v>0</v>
      </c>
      <c r="G235" s="38">
        <v>0</v>
      </c>
      <c r="H235" s="38">
        <v>6882</v>
      </c>
      <c r="I235" s="38">
        <v>6882</v>
      </c>
      <c r="J235" s="39">
        <v>1</v>
      </c>
    </row>
    <row r="236" ht="16.5" customHeight="1" spans="1:10">
      <c r="A236" s="37" t="s">
        <v>576</v>
      </c>
      <c r="B236" s="37" t="s">
        <v>51</v>
      </c>
      <c r="C236" s="37" t="s">
        <v>75</v>
      </c>
      <c r="D236" s="37" t="s">
        <v>95</v>
      </c>
      <c r="E236" s="37">
        <v>0</v>
      </c>
      <c r="F236" s="37">
        <v>0</v>
      </c>
      <c r="G236" s="38">
        <v>0</v>
      </c>
      <c r="H236" s="38">
        <v>2580</v>
      </c>
      <c r="I236" s="38">
        <v>0</v>
      </c>
      <c r="J236" s="39">
        <v>0</v>
      </c>
    </row>
    <row r="237" ht="16.5" customHeight="1" spans="1:10">
      <c r="A237" s="37" t="s">
        <v>576</v>
      </c>
      <c r="B237" s="37" t="s">
        <v>51</v>
      </c>
      <c r="C237" s="37" t="s">
        <v>547</v>
      </c>
      <c r="D237" s="37" t="s">
        <v>559</v>
      </c>
      <c r="E237" s="37">
        <v>0</v>
      </c>
      <c r="F237" s="37">
        <v>0</v>
      </c>
      <c r="G237" s="38">
        <v>0</v>
      </c>
      <c r="H237" s="38">
        <v>0</v>
      </c>
      <c r="I237" s="38">
        <v>0</v>
      </c>
      <c r="J237" s="39"/>
    </row>
    <row r="238" ht="16.5" customHeight="1" spans="1:10">
      <c r="A238" s="37" t="s">
        <v>576</v>
      </c>
      <c r="B238" s="37" t="s">
        <v>51</v>
      </c>
      <c r="C238" s="37" t="s">
        <v>264</v>
      </c>
      <c r="D238" s="37" t="s">
        <v>463</v>
      </c>
      <c r="E238" s="37">
        <v>0</v>
      </c>
      <c r="F238" s="37">
        <v>0</v>
      </c>
      <c r="G238" s="38">
        <v>0</v>
      </c>
      <c r="H238" s="38">
        <v>0</v>
      </c>
      <c r="I238" s="38">
        <v>0</v>
      </c>
      <c r="J238" s="39"/>
    </row>
    <row r="239" ht="16.5" customHeight="1" spans="1:10">
      <c r="A239" s="37" t="s">
        <v>576</v>
      </c>
      <c r="B239" s="37" t="s">
        <v>51</v>
      </c>
      <c r="C239" s="37" t="s">
        <v>102</v>
      </c>
      <c r="D239" s="37" t="s">
        <v>438</v>
      </c>
      <c r="E239" s="37">
        <v>0</v>
      </c>
      <c r="F239" s="37">
        <v>0</v>
      </c>
      <c r="G239" s="38">
        <v>0</v>
      </c>
      <c r="H239" s="38">
        <v>64926</v>
      </c>
      <c r="I239" s="38">
        <v>60744</v>
      </c>
      <c r="J239" s="39">
        <v>0.935588208113853</v>
      </c>
    </row>
    <row r="240" ht="16.5" customHeight="1" spans="1:10">
      <c r="A240" s="37" t="s">
        <v>576</v>
      </c>
      <c r="B240" s="37" t="s">
        <v>51</v>
      </c>
      <c r="C240" s="37" t="s">
        <v>264</v>
      </c>
      <c r="D240" s="37" t="s">
        <v>454</v>
      </c>
      <c r="E240" s="37">
        <v>0</v>
      </c>
      <c r="F240" s="37">
        <v>0</v>
      </c>
      <c r="G240" s="38">
        <v>0</v>
      </c>
      <c r="H240" s="38">
        <v>3680</v>
      </c>
      <c r="I240" s="38">
        <v>0</v>
      </c>
      <c r="J240" s="39">
        <v>0</v>
      </c>
    </row>
    <row r="241" ht="16.5" customHeight="1" spans="1:10">
      <c r="A241" s="37" t="s">
        <v>576</v>
      </c>
      <c r="B241" s="37" t="s">
        <v>51</v>
      </c>
      <c r="C241" s="37" t="s">
        <v>75</v>
      </c>
      <c r="D241" s="37" t="s">
        <v>98</v>
      </c>
      <c r="E241" s="37">
        <v>0</v>
      </c>
      <c r="F241" s="37">
        <v>0</v>
      </c>
      <c r="G241" s="38">
        <v>0</v>
      </c>
      <c r="H241" s="38">
        <v>26840</v>
      </c>
      <c r="I241" s="38">
        <v>2800</v>
      </c>
      <c r="J241" s="39">
        <v>0.104321907600596</v>
      </c>
    </row>
    <row r="242" ht="16.5" customHeight="1" spans="1:10">
      <c r="A242" s="37" t="s">
        <v>576</v>
      </c>
      <c r="B242" s="37" t="s">
        <v>51</v>
      </c>
      <c r="C242" s="37" t="s">
        <v>102</v>
      </c>
      <c r="D242" s="37" t="s">
        <v>422</v>
      </c>
      <c r="E242" s="37">
        <v>0</v>
      </c>
      <c r="F242" s="37">
        <v>0</v>
      </c>
      <c r="G242" s="38">
        <v>0</v>
      </c>
      <c r="H242" s="38">
        <v>246201</v>
      </c>
      <c r="I242" s="38">
        <v>244740</v>
      </c>
      <c r="J242" s="39">
        <v>0.994065824265539</v>
      </c>
    </row>
    <row r="243" ht="16.5" customHeight="1" spans="1:10">
      <c r="A243" s="37" t="s">
        <v>576</v>
      </c>
      <c r="B243" s="37" t="s">
        <v>51</v>
      </c>
      <c r="C243" s="37" t="s">
        <v>547</v>
      </c>
      <c r="D243" s="37" t="s">
        <v>569</v>
      </c>
      <c r="E243" s="37">
        <v>0</v>
      </c>
      <c r="F243" s="37">
        <v>0</v>
      </c>
      <c r="G243" s="38">
        <v>0</v>
      </c>
      <c r="H243" s="38">
        <v>0</v>
      </c>
      <c r="I243" s="38">
        <v>0</v>
      </c>
      <c r="J243" s="39"/>
    </row>
    <row r="244" ht="16.5" customHeight="1" spans="1:10">
      <c r="A244" s="37" t="s">
        <v>576</v>
      </c>
      <c r="B244" s="37" t="s">
        <v>51</v>
      </c>
      <c r="C244" s="37" t="s">
        <v>547</v>
      </c>
      <c r="D244" s="37" t="s">
        <v>565</v>
      </c>
      <c r="E244" s="37">
        <v>0</v>
      </c>
      <c r="F244" s="37">
        <v>0</v>
      </c>
      <c r="G244" s="38">
        <v>0</v>
      </c>
      <c r="H244" s="38">
        <v>0</v>
      </c>
      <c r="I244" s="38">
        <v>0</v>
      </c>
      <c r="J244" s="39"/>
    </row>
    <row r="245" ht="16.5" customHeight="1" spans="1:10">
      <c r="A245" s="37" t="s">
        <v>576</v>
      </c>
      <c r="B245" s="37" t="s">
        <v>51</v>
      </c>
      <c r="C245" s="37" t="s">
        <v>22</v>
      </c>
      <c r="D245" s="37" t="s">
        <v>293</v>
      </c>
      <c r="E245" s="37">
        <v>0</v>
      </c>
      <c r="F245" s="37">
        <v>0</v>
      </c>
      <c r="G245" s="38">
        <v>0</v>
      </c>
      <c r="H245" s="38">
        <v>29502</v>
      </c>
      <c r="I245" s="38">
        <v>16654</v>
      </c>
      <c r="J245" s="39">
        <v>0.564504101416853</v>
      </c>
    </row>
    <row r="246" ht="16.5" customHeight="1" spans="1:10">
      <c r="A246" s="37" t="s">
        <v>576</v>
      </c>
      <c r="B246" s="37" t="s">
        <v>51</v>
      </c>
      <c r="C246" s="37" t="s">
        <v>22</v>
      </c>
      <c r="D246" s="37" t="s">
        <v>305</v>
      </c>
      <c r="E246" s="37">
        <v>0</v>
      </c>
      <c r="F246" s="37">
        <v>0</v>
      </c>
      <c r="G246" s="38">
        <v>0</v>
      </c>
      <c r="H246" s="38">
        <v>20500</v>
      </c>
      <c r="I246" s="38">
        <v>0</v>
      </c>
      <c r="J246" s="39">
        <v>0</v>
      </c>
    </row>
    <row r="247" ht="16.5" customHeight="1" spans="1:10">
      <c r="A247" s="37" t="s">
        <v>576</v>
      </c>
      <c r="B247" s="37" t="s">
        <v>51</v>
      </c>
      <c r="C247" s="37" t="s">
        <v>75</v>
      </c>
      <c r="D247" s="37" t="s">
        <v>89</v>
      </c>
      <c r="E247" s="37">
        <v>0</v>
      </c>
      <c r="F247" s="37">
        <v>0</v>
      </c>
      <c r="G247" s="38">
        <v>0</v>
      </c>
      <c r="H247" s="38">
        <v>7180</v>
      </c>
      <c r="I247" s="38">
        <v>2800</v>
      </c>
      <c r="J247" s="39">
        <v>0.389972144846797</v>
      </c>
    </row>
    <row r="248" ht="16.5" customHeight="1" spans="1:10">
      <c r="A248" s="37" t="s">
        <v>576</v>
      </c>
      <c r="B248" s="37" t="s">
        <v>51</v>
      </c>
      <c r="C248" s="37" t="s">
        <v>264</v>
      </c>
      <c r="D248" s="37" t="s">
        <v>469</v>
      </c>
      <c r="E248" s="37">
        <v>0</v>
      </c>
      <c r="F248" s="37">
        <v>0</v>
      </c>
      <c r="G248" s="38">
        <v>0</v>
      </c>
      <c r="H248" s="38">
        <v>30000</v>
      </c>
      <c r="I248" s="38">
        <v>0</v>
      </c>
      <c r="J248" s="39">
        <v>0</v>
      </c>
    </row>
    <row r="249" ht="16.5" customHeight="1" spans="1:10">
      <c r="A249" s="37" t="s">
        <v>576</v>
      </c>
      <c r="B249" s="37" t="s">
        <v>51</v>
      </c>
      <c r="C249" s="37" t="s">
        <v>151</v>
      </c>
      <c r="D249" s="37" t="s">
        <v>166</v>
      </c>
      <c r="E249" s="37">
        <v>0</v>
      </c>
      <c r="F249" s="37">
        <v>0</v>
      </c>
      <c r="G249" s="38">
        <v>0</v>
      </c>
      <c r="H249" s="38">
        <v>4980</v>
      </c>
      <c r="I249" s="38">
        <v>0</v>
      </c>
      <c r="J249" s="39">
        <v>0</v>
      </c>
    </row>
    <row r="250" ht="16.5" customHeight="1" spans="1:10">
      <c r="A250" s="37" t="s">
        <v>576</v>
      </c>
      <c r="B250" s="37" t="s">
        <v>51</v>
      </c>
      <c r="C250" s="37" t="s">
        <v>224</v>
      </c>
      <c r="D250" s="37" t="s">
        <v>235</v>
      </c>
      <c r="E250" s="37">
        <v>0</v>
      </c>
      <c r="F250" s="37">
        <v>0</v>
      </c>
      <c r="G250" s="38">
        <v>0</v>
      </c>
      <c r="H250" s="38">
        <v>4380</v>
      </c>
      <c r="I250" s="38">
        <v>0</v>
      </c>
      <c r="J250" s="39">
        <v>0</v>
      </c>
    </row>
    <row r="251" ht="16.5" customHeight="1" spans="1:10">
      <c r="A251" s="37" t="s">
        <v>576</v>
      </c>
      <c r="B251" s="37" t="s">
        <v>51</v>
      </c>
      <c r="C251" s="37" t="s">
        <v>125</v>
      </c>
      <c r="D251" s="37" t="s">
        <v>145</v>
      </c>
      <c r="E251" s="37">
        <v>0</v>
      </c>
      <c r="F251" s="37">
        <v>0</v>
      </c>
      <c r="G251" s="38">
        <v>0</v>
      </c>
      <c r="H251" s="38">
        <v>0</v>
      </c>
      <c r="I251" s="38">
        <v>0</v>
      </c>
      <c r="J251" s="39"/>
    </row>
    <row r="252" ht="16.5" customHeight="1" spans="1:10">
      <c r="A252" s="37" t="s">
        <v>576</v>
      </c>
      <c r="B252" s="37" t="s">
        <v>621</v>
      </c>
      <c r="C252" s="37" t="s">
        <v>52</v>
      </c>
      <c r="D252" s="37" t="s">
        <v>624</v>
      </c>
      <c r="E252" s="37">
        <v>0</v>
      </c>
      <c r="F252" s="37">
        <v>0</v>
      </c>
      <c r="G252" s="38">
        <v>0</v>
      </c>
      <c r="H252" s="38">
        <v>96334</v>
      </c>
      <c r="I252" s="38">
        <v>50000</v>
      </c>
      <c r="J252" s="39">
        <v>0.519027549982353</v>
      </c>
    </row>
    <row r="253" ht="16.5" customHeight="1" spans="1:10">
      <c r="A253" s="37" t="s">
        <v>576</v>
      </c>
      <c r="B253" s="37" t="s">
        <v>621</v>
      </c>
      <c r="C253" s="37" t="s">
        <v>125</v>
      </c>
      <c r="D253" s="37" t="s">
        <v>845</v>
      </c>
      <c r="E253" s="37">
        <v>0</v>
      </c>
      <c r="F253" s="37">
        <v>0</v>
      </c>
      <c r="G253" s="38">
        <v>0</v>
      </c>
      <c r="H253" s="38">
        <v>0</v>
      </c>
      <c r="I253" s="38">
        <v>0</v>
      </c>
      <c r="J253" s="39"/>
    </row>
    <row r="254" ht="16.5" customHeight="1" spans="1:10">
      <c r="A254" s="37" t="s">
        <v>576</v>
      </c>
      <c r="B254" s="37" t="s">
        <v>621</v>
      </c>
      <c r="C254" s="37" t="s">
        <v>125</v>
      </c>
      <c r="D254" s="37" t="s">
        <v>846</v>
      </c>
      <c r="E254" s="37">
        <v>0</v>
      </c>
      <c r="F254" s="37">
        <v>0</v>
      </c>
      <c r="G254" s="38">
        <v>0</v>
      </c>
      <c r="H254" s="38">
        <v>0</v>
      </c>
      <c r="I254" s="38">
        <v>0</v>
      </c>
      <c r="J254" s="39"/>
    </row>
    <row r="255" ht="16.5" customHeight="1" spans="1:10">
      <c r="A255" s="37" t="s">
        <v>576</v>
      </c>
      <c r="B255" s="37" t="s">
        <v>621</v>
      </c>
      <c r="C255" s="37" t="s">
        <v>52</v>
      </c>
      <c r="D255" s="37" t="s">
        <v>623</v>
      </c>
      <c r="E255" s="37">
        <v>0</v>
      </c>
      <c r="F255" s="37">
        <v>0</v>
      </c>
      <c r="G255" s="38">
        <v>0</v>
      </c>
      <c r="H255" s="38">
        <v>74864</v>
      </c>
      <c r="I255" s="38">
        <v>47382.6</v>
      </c>
      <c r="J255" s="39">
        <v>0.632915687112631</v>
      </c>
    </row>
    <row r="256" ht="16.5" customHeight="1" spans="1:10">
      <c r="A256" s="37" t="s">
        <v>576</v>
      </c>
      <c r="B256" s="37" t="s">
        <v>621</v>
      </c>
      <c r="C256" s="37" t="s">
        <v>264</v>
      </c>
      <c r="D256" s="37" t="s">
        <v>626</v>
      </c>
      <c r="E256" s="37">
        <v>0</v>
      </c>
      <c r="F256" s="37">
        <v>0</v>
      </c>
      <c r="G256" s="38">
        <v>0</v>
      </c>
      <c r="H256" s="38">
        <v>43981</v>
      </c>
      <c r="I256" s="38">
        <v>5660</v>
      </c>
      <c r="J256" s="39">
        <v>0.128691935153816</v>
      </c>
    </row>
    <row r="257" ht="16.5" customHeight="1" spans="1:10">
      <c r="A257" s="37" t="s">
        <v>576</v>
      </c>
      <c r="B257" s="37" t="s">
        <v>621</v>
      </c>
      <c r="C257" s="37" t="s">
        <v>264</v>
      </c>
      <c r="D257" s="37" t="s">
        <v>631</v>
      </c>
      <c r="E257" s="37">
        <v>0</v>
      </c>
      <c r="F257" s="37">
        <v>0</v>
      </c>
      <c r="G257" s="38">
        <v>0</v>
      </c>
      <c r="H257" s="38">
        <v>13520</v>
      </c>
      <c r="I257" s="38">
        <v>6354</v>
      </c>
      <c r="J257" s="39">
        <v>0.469970414201183</v>
      </c>
    </row>
    <row r="258" ht="16.5" customHeight="1" spans="1:10">
      <c r="A258" s="37" t="s">
        <v>576</v>
      </c>
      <c r="B258" s="37" t="s">
        <v>621</v>
      </c>
      <c r="C258" s="37" t="s">
        <v>52</v>
      </c>
      <c r="D258" s="37" t="s">
        <v>622</v>
      </c>
      <c r="E258" s="37">
        <v>0</v>
      </c>
      <c r="F258" s="37">
        <v>0</v>
      </c>
      <c r="G258" s="38">
        <v>0</v>
      </c>
      <c r="H258" s="38">
        <v>80342</v>
      </c>
      <c r="I258" s="38">
        <v>48265</v>
      </c>
      <c r="J258" s="39">
        <v>0.600744318040377</v>
      </c>
    </row>
    <row r="259" ht="16.5" customHeight="1" spans="1:10">
      <c r="A259" s="37" t="s">
        <v>576</v>
      </c>
      <c r="B259" s="37" t="s">
        <v>621</v>
      </c>
      <c r="C259" s="37" t="s">
        <v>264</v>
      </c>
      <c r="D259" s="37" t="s">
        <v>627</v>
      </c>
      <c r="E259" s="37">
        <v>0</v>
      </c>
      <c r="F259" s="37">
        <v>0</v>
      </c>
      <c r="G259" s="38">
        <v>0</v>
      </c>
      <c r="H259" s="38">
        <v>34222</v>
      </c>
      <c r="I259" s="38">
        <v>24632</v>
      </c>
      <c r="J259" s="39">
        <v>0.719770907603296</v>
      </c>
    </row>
    <row r="260" ht="16.5" customHeight="1" spans="1:10">
      <c r="A260" s="37" t="s">
        <v>576</v>
      </c>
      <c r="B260" s="37" t="s">
        <v>621</v>
      </c>
      <c r="C260" s="37" t="s">
        <v>264</v>
      </c>
      <c r="D260" s="37" t="s">
        <v>632</v>
      </c>
      <c r="E260" s="37">
        <v>0</v>
      </c>
      <c r="F260" s="37">
        <v>0</v>
      </c>
      <c r="G260" s="38">
        <v>0</v>
      </c>
      <c r="H260" s="38">
        <v>25342</v>
      </c>
      <c r="I260" s="38">
        <v>7482</v>
      </c>
      <c r="J260" s="39">
        <v>0.295241101728356</v>
      </c>
    </row>
    <row r="261" ht="16.5" customHeight="1" spans="1:10">
      <c r="A261" s="37" t="s">
        <v>576</v>
      </c>
      <c r="B261" s="37" t="s">
        <v>621</v>
      </c>
      <c r="C261" s="37" t="s">
        <v>264</v>
      </c>
      <c r="D261" s="37" t="s">
        <v>630</v>
      </c>
      <c r="E261" s="37">
        <v>0</v>
      </c>
      <c r="F261" s="37">
        <v>0</v>
      </c>
      <c r="G261" s="38">
        <v>0</v>
      </c>
      <c r="H261" s="38">
        <v>35220</v>
      </c>
      <c r="I261" s="38">
        <v>31558</v>
      </c>
      <c r="J261" s="39">
        <v>0.896024985803521</v>
      </c>
    </row>
    <row r="262" ht="16.5" customHeight="1" spans="1:10">
      <c r="A262" s="37" t="s">
        <v>576</v>
      </c>
      <c r="B262" s="37" t="s">
        <v>621</v>
      </c>
      <c r="C262" s="37" t="s">
        <v>264</v>
      </c>
      <c r="D262" s="37" t="s">
        <v>629</v>
      </c>
      <c r="E262" s="37">
        <v>1</v>
      </c>
      <c r="F262" s="37">
        <v>0</v>
      </c>
      <c r="G262" s="38">
        <v>0</v>
      </c>
      <c r="H262" s="38">
        <v>49060</v>
      </c>
      <c r="I262" s="38">
        <v>37170</v>
      </c>
      <c r="J262" s="39">
        <v>0.75764370158989</v>
      </c>
    </row>
    <row r="263" ht="16.5" customHeight="1" spans="1:10">
      <c r="A263" s="37" t="s">
        <v>576</v>
      </c>
      <c r="B263" s="37" t="s">
        <v>621</v>
      </c>
      <c r="C263" s="37" t="s">
        <v>125</v>
      </c>
      <c r="D263" s="37" t="s">
        <v>847</v>
      </c>
      <c r="E263" s="37">
        <v>0</v>
      </c>
      <c r="F263" s="37">
        <v>0</v>
      </c>
      <c r="G263" s="38">
        <v>0</v>
      </c>
      <c r="H263" s="38">
        <v>0</v>
      </c>
      <c r="I263" s="38">
        <v>0</v>
      </c>
      <c r="J263" s="39"/>
    </row>
    <row r="264" ht="16.5" customHeight="1" spans="1:10">
      <c r="A264" s="37" t="s">
        <v>576</v>
      </c>
      <c r="B264" s="37" t="s">
        <v>621</v>
      </c>
      <c r="C264" s="37" t="s">
        <v>22</v>
      </c>
      <c r="D264" s="37" t="s">
        <v>633</v>
      </c>
      <c r="E264" s="37">
        <v>0</v>
      </c>
      <c r="F264" s="37">
        <v>0</v>
      </c>
      <c r="G264" s="38">
        <v>0</v>
      </c>
      <c r="H264" s="38">
        <v>45600</v>
      </c>
      <c r="I264" s="38">
        <v>27228</v>
      </c>
      <c r="J264" s="39">
        <v>0.597105263157895</v>
      </c>
    </row>
    <row r="265" ht="16.5" customHeight="1" spans="1:10">
      <c r="A265" s="37" t="s">
        <v>576</v>
      </c>
      <c r="B265" s="37" t="s">
        <v>621</v>
      </c>
      <c r="C265" s="37" t="s">
        <v>22</v>
      </c>
      <c r="D265" s="37" t="s">
        <v>635</v>
      </c>
      <c r="E265" s="37">
        <v>0</v>
      </c>
      <c r="F265" s="37">
        <v>0</v>
      </c>
      <c r="G265" s="38">
        <v>0</v>
      </c>
      <c r="H265" s="38">
        <v>61972</v>
      </c>
      <c r="I265" s="38">
        <v>39512</v>
      </c>
      <c r="J265" s="39">
        <v>0.637578261150197</v>
      </c>
    </row>
    <row r="266" ht="16.5" customHeight="1" spans="1:10">
      <c r="A266" s="37" t="s">
        <v>576</v>
      </c>
      <c r="B266" s="37" t="s">
        <v>621</v>
      </c>
      <c r="C266" s="37" t="s">
        <v>52</v>
      </c>
      <c r="D266" s="37" t="s">
        <v>625</v>
      </c>
      <c r="E266" s="37">
        <v>0</v>
      </c>
      <c r="F266" s="37">
        <v>1</v>
      </c>
      <c r="G266" s="38">
        <v>1680</v>
      </c>
      <c r="H266" s="38">
        <v>53021</v>
      </c>
      <c r="I266" s="38">
        <v>41680</v>
      </c>
      <c r="J266" s="39">
        <v>0.786103619320647</v>
      </c>
    </row>
    <row r="267" ht="16.5" customHeight="1" spans="1:10">
      <c r="A267" s="37" t="s">
        <v>576</v>
      </c>
      <c r="B267" s="37" t="s">
        <v>621</v>
      </c>
      <c r="C267" s="37" t="s">
        <v>22</v>
      </c>
      <c r="D267" s="37" t="s">
        <v>634</v>
      </c>
      <c r="E267" s="37">
        <v>0</v>
      </c>
      <c r="F267" s="37">
        <v>0</v>
      </c>
      <c r="G267" s="38">
        <v>0</v>
      </c>
      <c r="H267" s="38">
        <v>55954</v>
      </c>
      <c r="I267" s="38">
        <v>40422</v>
      </c>
      <c r="J267" s="39">
        <v>0.722414840762055</v>
      </c>
    </row>
    <row r="268" ht="16.5" customHeight="1" spans="1:10">
      <c r="A268" s="37" t="s">
        <v>576</v>
      </c>
      <c r="B268" s="37" t="s">
        <v>621</v>
      </c>
      <c r="C268" s="37" t="s">
        <v>264</v>
      </c>
      <c r="D268" s="37" t="s">
        <v>628</v>
      </c>
      <c r="E268" s="37">
        <v>0</v>
      </c>
      <c r="F268" s="37">
        <v>0</v>
      </c>
      <c r="G268" s="38">
        <v>0</v>
      </c>
      <c r="H268" s="38">
        <v>16840</v>
      </c>
      <c r="I268" s="38">
        <v>4030</v>
      </c>
      <c r="J268" s="39">
        <v>0.239311163895487</v>
      </c>
    </row>
    <row r="269" ht="16.5" customHeight="1" spans="1:10">
      <c r="A269" s="37" t="s">
        <v>576</v>
      </c>
      <c r="B269" s="37" t="s">
        <v>636</v>
      </c>
      <c r="C269" s="37" t="s">
        <v>125</v>
      </c>
      <c r="D269" s="37" t="s">
        <v>848</v>
      </c>
      <c r="E269" s="37">
        <v>0</v>
      </c>
      <c r="F269" s="37">
        <v>0</v>
      </c>
      <c r="G269" s="38">
        <v>0</v>
      </c>
      <c r="H269" s="38">
        <v>0</v>
      </c>
      <c r="I269" s="38">
        <v>0</v>
      </c>
      <c r="J269" s="39"/>
    </row>
    <row r="270" ht="16.5" customHeight="1" spans="1:10">
      <c r="A270" s="37" t="s">
        <v>576</v>
      </c>
      <c r="B270" s="37" t="s">
        <v>636</v>
      </c>
      <c r="C270" s="37" t="s">
        <v>52</v>
      </c>
      <c r="D270" s="37" t="s">
        <v>639</v>
      </c>
      <c r="E270" s="37">
        <v>0</v>
      </c>
      <c r="F270" s="37">
        <v>0</v>
      </c>
      <c r="G270" s="38">
        <v>0</v>
      </c>
      <c r="H270" s="38">
        <v>94460</v>
      </c>
      <c r="I270" s="38">
        <v>40000</v>
      </c>
      <c r="J270" s="39">
        <v>0.423459665466864</v>
      </c>
    </row>
    <row r="271" ht="16.5" customHeight="1" spans="1:10">
      <c r="A271" s="37" t="s">
        <v>576</v>
      </c>
      <c r="B271" s="37" t="s">
        <v>636</v>
      </c>
      <c r="C271" s="37" t="s">
        <v>151</v>
      </c>
      <c r="D271" s="37" t="s">
        <v>646</v>
      </c>
      <c r="E271" s="37">
        <v>0</v>
      </c>
      <c r="F271" s="37">
        <v>0</v>
      </c>
      <c r="G271" s="38">
        <v>0</v>
      </c>
      <c r="H271" s="38">
        <v>17860</v>
      </c>
      <c r="I271" s="38">
        <v>0</v>
      </c>
      <c r="J271" s="39">
        <v>0</v>
      </c>
    </row>
    <row r="272" ht="16.5" customHeight="1" spans="1:10">
      <c r="A272" s="37" t="s">
        <v>576</v>
      </c>
      <c r="B272" s="37" t="s">
        <v>636</v>
      </c>
      <c r="C272" s="37" t="s">
        <v>224</v>
      </c>
      <c r="D272" s="37" t="s">
        <v>655</v>
      </c>
      <c r="E272" s="37">
        <v>0</v>
      </c>
      <c r="F272" s="37">
        <v>0</v>
      </c>
      <c r="G272" s="38">
        <v>0</v>
      </c>
      <c r="H272" s="38">
        <v>0</v>
      </c>
      <c r="I272" s="38">
        <v>0</v>
      </c>
      <c r="J272" s="39"/>
    </row>
    <row r="273" ht="16.5" customHeight="1" spans="1:10">
      <c r="A273" s="37" t="s">
        <v>576</v>
      </c>
      <c r="B273" s="37" t="s">
        <v>636</v>
      </c>
      <c r="C273" s="37" t="s">
        <v>224</v>
      </c>
      <c r="D273" s="37" t="s">
        <v>659</v>
      </c>
      <c r="E273" s="37">
        <v>0</v>
      </c>
      <c r="F273" s="37">
        <v>0</v>
      </c>
      <c r="G273" s="38">
        <v>0</v>
      </c>
      <c r="H273" s="38">
        <v>114420</v>
      </c>
      <c r="I273" s="38">
        <v>48586</v>
      </c>
      <c r="J273" s="39">
        <v>0.424628561440308</v>
      </c>
    </row>
    <row r="274" ht="16.5" customHeight="1" spans="1:10">
      <c r="A274" s="37" t="s">
        <v>576</v>
      </c>
      <c r="B274" s="37" t="s">
        <v>636</v>
      </c>
      <c r="C274" s="37" t="s">
        <v>151</v>
      </c>
      <c r="D274" s="37" t="s">
        <v>650</v>
      </c>
      <c r="E274" s="37">
        <v>0</v>
      </c>
      <c r="F274" s="37">
        <v>0</v>
      </c>
      <c r="G274" s="38">
        <v>0</v>
      </c>
      <c r="H274" s="38">
        <v>6760</v>
      </c>
      <c r="I274" s="38">
        <v>0</v>
      </c>
      <c r="J274" s="39">
        <v>0</v>
      </c>
    </row>
    <row r="275" ht="16.5" customHeight="1" spans="1:10">
      <c r="A275" s="37" t="s">
        <v>576</v>
      </c>
      <c r="B275" s="37" t="s">
        <v>636</v>
      </c>
      <c r="C275" s="37" t="s">
        <v>52</v>
      </c>
      <c r="D275" s="37" t="s">
        <v>641</v>
      </c>
      <c r="E275" s="37">
        <v>0</v>
      </c>
      <c r="F275" s="37">
        <v>0</v>
      </c>
      <c r="G275" s="38">
        <v>0</v>
      </c>
      <c r="H275" s="38">
        <v>109595</v>
      </c>
      <c r="I275" s="38">
        <v>0</v>
      </c>
      <c r="J275" s="39">
        <v>0</v>
      </c>
    </row>
    <row r="276" ht="16.5" customHeight="1" spans="1:10">
      <c r="A276" s="37" t="s">
        <v>576</v>
      </c>
      <c r="B276" s="37" t="s">
        <v>636</v>
      </c>
      <c r="C276" s="37" t="s">
        <v>102</v>
      </c>
      <c r="D276" s="37" t="s">
        <v>637</v>
      </c>
      <c r="E276" s="37">
        <v>0</v>
      </c>
      <c r="F276" s="37">
        <v>0</v>
      </c>
      <c r="G276" s="38">
        <v>0</v>
      </c>
      <c r="H276" s="38">
        <v>25920</v>
      </c>
      <c r="I276" s="38">
        <v>16296</v>
      </c>
      <c r="J276" s="39">
        <v>0.628703703703704</v>
      </c>
    </row>
    <row r="277" ht="16.5" customHeight="1" spans="1:10">
      <c r="A277" s="37" t="s">
        <v>576</v>
      </c>
      <c r="B277" s="37" t="s">
        <v>636</v>
      </c>
      <c r="C277" s="37" t="s">
        <v>125</v>
      </c>
      <c r="D277" s="37" t="s">
        <v>849</v>
      </c>
      <c r="E277" s="37">
        <v>0</v>
      </c>
      <c r="F277" s="37">
        <v>0</v>
      </c>
      <c r="G277" s="38">
        <v>0</v>
      </c>
      <c r="H277" s="38">
        <v>498</v>
      </c>
      <c r="I277" s="38">
        <v>0</v>
      </c>
      <c r="J277" s="39">
        <v>0</v>
      </c>
    </row>
    <row r="278" ht="16.5" customHeight="1" spans="1:10">
      <c r="A278" s="37" t="s">
        <v>576</v>
      </c>
      <c r="B278" s="37" t="s">
        <v>636</v>
      </c>
      <c r="C278" s="37" t="s">
        <v>22</v>
      </c>
      <c r="D278" s="37" t="s">
        <v>667</v>
      </c>
      <c r="E278" s="37">
        <v>0</v>
      </c>
      <c r="F278" s="37">
        <v>0</v>
      </c>
      <c r="G278" s="38">
        <v>0</v>
      </c>
      <c r="H278" s="38">
        <v>86620</v>
      </c>
      <c r="I278" s="38">
        <v>64990</v>
      </c>
      <c r="J278" s="39">
        <v>0.750288616947587</v>
      </c>
    </row>
    <row r="279" ht="16.5" customHeight="1" spans="1:10">
      <c r="A279" s="37" t="s">
        <v>576</v>
      </c>
      <c r="B279" s="37" t="s">
        <v>636</v>
      </c>
      <c r="C279" s="37" t="s">
        <v>264</v>
      </c>
      <c r="D279" s="37" t="s">
        <v>661</v>
      </c>
      <c r="E279" s="37">
        <v>0</v>
      </c>
      <c r="F279" s="37">
        <v>0</v>
      </c>
      <c r="G279" s="38">
        <v>0</v>
      </c>
      <c r="H279" s="38">
        <v>17580</v>
      </c>
      <c r="I279" s="38">
        <v>6620</v>
      </c>
      <c r="J279" s="39">
        <v>0.376564277588168</v>
      </c>
    </row>
    <row r="280" ht="16.5" customHeight="1" spans="1:10">
      <c r="A280" s="37" t="s">
        <v>576</v>
      </c>
      <c r="B280" s="37" t="s">
        <v>636</v>
      </c>
      <c r="C280" s="37" t="s">
        <v>22</v>
      </c>
      <c r="D280" s="37" t="s">
        <v>668</v>
      </c>
      <c r="E280" s="37">
        <v>0</v>
      </c>
      <c r="F280" s="37">
        <v>0</v>
      </c>
      <c r="G280" s="38">
        <v>0</v>
      </c>
      <c r="H280" s="38">
        <v>43820</v>
      </c>
      <c r="I280" s="38">
        <v>20302</v>
      </c>
      <c r="J280" s="39">
        <v>0.463304427202191</v>
      </c>
    </row>
    <row r="281" ht="16.5" customHeight="1" spans="1:10">
      <c r="A281" s="37" t="s">
        <v>576</v>
      </c>
      <c r="B281" s="37" t="s">
        <v>636</v>
      </c>
      <c r="C281" s="37" t="s">
        <v>151</v>
      </c>
      <c r="D281" s="37" t="s">
        <v>644</v>
      </c>
      <c r="E281" s="37">
        <v>0</v>
      </c>
      <c r="F281" s="37">
        <v>0</v>
      </c>
      <c r="G281" s="38">
        <v>0</v>
      </c>
      <c r="H281" s="38">
        <v>102774.95</v>
      </c>
      <c r="I281" s="38">
        <v>88214.95</v>
      </c>
      <c r="J281" s="39">
        <v>0.858331237329719</v>
      </c>
    </row>
    <row r="282" ht="16.5" customHeight="1" spans="1:10">
      <c r="A282" s="37" t="s">
        <v>576</v>
      </c>
      <c r="B282" s="37" t="s">
        <v>636</v>
      </c>
      <c r="C282" s="37" t="s">
        <v>125</v>
      </c>
      <c r="D282" s="37" t="s">
        <v>850</v>
      </c>
      <c r="E282" s="37">
        <v>0</v>
      </c>
      <c r="F282" s="37">
        <v>0</v>
      </c>
      <c r="G282" s="38">
        <v>0</v>
      </c>
      <c r="H282" s="38">
        <v>0</v>
      </c>
      <c r="I282" s="38">
        <v>0</v>
      </c>
      <c r="J282" s="39"/>
    </row>
    <row r="283" ht="16.5" customHeight="1" spans="1:10">
      <c r="A283" s="37" t="s">
        <v>576</v>
      </c>
      <c r="B283" s="37" t="s">
        <v>636</v>
      </c>
      <c r="C283" s="37" t="s">
        <v>22</v>
      </c>
      <c r="D283" s="37" t="s">
        <v>666</v>
      </c>
      <c r="E283" s="37">
        <v>0</v>
      </c>
      <c r="F283" s="37">
        <v>0</v>
      </c>
      <c r="G283" s="38">
        <v>0</v>
      </c>
      <c r="H283" s="38">
        <v>85063</v>
      </c>
      <c r="I283" s="38">
        <v>70291</v>
      </c>
      <c r="J283" s="39">
        <v>0.82634047705818</v>
      </c>
    </row>
    <row r="284" ht="16.5" customHeight="1" spans="1:10">
      <c r="A284" s="37" t="s">
        <v>576</v>
      </c>
      <c r="B284" s="37" t="s">
        <v>636</v>
      </c>
      <c r="C284" s="37" t="s">
        <v>264</v>
      </c>
      <c r="D284" s="37" t="s">
        <v>664</v>
      </c>
      <c r="E284" s="37">
        <v>0</v>
      </c>
      <c r="F284" s="37">
        <v>0</v>
      </c>
      <c r="G284" s="38">
        <v>0</v>
      </c>
      <c r="H284" s="38">
        <v>14720</v>
      </c>
      <c r="I284" s="38">
        <v>0</v>
      </c>
      <c r="J284" s="39">
        <v>0</v>
      </c>
    </row>
    <row r="285" ht="16.5" customHeight="1" spans="1:10">
      <c r="A285" s="37" t="s">
        <v>576</v>
      </c>
      <c r="B285" s="37" t="s">
        <v>636</v>
      </c>
      <c r="C285" s="37" t="s">
        <v>151</v>
      </c>
      <c r="D285" s="37" t="s">
        <v>647</v>
      </c>
      <c r="E285" s="37">
        <v>0</v>
      </c>
      <c r="F285" s="37">
        <v>0</v>
      </c>
      <c r="G285" s="38">
        <v>0</v>
      </c>
      <c r="H285" s="38">
        <v>71840</v>
      </c>
      <c r="I285" s="38">
        <v>10440</v>
      </c>
      <c r="J285" s="39">
        <v>0.14532293986637</v>
      </c>
    </row>
    <row r="286" ht="16.5" customHeight="1" spans="1:10">
      <c r="A286" s="37" t="s">
        <v>576</v>
      </c>
      <c r="B286" s="37" t="s">
        <v>636</v>
      </c>
      <c r="C286" s="37" t="s">
        <v>224</v>
      </c>
      <c r="D286" s="37" t="s">
        <v>651</v>
      </c>
      <c r="E286" s="37">
        <v>0</v>
      </c>
      <c r="F286" s="37">
        <v>0</v>
      </c>
      <c r="G286" s="38">
        <v>0</v>
      </c>
      <c r="H286" s="38">
        <v>7360</v>
      </c>
      <c r="I286" s="38">
        <v>6180</v>
      </c>
      <c r="J286" s="39">
        <v>0.839673913043478</v>
      </c>
    </row>
    <row r="287" ht="16.5" customHeight="1" spans="1:10">
      <c r="A287" s="37" t="s">
        <v>576</v>
      </c>
      <c r="B287" s="37" t="s">
        <v>636</v>
      </c>
      <c r="C287" s="37" t="s">
        <v>224</v>
      </c>
      <c r="D287" s="37" t="s">
        <v>653</v>
      </c>
      <c r="E287" s="37">
        <v>0</v>
      </c>
      <c r="F287" s="37">
        <v>0</v>
      </c>
      <c r="G287" s="38">
        <v>0</v>
      </c>
      <c r="H287" s="38">
        <v>4980</v>
      </c>
      <c r="I287" s="38">
        <v>0</v>
      </c>
      <c r="J287" s="39">
        <v>0</v>
      </c>
    </row>
    <row r="288" ht="16.5" customHeight="1" spans="1:10">
      <c r="A288" s="37" t="s">
        <v>576</v>
      </c>
      <c r="B288" s="37" t="s">
        <v>636</v>
      </c>
      <c r="C288" s="37" t="s">
        <v>151</v>
      </c>
      <c r="D288" s="37" t="s">
        <v>649</v>
      </c>
      <c r="E288" s="37">
        <v>0</v>
      </c>
      <c r="F288" s="37">
        <v>1</v>
      </c>
      <c r="G288" s="38">
        <v>3980</v>
      </c>
      <c r="H288" s="38">
        <v>14720</v>
      </c>
      <c r="I288" s="38">
        <v>6354</v>
      </c>
      <c r="J288" s="39">
        <v>0.431657608695652</v>
      </c>
    </row>
    <row r="289" ht="16.5" customHeight="1" spans="1:10">
      <c r="A289" s="37" t="s">
        <v>576</v>
      </c>
      <c r="B289" s="37" t="s">
        <v>636</v>
      </c>
      <c r="C289" s="37" t="s">
        <v>224</v>
      </c>
      <c r="D289" s="37" t="s">
        <v>658</v>
      </c>
      <c r="E289" s="37">
        <v>0</v>
      </c>
      <c r="F289" s="37">
        <v>0</v>
      </c>
      <c r="G289" s="38">
        <v>0</v>
      </c>
      <c r="H289" s="38">
        <v>68694</v>
      </c>
      <c r="I289" s="38">
        <v>11914</v>
      </c>
      <c r="J289" s="39">
        <v>0.173435816810784</v>
      </c>
    </row>
    <row r="290" ht="16.5" customHeight="1" spans="1:10">
      <c r="A290" s="37" t="s">
        <v>576</v>
      </c>
      <c r="B290" s="37" t="s">
        <v>636</v>
      </c>
      <c r="C290" s="37" t="s">
        <v>125</v>
      </c>
      <c r="D290" s="37" t="s">
        <v>851</v>
      </c>
      <c r="E290" s="37">
        <v>0</v>
      </c>
      <c r="F290" s="37">
        <v>0</v>
      </c>
      <c r="G290" s="38">
        <v>0</v>
      </c>
      <c r="H290" s="38">
        <v>0</v>
      </c>
      <c r="I290" s="38">
        <v>0</v>
      </c>
      <c r="J290" s="39"/>
    </row>
    <row r="291" ht="16.5" customHeight="1" spans="1:10">
      <c r="A291" s="37" t="s">
        <v>576</v>
      </c>
      <c r="B291" s="37" t="s">
        <v>636</v>
      </c>
      <c r="C291" s="37" t="s">
        <v>22</v>
      </c>
      <c r="D291" s="37" t="s">
        <v>670</v>
      </c>
      <c r="E291" s="37">
        <v>0</v>
      </c>
      <c r="F291" s="37">
        <v>0</v>
      </c>
      <c r="G291" s="38">
        <v>0</v>
      </c>
      <c r="H291" s="38">
        <v>154670</v>
      </c>
      <c r="I291" s="38">
        <v>36456</v>
      </c>
      <c r="J291" s="39">
        <v>0.23570181677119</v>
      </c>
    </row>
    <row r="292" ht="16.5" customHeight="1" spans="1:10">
      <c r="A292" s="37" t="s">
        <v>576</v>
      </c>
      <c r="B292" s="37" t="s">
        <v>636</v>
      </c>
      <c r="C292" s="37" t="s">
        <v>151</v>
      </c>
      <c r="D292" s="37" t="s">
        <v>852</v>
      </c>
      <c r="E292" s="37">
        <v>0</v>
      </c>
      <c r="F292" s="37">
        <v>0</v>
      </c>
      <c r="G292" s="38">
        <v>0</v>
      </c>
      <c r="H292" s="38">
        <v>0</v>
      </c>
      <c r="I292" s="38">
        <v>0</v>
      </c>
      <c r="J292" s="39"/>
    </row>
    <row r="293" ht="16.5" customHeight="1" spans="1:10">
      <c r="A293" s="37" t="s">
        <v>576</v>
      </c>
      <c r="B293" s="37" t="s">
        <v>636</v>
      </c>
      <c r="C293" s="37" t="s">
        <v>151</v>
      </c>
      <c r="D293" s="37" t="s">
        <v>645</v>
      </c>
      <c r="E293" s="37">
        <v>0</v>
      </c>
      <c r="F293" s="37">
        <v>0</v>
      </c>
      <c r="G293" s="38">
        <v>0</v>
      </c>
      <c r="H293" s="38">
        <v>0</v>
      </c>
      <c r="I293" s="38">
        <v>0</v>
      </c>
      <c r="J293" s="39"/>
    </row>
    <row r="294" ht="16.5" customHeight="1" spans="1:10">
      <c r="A294" s="37" t="s">
        <v>576</v>
      </c>
      <c r="B294" s="37" t="s">
        <v>636</v>
      </c>
      <c r="C294" s="37" t="s">
        <v>102</v>
      </c>
      <c r="D294" s="37" t="s">
        <v>853</v>
      </c>
      <c r="E294" s="37">
        <v>0</v>
      </c>
      <c r="F294" s="37">
        <v>0</v>
      </c>
      <c r="G294" s="38">
        <v>0</v>
      </c>
      <c r="H294" s="38">
        <v>0</v>
      </c>
      <c r="I294" s="38">
        <v>0</v>
      </c>
      <c r="J294" s="39"/>
    </row>
    <row r="295" ht="16.5" customHeight="1" spans="1:10">
      <c r="A295" s="37" t="s">
        <v>576</v>
      </c>
      <c r="B295" s="37" t="s">
        <v>636</v>
      </c>
      <c r="C295" s="37" t="s">
        <v>224</v>
      </c>
      <c r="D295" s="37" t="s">
        <v>654</v>
      </c>
      <c r="E295" s="37">
        <v>0</v>
      </c>
      <c r="F295" s="37">
        <v>0</v>
      </c>
      <c r="G295" s="38">
        <v>0</v>
      </c>
      <c r="H295" s="38">
        <v>11940</v>
      </c>
      <c r="I295" s="38">
        <v>0</v>
      </c>
      <c r="J295" s="39">
        <v>0</v>
      </c>
    </row>
    <row r="296" ht="16.5" customHeight="1" spans="1:10">
      <c r="A296" s="37" t="s">
        <v>576</v>
      </c>
      <c r="B296" s="37" t="s">
        <v>636</v>
      </c>
      <c r="C296" s="37" t="s">
        <v>22</v>
      </c>
      <c r="D296" s="37" t="s">
        <v>669</v>
      </c>
      <c r="E296" s="37">
        <v>1</v>
      </c>
      <c r="F296" s="37">
        <v>0</v>
      </c>
      <c r="G296" s="38">
        <v>0</v>
      </c>
      <c r="H296" s="38">
        <v>40616</v>
      </c>
      <c r="I296" s="38">
        <v>34736</v>
      </c>
      <c r="J296" s="39">
        <v>0.855229466220209</v>
      </c>
    </row>
    <row r="297" ht="16.5" customHeight="1" spans="1:10">
      <c r="A297" s="37" t="s">
        <v>576</v>
      </c>
      <c r="B297" s="37" t="s">
        <v>636</v>
      </c>
      <c r="C297" s="37" t="s">
        <v>264</v>
      </c>
      <c r="D297" s="37" t="s">
        <v>665</v>
      </c>
      <c r="E297" s="37">
        <v>0</v>
      </c>
      <c r="F297" s="37">
        <v>0</v>
      </c>
      <c r="G297" s="38">
        <v>0</v>
      </c>
      <c r="H297" s="38">
        <v>38500</v>
      </c>
      <c r="I297" s="38">
        <v>27744</v>
      </c>
      <c r="J297" s="39">
        <v>0.720623376623377</v>
      </c>
    </row>
    <row r="298" ht="16.5" customHeight="1" spans="1:10">
      <c r="A298" s="37" t="s">
        <v>576</v>
      </c>
      <c r="B298" s="37" t="s">
        <v>636</v>
      </c>
      <c r="C298" s="37" t="s">
        <v>125</v>
      </c>
      <c r="D298" s="37" t="s">
        <v>854</v>
      </c>
      <c r="E298" s="37">
        <v>0</v>
      </c>
      <c r="F298" s="37">
        <v>0</v>
      </c>
      <c r="G298" s="38">
        <v>0</v>
      </c>
      <c r="H298" s="38">
        <v>18848</v>
      </c>
      <c r="I298" s="38">
        <v>0</v>
      </c>
      <c r="J298" s="39">
        <v>0</v>
      </c>
    </row>
    <row r="299" ht="16.5" customHeight="1" spans="1:10">
      <c r="A299" s="37" t="s">
        <v>576</v>
      </c>
      <c r="B299" s="37" t="s">
        <v>636</v>
      </c>
      <c r="C299" s="37" t="s">
        <v>264</v>
      </c>
      <c r="D299" s="37" t="s">
        <v>663</v>
      </c>
      <c r="E299" s="37">
        <v>1</v>
      </c>
      <c r="F299" s="37">
        <v>0</v>
      </c>
      <c r="G299" s="38">
        <v>0</v>
      </c>
      <c r="H299" s="38">
        <v>7960</v>
      </c>
      <c r="I299" s="38">
        <v>0</v>
      </c>
      <c r="J299" s="39">
        <v>0</v>
      </c>
    </row>
    <row r="300" ht="16.5" customHeight="1" spans="1:10">
      <c r="A300" s="37" t="s">
        <v>576</v>
      </c>
      <c r="B300" s="37" t="s">
        <v>636</v>
      </c>
      <c r="C300" s="37" t="s">
        <v>224</v>
      </c>
      <c r="D300" s="37" t="s">
        <v>652</v>
      </c>
      <c r="E300" s="37">
        <v>0</v>
      </c>
      <c r="F300" s="37">
        <v>0</v>
      </c>
      <c r="G300" s="38">
        <v>0</v>
      </c>
      <c r="H300" s="38">
        <v>3980</v>
      </c>
      <c r="I300" s="38">
        <v>0</v>
      </c>
      <c r="J300" s="39">
        <v>0</v>
      </c>
    </row>
    <row r="301" ht="16.5" customHeight="1" spans="1:10">
      <c r="A301" s="37" t="s">
        <v>576</v>
      </c>
      <c r="B301" s="37" t="s">
        <v>636</v>
      </c>
      <c r="C301" s="37" t="s">
        <v>22</v>
      </c>
      <c r="D301" s="37" t="s">
        <v>671</v>
      </c>
      <c r="E301" s="37">
        <v>0</v>
      </c>
      <c r="F301" s="37">
        <v>0</v>
      </c>
      <c r="G301" s="38">
        <v>0</v>
      </c>
      <c r="H301" s="38">
        <v>31798</v>
      </c>
      <c r="I301" s="38">
        <v>27220</v>
      </c>
      <c r="J301" s="39">
        <v>0.856028681049123</v>
      </c>
    </row>
    <row r="302" ht="16.5" customHeight="1" spans="1:10">
      <c r="A302" s="37" t="s">
        <v>576</v>
      </c>
      <c r="B302" s="37" t="s">
        <v>636</v>
      </c>
      <c r="C302" s="37" t="s">
        <v>264</v>
      </c>
      <c r="D302" s="37" t="s">
        <v>855</v>
      </c>
      <c r="E302" s="37">
        <v>0</v>
      </c>
      <c r="F302" s="37">
        <v>0</v>
      </c>
      <c r="G302" s="38">
        <v>0</v>
      </c>
      <c r="H302" s="38">
        <v>0</v>
      </c>
      <c r="I302" s="38">
        <v>0</v>
      </c>
      <c r="J302" s="39"/>
    </row>
    <row r="303" ht="16.5" customHeight="1" spans="1:10">
      <c r="A303" s="37" t="s">
        <v>576</v>
      </c>
      <c r="B303" s="37" t="s">
        <v>636</v>
      </c>
      <c r="C303" s="37" t="s">
        <v>224</v>
      </c>
      <c r="D303" s="37" t="s">
        <v>656</v>
      </c>
      <c r="E303" s="37">
        <v>0</v>
      </c>
      <c r="F303" s="37">
        <v>0</v>
      </c>
      <c r="G303" s="38">
        <v>0</v>
      </c>
      <c r="H303" s="38">
        <v>15920</v>
      </c>
      <c r="I303" s="38">
        <v>0</v>
      </c>
      <c r="J303" s="39">
        <v>0</v>
      </c>
    </row>
    <row r="304" ht="16.5" customHeight="1" spans="1:10">
      <c r="A304" s="37" t="s">
        <v>576</v>
      </c>
      <c r="B304" s="37" t="s">
        <v>636</v>
      </c>
      <c r="C304" s="37" t="s">
        <v>52</v>
      </c>
      <c r="D304" s="37" t="s">
        <v>638</v>
      </c>
      <c r="E304" s="37">
        <v>0</v>
      </c>
      <c r="F304" s="37">
        <v>0</v>
      </c>
      <c r="G304" s="38">
        <v>0</v>
      </c>
      <c r="H304" s="38">
        <v>9734</v>
      </c>
      <c r="I304" s="38">
        <v>0</v>
      </c>
      <c r="J304" s="39">
        <v>0</v>
      </c>
    </row>
    <row r="305" ht="16.5" customHeight="1" spans="1:10">
      <c r="A305" s="37" t="s">
        <v>576</v>
      </c>
      <c r="B305" s="37" t="s">
        <v>636</v>
      </c>
      <c r="C305" s="37" t="s">
        <v>151</v>
      </c>
      <c r="D305" s="37" t="s">
        <v>648</v>
      </c>
      <c r="E305" s="37">
        <v>0</v>
      </c>
      <c r="F305" s="37">
        <v>1</v>
      </c>
      <c r="G305" s="38">
        <v>2974</v>
      </c>
      <c r="H305" s="38">
        <v>14314</v>
      </c>
      <c r="I305" s="38">
        <v>0</v>
      </c>
      <c r="J305" s="39">
        <v>0</v>
      </c>
    </row>
    <row r="306" ht="16.5" customHeight="1" spans="1:10">
      <c r="A306" s="37" t="s">
        <v>576</v>
      </c>
      <c r="B306" s="37" t="s">
        <v>636</v>
      </c>
      <c r="C306" s="37" t="s">
        <v>264</v>
      </c>
      <c r="D306" s="37" t="s">
        <v>660</v>
      </c>
      <c r="E306" s="37">
        <v>0</v>
      </c>
      <c r="F306" s="37">
        <v>0</v>
      </c>
      <c r="G306" s="38">
        <v>0</v>
      </c>
      <c r="H306" s="38">
        <v>9954</v>
      </c>
      <c r="I306" s="38">
        <v>5614</v>
      </c>
      <c r="J306" s="39">
        <v>0.563994374120956</v>
      </c>
    </row>
    <row r="307" ht="16.5" customHeight="1" spans="1:10">
      <c r="A307" s="37" t="s">
        <v>576</v>
      </c>
      <c r="B307" s="37" t="s">
        <v>636</v>
      </c>
      <c r="C307" s="37" t="s">
        <v>52</v>
      </c>
      <c r="D307" s="37" t="s">
        <v>640</v>
      </c>
      <c r="E307" s="37">
        <v>0</v>
      </c>
      <c r="F307" s="37">
        <v>0</v>
      </c>
      <c r="G307" s="38">
        <v>0</v>
      </c>
      <c r="H307" s="38">
        <v>43120</v>
      </c>
      <c r="I307" s="38">
        <v>0</v>
      </c>
      <c r="J307" s="39">
        <v>0</v>
      </c>
    </row>
    <row r="308" ht="16.5" customHeight="1" spans="1:10">
      <c r="A308" s="37" t="s">
        <v>576</v>
      </c>
      <c r="B308" s="37" t="s">
        <v>636</v>
      </c>
      <c r="C308" s="37" t="s">
        <v>224</v>
      </c>
      <c r="D308" s="37" t="s">
        <v>657</v>
      </c>
      <c r="E308" s="37">
        <v>0</v>
      </c>
      <c r="F308" s="37">
        <v>1</v>
      </c>
      <c r="G308" s="38">
        <v>3980</v>
      </c>
      <c r="H308" s="38">
        <v>32310</v>
      </c>
      <c r="I308" s="38">
        <v>23872</v>
      </c>
      <c r="J308" s="39">
        <v>0.73884246363355</v>
      </c>
    </row>
    <row r="309" ht="16.5" customHeight="1" spans="1:10">
      <c r="A309" s="37" t="s">
        <v>576</v>
      </c>
      <c r="B309" s="37" t="s">
        <v>636</v>
      </c>
      <c r="C309" s="37" t="s">
        <v>151</v>
      </c>
      <c r="D309" s="37" t="s">
        <v>643</v>
      </c>
      <c r="E309" s="37">
        <v>0</v>
      </c>
      <c r="F309" s="37">
        <v>1</v>
      </c>
      <c r="G309" s="38">
        <v>2974</v>
      </c>
      <c r="H309" s="38">
        <v>6954</v>
      </c>
      <c r="I309" s="38">
        <v>2974</v>
      </c>
      <c r="J309" s="39">
        <v>0.427667529479436</v>
      </c>
    </row>
    <row r="310" ht="16.5" customHeight="1" spans="1:10">
      <c r="A310" s="37" t="s">
        <v>576</v>
      </c>
      <c r="B310" s="37" t="s">
        <v>636</v>
      </c>
      <c r="C310" s="37" t="s">
        <v>264</v>
      </c>
      <c r="D310" s="37" t="s">
        <v>662</v>
      </c>
      <c r="E310" s="37">
        <v>0</v>
      </c>
      <c r="F310" s="37">
        <v>1</v>
      </c>
      <c r="G310" s="38">
        <v>2974</v>
      </c>
      <c r="H310" s="38">
        <v>120524</v>
      </c>
      <c r="I310" s="38">
        <v>6476</v>
      </c>
      <c r="J310" s="39">
        <v>0.053732036772759</v>
      </c>
    </row>
    <row r="311" ht="16.5" customHeight="1" spans="1:10">
      <c r="A311" s="37" t="s">
        <v>576</v>
      </c>
      <c r="B311" s="37" t="s">
        <v>636</v>
      </c>
      <c r="C311" s="37" t="s">
        <v>125</v>
      </c>
      <c r="D311" s="37" t="s">
        <v>856</v>
      </c>
      <c r="E311" s="37">
        <v>0</v>
      </c>
      <c r="F311" s="37">
        <v>0</v>
      </c>
      <c r="G311" s="38">
        <v>0</v>
      </c>
      <c r="H311" s="38">
        <v>0</v>
      </c>
      <c r="I311" s="38">
        <v>0</v>
      </c>
      <c r="J311" s="39"/>
    </row>
    <row r="312" ht="16.5" customHeight="1" spans="1:10">
      <c r="A312" s="37" t="s">
        <v>576</v>
      </c>
      <c r="B312" s="37" t="s">
        <v>636</v>
      </c>
      <c r="C312" s="37" t="s">
        <v>125</v>
      </c>
      <c r="D312" s="37" t="s">
        <v>857</v>
      </c>
      <c r="E312" s="37">
        <v>0</v>
      </c>
      <c r="F312" s="37">
        <v>0</v>
      </c>
      <c r="G312" s="38">
        <v>0</v>
      </c>
      <c r="H312" s="38">
        <v>0</v>
      </c>
      <c r="I312" s="38">
        <v>0</v>
      </c>
      <c r="J312" s="39"/>
    </row>
    <row r="313" ht="16.5" customHeight="1" spans="1:10">
      <c r="A313" s="37" t="s">
        <v>576</v>
      </c>
      <c r="B313" s="37" t="s">
        <v>636</v>
      </c>
      <c r="C313" s="37" t="s">
        <v>125</v>
      </c>
      <c r="D313" s="37" t="s">
        <v>858</v>
      </c>
      <c r="E313" s="37">
        <v>0</v>
      </c>
      <c r="F313" s="37">
        <v>0</v>
      </c>
      <c r="G313" s="38">
        <v>0</v>
      </c>
      <c r="H313" s="38">
        <v>0</v>
      </c>
      <c r="I313" s="38">
        <v>0</v>
      </c>
      <c r="J313" s="39"/>
    </row>
    <row r="314" ht="16.5" customHeight="1" spans="1:10">
      <c r="A314" s="37" t="s">
        <v>576</v>
      </c>
      <c r="B314" s="37" t="s">
        <v>636</v>
      </c>
      <c r="C314" s="37" t="s">
        <v>52</v>
      </c>
      <c r="D314" s="37" t="s">
        <v>642</v>
      </c>
      <c r="E314" s="37">
        <v>0</v>
      </c>
      <c r="F314" s="37">
        <v>0</v>
      </c>
      <c r="G314" s="38">
        <v>0</v>
      </c>
      <c r="H314" s="38">
        <v>59960</v>
      </c>
      <c r="I314" s="38">
        <v>0</v>
      </c>
      <c r="J314" s="39">
        <v>0</v>
      </c>
    </row>
    <row r="315" ht="16.5" customHeight="1" spans="1:10">
      <c r="A315" s="37" t="s">
        <v>576</v>
      </c>
      <c r="B315" s="37" t="s">
        <v>636</v>
      </c>
      <c r="C315" s="37" t="s">
        <v>125</v>
      </c>
      <c r="D315" s="37" t="s">
        <v>859</v>
      </c>
      <c r="E315" s="37">
        <v>0</v>
      </c>
      <c r="F315" s="37">
        <v>0</v>
      </c>
      <c r="G315" s="38">
        <v>0</v>
      </c>
      <c r="H315" s="38">
        <v>3380</v>
      </c>
      <c r="I315" s="38">
        <v>0</v>
      </c>
      <c r="J315" s="39">
        <v>0</v>
      </c>
    </row>
    <row r="316" ht="16.5" customHeight="1" spans="1:10">
      <c r="A316" s="37" t="s">
        <v>576</v>
      </c>
      <c r="B316" s="37" t="s">
        <v>672</v>
      </c>
      <c r="C316" s="37" t="s">
        <v>75</v>
      </c>
      <c r="D316" s="37" t="s">
        <v>683</v>
      </c>
      <c r="E316" s="37">
        <v>0</v>
      </c>
      <c r="F316" s="37">
        <v>1</v>
      </c>
      <c r="G316" s="38">
        <v>1680</v>
      </c>
      <c r="H316" s="38">
        <v>26680</v>
      </c>
      <c r="I316" s="38">
        <v>4980</v>
      </c>
      <c r="J316" s="39">
        <v>0.186656671664168</v>
      </c>
    </row>
    <row r="317" ht="16.5" customHeight="1" spans="1:10">
      <c r="A317" s="37" t="s">
        <v>576</v>
      </c>
      <c r="B317" s="37" t="s">
        <v>672</v>
      </c>
      <c r="C317" s="37" t="s">
        <v>264</v>
      </c>
      <c r="D317" s="37" t="s">
        <v>702</v>
      </c>
      <c r="E317" s="37">
        <v>0</v>
      </c>
      <c r="F317" s="37">
        <v>0</v>
      </c>
      <c r="G317" s="38">
        <v>0</v>
      </c>
      <c r="H317" s="38">
        <v>0</v>
      </c>
      <c r="I317" s="38">
        <v>0</v>
      </c>
      <c r="J317" s="39"/>
    </row>
    <row r="318" ht="16.5" customHeight="1" spans="1:10">
      <c r="A318" s="37" t="s">
        <v>576</v>
      </c>
      <c r="B318" s="37" t="s">
        <v>672</v>
      </c>
      <c r="C318" s="37" t="s">
        <v>151</v>
      </c>
      <c r="D318" s="37" t="s">
        <v>686</v>
      </c>
      <c r="E318" s="37">
        <v>0</v>
      </c>
      <c r="F318" s="37">
        <v>0</v>
      </c>
      <c r="G318" s="38">
        <v>0</v>
      </c>
      <c r="H318" s="38">
        <v>14040</v>
      </c>
      <c r="I318" s="38">
        <v>0</v>
      </c>
      <c r="J318" s="39">
        <v>0</v>
      </c>
    </row>
    <row r="319" ht="16.5" customHeight="1" spans="1:10">
      <c r="A319" s="37" t="s">
        <v>576</v>
      </c>
      <c r="B319" s="37" t="s">
        <v>672</v>
      </c>
      <c r="C319" s="37" t="s">
        <v>224</v>
      </c>
      <c r="D319" s="37" t="s">
        <v>693</v>
      </c>
      <c r="E319" s="37">
        <v>0</v>
      </c>
      <c r="F319" s="37">
        <v>0</v>
      </c>
      <c r="G319" s="38">
        <v>0</v>
      </c>
      <c r="H319" s="38">
        <v>13620</v>
      </c>
      <c r="I319" s="38">
        <v>7960</v>
      </c>
      <c r="J319" s="39">
        <v>0.584434654919236</v>
      </c>
    </row>
    <row r="320" ht="16.5" customHeight="1" spans="1:10">
      <c r="A320" s="37" t="s">
        <v>576</v>
      </c>
      <c r="B320" s="37" t="s">
        <v>672</v>
      </c>
      <c r="C320" s="37" t="s">
        <v>125</v>
      </c>
      <c r="D320" s="37" t="s">
        <v>860</v>
      </c>
      <c r="E320" s="37">
        <v>0</v>
      </c>
      <c r="F320" s="37">
        <v>0</v>
      </c>
      <c r="G320" s="38">
        <v>0</v>
      </c>
      <c r="H320" s="38">
        <v>0</v>
      </c>
      <c r="I320" s="38">
        <v>0</v>
      </c>
      <c r="J320" s="39"/>
    </row>
    <row r="321" ht="16.5" customHeight="1" spans="1:10">
      <c r="A321" s="37" t="s">
        <v>576</v>
      </c>
      <c r="B321" s="37" t="s">
        <v>672</v>
      </c>
      <c r="C321" s="37" t="s">
        <v>125</v>
      </c>
      <c r="D321" s="37" t="s">
        <v>861</v>
      </c>
      <c r="E321" s="37">
        <v>0</v>
      </c>
      <c r="F321" s="37">
        <v>0</v>
      </c>
      <c r="G321" s="38">
        <v>0</v>
      </c>
      <c r="H321" s="38">
        <v>0</v>
      </c>
      <c r="I321" s="38">
        <v>0</v>
      </c>
      <c r="J321" s="39"/>
    </row>
    <row r="322" ht="16.5" customHeight="1" spans="1:10">
      <c r="A322" s="37" t="s">
        <v>576</v>
      </c>
      <c r="B322" s="37" t="s">
        <v>672</v>
      </c>
      <c r="C322" s="37" t="s">
        <v>75</v>
      </c>
      <c r="D322" s="37" t="s">
        <v>681</v>
      </c>
      <c r="E322" s="37">
        <v>0</v>
      </c>
      <c r="F322" s="37">
        <v>1</v>
      </c>
      <c r="G322" s="38">
        <v>1680</v>
      </c>
      <c r="H322" s="38">
        <v>37940</v>
      </c>
      <c r="I322" s="38">
        <v>10380</v>
      </c>
      <c r="J322" s="39">
        <v>0.27358987875593</v>
      </c>
    </row>
    <row r="323" ht="16.5" customHeight="1" spans="1:10">
      <c r="A323" s="37" t="s">
        <v>576</v>
      </c>
      <c r="B323" s="37" t="s">
        <v>672</v>
      </c>
      <c r="C323" s="37" t="s">
        <v>125</v>
      </c>
      <c r="D323" s="37" t="s">
        <v>862</v>
      </c>
      <c r="E323" s="37">
        <v>0</v>
      </c>
      <c r="F323" s="37">
        <v>0</v>
      </c>
      <c r="G323" s="38">
        <v>0</v>
      </c>
      <c r="H323" s="38">
        <v>0</v>
      </c>
      <c r="I323" s="38">
        <v>0</v>
      </c>
      <c r="J323" s="39"/>
    </row>
    <row r="324" ht="16.5" customHeight="1" spans="1:10">
      <c r="A324" s="37" t="s">
        <v>576</v>
      </c>
      <c r="B324" s="37" t="s">
        <v>672</v>
      </c>
      <c r="C324" s="37" t="s">
        <v>75</v>
      </c>
      <c r="D324" s="37" t="s">
        <v>676</v>
      </c>
      <c r="E324" s="37">
        <v>0</v>
      </c>
      <c r="F324" s="37">
        <v>0</v>
      </c>
      <c r="G324" s="38">
        <v>0</v>
      </c>
      <c r="H324" s="38">
        <v>3980</v>
      </c>
      <c r="I324" s="38">
        <v>0</v>
      </c>
      <c r="J324" s="39">
        <v>0</v>
      </c>
    </row>
    <row r="325" ht="16.5" customHeight="1" spans="1:10">
      <c r="A325" s="37" t="s">
        <v>576</v>
      </c>
      <c r="B325" s="37" t="s">
        <v>672</v>
      </c>
      <c r="C325" s="37" t="s">
        <v>52</v>
      </c>
      <c r="D325" s="37" t="s">
        <v>863</v>
      </c>
      <c r="E325" s="37">
        <v>0</v>
      </c>
      <c r="F325" s="37">
        <v>0</v>
      </c>
      <c r="G325" s="38">
        <v>0</v>
      </c>
      <c r="H325" s="38">
        <v>0</v>
      </c>
      <c r="I325" s="38">
        <v>0</v>
      </c>
      <c r="J325" s="39"/>
    </row>
    <row r="326" ht="16.5" customHeight="1" spans="1:10">
      <c r="A326" s="37" t="s">
        <v>576</v>
      </c>
      <c r="B326" s="37" t="s">
        <v>672</v>
      </c>
      <c r="C326" s="37" t="s">
        <v>264</v>
      </c>
      <c r="D326" s="37" t="s">
        <v>700</v>
      </c>
      <c r="E326" s="37">
        <v>0</v>
      </c>
      <c r="F326" s="37">
        <v>0</v>
      </c>
      <c r="G326" s="38">
        <v>0</v>
      </c>
      <c r="H326" s="38">
        <v>39780</v>
      </c>
      <c r="I326" s="38">
        <v>4360</v>
      </c>
      <c r="J326" s="39">
        <v>0.109602815485168</v>
      </c>
    </row>
    <row r="327" ht="16.5" customHeight="1" spans="1:10">
      <c r="A327" s="37" t="s">
        <v>576</v>
      </c>
      <c r="B327" s="37" t="s">
        <v>672</v>
      </c>
      <c r="C327" s="37" t="s">
        <v>75</v>
      </c>
      <c r="D327" s="37" t="s">
        <v>682</v>
      </c>
      <c r="E327" s="37">
        <v>0</v>
      </c>
      <c r="F327" s="37">
        <v>0</v>
      </c>
      <c r="G327" s="38">
        <v>0</v>
      </c>
      <c r="H327" s="38">
        <v>21940</v>
      </c>
      <c r="I327" s="38">
        <v>0</v>
      </c>
      <c r="J327" s="39">
        <v>0</v>
      </c>
    </row>
    <row r="328" ht="16.5" customHeight="1" spans="1:10">
      <c r="A328" s="37" t="s">
        <v>576</v>
      </c>
      <c r="B328" s="37" t="s">
        <v>672</v>
      </c>
      <c r="C328" s="37" t="s">
        <v>264</v>
      </c>
      <c r="D328" s="37" t="s">
        <v>705</v>
      </c>
      <c r="E328" s="37">
        <v>0</v>
      </c>
      <c r="F328" s="37">
        <v>0</v>
      </c>
      <c r="G328" s="38">
        <v>0</v>
      </c>
      <c r="H328" s="38">
        <v>0</v>
      </c>
      <c r="I328" s="38">
        <v>0</v>
      </c>
      <c r="J328" s="39"/>
    </row>
    <row r="329" ht="16.5" customHeight="1" spans="1:10">
      <c r="A329" s="37" t="s">
        <v>576</v>
      </c>
      <c r="B329" s="37" t="s">
        <v>672</v>
      </c>
      <c r="C329" s="37" t="s">
        <v>22</v>
      </c>
      <c r="D329" s="37" t="s">
        <v>708</v>
      </c>
      <c r="E329" s="37">
        <v>0</v>
      </c>
      <c r="F329" s="37">
        <v>0</v>
      </c>
      <c r="G329" s="38">
        <v>0</v>
      </c>
      <c r="H329" s="38">
        <v>56142</v>
      </c>
      <c r="I329" s="38">
        <v>54581</v>
      </c>
      <c r="J329" s="39">
        <v>0.972195504257062</v>
      </c>
    </row>
    <row r="330" ht="16.5" customHeight="1" spans="1:10">
      <c r="A330" s="37" t="s">
        <v>576</v>
      </c>
      <c r="B330" s="37" t="s">
        <v>672</v>
      </c>
      <c r="C330" s="37" t="s">
        <v>264</v>
      </c>
      <c r="D330" s="37" t="s">
        <v>706</v>
      </c>
      <c r="E330" s="37">
        <v>0</v>
      </c>
      <c r="F330" s="37">
        <v>0</v>
      </c>
      <c r="G330" s="38">
        <v>0</v>
      </c>
      <c r="H330" s="38">
        <v>14620</v>
      </c>
      <c r="I330" s="38">
        <v>9300</v>
      </c>
      <c r="J330" s="39">
        <v>0.636114911080711</v>
      </c>
    </row>
    <row r="331" ht="16.5" customHeight="1" spans="1:10">
      <c r="A331" s="37" t="s">
        <v>576</v>
      </c>
      <c r="B331" s="37" t="s">
        <v>672</v>
      </c>
      <c r="C331" s="37" t="s">
        <v>224</v>
      </c>
      <c r="D331" s="37" t="s">
        <v>688</v>
      </c>
      <c r="E331" s="37">
        <v>0</v>
      </c>
      <c r="F331" s="37">
        <v>2</v>
      </c>
      <c r="G331" s="38">
        <v>5660</v>
      </c>
      <c r="H331" s="38">
        <v>7340</v>
      </c>
      <c r="I331" s="38">
        <v>0</v>
      </c>
      <c r="J331" s="39">
        <v>0</v>
      </c>
    </row>
    <row r="332" ht="16.5" customHeight="1" spans="1:10">
      <c r="A332" s="37" t="s">
        <v>576</v>
      </c>
      <c r="B332" s="37" t="s">
        <v>672</v>
      </c>
      <c r="C332" s="37" t="s">
        <v>151</v>
      </c>
      <c r="D332" s="37" t="s">
        <v>687</v>
      </c>
      <c r="E332" s="37">
        <v>0</v>
      </c>
      <c r="F332" s="37">
        <v>1</v>
      </c>
      <c r="G332" s="38">
        <v>1680</v>
      </c>
      <c r="H332" s="38">
        <v>20862</v>
      </c>
      <c r="I332" s="38">
        <v>6142</v>
      </c>
      <c r="J332" s="39">
        <v>0.294410890614514</v>
      </c>
    </row>
    <row r="333" ht="16.5" customHeight="1" spans="1:10">
      <c r="A333" s="37" t="s">
        <v>576</v>
      </c>
      <c r="B333" s="37" t="s">
        <v>672</v>
      </c>
      <c r="C333" s="37" t="s">
        <v>151</v>
      </c>
      <c r="D333" s="37" t="s">
        <v>684</v>
      </c>
      <c r="E333" s="37">
        <v>0</v>
      </c>
      <c r="F333" s="37">
        <v>0</v>
      </c>
      <c r="G333" s="38">
        <v>0</v>
      </c>
      <c r="H333" s="38">
        <v>1680</v>
      </c>
      <c r="I333" s="38">
        <v>0</v>
      </c>
      <c r="J333" s="39">
        <v>0</v>
      </c>
    </row>
    <row r="334" ht="16.5" customHeight="1" spans="1:10">
      <c r="A334" s="37" t="s">
        <v>576</v>
      </c>
      <c r="B334" s="37" t="s">
        <v>672</v>
      </c>
      <c r="C334" s="37" t="s">
        <v>22</v>
      </c>
      <c r="D334" s="37" t="s">
        <v>712</v>
      </c>
      <c r="E334" s="37">
        <v>0</v>
      </c>
      <c r="F334" s="37">
        <v>0</v>
      </c>
      <c r="G334" s="38">
        <v>0</v>
      </c>
      <c r="H334" s="38">
        <v>22342</v>
      </c>
      <c r="I334" s="38">
        <v>16164</v>
      </c>
      <c r="J334" s="39">
        <v>0.723480440426103</v>
      </c>
    </row>
    <row r="335" ht="16.5" customHeight="1" spans="1:10">
      <c r="A335" s="37" t="s">
        <v>576</v>
      </c>
      <c r="B335" s="37" t="s">
        <v>672</v>
      </c>
      <c r="C335" s="37" t="s">
        <v>52</v>
      </c>
      <c r="D335" s="37" t="s">
        <v>674</v>
      </c>
      <c r="E335" s="37">
        <v>0</v>
      </c>
      <c r="F335" s="37">
        <v>0</v>
      </c>
      <c r="G335" s="38">
        <v>0</v>
      </c>
      <c r="H335" s="38">
        <v>238540</v>
      </c>
      <c r="I335" s="38">
        <v>76600</v>
      </c>
      <c r="J335" s="39">
        <v>0.32112014756435</v>
      </c>
    </row>
    <row r="336" ht="16.5" customHeight="1" spans="1:10">
      <c r="A336" s="37" t="s">
        <v>576</v>
      </c>
      <c r="B336" s="37" t="s">
        <v>672</v>
      </c>
      <c r="C336" s="37" t="s">
        <v>75</v>
      </c>
      <c r="D336" s="37" t="s">
        <v>678</v>
      </c>
      <c r="E336" s="37">
        <v>0</v>
      </c>
      <c r="F336" s="37">
        <v>0</v>
      </c>
      <c r="G336" s="38">
        <v>0</v>
      </c>
      <c r="H336" s="38">
        <v>25508</v>
      </c>
      <c r="I336" s="38">
        <v>7382</v>
      </c>
      <c r="J336" s="39">
        <v>0.289399404108515</v>
      </c>
    </row>
    <row r="337" ht="16.5" customHeight="1" spans="1:10">
      <c r="A337" s="37" t="s">
        <v>576</v>
      </c>
      <c r="B337" s="37" t="s">
        <v>672</v>
      </c>
      <c r="C337" s="37" t="s">
        <v>52</v>
      </c>
      <c r="D337" s="37" t="s">
        <v>673</v>
      </c>
      <c r="E337" s="37">
        <v>0</v>
      </c>
      <c r="F337" s="37">
        <v>0</v>
      </c>
      <c r="G337" s="38">
        <v>0</v>
      </c>
      <c r="H337" s="38">
        <v>340942</v>
      </c>
      <c r="I337" s="38">
        <v>147230</v>
      </c>
      <c r="J337" s="39">
        <v>0.431832980389626</v>
      </c>
    </row>
    <row r="338" ht="16.5" customHeight="1" spans="1:10">
      <c r="A338" s="37" t="s">
        <v>576</v>
      </c>
      <c r="B338" s="37" t="s">
        <v>672</v>
      </c>
      <c r="C338" s="37" t="s">
        <v>264</v>
      </c>
      <c r="D338" s="37" t="s">
        <v>699</v>
      </c>
      <c r="E338" s="37">
        <v>0</v>
      </c>
      <c r="F338" s="37">
        <v>0</v>
      </c>
      <c r="G338" s="38">
        <v>0</v>
      </c>
      <c r="H338" s="38">
        <v>25160</v>
      </c>
      <c r="I338" s="38">
        <v>17780</v>
      </c>
      <c r="J338" s="39">
        <v>0.706677265500795</v>
      </c>
    </row>
    <row r="339" ht="16.5" customHeight="1" spans="1:10">
      <c r="A339" s="37" t="s">
        <v>576</v>
      </c>
      <c r="B339" s="37" t="s">
        <v>672</v>
      </c>
      <c r="C339" s="37" t="s">
        <v>125</v>
      </c>
      <c r="D339" s="37" t="s">
        <v>864</v>
      </c>
      <c r="E339" s="37">
        <v>0</v>
      </c>
      <c r="F339" s="37">
        <v>0</v>
      </c>
      <c r="G339" s="38">
        <v>0</v>
      </c>
      <c r="H339" s="38">
        <v>0</v>
      </c>
      <c r="I339" s="38">
        <v>0</v>
      </c>
      <c r="J339" s="39"/>
    </row>
    <row r="340" ht="16.5" customHeight="1" spans="1:10">
      <c r="A340" s="37" t="s">
        <v>576</v>
      </c>
      <c r="B340" s="37" t="s">
        <v>672</v>
      </c>
      <c r="C340" s="37" t="s">
        <v>125</v>
      </c>
      <c r="D340" s="37" t="s">
        <v>865</v>
      </c>
      <c r="E340" s="37">
        <v>0</v>
      </c>
      <c r="F340" s="37">
        <v>0</v>
      </c>
      <c r="G340" s="38">
        <v>0</v>
      </c>
      <c r="H340" s="38">
        <v>0</v>
      </c>
      <c r="I340" s="38">
        <v>0</v>
      </c>
      <c r="J340" s="39"/>
    </row>
    <row r="341" ht="16.5" customHeight="1" spans="1:10">
      <c r="A341" s="37" t="s">
        <v>576</v>
      </c>
      <c r="B341" s="37" t="s">
        <v>672</v>
      </c>
      <c r="C341" s="37" t="s">
        <v>75</v>
      </c>
      <c r="D341" s="37" t="s">
        <v>305</v>
      </c>
      <c r="E341" s="37">
        <v>0</v>
      </c>
      <c r="F341" s="37">
        <v>0</v>
      </c>
      <c r="G341" s="38">
        <v>0</v>
      </c>
      <c r="H341" s="38">
        <v>0</v>
      </c>
      <c r="I341" s="38">
        <v>0</v>
      </c>
      <c r="J341" s="39"/>
    </row>
    <row r="342" ht="16.5" customHeight="1" spans="1:10">
      <c r="A342" s="37" t="s">
        <v>576</v>
      </c>
      <c r="B342" s="37" t="s">
        <v>672</v>
      </c>
      <c r="C342" s="37" t="s">
        <v>22</v>
      </c>
      <c r="D342" s="37" t="s">
        <v>713</v>
      </c>
      <c r="E342" s="37">
        <v>0</v>
      </c>
      <c r="F342" s="37">
        <v>0</v>
      </c>
      <c r="G342" s="38">
        <v>0</v>
      </c>
      <c r="H342" s="38">
        <v>23288</v>
      </c>
      <c r="I342" s="38">
        <v>16908</v>
      </c>
      <c r="J342" s="39">
        <v>0.726039161800069</v>
      </c>
    </row>
    <row r="343" ht="16.5" customHeight="1" spans="1:10">
      <c r="A343" s="37" t="s">
        <v>576</v>
      </c>
      <c r="B343" s="37" t="s">
        <v>672</v>
      </c>
      <c r="C343" s="37" t="s">
        <v>224</v>
      </c>
      <c r="D343" s="37" t="s">
        <v>692</v>
      </c>
      <c r="E343" s="37">
        <v>0</v>
      </c>
      <c r="F343" s="37">
        <v>0</v>
      </c>
      <c r="G343" s="38">
        <v>0</v>
      </c>
      <c r="H343" s="38">
        <v>6360</v>
      </c>
      <c r="I343" s="38">
        <v>0</v>
      </c>
      <c r="J343" s="39">
        <v>0</v>
      </c>
    </row>
    <row r="344" ht="16.5" customHeight="1" spans="1:10">
      <c r="A344" s="37" t="s">
        <v>576</v>
      </c>
      <c r="B344" s="37" t="s">
        <v>672</v>
      </c>
      <c r="C344" s="37" t="s">
        <v>125</v>
      </c>
      <c r="D344" s="37" t="s">
        <v>866</v>
      </c>
      <c r="E344" s="37">
        <v>0</v>
      </c>
      <c r="F344" s="37">
        <v>0</v>
      </c>
      <c r="G344" s="38">
        <v>0</v>
      </c>
      <c r="H344" s="38">
        <v>3980</v>
      </c>
      <c r="I344" s="38">
        <v>4180</v>
      </c>
      <c r="J344" s="39">
        <v>1.05025125628141</v>
      </c>
    </row>
    <row r="345" ht="16.5" customHeight="1" spans="1:10">
      <c r="A345" s="37" t="s">
        <v>576</v>
      </c>
      <c r="B345" s="37" t="s">
        <v>672</v>
      </c>
      <c r="C345" s="37" t="s">
        <v>22</v>
      </c>
      <c r="D345" s="37" t="s">
        <v>707</v>
      </c>
      <c r="E345" s="37">
        <v>0</v>
      </c>
      <c r="F345" s="37">
        <v>0</v>
      </c>
      <c r="G345" s="38">
        <v>0</v>
      </c>
      <c r="H345" s="38">
        <v>79539</v>
      </c>
      <c r="I345" s="38">
        <v>79539</v>
      </c>
      <c r="J345" s="39">
        <v>1</v>
      </c>
    </row>
    <row r="346" ht="16.5" customHeight="1" spans="1:10">
      <c r="A346" s="37" t="s">
        <v>576</v>
      </c>
      <c r="B346" s="37" t="s">
        <v>672</v>
      </c>
      <c r="C346" s="37" t="s">
        <v>52</v>
      </c>
      <c r="D346" s="37" t="s">
        <v>675</v>
      </c>
      <c r="E346" s="37">
        <v>0</v>
      </c>
      <c r="F346" s="37">
        <v>0</v>
      </c>
      <c r="G346" s="38">
        <v>0</v>
      </c>
      <c r="H346" s="38">
        <v>193346</v>
      </c>
      <c r="I346" s="38">
        <v>30228</v>
      </c>
      <c r="J346" s="39">
        <v>0.156341481075378</v>
      </c>
    </row>
    <row r="347" ht="16.5" customHeight="1" spans="1:10">
      <c r="A347" s="37" t="s">
        <v>576</v>
      </c>
      <c r="B347" s="37" t="s">
        <v>672</v>
      </c>
      <c r="C347" s="37" t="s">
        <v>22</v>
      </c>
      <c r="D347" s="37" t="s">
        <v>711</v>
      </c>
      <c r="E347" s="37">
        <v>0</v>
      </c>
      <c r="F347" s="37">
        <v>0</v>
      </c>
      <c r="G347" s="38">
        <v>0</v>
      </c>
      <c r="H347" s="38">
        <v>41517</v>
      </c>
      <c r="I347" s="38">
        <v>28655</v>
      </c>
      <c r="J347" s="39">
        <v>0.690199195510273</v>
      </c>
    </row>
    <row r="348" ht="16.5" customHeight="1" spans="1:10">
      <c r="A348" s="37" t="s">
        <v>576</v>
      </c>
      <c r="B348" s="37" t="s">
        <v>672</v>
      </c>
      <c r="C348" s="37" t="s">
        <v>264</v>
      </c>
      <c r="D348" s="37" t="s">
        <v>704</v>
      </c>
      <c r="E348" s="37">
        <v>0</v>
      </c>
      <c r="F348" s="37">
        <v>0</v>
      </c>
      <c r="G348" s="38">
        <v>0</v>
      </c>
      <c r="H348" s="38">
        <v>21640</v>
      </c>
      <c r="I348" s="38">
        <v>10320</v>
      </c>
      <c r="J348" s="39">
        <v>0.476894639556377</v>
      </c>
    </row>
    <row r="349" ht="16.5" customHeight="1" spans="1:10">
      <c r="A349" s="37" t="s">
        <v>576</v>
      </c>
      <c r="B349" s="37" t="s">
        <v>672</v>
      </c>
      <c r="C349" s="37" t="s">
        <v>75</v>
      </c>
      <c r="D349" s="37" t="s">
        <v>677</v>
      </c>
      <c r="E349" s="37">
        <v>0</v>
      </c>
      <c r="F349" s="37">
        <v>0</v>
      </c>
      <c r="G349" s="38">
        <v>0</v>
      </c>
      <c r="H349" s="38">
        <v>21358</v>
      </c>
      <c r="I349" s="38">
        <v>21758</v>
      </c>
      <c r="J349" s="39">
        <v>1.01872834535069</v>
      </c>
    </row>
    <row r="350" ht="16.5" customHeight="1" spans="1:10">
      <c r="A350" s="37" t="s">
        <v>576</v>
      </c>
      <c r="B350" s="37" t="s">
        <v>672</v>
      </c>
      <c r="C350" s="37" t="s">
        <v>151</v>
      </c>
      <c r="D350" s="37" t="s">
        <v>685</v>
      </c>
      <c r="E350" s="37">
        <v>0</v>
      </c>
      <c r="F350" s="37">
        <v>0</v>
      </c>
      <c r="G350" s="38">
        <v>0</v>
      </c>
      <c r="H350" s="38">
        <v>28080</v>
      </c>
      <c r="I350" s="38">
        <v>4320</v>
      </c>
      <c r="J350" s="39">
        <v>0.153846153846154</v>
      </c>
    </row>
    <row r="351" ht="16.5" customHeight="1" spans="1:10">
      <c r="A351" s="37" t="s">
        <v>576</v>
      </c>
      <c r="B351" s="37" t="s">
        <v>672</v>
      </c>
      <c r="C351" s="37" t="s">
        <v>264</v>
      </c>
      <c r="D351" s="37" t="s">
        <v>701</v>
      </c>
      <c r="E351" s="37">
        <v>0</v>
      </c>
      <c r="F351" s="37">
        <v>1</v>
      </c>
      <c r="G351" s="38">
        <v>3000</v>
      </c>
      <c r="H351" s="38">
        <v>12000</v>
      </c>
      <c r="I351" s="38">
        <v>0</v>
      </c>
      <c r="J351" s="39">
        <v>0</v>
      </c>
    </row>
    <row r="352" ht="16.5" customHeight="1" spans="1:10">
      <c r="A352" s="37" t="s">
        <v>576</v>
      </c>
      <c r="B352" s="37" t="s">
        <v>672</v>
      </c>
      <c r="C352" s="37" t="s">
        <v>224</v>
      </c>
      <c r="D352" s="37" t="s">
        <v>696</v>
      </c>
      <c r="E352" s="37">
        <v>0</v>
      </c>
      <c r="F352" s="37">
        <v>0</v>
      </c>
      <c r="G352" s="38">
        <v>0</v>
      </c>
      <c r="H352" s="38">
        <v>24930</v>
      </c>
      <c r="I352" s="38">
        <v>12310</v>
      </c>
      <c r="J352" s="39">
        <v>0.493782591255515</v>
      </c>
    </row>
    <row r="353" ht="16.5" customHeight="1" spans="1:10">
      <c r="A353" s="37" t="s">
        <v>576</v>
      </c>
      <c r="B353" s="37" t="s">
        <v>672</v>
      </c>
      <c r="C353" s="37" t="s">
        <v>22</v>
      </c>
      <c r="D353" s="37" t="s">
        <v>709</v>
      </c>
      <c r="E353" s="37">
        <v>0</v>
      </c>
      <c r="F353" s="37">
        <v>0</v>
      </c>
      <c r="G353" s="38">
        <v>0</v>
      </c>
      <c r="H353" s="38">
        <v>52494</v>
      </c>
      <c r="I353" s="38">
        <v>48514</v>
      </c>
      <c r="J353" s="39">
        <v>0.92418181125462</v>
      </c>
    </row>
    <row r="354" ht="16.5" customHeight="1" spans="1:10">
      <c r="A354" s="37" t="s">
        <v>576</v>
      </c>
      <c r="B354" s="37" t="s">
        <v>672</v>
      </c>
      <c r="C354" s="37" t="s">
        <v>224</v>
      </c>
      <c r="D354" s="37" t="s">
        <v>690</v>
      </c>
      <c r="E354" s="37">
        <v>0</v>
      </c>
      <c r="F354" s="37">
        <v>0</v>
      </c>
      <c r="G354" s="38">
        <v>0</v>
      </c>
      <c r="H354" s="38">
        <v>13960</v>
      </c>
      <c r="I354" s="38">
        <v>6142</v>
      </c>
      <c r="J354" s="39">
        <v>0.439971346704871</v>
      </c>
    </row>
    <row r="355" ht="16.5" customHeight="1" spans="1:10">
      <c r="A355" s="37" t="s">
        <v>576</v>
      </c>
      <c r="B355" s="37" t="s">
        <v>672</v>
      </c>
      <c r="C355" s="37" t="s">
        <v>125</v>
      </c>
      <c r="D355" s="37" t="s">
        <v>867</v>
      </c>
      <c r="E355" s="37">
        <v>0</v>
      </c>
      <c r="F355" s="37">
        <v>0</v>
      </c>
      <c r="G355" s="38">
        <v>0</v>
      </c>
      <c r="H355" s="38">
        <v>0</v>
      </c>
      <c r="I355" s="38">
        <v>0</v>
      </c>
      <c r="J355" s="39"/>
    </row>
    <row r="356" ht="16.5" customHeight="1" spans="1:10">
      <c r="A356" s="37" t="s">
        <v>576</v>
      </c>
      <c r="B356" s="37" t="s">
        <v>672</v>
      </c>
      <c r="C356" s="37" t="s">
        <v>22</v>
      </c>
      <c r="D356" s="37" t="s">
        <v>710</v>
      </c>
      <c r="E356" s="37">
        <v>0</v>
      </c>
      <c r="F356" s="37">
        <v>0</v>
      </c>
      <c r="G356" s="38">
        <v>0</v>
      </c>
      <c r="H356" s="38">
        <v>74706</v>
      </c>
      <c r="I356" s="38">
        <v>59062</v>
      </c>
      <c r="J356" s="39">
        <v>0.790592455759912</v>
      </c>
    </row>
    <row r="357" ht="16.5" customHeight="1" spans="1:10">
      <c r="A357" s="37" t="s">
        <v>576</v>
      </c>
      <c r="B357" s="37" t="s">
        <v>672</v>
      </c>
      <c r="C357" s="37" t="s">
        <v>224</v>
      </c>
      <c r="D357" s="37" t="s">
        <v>691</v>
      </c>
      <c r="E357" s="37">
        <v>0</v>
      </c>
      <c r="F357" s="37">
        <v>0</v>
      </c>
      <c r="G357" s="38">
        <v>0</v>
      </c>
      <c r="H357" s="38">
        <v>17300</v>
      </c>
      <c r="I357" s="38">
        <v>9620</v>
      </c>
      <c r="J357" s="39">
        <v>0.55606936416185</v>
      </c>
    </row>
    <row r="358" ht="16.5" customHeight="1" spans="1:10">
      <c r="A358" s="37" t="s">
        <v>576</v>
      </c>
      <c r="B358" s="37" t="s">
        <v>672</v>
      </c>
      <c r="C358" s="37" t="s">
        <v>264</v>
      </c>
      <c r="D358" s="37" t="s">
        <v>698</v>
      </c>
      <c r="E358" s="37">
        <v>0</v>
      </c>
      <c r="F358" s="37">
        <v>0</v>
      </c>
      <c r="G358" s="38">
        <v>0</v>
      </c>
      <c r="H358" s="38">
        <v>24162</v>
      </c>
      <c r="I358" s="38">
        <v>5340</v>
      </c>
      <c r="J358" s="39">
        <v>0.22100819468587</v>
      </c>
    </row>
    <row r="359" ht="16.5" customHeight="1" spans="1:10">
      <c r="A359" s="37" t="s">
        <v>576</v>
      </c>
      <c r="B359" s="37" t="s">
        <v>672</v>
      </c>
      <c r="C359" s="37" t="s">
        <v>75</v>
      </c>
      <c r="D359" s="37" t="s">
        <v>679</v>
      </c>
      <c r="E359" s="37">
        <v>0</v>
      </c>
      <c r="F359" s="37">
        <v>0</v>
      </c>
      <c r="G359" s="38">
        <v>0</v>
      </c>
      <c r="H359" s="38">
        <v>19440</v>
      </c>
      <c r="I359" s="38">
        <v>0</v>
      </c>
      <c r="J359" s="39">
        <v>0</v>
      </c>
    </row>
    <row r="360" ht="16.5" customHeight="1" spans="1:10">
      <c r="A360" s="37" t="s">
        <v>576</v>
      </c>
      <c r="B360" s="37" t="s">
        <v>672</v>
      </c>
      <c r="C360" s="37" t="s">
        <v>224</v>
      </c>
      <c r="D360" s="37" t="s">
        <v>689</v>
      </c>
      <c r="E360" s="37">
        <v>1</v>
      </c>
      <c r="F360" s="37">
        <v>1</v>
      </c>
      <c r="G360" s="38">
        <v>3980</v>
      </c>
      <c r="H360" s="38">
        <v>27708</v>
      </c>
      <c r="I360" s="38">
        <v>12368</v>
      </c>
      <c r="J360" s="39">
        <v>0.446369279630432</v>
      </c>
    </row>
    <row r="361" ht="16.5" customHeight="1" spans="1:10">
      <c r="A361" s="37" t="s">
        <v>576</v>
      </c>
      <c r="B361" s="37" t="s">
        <v>672</v>
      </c>
      <c r="C361" s="37" t="s">
        <v>75</v>
      </c>
      <c r="D361" s="37" t="s">
        <v>680</v>
      </c>
      <c r="E361" s="37">
        <v>0</v>
      </c>
      <c r="F361" s="37">
        <v>0</v>
      </c>
      <c r="G361" s="38">
        <v>0</v>
      </c>
      <c r="H361" s="38">
        <v>4980</v>
      </c>
      <c r="I361" s="38">
        <v>0</v>
      </c>
      <c r="J361" s="39">
        <v>0</v>
      </c>
    </row>
    <row r="362" ht="16.5" customHeight="1" spans="1:10">
      <c r="A362" s="37" t="s">
        <v>576</v>
      </c>
      <c r="B362" s="37" t="s">
        <v>672</v>
      </c>
      <c r="C362" s="37" t="s">
        <v>22</v>
      </c>
      <c r="D362" s="37" t="s">
        <v>714</v>
      </c>
      <c r="E362" s="37">
        <v>0</v>
      </c>
      <c r="F362" s="37">
        <v>1</v>
      </c>
      <c r="G362" s="38">
        <v>4382</v>
      </c>
      <c r="H362" s="38">
        <v>77725.15</v>
      </c>
      <c r="I362" s="38">
        <v>64035.15</v>
      </c>
      <c r="J362" s="39">
        <v>0.823866534834606</v>
      </c>
    </row>
    <row r="363" ht="16.5" customHeight="1" spans="1:10">
      <c r="A363" s="37" t="s">
        <v>576</v>
      </c>
      <c r="B363" s="37" t="s">
        <v>672</v>
      </c>
      <c r="C363" s="37" t="s">
        <v>224</v>
      </c>
      <c r="D363" s="37" t="s">
        <v>694</v>
      </c>
      <c r="E363" s="37">
        <v>0</v>
      </c>
      <c r="F363" s="37">
        <v>0</v>
      </c>
      <c r="G363" s="38">
        <v>0</v>
      </c>
      <c r="H363" s="38">
        <v>8640</v>
      </c>
      <c r="I363" s="38">
        <v>5640</v>
      </c>
      <c r="J363" s="39">
        <v>0.652777777777778</v>
      </c>
    </row>
    <row r="364" ht="16.5" customHeight="1" spans="1:10">
      <c r="A364" s="37" t="s">
        <v>576</v>
      </c>
      <c r="B364" s="37" t="s">
        <v>672</v>
      </c>
      <c r="C364" s="37" t="s">
        <v>264</v>
      </c>
      <c r="D364" s="37" t="s">
        <v>697</v>
      </c>
      <c r="E364" s="37">
        <v>0</v>
      </c>
      <c r="F364" s="37">
        <v>0</v>
      </c>
      <c r="G364" s="38">
        <v>0</v>
      </c>
      <c r="H364" s="38">
        <v>3980</v>
      </c>
      <c r="I364" s="38">
        <v>0</v>
      </c>
      <c r="J364" s="39">
        <v>0</v>
      </c>
    </row>
    <row r="365" ht="16.5" customHeight="1" spans="1:10">
      <c r="A365" s="37" t="s">
        <v>576</v>
      </c>
      <c r="B365" s="37" t="s">
        <v>672</v>
      </c>
      <c r="C365" s="37" t="s">
        <v>224</v>
      </c>
      <c r="D365" s="37" t="s">
        <v>695</v>
      </c>
      <c r="E365" s="37">
        <v>0</v>
      </c>
      <c r="F365" s="37">
        <v>0</v>
      </c>
      <c r="G365" s="38">
        <v>0</v>
      </c>
      <c r="H365" s="38">
        <v>7960</v>
      </c>
      <c r="I365" s="38">
        <v>0</v>
      </c>
      <c r="J365" s="39">
        <v>0</v>
      </c>
    </row>
    <row r="366" ht="16.5" customHeight="1" spans="1:10">
      <c r="A366" s="37" t="s">
        <v>576</v>
      </c>
      <c r="B366" s="37" t="s">
        <v>672</v>
      </c>
      <c r="C366" s="37" t="s">
        <v>264</v>
      </c>
      <c r="D366" s="37" t="s">
        <v>703</v>
      </c>
      <c r="E366" s="37">
        <v>0</v>
      </c>
      <c r="F366" s="37">
        <v>0</v>
      </c>
      <c r="G366" s="38">
        <v>0</v>
      </c>
      <c r="H366" s="38">
        <v>13960</v>
      </c>
      <c r="I366" s="38">
        <v>0</v>
      </c>
      <c r="J366" s="39">
        <v>0</v>
      </c>
    </row>
    <row r="367" ht="16.5" customHeight="1" spans="1:10">
      <c r="A367" s="37" t="s">
        <v>576</v>
      </c>
      <c r="B367" s="37" t="s">
        <v>715</v>
      </c>
      <c r="C367" s="37" t="s">
        <v>151</v>
      </c>
      <c r="D367" s="37" t="s">
        <v>732</v>
      </c>
      <c r="E367" s="37">
        <v>0</v>
      </c>
      <c r="F367" s="37">
        <v>0</v>
      </c>
      <c r="G367" s="38">
        <v>0</v>
      </c>
      <c r="H367" s="38">
        <v>20860</v>
      </c>
      <c r="I367" s="38">
        <v>11900</v>
      </c>
      <c r="J367" s="39">
        <v>0.570469798657718</v>
      </c>
    </row>
    <row r="368" ht="16.5" customHeight="1" spans="1:10">
      <c r="A368" s="37" t="s">
        <v>576</v>
      </c>
      <c r="B368" s="37" t="s">
        <v>715</v>
      </c>
      <c r="C368" s="37" t="s">
        <v>52</v>
      </c>
      <c r="D368" s="37" t="s">
        <v>720</v>
      </c>
      <c r="E368" s="37">
        <v>0</v>
      </c>
      <c r="F368" s="37">
        <v>0</v>
      </c>
      <c r="G368" s="38">
        <v>0</v>
      </c>
      <c r="H368" s="38">
        <v>87480</v>
      </c>
      <c r="I368" s="38">
        <v>77400</v>
      </c>
      <c r="J368" s="39">
        <v>0.88477366255144</v>
      </c>
    </row>
    <row r="369" ht="16.5" customHeight="1" spans="1:10">
      <c r="A369" s="37" t="s">
        <v>576</v>
      </c>
      <c r="B369" s="37" t="s">
        <v>715</v>
      </c>
      <c r="C369" s="37" t="s">
        <v>264</v>
      </c>
      <c r="D369" s="37" t="s">
        <v>743</v>
      </c>
      <c r="E369" s="37">
        <v>0</v>
      </c>
      <c r="F369" s="37">
        <v>0</v>
      </c>
      <c r="G369" s="38">
        <v>0</v>
      </c>
      <c r="H369" s="38">
        <v>15742</v>
      </c>
      <c r="I369" s="38">
        <v>7822</v>
      </c>
      <c r="J369" s="39">
        <v>0.496887307838902</v>
      </c>
    </row>
    <row r="370" ht="16.5" customHeight="1" spans="1:10">
      <c r="A370" s="37" t="s">
        <v>576</v>
      </c>
      <c r="B370" s="37" t="s">
        <v>715</v>
      </c>
      <c r="C370" s="37" t="s">
        <v>151</v>
      </c>
      <c r="D370" s="37" t="s">
        <v>733</v>
      </c>
      <c r="E370" s="37">
        <v>0</v>
      </c>
      <c r="F370" s="37">
        <v>0</v>
      </c>
      <c r="G370" s="38">
        <v>0</v>
      </c>
      <c r="H370" s="38">
        <v>0</v>
      </c>
      <c r="I370" s="38">
        <v>0</v>
      </c>
      <c r="J370" s="39"/>
    </row>
    <row r="371" ht="16.5" customHeight="1" spans="1:10">
      <c r="A371" s="37" t="s">
        <v>576</v>
      </c>
      <c r="B371" s="37" t="s">
        <v>715</v>
      </c>
      <c r="C371" s="37" t="s">
        <v>22</v>
      </c>
      <c r="D371" s="37" t="s">
        <v>752</v>
      </c>
      <c r="E371" s="37">
        <v>0</v>
      </c>
      <c r="F371" s="37">
        <v>0</v>
      </c>
      <c r="G371" s="38">
        <v>0</v>
      </c>
      <c r="H371" s="38">
        <v>87275</v>
      </c>
      <c r="I371" s="38">
        <v>53400</v>
      </c>
      <c r="J371" s="39">
        <v>0.611859066170152</v>
      </c>
    </row>
    <row r="372" ht="16.5" customHeight="1" spans="1:10">
      <c r="A372" s="37" t="s">
        <v>576</v>
      </c>
      <c r="B372" s="37" t="s">
        <v>715</v>
      </c>
      <c r="C372" s="37" t="s">
        <v>102</v>
      </c>
      <c r="D372" s="37" t="s">
        <v>719</v>
      </c>
      <c r="E372" s="37">
        <v>0</v>
      </c>
      <c r="F372" s="37">
        <v>0</v>
      </c>
      <c r="G372" s="38">
        <v>0</v>
      </c>
      <c r="H372" s="38">
        <v>141462</v>
      </c>
      <c r="I372" s="38">
        <v>14502</v>
      </c>
      <c r="J372" s="39">
        <v>0.102515163082665</v>
      </c>
    </row>
    <row r="373" ht="16.5" customHeight="1" spans="1:10">
      <c r="A373" s="37" t="s">
        <v>576</v>
      </c>
      <c r="B373" s="37" t="s">
        <v>715</v>
      </c>
      <c r="C373" s="37" t="s">
        <v>125</v>
      </c>
      <c r="D373" s="37" t="s">
        <v>868</v>
      </c>
      <c r="E373" s="37">
        <v>0</v>
      </c>
      <c r="F373" s="37">
        <v>0</v>
      </c>
      <c r="G373" s="38">
        <v>0</v>
      </c>
      <c r="H373" s="38">
        <v>0</v>
      </c>
      <c r="I373" s="38">
        <v>0</v>
      </c>
      <c r="J373" s="39"/>
    </row>
    <row r="374" ht="16.5" customHeight="1" spans="1:10">
      <c r="A374" s="37" t="s">
        <v>576</v>
      </c>
      <c r="B374" s="37" t="s">
        <v>715</v>
      </c>
      <c r="C374" s="37" t="s">
        <v>75</v>
      </c>
      <c r="D374" s="37" t="s">
        <v>728</v>
      </c>
      <c r="E374" s="37">
        <v>0</v>
      </c>
      <c r="F374" s="37">
        <v>0</v>
      </c>
      <c r="G374" s="38">
        <v>0</v>
      </c>
      <c r="H374" s="38">
        <v>18920</v>
      </c>
      <c r="I374" s="38">
        <v>4000</v>
      </c>
      <c r="J374" s="39">
        <v>0.211416490486258</v>
      </c>
    </row>
    <row r="375" ht="16.5" customHeight="1" spans="1:10">
      <c r="A375" s="37" t="s">
        <v>576</v>
      </c>
      <c r="B375" s="37" t="s">
        <v>715</v>
      </c>
      <c r="C375" s="37" t="s">
        <v>125</v>
      </c>
      <c r="D375" s="37" t="s">
        <v>869</v>
      </c>
      <c r="E375" s="37">
        <v>0</v>
      </c>
      <c r="F375" s="37">
        <v>0</v>
      </c>
      <c r="G375" s="38">
        <v>0</v>
      </c>
      <c r="H375" s="38">
        <v>0</v>
      </c>
      <c r="I375" s="38">
        <v>0</v>
      </c>
      <c r="J375" s="39"/>
    </row>
    <row r="376" ht="16.5" customHeight="1" spans="1:10">
      <c r="A376" s="37" t="s">
        <v>576</v>
      </c>
      <c r="B376" s="37" t="s">
        <v>715</v>
      </c>
      <c r="C376" s="37" t="s">
        <v>75</v>
      </c>
      <c r="D376" s="37" t="s">
        <v>723</v>
      </c>
      <c r="E376" s="37">
        <v>0</v>
      </c>
      <c r="F376" s="37">
        <v>0</v>
      </c>
      <c r="G376" s="38">
        <v>0</v>
      </c>
      <c r="H376" s="38">
        <v>34680</v>
      </c>
      <c r="I376" s="38">
        <v>5280</v>
      </c>
      <c r="J376" s="39">
        <v>0.152249134948097</v>
      </c>
    </row>
    <row r="377" ht="16.5" customHeight="1" spans="1:10">
      <c r="A377" s="37" t="s">
        <v>576</v>
      </c>
      <c r="B377" s="37" t="s">
        <v>715</v>
      </c>
      <c r="C377" s="37" t="s">
        <v>102</v>
      </c>
      <c r="D377" s="37" t="s">
        <v>717</v>
      </c>
      <c r="E377" s="37">
        <v>0</v>
      </c>
      <c r="F377" s="37">
        <v>0</v>
      </c>
      <c r="G377" s="38">
        <v>0</v>
      </c>
      <c r="H377" s="38">
        <v>101540</v>
      </c>
      <c r="I377" s="38">
        <v>71069</v>
      </c>
      <c r="J377" s="39">
        <v>0.699911364979318</v>
      </c>
    </row>
    <row r="378" ht="16.5" customHeight="1" spans="1:10">
      <c r="A378" s="37" t="s">
        <v>576</v>
      </c>
      <c r="B378" s="37" t="s">
        <v>715</v>
      </c>
      <c r="C378" s="37" t="s">
        <v>22</v>
      </c>
      <c r="D378" s="37" t="s">
        <v>751</v>
      </c>
      <c r="E378" s="37">
        <v>0</v>
      </c>
      <c r="F378" s="37">
        <v>0</v>
      </c>
      <c r="G378" s="38">
        <v>0</v>
      </c>
      <c r="H378" s="38">
        <v>24499</v>
      </c>
      <c r="I378" s="38">
        <v>18518</v>
      </c>
      <c r="J378" s="39">
        <v>0.755867586432099</v>
      </c>
    </row>
    <row r="379" ht="16.5" customHeight="1" spans="1:10">
      <c r="A379" s="37" t="s">
        <v>576</v>
      </c>
      <c r="B379" s="37" t="s">
        <v>715</v>
      </c>
      <c r="C379" s="37" t="s">
        <v>264</v>
      </c>
      <c r="D379" s="37" t="s">
        <v>744</v>
      </c>
      <c r="E379" s="37">
        <v>0</v>
      </c>
      <c r="F379" s="37">
        <v>0</v>
      </c>
      <c r="G379" s="38">
        <v>0</v>
      </c>
      <c r="H379" s="38">
        <v>29380</v>
      </c>
      <c r="I379" s="38">
        <v>10462</v>
      </c>
      <c r="J379" s="39">
        <v>0.356092579986385</v>
      </c>
    </row>
    <row r="380" ht="16.5" customHeight="1" spans="1:10">
      <c r="A380" s="37" t="s">
        <v>576</v>
      </c>
      <c r="B380" s="37" t="s">
        <v>715</v>
      </c>
      <c r="C380" s="37" t="s">
        <v>22</v>
      </c>
      <c r="D380" s="37" t="s">
        <v>750</v>
      </c>
      <c r="E380" s="37">
        <v>1</v>
      </c>
      <c r="F380" s="37">
        <v>0</v>
      </c>
      <c r="G380" s="38">
        <v>0</v>
      </c>
      <c r="H380" s="38">
        <v>45460</v>
      </c>
      <c r="I380" s="38">
        <v>40356</v>
      </c>
      <c r="J380" s="39">
        <v>0.887725472943247</v>
      </c>
    </row>
    <row r="381" ht="16.5" customHeight="1" spans="1:10">
      <c r="A381" s="37" t="s">
        <v>576</v>
      </c>
      <c r="B381" s="37" t="s">
        <v>715</v>
      </c>
      <c r="C381" s="37" t="s">
        <v>224</v>
      </c>
      <c r="D381" s="37" t="s">
        <v>738</v>
      </c>
      <c r="E381" s="37">
        <v>1</v>
      </c>
      <c r="F381" s="37">
        <v>0</v>
      </c>
      <c r="G381" s="38">
        <v>0</v>
      </c>
      <c r="H381" s="38">
        <v>10122</v>
      </c>
      <c r="I381" s="38">
        <v>3502</v>
      </c>
      <c r="J381" s="39">
        <v>0.345979055522624</v>
      </c>
    </row>
    <row r="382" ht="16.5" customHeight="1" spans="1:10">
      <c r="A382" s="37" t="s">
        <v>576</v>
      </c>
      <c r="B382" s="37" t="s">
        <v>715</v>
      </c>
      <c r="C382" s="37" t="s">
        <v>224</v>
      </c>
      <c r="D382" s="37" t="s">
        <v>737</v>
      </c>
      <c r="E382" s="37">
        <v>0</v>
      </c>
      <c r="F382" s="37">
        <v>0</v>
      </c>
      <c r="G382" s="38">
        <v>0</v>
      </c>
      <c r="H382" s="38">
        <v>36420</v>
      </c>
      <c r="I382" s="38">
        <v>0</v>
      </c>
      <c r="J382" s="39">
        <v>0</v>
      </c>
    </row>
    <row r="383" ht="16.5" customHeight="1" spans="1:10">
      <c r="A383" s="37" t="s">
        <v>576</v>
      </c>
      <c r="B383" s="37" t="s">
        <v>715</v>
      </c>
      <c r="C383" s="37" t="s">
        <v>22</v>
      </c>
      <c r="D383" s="37" t="s">
        <v>748</v>
      </c>
      <c r="E383" s="37">
        <v>0</v>
      </c>
      <c r="F383" s="37">
        <v>0</v>
      </c>
      <c r="G383" s="38">
        <v>0</v>
      </c>
      <c r="H383" s="38">
        <v>168020</v>
      </c>
      <c r="I383" s="38">
        <v>125584</v>
      </c>
      <c r="J383" s="39">
        <v>0.747434829187002</v>
      </c>
    </row>
    <row r="384" ht="16.5" customHeight="1" spans="1:10">
      <c r="A384" s="37" t="s">
        <v>576</v>
      </c>
      <c r="B384" s="37" t="s">
        <v>715</v>
      </c>
      <c r="C384" s="37" t="s">
        <v>75</v>
      </c>
      <c r="D384" s="37" t="s">
        <v>725</v>
      </c>
      <c r="E384" s="37">
        <v>0</v>
      </c>
      <c r="F384" s="37">
        <v>0</v>
      </c>
      <c r="G384" s="38">
        <v>0</v>
      </c>
      <c r="H384" s="38">
        <v>29080</v>
      </c>
      <c r="I384" s="38">
        <v>4000</v>
      </c>
      <c r="J384" s="39">
        <v>0.137551581843191</v>
      </c>
    </row>
    <row r="385" ht="16.5" customHeight="1" spans="1:10">
      <c r="A385" s="37" t="s">
        <v>576</v>
      </c>
      <c r="B385" s="37" t="s">
        <v>715</v>
      </c>
      <c r="C385" s="37" t="s">
        <v>264</v>
      </c>
      <c r="D385" s="37" t="s">
        <v>745</v>
      </c>
      <c r="E385" s="37">
        <v>0</v>
      </c>
      <c r="F385" s="37">
        <v>0</v>
      </c>
      <c r="G385" s="38">
        <v>0</v>
      </c>
      <c r="H385" s="38">
        <v>38442</v>
      </c>
      <c r="I385" s="38">
        <v>31122</v>
      </c>
      <c r="J385" s="39">
        <v>0.809583268300297</v>
      </c>
    </row>
    <row r="386" ht="16.5" customHeight="1" spans="1:10">
      <c r="A386" s="37" t="s">
        <v>576</v>
      </c>
      <c r="B386" s="37" t="s">
        <v>715</v>
      </c>
      <c r="C386" s="37" t="s">
        <v>52</v>
      </c>
      <c r="D386" s="37" t="s">
        <v>870</v>
      </c>
      <c r="E386" s="37">
        <v>0</v>
      </c>
      <c r="F386" s="37">
        <v>0</v>
      </c>
      <c r="G386" s="38">
        <v>0</v>
      </c>
      <c r="H386" s="38">
        <v>455000</v>
      </c>
      <c r="I386" s="38">
        <v>450000</v>
      </c>
      <c r="J386" s="39">
        <v>0.989010989010989</v>
      </c>
    </row>
    <row r="387" ht="16.5" customHeight="1" spans="1:10">
      <c r="A387" s="37" t="s">
        <v>576</v>
      </c>
      <c r="B387" s="37" t="s">
        <v>715</v>
      </c>
      <c r="C387" s="37" t="s">
        <v>151</v>
      </c>
      <c r="D387" s="37" t="s">
        <v>729</v>
      </c>
      <c r="E387" s="37">
        <v>0</v>
      </c>
      <c r="F387" s="37">
        <v>0</v>
      </c>
      <c r="G387" s="38">
        <v>0</v>
      </c>
      <c r="H387" s="38">
        <v>2640</v>
      </c>
      <c r="I387" s="38">
        <v>2640</v>
      </c>
      <c r="J387" s="39">
        <v>1</v>
      </c>
    </row>
    <row r="388" ht="16.5" customHeight="1" spans="1:10">
      <c r="A388" s="37" t="s">
        <v>576</v>
      </c>
      <c r="B388" s="37" t="s">
        <v>715</v>
      </c>
      <c r="C388" s="37" t="s">
        <v>151</v>
      </c>
      <c r="D388" s="37" t="s">
        <v>735</v>
      </c>
      <c r="E388" s="37">
        <v>0</v>
      </c>
      <c r="F388" s="37">
        <v>0</v>
      </c>
      <c r="G388" s="38">
        <v>0</v>
      </c>
      <c r="H388" s="38">
        <v>19422</v>
      </c>
      <c r="I388" s="38">
        <v>6142</v>
      </c>
      <c r="J388" s="39">
        <v>0.316239316239316</v>
      </c>
    </row>
    <row r="389" ht="16.5" customHeight="1" spans="1:10">
      <c r="A389" s="37" t="s">
        <v>576</v>
      </c>
      <c r="B389" s="37" t="s">
        <v>715</v>
      </c>
      <c r="C389" s="37" t="s">
        <v>224</v>
      </c>
      <c r="D389" s="37" t="s">
        <v>736</v>
      </c>
      <c r="E389" s="37">
        <v>0</v>
      </c>
      <c r="F389" s="37">
        <v>0</v>
      </c>
      <c r="G389" s="38">
        <v>0</v>
      </c>
      <c r="H389" s="38">
        <v>24462</v>
      </c>
      <c r="I389" s="38">
        <v>19502</v>
      </c>
      <c r="J389" s="39">
        <v>0.797236530128362</v>
      </c>
    </row>
    <row r="390" ht="16.5" customHeight="1" spans="1:10">
      <c r="A390" s="37" t="s">
        <v>576</v>
      </c>
      <c r="B390" s="37" t="s">
        <v>715</v>
      </c>
      <c r="C390" s="37" t="s">
        <v>75</v>
      </c>
      <c r="D390" s="37" t="s">
        <v>724</v>
      </c>
      <c r="E390" s="37">
        <v>1</v>
      </c>
      <c r="F390" s="37">
        <v>0</v>
      </c>
      <c r="G390" s="38">
        <v>0</v>
      </c>
      <c r="H390" s="38">
        <v>16320</v>
      </c>
      <c r="I390" s="38">
        <v>8660</v>
      </c>
      <c r="J390" s="39">
        <v>0.530637254901961</v>
      </c>
    </row>
    <row r="391" ht="16.5" customHeight="1" spans="1:10">
      <c r="A391" s="37" t="s">
        <v>576</v>
      </c>
      <c r="B391" s="37" t="s">
        <v>715</v>
      </c>
      <c r="C391" s="37" t="s">
        <v>22</v>
      </c>
      <c r="D391" s="37" t="s">
        <v>749</v>
      </c>
      <c r="E391" s="37">
        <v>0</v>
      </c>
      <c r="F391" s="37">
        <v>0</v>
      </c>
      <c r="G391" s="38">
        <v>0</v>
      </c>
      <c r="H391" s="38">
        <v>80600</v>
      </c>
      <c r="I391" s="38">
        <v>56018</v>
      </c>
      <c r="J391" s="39">
        <v>0.695012406947891</v>
      </c>
    </row>
    <row r="392" ht="16.5" customHeight="1" spans="1:10">
      <c r="A392" s="37" t="s">
        <v>576</v>
      </c>
      <c r="B392" s="37" t="s">
        <v>715</v>
      </c>
      <c r="C392" s="37" t="s">
        <v>125</v>
      </c>
      <c r="D392" s="37" t="s">
        <v>871</v>
      </c>
      <c r="E392" s="37">
        <v>0</v>
      </c>
      <c r="F392" s="37">
        <v>0</v>
      </c>
      <c r="G392" s="38">
        <v>0</v>
      </c>
      <c r="H392" s="38">
        <v>980</v>
      </c>
      <c r="I392" s="38">
        <v>0</v>
      </c>
      <c r="J392" s="39">
        <v>0</v>
      </c>
    </row>
    <row r="393" ht="16.5" customHeight="1" spans="1:10">
      <c r="A393" s="37" t="s">
        <v>576</v>
      </c>
      <c r="B393" s="37" t="s">
        <v>715</v>
      </c>
      <c r="C393" s="37" t="s">
        <v>264</v>
      </c>
      <c r="D393" s="37" t="s">
        <v>742</v>
      </c>
      <c r="E393" s="37">
        <v>0</v>
      </c>
      <c r="F393" s="37">
        <v>1</v>
      </c>
      <c r="G393" s="38">
        <v>2640</v>
      </c>
      <c r="H393" s="38">
        <v>20170</v>
      </c>
      <c r="I393" s="38">
        <v>14590</v>
      </c>
      <c r="J393" s="39">
        <v>0.723351512146753</v>
      </c>
    </row>
    <row r="394" ht="16.5" customHeight="1" spans="1:10">
      <c r="A394" s="37" t="s">
        <v>576</v>
      </c>
      <c r="B394" s="37" t="s">
        <v>715</v>
      </c>
      <c r="C394" s="37" t="s">
        <v>22</v>
      </c>
      <c r="D394" s="37" t="s">
        <v>747</v>
      </c>
      <c r="E394" s="37">
        <v>0</v>
      </c>
      <c r="F394" s="37">
        <v>0</v>
      </c>
      <c r="G394" s="38">
        <v>0</v>
      </c>
      <c r="H394" s="38">
        <v>34900</v>
      </c>
      <c r="I394" s="38">
        <v>27580</v>
      </c>
      <c r="J394" s="39">
        <v>0.79025787965616</v>
      </c>
    </row>
    <row r="395" ht="16.5" customHeight="1" spans="1:10">
      <c r="A395" s="37" t="s">
        <v>576</v>
      </c>
      <c r="B395" s="37" t="s">
        <v>715</v>
      </c>
      <c r="C395" s="37" t="s">
        <v>75</v>
      </c>
      <c r="D395" s="37" t="s">
        <v>726</v>
      </c>
      <c r="E395" s="37">
        <v>0</v>
      </c>
      <c r="F395" s="37">
        <v>0</v>
      </c>
      <c r="G395" s="38">
        <v>0</v>
      </c>
      <c r="H395" s="38">
        <v>12528</v>
      </c>
      <c r="I395" s="38">
        <v>1680</v>
      </c>
      <c r="J395" s="39">
        <v>0.134099616858238</v>
      </c>
    </row>
    <row r="396" ht="16.5" customHeight="1" spans="1:10">
      <c r="A396" s="37" t="s">
        <v>576</v>
      </c>
      <c r="B396" s="37" t="s">
        <v>715</v>
      </c>
      <c r="C396" s="37" t="s">
        <v>151</v>
      </c>
      <c r="D396" s="37" t="s">
        <v>730</v>
      </c>
      <c r="E396" s="37">
        <v>0</v>
      </c>
      <c r="F396" s="37">
        <v>0</v>
      </c>
      <c r="G396" s="38">
        <v>0</v>
      </c>
      <c r="H396" s="38">
        <v>20550</v>
      </c>
      <c r="I396" s="38">
        <v>5030</v>
      </c>
      <c r="J396" s="39">
        <v>0.244768856447689</v>
      </c>
    </row>
    <row r="397" ht="16.5" customHeight="1" spans="1:10">
      <c r="A397" s="37" t="s">
        <v>576</v>
      </c>
      <c r="B397" s="37" t="s">
        <v>715</v>
      </c>
      <c r="C397" s="37" t="s">
        <v>151</v>
      </c>
      <c r="D397" s="37" t="s">
        <v>731</v>
      </c>
      <c r="E397" s="37">
        <v>0</v>
      </c>
      <c r="F397" s="37">
        <v>0</v>
      </c>
      <c r="G397" s="38">
        <v>0</v>
      </c>
      <c r="H397" s="38">
        <v>6640</v>
      </c>
      <c r="I397" s="38">
        <v>1000</v>
      </c>
      <c r="J397" s="39">
        <v>0.150602409638554</v>
      </c>
    </row>
    <row r="398" ht="16.5" customHeight="1" spans="1:10">
      <c r="A398" s="37" t="s">
        <v>576</v>
      </c>
      <c r="B398" s="37" t="s">
        <v>715</v>
      </c>
      <c r="C398" s="37" t="s">
        <v>52</v>
      </c>
      <c r="D398" s="37" t="s">
        <v>872</v>
      </c>
      <c r="E398" s="37">
        <v>0</v>
      </c>
      <c r="F398" s="37">
        <v>1</v>
      </c>
      <c r="G398" s="38">
        <v>20000</v>
      </c>
      <c r="H398" s="38">
        <v>220003</v>
      </c>
      <c r="I398" s="38">
        <v>217003</v>
      </c>
      <c r="J398" s="39">
        <v>0.986363822311514</v>
      </c>
    </row>
    <row r="399" ht="16.5" customHeight="1" spans="1:10">
      <c r="A399" s="37" t="s">
        <v>576</v>
      </c>
      <c r="B399" s="37" t="s">
        <v>715</v>
      </c>
      <c r="C399" s="37" t="s">
        <v>151</v>
      </c>
      <c r="D399" s="37" t="s">
        <v>734</v>
      </c>
      <c r="E399" s="37">
        <v>1</v>
      </c>
      <c r="F399" s="37">
        <v>0</v>
      </c>
      <c r="G399" s="38">
        <v>0</v>
      </c>
      <c r="H399" s="38">
        <v>25760</v>
      </c>
      <c r="I399" s="38">
        <v>4502</v>
      </c>
      <c r="J399" s="39">
        <v>0.174767080745342</v>
      </c>
    </row>
    <row r="400" ht="16.5" customHeight="1" spans="1:10">
      <c r="A400" s="37" t="s">
        <v>576</v>
      </c>
      <c r="B400" s="37" t="s">
        <v>715</v>
      </c>
      <c r="C400" s="37" t="s">
        <v>75</v>
      </c>
      <c r="D400" s="37" t="s">
        <v>727</v>
      </c>
      <c r="E400" s="37">
        <v>0</v>
      </c>
      <c r="F400" s="37">
        <v>0</v>
      </c>
      <c r="G400" s="38">
        <v>0</v>
      </c>
      <c r="H400" s="38">
        <v>23620</v>
      </c>
      <c r="I400" s="38">
        <v>8782</v>
      </c>
      <c r="J400" s="39">
        <v>0.371803556308213</v>
      </c>
    </row>
    <row r="401" ht="16.5" customHeight="1" spans="1:10">
      <c r="A401" s="37" t="s">
        <v>576</v>
      </c>
      <c r="B401" s="37" t="s">
        <v>715</v>
      </c>
      <c r="C401" s="37" t="s">
        <v>52</v>
      </c>
      <c r="D401" s="37" t="s">
        <v>722</v>
      </c>
      <c r="E401" s="37">
        <v>0</v>
      </c>
      <c r="F401" s="37">
        <v>0</v>
      </c>
      <c r="G401" s="38">
        <v>0</v>
      </c>
      <c r="H401" s="38">
        <v>154940</v>
      </c>
      <c r="I401" s="38">
        <v>104480</v>
      </c>
      <c r="J401" s="39">
        <v>0.674325545372402</v>
      </c>
    </row>
    <row r="402" ht="16.5" customHeight="1" spans="1:10">
      <c r="A402" s="37" t="s">
        <v>576</v>
      </c>
      <c r="B402" s="37" t="s">
        <v>715</v>
      </c>
      <c r="C402" s="37" t="s">
        <v>102</v>
      </c>
      <c r="D402" s="37" t="s">
        <v>716</v>
      </c>
      <c r="E402" s="37">
        <v>0</v>
      </c>
      <c r="F402" s="37">
        <v>0</v>
      </c>
      <c r="G402" s="38">
        <v>0</v>
      </c>
      <c r="H402" s="38">
        <v>71112</v>
      </c>
      <c r="I402" s="38">
        <v>0</v>
      </c>
      <c r="J402" s="39">
        <v>0</v>
      </c>
    </row>
    <row r="403" ht="16.5" customHeight="1" spans="1:10">
      <c r="A403" s="37" t="s">
        <v>576</v>
      </c>
      <c r="B403" s="37" t="s">
        <v>715</v>
      </c>
      <c r="C403" s="37" t="s">
        <v>264</v>
      </c>
      <c r="D403" s="37" t="s">
        <v>746</v>
      </c>
      <c r="E403" s="37">
        <v>0</v>
      </c>
      <c r="F403" s="37">
        <v>0</v>
      </c>
      <c r="G403" s="38">
        <v>0</v>
      </c>
      <c r="H403" s="38">
        <v>3980</v>
      </c>
      <c r="I403" s="38">
        <v>0</v>
      </c>
      <c r="J403" s="39">
        <v>0</v>
      </c>
    </row>
    <row r="404" ht="16.5" customHeight="1" spans="1:10">
      <c r="A404" s="37" t="s">
        <v>576</v>
      </c>
      <c r="B404" s="37" t="s">
        <v>715</v>
      </c>
      <c r="C404" s="37" t="s">
        <v>264</v>
      </c>
      <c r="D404" s="37" t="s">
        <v>739</v>
      </c>
      <c r="E404" s="37">
        <v>0</v>
      </c>
      <c r="F404" s="37">
        <v>0</v>
      </c>
      <c r="G404" s="38">
        <v>0</v>
      </c>
      <c r="H404" s="38">
        <v>5640</v>
      </c>
      <c r="I404" s="38">
        <v>2640</v>
      </c>
      <c r="J404" s="39">
        <v>0.468085106382979</v>
      </c>
    </row>
    <row r="405" ht="16.5" customHeight="1" spans="1:10">
      <c r="A405" s="37" t="s">
        <v>576</v>
      </c>
      <c r="B405" s="37" t="s">
        <v>715</v>
      </c>
      <c r="C405" s="37" t="s">
        <v>22</v>
      </c>
      <c r="D405" s="37" t="s">
        <v>753</v>
      </c>
      <c r="E405" s="37">
        <v>0</v>
      </c>
      <c r="F405" s="37">
        <v>0</v>
      </c>
      <c r="G405" s="38">
        <v>0</v>
      </c>
      <c r="H405" s="38">
        <v>82786</v>
      </c>
      <c r="I405" s="38">
        <v>66068</v>
      </c>
      <c r="J405" s="39">
        <v>0.798057642596574</v>
      </c>
    </row>
    <row r="406" ht="16.5" customHeight="1" spans="1:10">
      <c r="A406" s="37" t="s">
        <v>576</v>
      </c>
      <c r="B406" s="37" t="s">
        <v>715</v>
      </c>
      <c r="C406" s="37" t="s">
        <v>264</v>
      </c>
      <c r="D406" s="37" t="s">
        <v>741</v>
      </c>
      <c r="E406" s="37">
        <v>0</v>
      </c>
      <c r="F406" s="37">
        <v>0</v>
      </c>
      <c r="G406" s="38">
        <v>0</v>
      </c>
      <c r="H406" s="38">
        <v>16280</v>
      </c>
      <c r="I406" s="38">
        <v>10162</v>
      </c>
      <c r="J406" s="39">
        <v>0.624201474201474</v>
      </c>
    </row>
    <row r="407" ht="16.5" customHeight="1" spans="1:10">
      <c r="A407" s="37" t="s">
        <v>576</v>
      </c>
      <c r="B407" s="37" t="s">
        <v>715</v>
      </c>
      <c r="C407" s="37" t="s">
        <v>102</v>
      </c>
      <c r="D407" s="37" t="s">
        <v>718</v>
      </c>
      <c r="E407" s="37">
        <v>0</v>
      </c>
      <c r="F407" s="37">
        <v>0</v>
      </c>
      <c r="G407" s="38">
        <v>0</v>
      </c>
      <c r="H407" s="38">
        <v>69308</v>
      </c>
      <c r="I407" s="38">
        <v>0</v>
      </c>
      <c r="J407" s="39">
        <v>0</v>
      </c>
    </row>
    <row r="408" ht="16.5" customHeight="1" spans="1:10">
      <c r="A408" s="37" t="s">
        <v>576</v>
      </c>
      <c r="B408" s="37" t="s">
        <v>715</v>
      </c>
      <c r="C408" s="37" t="s">
        <v>52</v>
      </c>
      <c r="D408" s="37" t="s">
        <v>721</v>
      </c>
      <c r="E408" s="37">
        <v>0</v>
      </c>
      <c r="F408" s="37">
        <v>0</v>
      </c>
      <c r="G408" s="38">
        <v>0</v>
      </c>
      <c r="H408" s="38">
        <v>91960</v>
      </c>
      <c r="I408" s="38">
        <v>84000</v>
      </c>
      <c r="J408" s="39">
        <v>0.913440626359287</v>
      </c>
    </row>
    <row r="409" ht="16.5" customHeight="1" spans="1:10">
      <c r="A409" s="37" t="s">
        <v>576</v>
      </c>
      <c r="B409" s="37" t="s">
        <v>715</v>
      </c>
      <c r="C409" s="37" t="s">
        <v>52</v>
      </c>
      <c r="D409" s="37" t="s">
        <v>873</v>
      </c>
      <c r="E409" s="37">
        <v>0</v>
      </c>
      <c r="F409" s="37">
        <v>0</v>
      </c>
      <c r="G409" s="38">
        <v>0</v>
      </c>
      <c r="H409" s="38">
        <v>169608</v>
      </c>
      <c r="I409" s="38">
        <v>131000</v>
      </c>
      <c r="J409" s="39">
        <v>0.77236922786661</v>
      </c>
    </row>
    <row r="410" ht="16.5" customHeight="1" spans="1:10">
      <c r="A410" s="37" t="s">
        <v>576</v>
      </c>
      <c r="B410" s="37" t="s">
        <v>715</v>
      </c>
      <c r="C410" s="37" t="s">
        <v>264</v>
      </c>
      <c r="D410" s="37" t="s">
        <v>740</v>
      </c>
      <c r="E410" s="37">
        <v>0</v>
      </c>
      <c r="F410" s="37">
        <v>0</v>
      </c>
      <c r="G410" s="38">
        <v>0</v>
      </c>
      <c r="H410" s="38">
        <v>20282</v>
      </c>
      <c r="I410" s="38">
        <v>2640</v>
      </c>
      <c r="J410" s="39">
        <v>0.130164678039641</v>
      </c>
    </row>
    <row r="411" ht="16.5" customHeight="1" spans="1:10">
      <c r="A411" s="37" t="s">
        <v>576</v>
      </c>
      <c r="B411" s="37" t="s">
        <v>754</v>
      </c>
      <c r="C411" s="37" t="s">
        <v>264</v>
      </c>
      <c r="D411" s="37" t="s">
        <v>811</v>
      </c>
      <c r="E411" s="37">
        <v>0</v>
      </c>
      <c r="F411" s="37">
        <v>0</v>
      </c>
      <c r="G411" s="38">
        <v>0</v>
      </c>
      <c r="H411" s="38">
        <v>12740</v>
      </c>
      <c r="I411" s="38">
        <v>0</v>
      </c>
      <c r="J411" s="39">
        <v>0</v>
      </c>
    </row>
    <row r="412" ht="16.5" customHeight="1" spans="1:10">
      <c r="A412" s="37" t="s">
        <v>576</v>
      </c>
      <c r="B412" s="37" t="s">
        <v>754</v>
      </c>
      <c r="C412" s="37" t="s">
        <v>102</v>
      </c>
      <c r="D412" s="37" t="s">
        <v>763</v>
      </c>
      <c r="E412" s="37">
        <v>0</v>
      </c>
      <c r="F412" s="37">
        <v>0</v>
      </c>
      <c r="G412" s="38">
        <v>0</v>
      </c>
      <c r="H412" s="38">
        <v>117200</v>
      </c>
      <c r="I412" s="38">
        <v>142088</v>
      </c>
      <c r="J412" s="39">
        <v>1.21235494880546</v>
      </c>
    </row>
    <row r="413" ht="16.5" customHeight="1" spans="1:10">
      <c r="A413" s="37" t="s">
        <v>576</v>
      </c>
      <c r="B413" s="37" t="s">
        <v>754</v>
      </c>
      <c r="C413" s="37" t="s">
        <v>755</v>
      </c>
      <c r="D413" s="37" t="s">
        <v>757</v>
      </c>
      <c r="E413" s="37">
        <v>0</v>
      </c>
      <c r="F413" s="37">
        <v>0</v>
      </c>
      <c r="G413" s="38">
        <v>0</v>
      </c>
      <c r="H413" s="38">
        <v>0</v>
      </c>
      <c r="I413" s="38">
        <v>0</v>
      </c>
      <c r="J413" s="39"/>
    </row>
    <row r="414" ht="16.5" customHeight="1" spans="1:10">
      <c r="A414" s="37" t="s">
        <v>576</v>
      </c>
      <c r="B414" s="37" t="s">
        <v>754</v>
      </c>
      <c r="C414" s="37" t="s">
        <v>52</v>
      </c>
      <c r="D414" s="37" t="s">
        <v>775</v>
      </c>
      <c r="E414" s="37">
        <v>0</v>
      </c>
      <c r="F414" s="37">
        <v>0</v>
      </c>
      <c r="G414" s="38">
        <v>0</v>
      </c>
      <c r="H414" s="38">
        <v>85001</v>
      </c>
      <c r="I414" s="38">
        <v>1</v>
      </c>
      <c r="J414" s="39">
        <v>1.17645674756768e-5</v>
      </c>
    </row>
    <row r="415" ht="16.5" customHeight="1" spans="1:10">
      <c r="A415" s="37" t="s">
        <v>576</v>
      </c>
      <c r="B415" s="37" t="s">
        <v>754</v>
      </c>
      <c r="C415" s="37" t="s">
        <v>755</v>
      </c>
      <c r="D415" s="37" t="s">
        <v>758</v>
      </c>
      <c r="E415" s="37">
        <v>0</v>
      </c>
      <c r="F415" s="37">
        <v>0</v>
      </c>
      <c r="G415" s="38">
        <v>0</v>
      </c>
      <c r="H415" s="38">
        <v>74554</v>
      </c>
      <c r="I415" s="38">
        <v>35216</v>
      </c>
      <c r="J415" s="39">
        <v>0.472355608015667</v>
      </c>
    </row>
    <row r="416" ht="16.5" customHeight="1" spans="1:10">
      <c r="A416" s="37" t="s">
        <v>576</v>
      </c>
      <c r="B416" s="37" t="s">
        <v>754</v>
      </c>
      <c r="C416" s="37" t="s">
        <v>768</v>
      </c>
      <c r="D416" s="37" t="s">
        <v>772</v>
      </c>
      <c r="E416" s="37">
        <v>0</v>
      </c>
      <c r="F416" s="37">
        <v>0</v>
      </c>
      <c r="G416" s="38">
        <v>0</v>
      </c>
      <c r="H416" s="38">
        <v>108960</v>
      </c>
      <c r="I416" s="38">
        <v>61610</v>
      </c>
      <c r="J416" s="39">
        <v>0.565436857562408</v>
      </c>
    </row>
    <row r="417" ht="16.5" customHeight="1" spans="1:10">
      <c r="A417" s="37" t="s">
        <v>576</v>
      </c>
      <c r="B417" s="37" t="s">
        <v>754</v>
      </c>
      <c r="C417" s="37" t="s">
        <v>52</v>
      </c>
      <c r="D417" s="37" t="s">
        <v>874</v>
      </c>
      <c r="E417" s="37">
        <v>0</v>
      </c>
      <c r="F417" s="37">
        <v>0</v>
      </c>
      <c r="G417" s="38">
        <v>0</v>
      </c>
      <c r="H417" s="38">
        <v>61897</v>
      </c>
      <c r="I417" s="38">
        <v>6620</v>
      </c>
      <c r="J417" s="39">
        <v>0.106951871657754</v>
      </c>
    </row>
    <row r="418" ht="16.5" customHeight="1" spans="1:10">
      <c r="A418" s="37" t="s">
        <v>576</v>
      </c>
      <c r="B418" s="37" t="s">
        <v>754</v>
      </c>
      <c r="C418" s="37" t="s">
        <v>125</v>
      </c>
      <c r="D418" s="37" t="s">
        <v>875</v>
      </c>
      <c r="E418" s="37">
        <v>0</v>
      </c>
      <c r="F418" s="37">
        <v>0</v>
      </c>
      <c r="G418" s="38">
        <v>0</v>
      </c>
      <c r="H418" s="38">
        <v>0</v>
      </c>
      <c r="I418" s="38">
        <v>0</v>
      </c>
      <c r="J418" s="39"/>
    </row>
    <row r="419" ht="16.5" customHeight="1" spans="1:10">
      <c r="A419" s="37" t="s">
        <v>576</v>
      </c>
      <c r="B419" s="37" t="s">
        <v>754</v>
      </c>
      <c r="C419" s="37" t="s">
        <v>798</v>
      </c>
      <c r="D419" s="37" t="s">
        <v>802</v>
      </c>
      <c r="E419" s="37">
        <v>1</v>
      </c>
      <c r="F419" s="37">
        <v>0</v>
      </c>
      <c r="G419" s="38">
        <v>0</v>
      </c>
      <c r="H419" s="38">
        <v>50160</v>
      </c>
      <c r="I419" s="38">
        <v>3000</v>
      </c>
      <c r="J419" s="39">
        <v>0.0598086124401914</v>
      </c>
    </row>
    <row r="420" ht="16.5" customHeight="1" spans="1:10">
      <c r="A420" s="37" t="s">
        <v>576</v>
      </c>
      <c r="B420" s="37" t="s">
        <v>754</v>
      </c>
      <c r="C420" s="37" t="s">
        <v>264</v>
      </c>
      <c r="D420" s="37" t="s">
        <v>814</v>
      </c>
      <c r="E420" s="37">
        <v>0</v>
      </c>
      <c r="F420" s="37">
        <v>0</v>
      </c>
      <c r="G420" s="38">
        <v>0</v>
      </c>
      <c r="H420" s="38">
        <v>19150</v>
      </c>
      <c r="I420" s="38">
        <v>4030</v>
      </c>
      <c r="J420" s="39">
        <v>0.210443864229765</v>
      </c>
    </row>
    <row r="421" ht="16.5" customHeight="1" spans="1:10">
      <c r="A421" s="37" t="s">
        <v>576</v>
      </c>
      <c r="B421" s="37" t="s">
        <v>754</v>
      </c>
      <c r="C421" s="37" t="s">
        <v>755</v>
      </c>
      <c r="D421" s="37" t="s">
        <v>759</v>
      </c>
      <c r="E421" s="37">
        <v>0</v>
      </c>
      <c r="F421" s="37">
        <v>0</v>
      </c>
      <c r="G421" s="38">
        <v>0</v>
      </c>
      <c r="H421" s="38">
        <v>36240</v>
      </c>
      <c r="I421" s="38">
        <v>0</v>
      </c>
      <c r="J421" s="39">
        <v>0</v>
      </c>
    </row>
    <row r="422" ht="16.5" customHeight="1" spans="1:10">
      <c r="A422" s="37" t="s">
        <v>576</v>
      </c>
      <c r="B422" s="37" t="s">
        <v>754</v>
      </c>
      <c r="C422" s="37" t="s">
        <v>22</v>
      </c>
      <c r="D422" s="37" t="s">
        <v>816</v>
      </c>
      <c r="E422" s="37">
        <v>0</v>
      </c>
      <c r="F422" s="37">
        <v>0</v>
      </c>
      <c r="G422" s="38">
        <v>0</v>
      </c>
      <c r="H422" s="38">
        <v>100508</v>
      </c>
      <c r="I422" s="38">
        <v>92748</v>
      </c>
      <c r="J422" s="39">
        <v>0.922792215545031</v>
      </c>
    </row>
    <row r="423" ht="16.5" customHeight="1" spans="1:10">
      <c r="A423" s="37" t="s">
        <v>576</v>
      </c>
      <c r="B423" s="37" t="s">
        <v>754</v>
      </c>
      <c r="C423" s="37" t="s">
        <v>22</v>
      </c>
      <c r="D423" s="37" t="s">
        <v>821</v>
      </c>
      <c r="E423" s="37">
        <v>0</v>
      </c>
      <c r="F423" s="37">
        <v>1</v>
      </c>
      <c r="G423" s="38">
        <v>4030</v>
      </c>
      <c r="H423" s="38">
        <v>75882</v>
      </c>
      <c r="I423" s="38">
        <v>75892</v>
      </c>
      <c r="J423" s="39">
        <v>1.00013178355868</v>
      </c>
    </row>
    <row r="424" ht="16.5" customHeight="1" spans="1:10">
      <c r="A424" s="37" t="s">
        <v>576</v>
      </c>
      <c r="B424" s="37" t="s">
        <v>754</v>
      </c>
      <c r="C424" s="37" t="s">
        <v>264</v>
      </c>
      <c r="D424" s="37" t="s">
        <v>810</v>
      </c>
      <c r="E424" s="37">
        <v>0</v>
      </c>
      <c r="F424" s="37">
        <v>0</v>
      </c>
      <c r="G424" s="38">
        <v>0</v>
      </c>
      <c r="H424" s="38">
        <v>0</v>
      </c>
      <c r="I424" s="38">
        <v>0</v>
      </c>
      <c r="J424" s="39"/>
    </row>
    <row r="425" ht="16.5" customHeight="1" spans="1:10">
      <c r="A425" s="37" t="s">
        <v>576</v>
      </c>
      <c r="B425" s="37" t="s">
        <v>754</v>
      </c>
      <c r="C425" s="37" t="s">
        <v>125</v>
      </c>
      <c r="D425" s="37" t="s">
        <v>876</v>
      </c>
      <c r="E425" s="37">
        <v>0</v>
      </c>
      <c r="F425" s="37">
        <v>0</v>
      </c>
      <c r="G425" s="38">
        <v>0</v>
      </c>
      <c r="H425" s="38">
        <v>0</v>
      </c>
      <c r="I425" s="38">
        <v>0</v>
      </c>
      <c r="J425" s="39"/>
    </row>
    <row r="426" ht="16.5" customHeight="1" spans="1:10">
      <c r="A426" s="37" t="s">
        <v>576</v>
      </c>
      <c r="B426" s="37" t="s">
        <v>754</v>
      </c>
      <c r="C426" s="37" t="s">
        <v>798</v>
      </c>
      <c r="D426" s="37" t="s">
        <v>805</v>
      </c>
      <c r="E426" s="37">
        <v>0</v>
      </c>
      <c r="F426" s="37">
        <v>0</v>
      </c>
      <c r="G426" s="38">
        <v>0</v>
      </c>
      <c r="H426" s="38">
        <v>36810</v>
      </c>
      <c r="I426" s="38">
        <v>24550</v>
      </c>
      <c r="J426" s="39">
        <v>0.666938331975007</v>
      </c>
    </row>
    <row r="427" ht="16.5" customHeight="1" spans="1:10">
      <c r="A427" s="37" t="s">
        <v>576</v>
      </c>
      <c r="B427" s="37" t="s">
        <v>754</v>
      </c>
      <c r="C427" s="37" t="s">
        <v>151</v>
      </c>
      <c r="D427" s="37" t="s">
        <v>796</v>
      </c>
      <c r="E427" s="37">
        <v>0</v>
      </c>
      <c r="F427" s="37">
        <v>1</v>
      </c>
      <c r="G427" s="38">
        <v>2640</v>
      </c>
      <c r="H427" s="38">
        <v>5220</v>
      </c>
      <c r="I427" s="38">
        <v>0</v>
      </c>
      <c r="J427" s="39">
        <v>0</v>
      </c>
    </row>
    <row r="428" ht="16.5" customHeight="1" spans="1:10">
      <c r="A428" s="37" t="s">
        <v>576</v>
      </c>
      <c r="B428" s="37" t="s">
        <v>754</v>
      </c>
      <c r="C428" s="37" t="s">
        <v>102</v>
      </c>
      <c r="D428" s="37" t="s">
        <v>765</v>
      </c>
      <c r="E428" s="37">
        <v>0</v>
      </c>
      <c r="F428" s="37">
        <v>0</v>
      </c>
      <c r="G428" s="38">
        <v>0</v>
      </c>
      <c r="H428" s="38">
        <v>50171</v>
      </c>
      <c r="I428" s="38">
        <v>16090</v>
      </c>
      <c r="J428" s="39">
        <v>0.320703195072851</v>
      </c>
    </row>
    <row r="429" ht="16.5" customHeight="1" spans="1:10">
      <c r="A429" s="37" t="s">
        <v>576</v>
      </c>
      <c r="B429" s="37" t="s">
        <v>754</v>
      </c>
      <c r="C429" s="37" t="s">
        <v>151</v>
      </c>
      <c r="D429" s="37" t="s">
        <v>791</v>
      </c>
      <c r="E429" s="37">
        <v>0</v>
      </c>
      <c r="F429" s="37">
        <v>0</v>
      </c>
      <c r="G429" s="38">
        <v>0</v>
      </c>
      <c r="H429" s="38">
        <v>23978</v>
      </c>
      <c r="I429" s="38">
        <v>9468</v>
      </c>
      <c r="J429" s="39">
        <v>0.394861956793728</v>
      </c>
    </row>
    <row r="430" ht="16.5" customHeight="1" spans="1:10">
      <c r="A430" s="37" t="s">
        <v>576</v>
      </c>
      <c r="B430" s="37" t="s">
        <v>754</v>
      </c>
      <c r="C430" s="37" t="s">
        <v>22</v>
      </c>
      <c r="D430" s="37" t="s">
        <v>823</v>
      </c>
      <c r="E430" s="37">
        <v>0</v>
      </c>
      <c r="F430" s="37">
        <v>0</v>
      </c>
      <c r="G430" s="38">
        <v>0</v>
      </c>
      <c r="H430" s="38">
        <v>105191</v>
      </c>
      <c r="I430" s="38">
        <v>97631</v>
      </c>
      <c r="J430" s="39">
        <v>0.928130733617895</v>
      </c>
    </row>
    <row r="431" ht="16.5" customHeight="1" spans="1:10">
      <c r="A431" s="37" t="s">
        <v>576</v>
      </c>
      <c r="B431" s="37" t="s">
        <v>754</v>
      </c>
      <c r="C431" s="37" t="s">
        <v>151</v>
      </c>
      <c r="D431" s="37" t="s">
        <v>793</v>
      </c>
      <c r="E431" s="37">
        <v>0</v>
      </c>
      <c r="F431" s="37">
        <v>0</v>
      </c>
      <c r="G431" s="38">
        <v>0</v>
      </c>
      <c r="H431" s="38">
        <v>23656</v>
      </c>
      <c r="I431" s="38">
        <v>0</v>
      </c>
      <c r="J431" s="39">
        <v>0</v>
      </c>
    </row>
    <row r="432" ht="16.5" customHeight="1" spans="1:10">
      <c r="A432" s="37" t="s">
        <v>576</v>
      </c>
      <c r="B432" s="37" t="s">
        <v>754</v>
      </c>
      <c r="C432" s="37" t="s">
        <v>75</v>
      </c>
      <c r="D432" s="37" t="s">
        <v>779</v>
      </c>
      <c r="E432" s="37">
        <v>0</v>
      </c>
      <c r="F432" s="37">
        <v>0</v>
      </c>
      <c r="G432" s="38">
        <v>0</v>
      </c>
      <c r="H432" s="38">
        <v>68576</v>
      </c>
      <c r="I432" s="38">
        <v>980</v>
      </c>
      <c r="J432" s="39">
        <v>0.0142907139524032</v>
      </c>
    </row>
    <row r="433" ht="16.5" customHeight="1" spans="1:10">
      <c r="A433" s="37" t="s">
        <v>576</v>
      </c>
      <c r="B433" s="37" t="s">
        <v>754</v>
      </c>
      <c r="C433" s="37" t="s">
        <v>547</v>
      </c>
      <c r="D433" s="37" t="s">
        <v>786</v>
      </c>
      <c r="E433" s="37">
        <v>0</v>
      </c>
      <c r="F433" s="37">
        <v>1</v>
      </c>
      <c r="G433" s="38">
        <v>3000</v>
      </c>
      <c r="H433" s="38">
        <v>22290</v>
      </c>
      <c r="I433" s="38">
        <v>0</v>
      </c>
      <c r="J433" s="39">
        <v>0</v>
      </c>
    </row>
    <row r="434" ht="16.5" customHeight="1" spans="1:10">
      <c r="A434" s="37" t="s">
        <v>576</v>
      </c>
      <c r="B434" s="37" t="s">
        <v>754</v>
      </c>
      <c r="C434" s="37" t="s">
        <v>125</v>
      </c>
      <c r="D434" s="37" t="s">
        <v>877</v>
      </c>
      <c r="E434" s="37">
        <v>0</v>
      </c>
      <c r="F434" s="37">
        <v>0</v>
      </c>
      <c r="G434" s="38">
        <v>0</v>
      </c>
      <c r="H434" s="38">
        <v>0</v>
      </c>
      <c r="I434" s="38">
        <v>0</v>
      </c>
      <c r="J434" s="39"/>
    </row>
    <row r="435" ht="16.5" customHeight="1" spans="1:10">
      <c r="A435" s="37" t="s">
        <v>576</v>
      </c>
      <c r="B435" s="37" t="s">
        <v>754</v>
      </c>
      <c r="C435" s="37" t="s">
        <v>75</v>
      </c>
      <c r="D435" s="37" t="s">
        <v>781</v>
      </c>
      <c r="E435" s="37">
        <v>0</v>
      </c>
      <c r="F435" s="37">
        <v>1</v>
      </c>
      <c r="G435" s="38">
        <v>3980</v>
      </c>
      <c r="H435" s="38">
        <v>74560</v>
      </c>
      <c r="I435" s="38">
        <v>11060</v>
      </c>
      <c r="J435" s="39">
        <v>0.148336909871245</v>
      </c>
    </row>
    <row r="436" ht="16.5" customHeight="1" spans="1:10">
      <c r="A436" s="37" t="s">
        <v>576</v>
      </c>
      <c r="B436" s="37" t="s">
        <v>754</v>
      </c>
      <c r="C436" s="37" t="s">
        <v>52</v>
      </c>
      <c r="D436" s="37" t="s">
        <v>776</v>
      </c>
      <c r="E436" s="37">
        <v>0</v>
      </c>
      <c r="F436" s="37">
        <v>0</v>
      </c>
      <c r="G436" s="38">
        <v>0</v>
      </c>
      <c r="H436" s="38">
        <v>242001</v>
      </c>
      <c r="I436" s="38">
        <v>232532</v>
      </c>
      <c r="J436" s="39">
        <v>0.960872062512138</v>
      </c>
    </row>
    <row r="437" ht="16.5" customHeight="1" spans="1:10">
      <c r="A437" s="37" t="s">
        <v>576</v>
      </c>
      <c r="B437" s="37" t="s">
        <v>754</v>
      </c>
      <c r="C437" s="37" t="s">
        <v>798</v>
      </c>
      <c r="D437" s="37" t="s">
        <v>808</v>
      </c>
      <c r="E437" s="37">
        <v>0</v>
      </c>
      <c r="F437" s="37">
        <v>0</v>
      </c>
      <c r="G437" s="38">
        <v>0</v>
      </c>
      <c r="H437" s="38">
        <v>80300</v>
      </c>
      <c r="I437" s="38">
        <v>9940</v>
      </c>
      <c r="J437" s="39">
        <v>0.123785803237858</v>
      </c>
    </row>
    <row r="438" ht="16.5" customHeight="1" spans="1:10">
      <c r="A438" s="37" t="s">
        <v>576</v>
      </c>
      <c r="B438" s="37" t="s">
        <v>754</v>
      </c>
      <c r="C438" s="37" t="s">
        <v>798</v>
      </c>
      <c r="D438" s="37" t="s">
        <v>799</v>
      </c>
      <c r="E438" s="37">
        <v>0</v>
      </c>
      <c r="F438" s="37">
        <v>0</v>
      </c>
      <c r="G438" s="38">
        <v>0</v>
      </c>
      <c r="H438" s="38">
        <v>12890</v>
      </c>
      <c r="I438" s="38">
        <v>8310</v>
      </c>
      <c r="J438" s="39">
        <v>0.644685802948022</v>
      </c>
    </row>
    <row r="439" ht="16.5" customHeight="1" spans="1:10">
      <c r="A439" s="37" t="s">
        <v>576</v>
      </c>
      <c r="B439" s="37" t="s">
        <v>754</v>
      </c>
      <c r="C439" s="37" t="s">
        <v>264</v>
      </c>
      <c r="D439" s="37" t="s">
        <v>809</v>
      </c>
      <c r="E439" s="37">
        <v>0</v>
      </c>
      <c r="F439" s="37">
        <v>0</v>
      </c>
      <c r="G439" s="38">
        <v>0</v>
      </c>
      <c r="H439" s="38">
        <v>75460</v>
      </c>
      <c r="I439" s="38">
        <v>6560</v>
      </c>
      <c r="J439" s="39">
        <v>0.0869334746885767</v>
      </c>
    </row>
    <row r="440" ht="16.5" customHeight="1" spans="1:10">
      <c r="A440" s="37" t="s">
        <v>576</v>
      </c>
      <c r="B440" s="37" t="s">
        <v>754</v>
      </c>
      <c r="C440" s="37" t="s">
        <v>798</v>
      </c>
      <c r="D440" s="37" t="s">
        <v>804</v>
      </c>
      <c r="E440" s="37">
        <v>0</v>
      </c>
      <c r="F440" s="37">
        <v>0</v>
      </c>
      <c r="G440" s="38">
        <v>0</v>
      </c>
      <c r="H440" s="38">
        <v>0</v>
      </c>
      <c r="I440" s="38">
        <v>0</v>
      </c>
      <c r="J440" s="39"/>
    </row>
    <row r="441" ht="16.5" customHeight="1" spans="1:10">
      <c r="A441" s="37" t="s">
        <v>576</v>
      </c>
      <c r="B441" s="37" t="s">
        <v>754</v>
      </c>
      <c r="C441" s="37" t="s">
        <v>878</v>
      </c>
      <c r="D441" s="37" t="s">
        <v>879</v>
      </c>
      <c r="E441" s="37">
        <v>0</v>
      </c>
      <c r="F441" s="37">
        <v>0</v>
      </c>
      <c r="G441" s="38">
        <v>0</v>
      </c>
      <c r="H441" s="38">
        <v>0</v>
      </c>
      <c r="I441" s="38">
        <v>0</v>
      </c>
      <c r="J441" s="39"/>
    </row>
    <row r="442" ht="16.5" customHeight="1" spans="1:10">
      <c r="A442" s="37" t="s">
        <v>576</v>
      </c>
      <c r="B442" s="37" t="s">
        <v>754</v>
      </c>
      <c r="C442" s="37" t="s">
        <v>264</v>
      </c>
      <c r="D442" s="37" t="s">
        <v>813</v>
      </c>
      <c r="E442" s="37">
        <v>0</v>
      </c>
      <c r="F442" s="37">
        <v>0</v>
      </c>
      <c r="G442" s="38">
        <v>0</v>
      </c>
      <c r="H442" s="38">
        <v>43530</v>
      </c>
      <c r="I442" s="38">
        <v>30518</v>
      </c>
      <c r="J442" s="39">
        <v>0.701079715138985</v>
      </c>
    </row>
    <row r="443" ht="16.5" customHeight="1" spans="1:10">
      <c r="A443" s="37" t="s">
        <v>576</v>
      </c>
      <c r="B443" s="37" t="s">
        <v>754</v>
      </c>
      <c r="C443" s="37" t="s">
        <v>547</v>
      </c>
      <c r="D443" s="37" t="s">
        <v>788</v>
      </c>
      <c r="E443" s="37">
        <v>0</v>
      </c>
      <c r="F443" s="37">
        <v>0</v>
      </c>
      <c r="G443" s="38">
        <v>0</v>
      </c>
      <c r="H443" s="38">
        <v>17750</v>
      </c>
      <c r="I443" s="38">
        <v>9740</v>
      </c>
      <c r="J443" s="39">
        <v>0.548732394366197</v>
      </c>
    </row>
    <row r="444" ht="16.5" customHeight="1" spans="1:10">
      <c r="A444" s="37" t="s">
        <v>576</v>
      </c>
      <c r="B444" s="37" t="s">
        <v>754</v>
      </c>
      <c r="C444" s="37" t="s">
        <v>798</v>
      </c>
      <c r="D444" s="37" t="s">
        <v>800</v>
      </c>
      <c r="E444" s="37">
        <v>0</v>
      </c>
      <c r="F444" s="37">
        <v>0</v>
      </c>
      <c r="G444" s="38">
        <v>0</v>
      </c>
      <c r="H444" s="38">
        <v>49702</v>
      </c>
      <c r="I444" s="38">
        <v>5580</v>
      </c>
      <c r="J444" s="39">
        <v>0.112269123978914</v>
      </c>
    </row>
    <row r="445" ht="16.5" customHeight="1" spans="1:10">
      <c r="A445" s="37" t="s">
        <v>576</v>
      </c>
      <c r="B445" s="37" t="s">
        <v>754</v>
      </c>
      <c r="C445" s="37" t="s">
        <v>547</v>
      </c>
      <c r="D445" s="37" t="s">
        <v>785</v>
      </c>
      <c r="E445" s="37">
        <v>1</v>
      </c>
      <c r="F445" s="37">
        <v>0</v>
      </c>
      <c r="G445" s="38">
        <v>0</v>
      </c>
      <c r="H445" s="38">
        <v>76040</v>
      </c>
      <c r="I445" s="38">
        <v>9610</v>
      </c>
      <c r="J445" s="39">
        <v>0.126380852183062</v>
      </c>
    </row>
    <row r="446" ht="16.5" customHeight="1" spans="1:10">
      <c r="A446" s="37" t="s">
        <v>576</v>
      </c>
      <c r="B446" s="37" t="s">
        <v>754</v>
      </c>
      <c r="C446" s="37" t="s">
        <v>125</v>
      </c>
      <c r="D446" s="37" t="s">
        <v>880</v>
      </c>
      <c r="E446" s="37">
        <v>0</v>
      </c>
      <c r="F446" s="37">
        <v>0</v>
      </c>
      <c r="G446" s="38">
        <v>0</v>
      </c>
      <c r="H446" s="38">
        <v>0</v>
      </c>
      <c r="I446" s="38">
        <v>0</v>
      </c>
      <c r="J446" s="39"/>
    </row>
    <row r="447" ht="16.5" customHeight="1" spans="1:10">
      <c r="A447" s="37" t="s">
        <v>576</v>
      </c>
      <c r="B447" s="37" t="s">
        <v>754</v>
      </c>
      <c r="C447" s="37" t="s">
        <v>755</v>
      </c>
      <c r="D447" s="37" t="s">
        <v>762</v>
      </c>
      <c r="E447" s="37">
        <v>0</v>
      </c>
      <c r="F447" s="37">
        <v>0</v>
      </c>
      <c r="G447" s="38">
        <v>0</v>
      </c>
      <c r="H447" s="38">
        <v>38680</v>
      </c>
      <c r="I447" s="38">
        <v>0</v>
      </c>
      <c r="J447" s="39">
        <v>0</v>
      </c>
    </row>
    <row r="448" ht="16.5" customHeight="1" spans="1:10">
      <c r="A448" s="37" t="s">
        <v>576</v>
      </c>
      <c r="B448" s="37" t="s">
        <v>754</v>
      </c>
      <c r="C448" s="37" t="s">
        <v>798</v>
      </c>
      <c r="D448" s="37" t="s">
        <v>801</v>
      </c>
      <c r="E448" s="37">
        <v>0</v>
      </c>
      <c r="F448" s="37">
        <v>0</v>
      </c>
      <c r="G448" s="38">
        <v>0</v>
      </c>
      <c r="H448" s="38">
        <v>1980</v>
      </c>
      <c r="I448" s="38">
        <v>0</v>
      </c>
      <c r="J448" s="39">
        <v>0</v>
      </c>
    </row>
    <row r="449" ht="16.5" customHeight="1" spans="1:10">
      <c r="A449" s="37" t="s">
        <v>576</v>
      </c>
      <c r="B449" s="37" t="s">
        <v>754</v>
      </c>
      <c r="C449" s="37" t="s">
        <v>547</v>
      </c>
      <c r="D449" s="37" t="s">
        <v>784</v>
      </c>
      <c r="E449" s="37">
        <v>0</v>
      </c>
      <c r="F449" s="37">
        <v>0</v>
      </c>
      <c r="G449" s="38">
        <v>0</v>
      </c>
      <c r="H449" s="38">
        <v>36179</v>
      </c>
      <c r="I449" s="38">
        <v>32856</v>
      </c>
      <c r="J449" s="39">
        <v>0.908151137400149</v>
      </c>
    </row>
    <row r="450" ht="16.5" customHeight="1" spans="1:10">
      <c r="A450" s="37" t="s">
        <v>576</v>
      </c>
      <c r="B450" s="37" t="s">
        <v>754</v>
      </c>
      <c r="C450" s="37" t="s">
        <v>52</v>
      </c>
      <c r="D450" s="37" t="s">
        <v>777</v>
      </c>
      <c r="E450" s="37">
        <v>0</v>
      </c>
      <c r="F450" s="37">
        <v>0</v>
      </c>
      <c r="G450" s="38">
        <v>0</v>
      </c>
      <c r="H450" s="38">
        <v>179600</v>
      </c>
      <c r="I450" s="38">
        <v>66000</v>
      </c>
      <c r="J450" s="39">
        <v>0.367483296213808</v>
      </c>
    </row>
    <row r="451" ht="16.5" customHeight="1" spans="1:10">
      <c r="A451" s="37" t="s">
        <v>576</v>
      </c>
      <c r="B451" s="37" t="s">
        <v>754</v>
      </c>
      <c r="C451" s="37" t="s">
        <v>75</v>
      </c>
      <c r="D451" s="37" t="s">
        <v>881</v>
      </c>
      <c r="E451" s="37">
        <v>0</v>
      </c>
      <c r="F451" s="37">
        <v>0</v>
      </c>
      <c r="G451" s="38">
        <v>0</v>
      </c>
      <c r="H451" s="38">
        <v>0</v>
      </c>
      <c r="I451" s="38">
        <v>0</v>
      </c>
      <c r="J451" s="39"/>
    </row>
    <row r="452" ht="16.5" customHeight="1" spans="1:10">
      <c r="A452" s="37" t="s">
        <v>576</v>
      </c>
      <c r="B452" s="37" t="s">
        <v>754</v>
      </c>
      <c r="C452" s="37" t="s">
        <v>151</v>
      </c>
      <c r="D452" s="37" t="s">
        <v>789</v>
      </c>
      <c r="E452" s="37">
        <v>0</v>
      </c>
      <c r="F452" s="37">
        <v>0</v>
      </c>
      <c r="G452" s="38">
        <v>0</v>
      </c>
      <c r="H452" s="38">
        <v>56829</v>
      </c>
      <c r="I452" s="38">
        <v>27878</v>
      </c>
      <c r="J452" s="39">
        <v>0.490559397490718</v>
      </c>
    </row>
    <row r="453" ht="16.5" customHeight="1" spans="1:10">
      <c r="A453" s="37" t="s">
        <v>576</v>
      </c>
      <c r="B453" s="37" t="s">
        <v>754</v>
      </c>
      <c r="C453" s="37" t="s">
        <v>547</v>
      </c>
      <c r="D453" s="37" t="s">
        <v>787</v>
      </c>
      <c r="E453" s="37">
        <v>1</v>
      </c>
      <c r="F453" s="37">
        <v>0</v>
      </c>
      <c r="G453" s="38">
        <v>0</v>
      </c>
      <c r="H453" s="38">
        <v>3000</v>
      </c>
      <c r="I453" s="38">
        <v>0</v>
      </c>
      <c r="J453" s="39">
        <v>0</v>
      </c>
    </row>
    <row r="454" ht="16.5" customHeight="1" spans="1:10">
      <c r="A454" s="37" t="s">
        <v>576</v>
      </c>
      <c r="B454" s="37" t="s">
        <v>754</v>
      </c>
      <c r="C454" s="37" t="s">
        <v>22</v>
      </c>
      <c r="D454" s="37" t="s">
        <v>817</v>
      </c>
      <c r="E454" s="37">
        <v>0</v>
      </c>
      <c r="F454" s="37">
        <v>2</v>
      </c>
      <c r="G454" s="38">
        <v>8940</v>
      </c>
      <c r="H454" s="38">
        <v>63456</v>
      </c>
      <c r="I454" s="38">
        <v>97338</v>
      </c>
      <c r="J454" s="39">
        <v>1.5339447806354</v>
      </c>
    </row>
    <row r="455" ht="16.5" customHeight="1" spans="1:10">
      <c r="A455" s="37" t="s">
        <v>576</v>
      </c>
      <c r="B455" s="37" t="s">
        <v>754</v>
      </c>
      <c r="C455" s="37" t="s">
        <v>22</v>
      </c>
      <c r="D455" s="37" t="s">
        <v>818</v>
      </c>
      <c r="E455" s="37">
        <v>0</v>
      </c>
      <c r="F455" s="37">
        <v>1</v>
      </c>
      <c r="G455" s="38">
        <v>3362</v>
      </c>
      <c r="H455" s="38">
        <v>126400</v>
      </c>
      <c r="I455" s="38">
        <v>104516</v>
      </c>
      <c r="J455" s="39">
        <v>0.826867088607595</v>
      </c>
    </row>
    <row r="456" ht="16.5" customHeight="1" spans="1:10">
      <c r="A456" s="37" t="s">
        <v>576</v>
      </c>
      <c r="B456" s="37" t="s">
        <v>754</v>
      </c>
      <c r="C456" s="37" t="s">
        <v>22</v>
      </c>
      <c r="D456" s="37" t="s">
        <v>882</v>
      </c>
      <c r="E456" s="37">
        <v>0</v>
      </c>
      <c r="F456" s="37">
        <v>0</v>
      </c>
      <c r="G456" s="38">
        <v>0</v>
      </c>
      <c r="H456" s="38">
        <v>0</v>
      </c>
      <c r="I456" s="38">
        <v>0</v>
      </c>
      <c r="J456" s="39"/>
    </row>
    <row r="457" ht="16.5" customHeight="1" spans="1:10">
      <c r="A457" s="37" t="s">
        <v>576</v>
      </c>
      <c r="B457" s="37" t="s">
        <v>754</v>
      </c>
      <c r="C457" s="37" t="s">
        <v>75</v>
      </c>
      <c r="D457" s="37" t="s">
        <v>782</v>
      </c>
      <c r="E457" s="37">
        <v>0</v>
      </c>
      <c r="F457" s="37">
        <v>0</v>
      </c>
      <c r="G457" s="38">
        <v>0</v>
      </c>
      <c r="H457" s="38">
        <v>88850</v>
      </c>
      <c r="I457" s="38">
        <v>27590</v>
      </c>
      <c r="J457" s="39">
        <v>0.310523353967361</v>
      </c>
    </row>
    <row r="458" ht="16.5" customHeight="1" spans="1:10">
      <c r="A458" s="37" t="s">
        <v>576</v>
      </c>
      <c r="B458" s="37" t="s">
        <v>754</v>
      </c>
      <c r="C458" s="37" t="s">
        <v>151</v>
      </c>
      <c r="D458" s="37" t="s">
        <v>790</v>
      </c>
      <c r="E458" s="37">
        <v>0</v>
      </c>
      <c r="F458" s="37">
        <v>0</v>
      </c>
      <c r="G458" s="38">
        <v>0</v>
      </c>
      <c r="H458" s="38">
        <v>50310</v>
      </c>
      <c r="I458" s="38">
        <v>23980</v>
      </c>
      <c r="J458" s="39">
        <v>0.476644802226198</v>
      </c>
    </row>
    <row r="459" ht="16.5" customHeight="1" spans="1:10">
      <c r="A459" s="37" t="s">
        <v>576</v>
      </c>
      <c r="B459" s="37" t="s">
        <v>754</v>
      </c>
      <c r="C459" s="37" t="s">
        <v>798</v>
      </c>
      <c r="D459" s="37" t="s">
        <v>803</v>
      </c>
      <c r="E459" s="37">
        <v>1</v>
      </c>
      <c r="F459" s="37">
        <v>2</v>
      </c>
      <c r="G459" s="38">
        <v>7356</v>
      </c>
      <c r="H459" s="38">
        <v>48456</v>
      </c>
      <c r="I459" s="38">
        <v>14386</v>
      </c>
      <c r="J459" s="39">
        <v>0.296887898299488</v>
      </c>
    </row>
    <row r="460" ht="16.5" customHeight="1" spans="1:10">
      <c r="A460" s="37" t="s">
        <v>576</v>
      </c>
      <c r="B460" s="37" t="s">
        <v>754</v>
      </c>
      <c r="C460" s="37" t="s">
        <v>125</v>
      </c>
      <c r="D460" s="37" t="s">
        <v>883</v>
      </c>
      <c r="E460" s="37">
        <v>0</v>
      </c>
      <c r="F460" s="37">
        <v>0</v>
      </c>
      <c r="G460" s="38">
        <v>0</v>
      </c>
      <c r="H460" s="38">
        <v>3980</v>
      </c>
      <c r="I460" s="38">
        <v>0</v>
      </c>
      <c r="J460" s="39">
        <v>0</v>
      </c>
    </row>
    <row r="461" ht="16.5" customHeight="1" spans="1:10">
      <c r="A461" s="37" t="s">
        <v>576</v>
      </c>
      <c r="B461" s="37" t="s">
        <v>754</v>
      </c>
      <c r="C461" s="37" t="s">
        <v>22</v>
      </c>
      <c r="D461" s="37" t="s">
        <v>819</v>
      </c>
      <c r="E461" s="37">
        <v>0</v>
      </c>
      <c r="F461" s="37">
        <v>0</v>
      </c>
      <c r="G461" s="38">
        <v>0</v>
      </c>
      <c r="H461" s="38">
        <v>92760</v>
      </c>
      <c r="I461" s="38">
        <v>60400</v>
      </c>
      <c r="J461" s="39">
        <v>0.651142733937042</v>
      </c>
    </row>
    <row r="462" ht="16.5" customHeight="1" spans="1:10">
      <c r="A462" s="37" t="s">
        <v>576</v>
      </c>
      <c r="B462" s="37" t="s">
        <v>754</v>
      </c>
      <c r="C462" s="37" t="s">
        <v>798</v>
      </c>
      <c r="D462" s="37" t="s">
        <v>806</v>
      </c>
      <c r="E462" s="37">
        <v>0</v>
      </c>
      <c r="F462" s="37">
        <v>0</v>
      </c>
      <c r="G462" s="38">
        <v>0</v>
      </c>
      <c r="H462" s="38">
        <v>3980</v>
      </c>
      <c r="I462" s="38">
        <v>0</v>
      </c>
      <c r="J462" s="39">
        <v>0</v>
      </c>
    </row>
    <row r="463" ht="16.5" customHeight="1" spans="1:10">
      <c r="A463" s="37" t="s">
        <v>576</v>
      </c>
      <c r="B463" s="37" t="s">
        <v>754</v>
      </c>
      <c r="C463" s="37" t="s">
        <v>102</v>
      </c>
      <c r="D463" s="37" t="s">
        <v>764</v>
      </c>
      <c r="E463" s="37">
        <v>0</v>
      </c>
      <c r="F463" s="37">
        <v>0</v>
      </c>
      <c r="G463" s="38">
        <v>0</v>
      </c>
      <c r="H463" s="38">
        <v>177000</v>
      </c>
      <c r="I463" s="38">
        <v>36000</v>
      </c>
      <c r="J463" s="39">
        <v>0.203389830508475</v>
      </c>
    </row>
    <row r="464" ht="16.5" customHeight="1" spans="1:10">
      <c r="A464" s="37" t="s">
        <v>576</v>
      </c>
      <c r="B464" s="37" t="s">
        <v>754</v>
      </c>
      <c r="C464" s="37" t="s">
        <v>755</v>
      </c>
      <c r="D464" s="37" t="s">
        <v>756</v>
      </c>
      <c r="E464" s="37">
        <v>0</v>
      </c>
      <c r="F464" s="37">
        <v>0</v>
      </c>
      <c r="G464" s="38">
        <v>0</v>
      </c>
      <c r="H464" s="38">
        <v>245520</v>
      </c>
      <c r="I464" s="38">
        <v>40160</v>
      </c>
      <c r="J464" s="39">
        <v>0.16357119582926</v>
      </c>
    </row>
    <row r="465" ht="16.5" customHeight="1" spans="1:10">
      <c r="A465" s="37" t="s">
        <v>576</v>
      </c>
      <c r="B465" s="37" t="s">
        <v>754</v>
      </c>
      <c r="C465" s="37" t="s">
        <v>102</v>
      </c>
      <c r="D465" s="37" t="s">
        <v>766</v>
      </c>
      <c r="E465" s="37">
        <v>0</v>
      </c>
      <c r="F465" s="37">
        <v>0</v>
      </c>
      <c r="G465" s="38">
        <v>0</v>
      </c>
      <c r="H465" s="38">
        <v>104988</v>
      </c>
      <c r="I465" s="38">
        <v>10000</v>
      </c>
      <c r="J465" s="39">
        <v>0.0952489808359051</v>
      </c>
    </row>
    <row r="466" ht="16.5" customHeight="1" spans="1:10">
      <c r="A466" s="37" t="s">
        <v>576</v>
      </c>
      <c r="B466" s="37" t="s">
        <v>754</v>
      </c>
      <c r="C466" s="37" t="s">
        <v>151</v>
      </c>
      <c r="D466" s="37" t="s">
        <v>792</v>
      </c>
      <c r="E466" s="37">
        <v>0</v>
      </c>
      <c r="F466" s="37">
        <v>0</v>
      </c>
      <c r="G466" s="38">
        <v>0</v>
      </c>
      <c r="H466" s="38">
        <v>0</v>
      </c>
      <c r="I466" s="38">
        <v>0</v>
      </c>
      <c r="J466" s="39"/>
    </row>
    <row r="467" ht="16.5" customHeight="1" spans="1:10">
      <c r="A467" s="37" t="s">
        <v>576</v>
      </c>
      <c r="B467" s="37" t="s">
        <v>754</v>
      </c>
      <c r="C467" s="37" t="s">
        <v>102</v>
      </c>
      <c r="D467" s="37" t="s">
        <v>884</v>
      </c>
      <c r="E467" s="37">
        <v>0</v>
      </c>
      <c r="F467" s="37">
        <v>1</v>
      </c>
      <c r="G467" s="38">
        <v>5438</v>
      </c>
      <c r="H467" s="38">
        <v>228268</v>
      </c>
      <c r="I467" s="38">
        <v>100950</v>
      </c>
      <c r="J467" s="39">
        <v>0.442243328017944</v>
      </c>
    </row>
    <row r="468" ht="16.5" customHeight="1" spans="1:10">
      <c r="A468" s="37" t="s">
        <v>576</v>
      </c>
      <c r="B468" s="37" t="s">
        <v>754</v>
      </c>
      <c r="C468" s="37" t="s">
        <v>151</v>
      </c>
      <c r="D468" s="37" t="s">
        <v>794</v>
      </c>
      <c r="E468" s="37">
        <v>0</v>
      </c>
      <c r="F468" s="37">
        <v>0</v>
      </c>
      <c r="G468" s="38">
        <v>0</v>
      </c>
      <c r="H468" s="38">
        <v>38730</v>
      </c>
      <c r="I468" s="38">
        <v>10910</v>
      </c>
      <c r="J468" s="39">
        <v>0.281693777433514</v>
      </c>
    </row>
    <row r="469" ht="16.5" customHeight="1" spans="1:10">
      <c r="A469" s="37" t="s">
        <v>576</v>
      </c>
      <c r="B469" s="37" t="s">
        <v>754</v>
      </c>
      <c r="C469" s="37" t="s">
        <v>768</v>
      </c>
      <c r="D469" s="37" t="s">
        <v>771</v>
      </c>
      <c r="E469" s="37">
        <v>0</v>
      </c>
      <c r="F469" s="37">
        <v>0</v>
      </c>
      <c r="G469" s="38">
        <v>0</v>
      </c>
      <c r="H469" s="38">
        <v>0</v>
      </c>
      <c r="I469" s="38">
        <v>0</v>
      </c>
      <c r="J469" s="39"/>
    </row>
    <row r="470" ht="16.5" customHeight="1" spans="1:10">
      <c r="A470" s="37" t="s">
        <v>576</v>
      </c>
      <c r="B470" s="37" t="s">
        <v>754</v>
      </c>
      <c r="C470" s="37" t="s">
        <v>755</v>
      </c>
      <c r="D470" s="37" t="s">
        <v>761</v>
      </c>
      <c r="E470" s="37">
        <v>0</v>
      </c>
      <c r="F470" s="37">
        <v>0</v>
      </c>
      <c r="G470" s="38">
        <v>0</v>
      </c>
      <c r="H470" s="38">
        <v>76184</v>
      </c>
      <c r="I470" s="38">
        <v>0</v>
      </c>
      <c r="J470" s="39">
        <v>0</v>
      </c>
    </row>
    <row r="471" ht="16.5" customHeight="1" spans="1:10">
      <c r="A471" s="37" t="s">
        <v>576</v>
      </c>
      <c r="B471" s="37" t="s">
        <v>754</v>
      </c>
      <c r="C471" s="37" t="s">
        <v>547</v>
      </c>
      <c r="D471" s="37" t="s">
        <v>783</v>
      </c>
      <c r="E471" s="37">
        <v>0</v>
      </c>
      <c r="F471" s="37">
        <v>0</v>
      </c>
      <c r="G471" s="38">
        <v>0</v>
      </c>
      <c r="H471" s="38">
        <v>42320</v>
      </c>
      <c r="I471" s="38">
        <v>32030</v>
      </c>
      <c r="J471" s="39">
        <v>0.756852551984877</v>
      </c>
    </row>
    <row r="472" ht="16.5" customHeight="1" spans="1:10">
      <c r="A472" s="37" t="s">
        <v>576</v>
      </c>
      <c r="B472" s="37" t="s">
        <v>754</v>
      </c>
      <c r="C472" s="37" t="s">
        <v>52</v>
      </c>
      <c r="D472" s="37" t="s">
        <v>773</v>
      </c>
      <c r="E472" s="37">
        <v>0</v>
      </c>
      <c r="F472" s="37">
        <v>0</v>
      </c>
      <c r="G472" s="38">
        <v>0</v>
      </c>
      <c r="H472" s="38">
        <v>348180</v>
      </c>
      <c r="I472" s="38">
        <v>32580</v>
      </c>
      <c r="J472" s="39">
        <v>0.0935722901947269</v>
      </c>
    </row>
    <row r="473" ht="16.5" customHeight="1" spans="1:10">
      <c r="A473" s="37" t="s">
        <v>576</v>
      </c>
      <c r="B473" s="37" t="s">
        <v>754</v>
      </c>
      <c r="C473" s="37" t="s">
        <v>264</v>
      </c>
      <c r="D473" s="37" t="s">
        <v>815</v>
      </c>
      <c r="E473" s="37">
        <v>0</v>
      </c>
      <c r="F473" s="37">
        <v>0</v>
      </c>
      <c r="G473" s="38">
        <v>0</v>
      </c>
      <c r="H473" s="38">
        <v>0</v>
      </c>
      <c r="I473" s="38">
        <v>0</v>
      </c>
      <c r="J473" s="39"/>
    </row>
    <row r="474" ht="16.5" customHeight="1" spans="1:10">
      <c r="A474" s="37" t="s">
        <v>576</v>
      </c>
      <c r="B474" s="37" t="s">
        <v>754</v>
      </c>
      <c r="C474" s="37" t="s">
        <v>52</v>
      </c>
      <c r="D474" s="37" t="s">
        <v>774</v>
      </c>
      <c r="E474" s="37">
        <v>0</v>
      </c>
      <c r="F474" s="37">
        <v>0</v>
      </c>
      <c r="G474" s="38">
        <v>0</v>
      </c>
      <c r="H474" s="38">
        <v>252601</v>
      </c>
      <c r="I474" s="38">
        <v>51000</v>
      </c>
      <c r="J474" s="39">
        <v>0.201899438244504</v>
      </c>
    </row>
    <row r="475" ht="16.5" customHeight="1" spans="1:10">
      <c r="A475" s="37" t="s">
        <v>576</v>
      </c>
      <c r="B475" s="37" t="s">
        <v>754</v>
      </c>
      <c r="C475" s="37" t="s">
        <v>798</v>
      </c>
      <c r="D475" s="37" t="s">
        <v>807</v>
      </c>
      <c r="E475" s="37">
        <v>0</v>
      </c>
      <c r="F475" s="37">
        <v>0</v>
      </c>
      <c r="G475" s="38">
        <v>0</v>
      </c>
      <c r="H475" s="38">
        <v>70468</v>
      </c>
      <c r="I475" s="38">
        <v>0</v>
      </c>
      <c r="J475" s="39">
        <v>0</v>
      </c>
    </row>
    <row r="476" ht="16.5" customHeight="1" spans="1:10">
      <c r="A476" s="37" t="s">
        <v>576</v>
      </c>
      <c r="B476" s="37" t="s">
        <v>754</v>
      </c>
      <c r="C476" s="37" t="s">
        <v>102</v>
      </c>
      <c r="D476" s="37" t="s">
        <v>767</v>
      </c>
      <c r="E476" s="37">
        <v>0</v>
      </c>
      <c r="F476" s="37">
        <v>1</v>
      </c>
      <c r="G476" s="38">
        <v>11000</v>
      </c>
      <c r="H476" s="38">
        <v>127780</v>
      </c>
      <c r="I476" s="38">
        <v>0</v>
      </c>
      <c r="J476" s="39">
        <v>0</v>
      </c>
    </row>
    <row r="477" ht="16.5" customHeight="1" spans="1:10">
      <c r="A477" s="37" t="s">
        <v>576</v>
      </c>
      <c r="B477" s="37" t="s">
        <v>754</v>
      </c>
      <c r="C477" s="37" t="s">
        <v>22</v>
      </c>
      <c r="D477" s="37" t="s">
        <v>822</v>
      </c>
      <c r="E477" s="37">
        <v>0</v>
      </c>
      <c r="F477" s="37">
        <v>0</v>
      </c>
      <c r="G477" s="38">
        <v>0</v>
      </c>
      <c r="H477" s="38">
        <v>101671</v>
      </c>
      <c r="I477" s="38">
        <v>99420</v>
      </c>
      <c r="J477" s="39">
        <v>0.977859960067276</v>
      </c>
    </row>
    <row r="478" ht="16.5" customHeight="1" spans="1:10">
      <c r="A478" s="37" t="s">
        <v>576</v>
      </c>
      <c r="B478" s="37" t="s">
        <v>754</v>
      </c>
      <c r="C478" s="37" t="s">
        <v>151</v>
      </c>
      <c r="D478" s="37" t="s">
        <v>795</v>
      </c>
      <c r="E478" s="37">
        <v>0</v>
      </c>
      <c r="F478" s="37">
        <v>0</v>
      </c>
      <c r="G478" s="38">
        <v>0</v>
      </c>
      <c r="H478" s="38">
        <v>41160</v>
      </c>
      <c r="I478" s="38">
        <v>33640</v>
      </c>
      <c r="J478" s="39">
        <v>0.817298347910593</v>
      </c>
    </row>
    <row r="479" ht="16.5" customHeight="1" spans="1:10">
      <c r="A479" s="37" t="s">
        <v>576</v>
      </c>
      <c r="B479" s="37" t="s">
        <v>754</v>
      </c>
      <c r="C479" s="37" t="s">
        <v>151</v>
      </c>
      <c r="D479" s="37" t="s">
        <v>797</v>
      </c>
      <c r="E479" s="37">
        <v>0</v>
      </c>
      <c r="F479" s="37">
        <v>0</v>
      </c>
      <c r="G479" s="38">
        <v>0</v>
      </c>
      <c r="H479" s="38">
        <v>21860</v>
      </c>
      <c r="I479" s="38">
        <v>980</v>
      </c>
      <c r="J479" s="39">
        <v>0.0448307410795974</v>
      </c>
    </row>
    <row r="480" ht="16.5" customHeight="1" spans="1:10">
      <c r="A480" s="37" t="s">
        <v>576</v>
      </c>
      <c r="B480" s="37" t="s">
        <v>754</v>
      </c>
      <c r="C480" s="37" t="s">
        <v>798</v>
      </c>
      <c r="D480" s="37" t="s">
        <v>885</v>
      </c>
      <c r="E480" s="37">
        <v>0</v>
      </c>
      <c r="F480" s="37">
        <v>0</v>
      </c>
      <c r="G480" s="38">
        <v>0</v>
      </c>
      <c r="H480" s="38">
        <v>7030</v>
      </c>
      <c r="I480" s="38">
        <v>4030</v>
      </c>
      <c r="J480" s="39">
        <v>0.57325746799431</v>
      </c>
    </row>
    <row r="481" ht="16.5" customHeight="1" spans="1:10">
      <c r="A481" s="37" t="s">
        <v>576</v>
      </c>
      <c r="B481" s="37" t="s">
        <v>754</v>
      </c>
      <c r="C481" s="37" t="s">
        <v>264</v>
      </c>
      <c r="D481" s="37" t="s">
        <v>812</v>
      </c>
      <c r="E481" s="37">
        <v>0</v>
      </c>
      <c r="F481" s="37">
        <v>0</v>
      </c>
      <c r="G481" s="38">
        <v>0</v>
      </c>
      <c r="H481" s="38">
        <v>76650</v>
      </c>
      <c r="I481" s="38">
        <v>32660</v>
      </c>
      <c r="J481" s="39">
        <v>0.426092628832355</v>
      </c>
    </row>
    <row r="482" ht="16.5" customHeight="1" spans="1:10">
      <c r="A482" s="37" t="s">
        <v>576</v>
      </c>
      <c r="B482" s="37" t="s">
        <v>754</v>
      </c>
      <c r="C482" s="37" t="s">
        <v>755</v>
      </c>
      <c r="D482" s="37" t="s">
        <v>760</v>
      </c>
      <c r="E482" s="37">
        <v>0</v>
      </c>
      <c r="F482" s="37">
        <v>0</v>
      </c>
      <c r="G482" s="38">
        <v>0</v>
      </c>
      <c r="H482" s="38">
        <v>18844</v>
      </c>
      <c r="I482" s="38">
        <v>0</v>
      </c>
      <c r="J482" s="39">
        <v>0</v>
      </c>
    </row>
    <row r="483" ht="16.5" customHeight="1" spans="1:10">
      <c r="A483" s="37" t="s">
        <v>576</v>
      </c>
      <c r="B483" s="37" t="s">
        <v>754</v>
      </c>
      <c r="C483" s="37" t="s">
        <v>768</v>
      </c>
      <c r="D483" s="37" t="s">
        <v>769</v>
      </c>
      <c r="E483" s="37">
        <v>0</v>
      </c>
      <c r="F483" s="37">
        <v>0</v>
      </c>
      <c r="G483" s="38">
        <v>0</v>
      </c>
      <c r="H483" s="38">
        <v>96880</v>
      </c>
      <c r="I483" s="38">
        <v>51618</v>
      </c>
      <c r="J483" s="39">
        <v>0.532803468208092</v>
      </c>
    </row>
    <row r="484" ht="16.5" customHeight="1" spans="1:10">
      <c r="A484" s="37" t="s">
        <v>576</v>
      </c>
      <c r="B484" s="37" t="s">
        <v>754</v>
      </c>
      <c r="C484" s="37" t="s">
        <v>75</v>
      </c>
      <c r="D484" s="37" t="s">
        <v>778</v>
      </c>
      <c r="E484" s="37">
        <v>0</v>
      </c>
      <c r="F484" s="37">
        <v>1</v>
      </c>
      <c r="G484" s="38">
        <v>4030</v>
      </c>
      <c r="H484" s="38">
        <v>28000</v>
      </c>
      <c r="I484" s="38">
        <v>15046</v>
      </c>
      <c r="J484" s="39">
        <v>0.537357142857143</v>
      </c>
    </row>
    <row r="485" ht="16.5" customHeight="1" spans="1:10">
      <c r="A485" s="37" t="s">
        <v>576</v>
      </c>
      <c r="B485" s="37" t="s">
        <v>754</v>
      </c>
      <c r="C485" s="37" t="s">
        <v>768</v>
      </c>
      <c r="D485" s="37" t="s">
        <v>770</v>
      </c>
      <c r="E485" s="37">
        <v>0</v>
      </c>
      <c r="F485" s="37">
        <v>0</v>
      </c>
      <c r="G485" s="38">
        <v>0</v>
      </c>
      <c r="H485" s="38">
        <v>306580</v>
      </c>
      <c r="I485" s="38">
        <v>209000</v>
      </c>
      <c r="J485" s="39">
        <v>0.681714397547133</v>
      </c>
    </row>
    <row r="486" ht="16.5" customHeight="1" spans="1:10">
      <c r="A486" s="37" t="s">
        <v>576</v>
      </c>
      <c r="B486" s="37" t="s">
        <v>754</v>
      </c>
      <c r="C486" s="37" t="s">
        <v>878</v>
      </c>
      <c r="D486" s="37" t="s">
        <v>886</v>
      </c>
      <c r="E486" s="37">
        <v>0</v>
      </c>
      <c r="F486" s="37">
        <v>0</v>
      </c>
      <c r="G486" s="38">
        <v>0</v>
      </c>
      <c r="H486" s="38">
        <v>0</v>
      </c>
      <c r="I486" s="38">
        <v>0</v>
      </c>
      <c r="J486" s="39"/>
    </row>
    <row r="487" ht="16.5" customHeight="1" spans="1:10">
      <c r="A487" s="37" t="s">
        <v>576</v>
      </c>
      <c r="B487" s="37" t="s">
        <v>754</v>
      </c>
      <c r="C487" s="37" t="s">
        <v>878</v>
      </c>
      <c r="D487" s="37" t="s">
        <v>887</v>
      </c>
      <c r="E487" s="37">
        <v>0</v>
      </c>
      <c r="F487" s="37">
        <v>0</v>
      </c>
      <c r="G487" s="38">
        <v>0</v>
      </c>
      <c r="H487" s="38">
        <v>0</v>
      </c>
      <c r="I487" s="38">
        <v>0</v>
      </c>
      <c r="J487" s="39"/>
    </row>
    <row r="488" ht="16.5" customHeight="1" spans="1:10">
      <c r="A488" s="37" t="s">
        <v>576</v>
      </c>
      <c r="B488" s="37" t="s">
        <v>754</v>
      </c>
      <c r="C488" s="37" t="s">
        <v>75</v>
      </c>
      <c r="D488" s="37" t="s">
        <v>780</v>
      </c>
      <c r="E488" s="37">
        <v>0</v>
      </c>
      <c r="F488" s="37">
        <v>0</v>
      </c>
      <c r="G488" s="38">
        <v>0</v>
      </c>
      <c r="H488" s="38">
        <v>11438</v>
      </c>
      <c r="I488" s="38">
        <v>0</v>
      </c>
      <c r="J488" s="39"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39"/>
  <sheetViews>
    <sheetView zoomScale="85" zoomScaleNormal="85" topLeftCell="E25" workbookViewId="0">
      <selection activeCell="A5" sqref="A5:L42"/>
    </sheetView>
  </sheetViews>
  <sheetFormatPr defaultColWidth="9" defaultRowHeight="15" customHeight="1"/>
  <cols>
    <col min="1" max="1" width="13.625" style="32" customWidth="1"/>
    <col min="2" max="2" width="7.25" style="32" customWidth="1"/>
    <col min="3" max="3" width="9.25" style="32" customWidth="1"/>
    <col min="4" max="4" width="9.625" style="32" customWidth="1"/>
    <col min="5" max="6" width="11.25" style="32" customWidth="1"/>
    <col min="7" max="7" width="18" style="32" customWidth="1"/>
    <col min="8" max="8" width="12.625" style="32" customWidth="1"/>
    <col min="9" max="9" width="10.5" style="32" customWidth="1"/>
    <col min="10" max="10" width="11.75" style="32" customWidth="1"/>
    <col min="11" max="11" width="19" style="32" customWidth="1"/>
    <col min="12" max="12" width="11.25" style="32" customWidth="1"/>
    <col min="13" max="13" width="10.875" style="32" customWidth="1"/>
    <col min="14" max="14" width="21.875" style="32" customWidth="1"/>
    <col min="15" max="15" width="9.125" style="32" customWidth="1"/>
    <col min="16" max="16" width="8.125" style="32" customWidth="1"/>
    <col min="17" max="17" width="8" style="32" customWidth="1"/>
    <col min="18" max="19" width="8.125" style="32" customWidth="1"/>
    <col min="20" max="20" width="6.25" style="32" customWidth="1"/>
    <col min="21" max="28" width="8" style="32" customWidth="1"/>
    <col min="29" max="36" width="8.125" style="32" customWidth="1"/>
    <col min="37" max="42" width="7.375" style="32" customWidth="1"/>
    <col min="43" max="43" width="13.5" style="32" customWidth="1"/>
    <col min="44" max="62" width="12.625" style="32" customWidth="1"/>
    <col min="63" max="63" width="11.5" style="32" customWidth="1"/>
    <col min="64" max="68" width="12.625" style="32" customWidth="1"/>
    <col min="69" max="69" width="11.5" style="32" customWidth="1"/>
    <col min="70" max="74" width="12.625" style="32" customWidth="1"/>
    <col min="75" max="75" width="8.125" style="32" customWidth="1"/>
    <col min="76" max="87" width="12.625" style="32" customWidth="1"/>
  </cols>
  <sheetData>
    <row r="1" customHeight="1" spans="1:2">
      <c r="A1" s="19" t="s">
        <v>0</v>
      </c>
      <c r="B1" s="19" t="s">
        <v>101</v>
      </c>
    </row>
    <row r="2" customHeight="1" spans="1:2">
      <c r="A2" s="19" t="s">
        <v>17</v>
      </c>
      <c r="B2" s="33">
        <v>1</v>
      </c>
    </row>
    <row r="3" customHeight="1" spans="14:14">
      <c r="N3" t="s">
        <v>264</v>
      </c>
    </row>
    <row r="4" customHeight="1" spans="1:14">
      <c r="A4" s="19" t="s">
        <v>573</v>
      </c>
      <c r="B4" s="19" t="s">
        <v>19</v>
      </c>
      <c r="C4" s="19" t="s">
        <v>888</v>
      </c>
      <c r="D4" s="19" t="s">
        <v>889</v>
      </c>
      <c r="E4" s="19" t="s">
        <v>890</v>
      </c>
      <c r="F4" s="19" t="s">
        <v>891</v>
      </c>
      <c r="G4" s="19" t="s">
        <v>892</v>
      </c>
      <c r="H4" s="19" t="s">
        <v>893</v>
      </c>
      <c r="I4" s="19" t="s">
        <v>894</v>
      </c>
      <c r="J4" s="19" t="s">
        <v>895</v>
      </c>
      <c r="K4" s="19" t="s">
        <v>896</v>
      </c>
      <c r="L4" s="19" t="s">
        <v>897</v>
      </c>
      <c r="N4" t="s">
        <v>151</v>
      </c>
    </row>
    <row r="5" customHeight="1" spans="1:14">
      <c r="A5" s="19" t="s">
        <v>264</v>
      </c>
      <c r="B5" s="19" t="s">
        <v>479</v>
      </c>
      <c r="C5" s="19" t="s">
        <v>485</v>
      </c>
      <c r="D5" s="19" t="s">
        <v>898</v>
      </c>
      <c r="E5" s="20">
        <v>146</v>
      </c>
      <c r="F5" s="20">
        <v>65</v>
      </c>
      <c r="G5" s="21">
        <v>0.445205479452055</v>
      </c>
      <c r="H5" s="20">
        <v>28</v>
      </c>
      <c r="I5" s="20">
        <v>19</v>
      </c>
      <c r="J5" s="20">
        <v>3</v>
      </c>
      <c r="K5" s="23">
        <v>56.3</v>
      </c>
      <c r="L5" s="20">
        <v>2</v>
      </c>
      <c r="N5" t="s">
        <v>224</v>
      </c>
    </row>
    <row r="6" customHeight="1" spans="1:14">
      <c r="A6" s="19" t="s">
        <v>264</v>
      </c>
      <c r="B6" s="19" t="s">
        <v>479</v>
      </c>
      <c r="C6" s="19" t="s">
        <v>483</v>
      </c>
      <c r="D6" s="19" t="s">
        <v>899</v>
      </c>
      <c r="E6" s="20">
        <v>139</v>
      </c>
      <c r="F6" s="20">
        <v>66</v>
      </c>
      <c r="G6" s="21">
        <v>0.474820143884892</v>
      </c>
      <c r="H6" s="20">
        <v>22</v>
      </c>
      <c r="I6" s="20">
        <v>14</v>
      </c>
      <c r="J6" s="20">
        <v>3</v>
      </c>
      <c r="K6" s="23">
        <v>54.5333333333333</v>
      </c>
      <c r="L6" s="20">
        <v>0</v>
      </c>
      <c r="N6" t="s">
        <v>75</v>
      </c>
    </row>
    <row r="7" customHeight="1" spans="1:14">
      <c r="A7" s="19" t="s">
        <v>264</v>
      </c>
      <c r="B7" s="19" t="s">
        <v>479</v>
      </c>
      <c r="C7" s="19" t="s">
        <v>491</v>
      </c>
      <c r="D7" s="19" t="s">
        <v>898</v>
      </c>
      <c r="E7" s="20">
        <v>201</v>
      </c>
      <c r="F7" s="20">
        <v>74</v>
      </c>
      <c r="G7" s="21">
        <v>0.368159203980099</v>
      </c>
      <c r="H7" s="20">
        <v>22</v>
      </c>
      <c r="I7" s="20">
        <v>12</v>
      </c>
      <c r="J7" s="20">
        <v>3</v>
      </c>
      <c r="K7" s="23">
        <v>54.6166666666667</v>
      </c>
      <c r="L7" s="20">
        <v>3</v>
      </c>
      <c r="N7" t="s">
        <v>547</v>
      </c>
    </row>
    <row r="8" customHeight="1" spans="1:14">
      <c r="A8" s="19" t="s">
        <v>264</v>
      </c>
      <c r="B8" s="19" t="s">
        <v>479</v>
      </c>
      <c r="C8" s="19" t="s">
        <v>493</v>
      </c>
      <c r="D8" s="19" t="s">
        <v>898</v>
      </c>
      <c r="E8" s="20">
        <v>164</v>
      </c>
      <c r="F8" s="20">
        <v>63</v>
      </c>
      <c r="G8" s="21">
        <v>0.384146341463415</v>
      </c>
      <c r="H8" s="20">
        <v>25</v>
      </c>
      <c r="I8" s="20">
        <v>14</v>
      </c>
      <c r="J8" s="20">
        <v>0</v>
      </c>
      <c r="K8" s="23">
        <v>40.9833333333333</v>
      </c>
      <c r="L8" s="20">
        <v>0</v>
      </c>
      <c r="N8" t="s">
        <v>22</v>
      </c>
    </row>
    <row r="9" customHeight="1" spans="1:12">
      <c r="A9" s="19" t="s">
        <v>264</v>
      </c>
      <c r="B9" s="19" t="s">
        <v>479</v>
      </c>
      <c r="C9" s="19" t="s">
        <v>488</v>
      </c>
      <c r="D9" s="19" t="s">
        <v>898</v>
      </c>
      <c r="E9" s="20">
        <v>82</v>
      </c>
      <c r="F9" s="20">
        <v>35</v>
      </c>
      <c r="G9" s="21">
        <v>0.426829268292683</v>
      </c>
      <c r="H9" s="20">
        <v>27</v>
      </c>
      <c r="I9" s="20">
        <v>11</v>
      </c>
      <c r="J9" s="20">
        <v>1</v>
      </c>
      <c r="K9" s="23">
        <v>26.55</v>
      </c>
      <c r="L9" s="20">
        <v>1</v>
      </c>
    </row>
    <row r="10" customHeight="1" spans="1:12">
      <c r="A10" s="19" t="s">
        <v>264</v>
      </c>
      <c r="B10" s="19" t="s">
        <v>479</v>
      </c>
      <c r="C10" s="19" t="s">
        <v>496</v>
      </c>
      <c r="D10" s="19" t="s">
        <v>899</v>
      </c>
      <c r="E10" s="20">
        <v>50</v>
      </c>
      <c r="F10" s="20">
        <v>19</v>
      </c>
      <c r="G10" s="21">
        <v>0.38</v>
      </c>
      <c r="H10" s="20">
        <v>19</v>
      </c>
      <c r="I10" s="20">
        <v>6</v>
      </c>
      <c r="J10" s="20">
        <v>0</v>
      </c>
      <c r="K10" s="23">
        <v>12.9833333333333</v>
      </c>
      <c r="L10" s="20">
        <v>1</v>
      </c>
    </row>
    <row r="11" customHeight="1" spans="1:12">
      <c r="A11" s="19" t="s">
        <v>264</v>
      </c>
      <c r="B11" s="19" t="s">
        <v>479</v>
      </c>
      <c r="C11" s="19" t="s">
        <v>476</v>
      </c>
      <c r="D11" s="19" t="s">
        <v>899</v>
      </c>
      <c r="E11" s="20">
        <v>175</v>
      </c>
      <c r="F11" s="20">
        <v>86</v>
      </c>
      <c r="G11" s="21">
        <v>0.491428571428571</v>
      </c>
      <c r="H11" s="20">
        <v>36</v>
      </c>
      <c r="I11" s="20">
        <v>16</v>
      </c>
      <c r="J11" s="20">
        <v>2</v>
      </c>
      <c r="K11" s="23">
        <v>61.3666666666667</v>
      </c>
      <c r="L11" s="20">
        <v>2</v>
      </c>
    </row>
    <row r="12" customHeight="1" spans="1:12">
      <c r="A12" s="19" t="s">
        <v>264</v>
      </c>
      <c r="B12" s="19" t="s">
        <v>479</v>
      </c>
      <c r="C12" s="19" t="s">
        <v>480</v>
      </c>
      <c r="D12" s="19" t="s">
        <v>900</v>
      </c>
      <c r="E12" s="20">
        <v>170</v>
      </c>
      <c r="F12" s="20">
        <v>80</v>
      </c>
      <c r="G12" s="21">
        <v>0.470588235294118</v>
      </c>
      <c r="H12" s="20">
        <v>23</v>
      </c>
      <c r="I12" s="20">
        <v>13</v>
      </c>
      <c r="J12" s="20">
        <v>1</v>
      </c>
      <c r="K12" s="23">
        <v>47.5333333333333</v>
      </c>
      <c r="L12" s="20">
        <v>1</v>
      </c>
    </row>
    <row r="13" customHeight="1" spans="1:12">
      <c r="A13" s="19" t="s">
        <v>151</v>
      </c>
      <c r="B13" s="19" t="s">
        <v>319</v>
      </c>
      <c r="C13" s="19" t="s">
        <v>320</v>
      </c>
      <c r="D13" s="19" t="s">
        <v>898</v>
      </c>
      <c r="E13" s="20">
        <v>237</v>
      </c>
      <c r="F13" s="20">
        <v>117</v>
      </c>
      <c r="G13" s="21">
        <v>0.493670886075949</v>
      </c>
      <c r="H13" s="20">
        <v>31</v>
      </c>
      <c r="I13" s="20">
        <v>17</v>
      </c>
      <c r="J13" s="20">
        <v>1</v>
      </c>
      <c r="K13" s="23">
        <v>66.9833333333333</v>
      </c>
      <c r="L13" s="20">
        <v>0</v>
      </c>
    </row>
    <row r="14" customHeight="1" spans="1:12">
      <c r="A14" s="19" t="s">
        <v>151</v>
      </c>
      <c r="B14" s="19" t="s">
        <v>319</v>
      </c>
      <c r="C14" s="19" t="s">
        <v>323</v>
      </c>
      <c r="D14" s="19" t="s">
        <v>901</v>
      </c>
      <c r="E14" s="20">
        <v>80</v>
      </c>
      <c r="F14" s="20">
        <v>35</v>
      </c>
      <c r="G14" s="21">
        <v>0.4375</v>
      </c>
      <c r="H14" s="20">
        <v>23</v>
      </c>
      <c r="I14" s="20">
        <v>18</v>
      </c>
      <c r="J14" s="20">
        <v>0</v>
      </c>
      <c r="K14" s="23">
        <v>38.0333333333333</v>
      </c>
      <c r="L14" s="20">
        <v>2</v>
      </c>
    </row>
    <row r="15" customHeight="1" spans="1:12">
      <c r="A15" s="19" t="s">
        <v>151</v>
      </c>
      <c r="B15" s="19" t="s">
        <v>319</v>
      </c>
      <c r="C15" s="19" t="s">
        <v>328</v>
      </c>
      <c r="D15" s="19" t="s">
        <v>902</v>
      </c>
      <c r="E15" s="20">
        <v>180</v>
      </c>
      <c r="F15" s="20">
        <v>78</v>
      </c>
      <c r="G15" s="21">
        <v>0.433333333333333</v>
      </c>
      <c r="H15" s="20">
        <v>28</v>
      </c>
      <c r="I15" s="20">
        <v>15</v>
      </c>
      <c r="J15" s="20">
        <v>4</v>
      </c>
      <c r="K15" s="23">
        <v>58.5833333333333</v>
      </c>
      <c r="L15" s="20">
        <v>1</v>
      </c>
    </row>
    <row r="16" customHeight="1" spans="1:12">
      <c r="A16" s="19" t="s">
        <v>151</v>
      </c>
      <c r="B16" s="19" t="s">
        <v>319</v>
      </c>
      <c r="C16" s="19" t="s">
        <v>316</v>
      </c>
      <c r="D16" s="19" t="s">
        <v>899</v>
      </c>
      <c r="E16" s="20">
        <v>89</v>
      </c>
      <c r="F16" s="20">
        <v>40</v>
      </c>
      <c r="G16" s="21">
        <v>0.449438202247191</v>
      </c>
      <c r="H16" s="20">
        <v>15</v>
      </c>
      <c r="I16" s="20">
        <v>10</v>
      </c>
      <c r="J16" s="20">
        <v>2</v>
      </c>
      <c r="K16" s="23">
        <v>39.0666666666667</v>
      </c>
      <c r="L16" s="20">
        <v>0</v>
      </c>
    </row>
    <row r="17" customHeight="1" spans="1:12">
      <c r="A17" s="19" t="s">
        <v>151</v>
      </c>
      <c r="B17" s="19" t="s">
        <v>319</v>
      </c>
      <c r="C17" s="19" t="s">
        <v>331</v>
      </c>
      <c r="D17" s="19" t="s">
        <v>902</v>
      </c>
      <c r="E17" s="20">
        <v>267</v>
      </c>
      <c r="F17" s="20">
        <v>118</v>
      </c>
      <c r="G17" s="21">
        <v>0.441947565543071</v>
      </c>
      <c r="H17" s="20">
        <v>39</v>
      </c>
      <c r="I17" s="20">
        <v>15</v>
      </c>
      <c r="J17" s="20">
        <v>0</v>
      </c>
      <c r="K17" s="23">
        <v>68</v>
      </c>
      <c r="L17" s="20">
        <v>0</v>
      </c>
    </row>
    <row r="18" customHeight="1" spans="1:12">
      <c r="A18" s="19" t="s">
        <v>151</v>
      </c>
      <c r="B18" s="19" t="s">
        <v>319</v>
      </c>
      <c r="C18" s="19" t="s">
        <v>334</v>
      </c>
      <c r="D18" s="19" t="s">
        <v>900</v>
      </c>
      <c r="E18" s="20">
        <v>283</v>
      </c>
      <c r="F18" s="20">
        <v>158</v>
      </c>
      <c r="G18" s="21">
        <v>0.558303886925795</v>
      </c>
      <c r="H18" s="20">
        <v>44</v>
      </c>
      <c r="I18" s="20">
        <v>28</v>
      </c>
      <c r="J18" s="20">
        <v>0</v>
      </c>
      <c r="K18" s="23">
        <v>97.3166666666667</v>
      </c>
      <c r="L18" s="20">
        <v>0</v>
      </c>
    </row>
    <row r="19" customHeight="1" spans="1:12">
      <c r="A19" s="19" t="s">
        <v>151</v>
      </c>
      <c r="B19" s="19" t="s">
        <v>319</v>
      </c>
      <c r="C19" s="19" t="s">
        <v>337</v>
      </c>
      <c r="D19" s="19" t="s">
        <v>900</v>
      </c>
      <c r="E19" s="20">
        <v>266</v>
      </c>
      <c r="F19" s="20">
        <v>135</v>
      </c>
      <c r="G19" s="21">
        <v>0.507518796992481</v>
      </c>
      <c r="H19" s="20">
        <v>28</v>
      </c>
      <c r="I19" s="20">
        <v>24</v>
      </c>
      <c r="J19" s="20">
        <v>1</v>
      </c>
      <c r="K19" s="23">
        <v>72.85</v>
      </c>
      <c r="L19" s="20">
        <v>0</v>
      </c>
    </row>
    <row r="20" customHeight="1" spans="1:12">
      <c r="A20" s="19" t="s">
        <v>224</v>
      </c>
      <c r="B20" s="19" t="s">
        <v>388</v>
      </c>
      <c r="C20" s="19" t="s">
        <v>405</v>
      </c>
      <c r="D20" s="19" t="s">
        <v>901</v>
      </c>
      <c r="E20" s="20">
        <v>143</v>
      </c>
      <c r="F20" s="20">
        <v>57</v>
      </c>
      <c r="G20" s="21">
        <v>0.398601398601399</v>
      </c>
      <c r="H20" s="20">
        <v>24</v>
      </c>
      <c r="I20" s="20">
        <v>15</v>
      </c>
      <c r="J20" s="20">
        <v>0</v>
      </c>
      <c r="K20" s="23">
        <v>40.9833333333333</v>
      </c>
      <c r="L20" s="20">
        <v>0</v>
      </c>
    </row>
    <row r="21" customHeight="1" spans="1:12">
      <c r="A21" s="19" t="s">
        <v>224</v>
      </c>
      <c r="B21" s="19" t="s">
        <v>388</v>
      </c>
      <c r="C21" s="19" t="s">
        <v>400</v>
      </c>
      <c r="D21" s="19" t="s">
        <v>899</v>
      </c>
      <c r="E21" s="20">
        <v>191</v>
      </c>
      <c r="F21" s="20">
        <v>45</v>
      </c>
      <c r="G21" s="21">
        <v>0.235602094240838</v>
      </c>
      <c r="H21" s="20">
        <v>23</v>
      </c>
      <c r="I21" s="20">
        <v>5</v>
      </c>
      <c r="J21" s="20">
        <v>1</v>
      </c>
      <c r="K21" s="23">
        <v>31.35</v>
      </c>
      <c r="L21" s="20">
        <v>1</v>
      </c>
    </row>
    <row r="22" customHeight="1" spans="1:12">
      <c r="A22" s="19" t="s">
        <v>224</v>
      </c>
      <c r="B22" s="19" t="s">
        <v>388</v>
      </c>
      <c r="C22" s="19" t="s">
        <v>410</v>
      </c>
      <c r="D22" s="19" t="s">
        <v>901</v>
      </c>
      <c r="E22" s="20">
        <v>204</v>
      </c>
      <c r="F22" s="20">
        <v>78</v>
      </c>
      <c r="G22" s="21">
        <v>0.382352941176471</v>
      </c>
      <c r="H22" s="20">
        <v>30</v>
      </c>
      <c r="I22" s="20">
        <v>16</v>
      </c>
      <c r="J22" s="20">
        <v>2</v>
      </c>
      <c r="K22" s="23">
        <v>56.4833333333333</v>
      </c>
      <c r="L22" s="20">
        <v>1</v>
      </c>
    </row>
    <row r="23" customHeight="1" spans="1:12">
      <c r="A23" s="19" t="s">
        <v>224</v>
      </c>
      <c r="B23" s="19" t="s">
        <v>388</v>
      </c>
      <c r="C23" s="19" t="s">
        <v>413</v>
      </c>
      <c r="D23" s="19" t="s">
        <v>903</v>
      </c>
      <c r="E23" s="20">
        <v>194</v>
      </c>
      <c r="F23" s="20">
        <v>79</v>
      </c>
      <c r="G23" s="21">
        <v>0.407216494845361</v>
      </c>
      <c r="H23" s="20">
        <v>18</v>
      </c>
      <c r="I23" s="20">
        <v>4</v>
      </c>
      <c r="J23" s="20">
        <v>0</v>
      </c>
      <c r="K23" s="23">
        <v>36.7166666666667</v>
      </c>
      <c r="L23" s="20">
        <v>0</v>
      </c>
    </row>
    <row r="24" customHeight="1" spans="1:12">
      <c r="A24" s="19" t="s">
        <v>224</v>
      </c>
      <c r="B24" s="19" t="s">
        <v>388</v>
      </c>
      <c r="C24" s="19" t="s">
        <v>407</v>
      </c>
      <c r="D24" s="19" t="s">
        <v>904</v>
      </c>
      <c r="E24" s="20">
        <v>118</v>
      </c>
      <c r="F24" s="20">
        <v>49</v>
      </c>
      <c r="G24" s="21">
        <v>0.415254237288136</v>
      </c>
      <c r="H24" s="20">
        <v>15</v>
      </c>
      <c r="I24" s="20">
        <v>11</v>
      </c>
      <c r="J24" s="20">
        <v>3</v>
      </c>
      <c r="K24" s="23">
        <v>38.85</v>
      </c>
      <c r="L24" s="20">
        <v>0</v>
      </c>
    </row>
    <row r="25" customHeight="1" spans="1:12">
      <c r="A25" s="19" t="s">
        <v>224</v>
      </c>
      <c r="B25" s="19" t="s">
        <v>388</v>
      </c>
      <c r="C25" s="19" t="s">
        <v>403</v>
      </c>
      <c r="D25" s="19" t="s">
        <v>902</v>
      </c>
      <c r="E25" s="20">
        <v>136</v>
      </c>
      <c r="F25" s="20">
        <v>62</v>
      </c>
      <c r="G25" s="21">
        <v>0.455882352941176</v>
      </c>
      <c r="H25" s="20">
        <v>25</v>
      </c>
      <c r="I25" s="20">
        <v>11</v>
      </c>
      <c r="J25" s="20">
        <v>1</v>
      </c>
      <c r="K25" s="23">
        <v>43.5166666666667</v>
      </c>
      <c r="L25" s="20">
        <v>0</v>
      </c>
    </row>
    <row r="26" customHeight="1" spans="1:12">
      <c r="A26" s="19" t="s">
        <v>224</v>
      </c>
      <c r="B26" s="19" t="s">
        <v>388</v>
      </c>
      <c r="C26" s="19" t="s">
        <v>398</v>
      </c>
      <c r="D26" s="19" t="s">
        <v>902</v>
      </c>
      <c r="E26" s="20">
        <v>127</v>
      </c>
      <c r="F26" s="20">
        <v>31</v>
      </c>
      <c r="G26" s="21">
        <v>0.244094488188976</v>
      </c>
      <c r="H26" s="20">
        <v>18</v>
      </c>
      <c r="I26" s="20">
        <v>8</v>
      </c>
      <c r="J26" s="20">
        <v>1</v>
      </c>
      <c r="K26" s="23">
        <v>28.2166666666667</v>
      </c>
      <c r="L26" s="20">
        <v>0</v>
      </c>
    </row>
    <row r="27" customHeight="1" spans="1:12">
      <c r="A27" s="19" t="s">
        <v>224</v>
      </c>
      <c r="B27" s="19" t="s">
        <v>388</v>
      </c>
      <c r="C27" s="19" t="s">
        <v>396</v>
      </c>
      <c r="D27" s="19" t="s">
        <v>902</v>
      </c>
      <c r="E27" s="20">
        <v>353</v>
      </c>
      <c r="F27" s="20">
        <v>137</v>
      </c>
      <c r="G27" s="21">
        <v>0.388101983002833</v>
      </c>
      <c r="H27" s="20">
        <v>38</v>
      </c>
      <c r="I27" s="20">
        <v>22</v>
      </c>
      <c r="J27" s="20">
        <v>0</v>
      </c>
      <c r="K27" s="23">
        <v>75.4666666666667</v>
      </c>
      <c r="L27" s="20">
        <v>0</v>
      </c>
    </row>
    <row r="28" customHeight="1" spans="1:12">
      <c r="A28" s="19" t="s">
        <v>224</v>
      </c>
      <c r="B28" s="19" t="s">
        <v>388</v>
      </c>
      <c r="C28" s="19" t="s">
        <v>386</v>
      </c>
      <c r="D28" s="19" t="s">
        <v>900</v>
      </c>
      <c r="E28" s="20">
        <v>193</v>
      </c>
      <c r="F28" s="20">
        <v>82</v>
      </c>
      <c r="G28" s="21">
        <v>0.424870466321244</v>
      </c>
      <c r="H28" s="20">
        <v>30</v>
      </c>
      <c r="I28" s="20">
        <v>15</v>
      </c>
      <c r="J28" s="20">
        <v>1</v>
      </c>
      <c r="K28" s="23">
        <v>52.3833333333333</v>
      </c>
      <c r="L28" s="20">
        <v>0</v>
      </c>
    </row>
    <row r="29" customHeight="1" spans="1:12">
      <c r="A29" s="19" t="s">
        <v>224</v>
      </c>
      <c r="B29" s="19" t="s">
        <v>388</v>
      </c>
      <c r="C29" s="19" t="s">
        <v>394</v>
      </c>
      <c r="D29" s="19" t="s">
        <v>900</v>
      </c>
      <c r="E29" s="20">
        <v>267</v>
      </c>
      <c r="F29" s="20">
        <v>102</v>
      </c>
      <c r="G29" s="21">
        <v>0.382022471910112</v>
      </c>
      <c r="H29" s="20">
        <v>25</v>
      </c>
      <c r="I29" s="20">
        <v>15</v>
      </c>
      <c r="J29" s="20">
        <v>1</v>
      </c>
      <c r="K29" s="23">
        <v>62.8833333333333</v>
      </c>
      <c r="L29" s="20">
        <v>0</v>
      </c>
    </row>
    <row r="30" customHeight="1" spans="1:12">
      <c r="A30" s="19" t="s">
        <v>224</v>
      </c>
      <c r="B30" s="19" t="s">
        <v>388</v>
      </c>
      <c r="C30" s="19" t="s">
        <v>391</v>
      </c>
      <c r="D30" s="19" t="s">
        <v>900</v>
      </c>
      <c r="E30" s="20">
        <v>293</v>
      </c>
      <c r="F30" s="20">
        <v>131</v>
      </c>
      <c r="G30" s="21">
        <v>0.447098976109215</v>
      </c>
      <c r="H30" s="20">
        <v>36</v>
      </c>
      <c r="I30" s="20">
        <v>24</v>
      </c>
      <c r="J30" s="20">
        <v>6</v>
      </c>
      <c r="K30" s="23">
        <v>95.4666666666667</v>
      </c>
      <c r="L30" s="20">
        <v>0</v>
      </c>
    </row>
    <row r="31" customHeight="1" spans="1:12">
      <c r="A31" s="19" t="s">
        <v>75</v>
      </c>
      <c r="B31" s="19" t="s">
        <v>112</v>
      </c>
      <c r="C31" s="19" t="s">
        <v>109</v>
      </c>
      <c r="D31" s="19" t="s">
        <v>898</v>
      </c>
      <c r="E31" s="20">
        <v>293</v>
      </c>
      <c r="F31" s="20">
        <v>125</v>
      </c>
      <c r="G31" s="21">
        <v>0.426621160409556</v>
      </c>
      <c r="H31" s="20">
        <v>39</v>
      </c>
      <c r="I31" s="20">
        <v>18</v>
      </c>
      <c r="J31" s="20">
        <v>1</v>
      </c>
      <c r="K31" s="23">
        <v>68.35</v>
      </c>
      <c r="L31" s="20">
        <v>0</v>
      </c>
    </row>
    <row r="32" customHeight="1" spans="1:12">
      <c r="A32" s="19" t="s">
        <v>75</v>
      </c>
      <c r="B32" s="19" t="s">
        <v>112</v>
      </c>
      <c r="C32" s="19" t="s">
        <v>113</v>
      </c>
      <c r="D32" s="19" t="s">
        <v>898</v>
      </c>
      <c r="E32" s="20">
        <v>194</v>
      </c>
      <c r="F32" s="20">
        <v>84</v>
      </c>
      <c r="G32" s="21">
        <v>0.43298969072165</v>
      </c>
      <c r="H32" s="20">
        <v>41</v>
      </c>
      <c r="I32" s="20">
        <v>8</v>
      </c>
      <c r="J32" s="20">
        <v>3</v>
      </c>
      <c r="K32" s="23">
        <v>63.25</v>
      </c>
      <c r="L32" s="20">
        <v>2</v>
      </c>
    </row>
    <row r="33" customHeight="1" spans="1:12">
      <c r="A33" s="19" t="s">
        <v>75</v>
      </c>
      <c r="B33" s="19" t="s">
        <v>112</v>
      </c>
      <c r="C33" s="19" t="s">
        <v>116</v>
      </c>
      <c r="D33" s="19" t="s">
        <v>902</v>
      </c>
      <c r="E33" s="20">
        <v>277</v>
      </c>
      <c r="F33" s="20">
        <v>100</v>
      </c>
      <c r="G33" s="21">
        <v>0.36101083032491</v>
      </c>
      <c r="H33" s="20">
        <v>39</v>
      </c>
      <c r="I33" s="20">
        <v>27</v>
      </c>
      <c r="J33" s="20">
        <v>3</v>
      </c>
      <c r="K33" s="23">
        <v>79.9333333333333</v>
      </c>
      <c r="L33" s="20">
        <v>0</v>
      </c>
    </row>
    <row r="34" customHeight="1" spans="1:12">
      <c r="A34" s="19" t="s">
        <v>75</v>
      </c>
      <c r="B34" s="19" t="s">
        <v>112</v>
      </c>
      <c r="C34" s="19" t="s">
        <v>119</v>
      </c>
      <c r="D34" s="19" t="s">
        <v>902</v>
      </c>
      <c r="E34" s="20">
        <v>288</v>
      </c>
      <c r="F34" s="20">
        <v>123</v>
      </c>
      <c r="G34" s="21">
        <v>0.427083333333333</v>
      </c>
      <c r="H34" s="20">
        <v>31</v>
      </c>
      <c r="I34" s="20">
        <v>16</v>
      </c>
      <c r="J34" s="20">
        <v>1</v>
      </c>
      <c r="K34" s="23">
        <v>67.25</v>
      </c>
      <c r="L34" s="20">
        <v>0</v>
      </c>
    </row>
    <row r="35" customHeight="1" spans="1:12">
      <c r="A35" s="19" t="s">
        <v>75</v>
      </c>
      <c r="B35" s="19" t="s">
        <v>112</v>
      </c>
      <c r="C35" s="19" t="s">
        <v>122</v>
      </c>
      <c r="D35" s="19" t="s">
        <v>902</v>
      </c>
      <c r="E35" s="20">
        <v>257</v>
      </c>
      <c r="F35" s="20">
        <v>118</v>
      </c>
      <c r="G35" s="21">
        <v>0.459143968871595</v>
      </c>
      <c r="H35" s="20">
        <v>30</v>
      </c>
      <c r="I35" s="20">
        <v>10</v>
      </c>
      <c r="J35" s="20">
        <v>1</v>
      </c>
      <c r="K35" s="23">
        <v>63.5833333333333</v>
      </c>
      <c r="L35" s="20">
        <v>0</v>
      </c>
    </row>
    <row r="36" customHeight="1" spans="1:12">
      <c r="A36" s="19" t="s">
        <v>22</v>
      </c>
      <c r="B36" s="19" t="s">
        <v>342</v>
      </c>
      <c r="C36" s="19" t="s">
        <v>340</v>
      </c>
      <c r="D36" s="19" t="s">
        <v>901</v>
      </c>
      <c r="E36" s="20">
        <v>35</v>
      </c>
      <c r="F36" s="20">
        <v>21</v>
      </c>
      <c r="G36" s="21">
        <v>0.6</v>
      </c>
      <c r="H36" s="20">
        <v>11</v>
      </c>
      <c r="I36" s="20">
        <v>8</v>
      </c>
      <c r="J36" s="20">
        <v>1</v>
      </c>
      <c r="K36" s="23">
        <v>22.7166666666667</v>
      </c>
      <c r="L36" s="20">
        <v>5</v>
      </c>
    </row>
    <row r="37" customHeight="1" spans="1:12">
      <c r="A37" s="19" t="s">
        <v>22</v>
      </c>
      <c r="B37" s="19" t="s">
        <v>342</v>
      </c>
      <c r="C37" s="19" t="s">
        <v>358</v>
      </c>
      <c r="D37" s="19" t="s">
        <v>899</v>
      </c>
      <c r="E37" s="20">
        <v>50</v>
      </c>
      <c r="F37" s="20">
        <v>33</v>
      </c>
      <c r="G37" s="21">
        <v>0.66</v>
      </c>
      <c r="H37" s="20">
        <v>18</v>
      </c>
      <c r="I37" s="20">
        <v>13</v>
      </c>
      <c r="J37" s="20">
        <v>4</v>
      </c>
      <c r="K37" s="23">
        <v>44.8666666666667</v>
      </c>
      <c r="L37" s="20">
        <v>0</v>
      </c>
    </row>
    <row r="38" customHeight="1" spans="1:12">
      <c r="A38" s="19" t="s">
        <v>22</v>
      </c>
      <c r="B38" s="19" t="s">
        <v>342</v>
      </c>
      <c r="C38" s="19" t="s">
        <v>346</v>
      </c>
      <c r="D38" s="19" t="s">
        <v>899</v>
      </c>
      <c r="E38" s="20">
        <v>13</v>
      </c>
      <c r="F38" s="20">
        <v>4</v>
      </c>
      <c r="G38" s="21">
        <v>0.307692307692308</v>
      </c>
      <c r="H38" s="20">
        <v>14</v>
      </c>
      <c r="I38" s="20">
        <v>2</v>
      </c>
      <c r="J38" s="20">
        <v>0</v>
      </c>
      <c r="K38" s="23">
        <v>6.38333333333333</v>
      </c>
      <c r="L38" s="20">
        <v>0</v>
      </c>
    </row>
    <row r="39" customHeight="1" spans="1:12">
      <c r="A39" s="19" t="s">
        <v>22</v>
      </c>
      <c r="B39" s="19" t="s">
        <v>342</v>
      </c>
      <c r="C39" s="19" t="s">
        <v>355</v>
      </c>
      <c r="D39" s="19" t="s">
        <v>899</v>
      </c>
      <c r="E39" s="20">
        <v>48</v>
      </c>
      <c r="F39" s="20">
        <v>32</v>
      </c>
      <c r="G39" s="21">
        <v>0.666666666666667</v>
      </c>
      <c r="H39" s="20">
        <v>14</v>
      </c>
      <c r="I39" s="20">
        <v>7</v>
      </c>
      <c r="J39" s="20">
        <v>1</v>
      </c>
      <c r="K39" s="23">
        <v>25.95</v>
      </c>
      <c r="L39" s="20">
        <v>0</v>
      </c>
    </row>
    <row r="40" customHeight="1" spans="1:12">
      <c r="A40" s="19" t="s">
        <v>22</v>
      </c>
      <c r="B40" s="19" t="s">
        <v>342</v>
      </c>
      <c r="C40" s="19" t="s">
        <v>352</v>
      </c>
      <c r="D40" s="19" t="s">
        <v>899</v>
      </c>
      <c r="E40" s="20">
        <v>17</v>
      </c>
      <c r="F40" s="20">
        <v>13</v>
      </c>
      <c r="G40" s="21">
        <v>0.764705882352941</v>
      </c>
      <c r="H40" s="20">
        <v>23</v>
      </c>
      <c r="I40" s="20">
        <v>9</v>
      </c>
      <c r="J40" s="20">
        <v>1</v>
      </c>
      <c r="K40" s="23">
        <v>20.85</v>
      </c>
      <c r="L40" s="20">
        <v>0</v>
      </c>
    </row>
    <row r="41" customHeight="1" spans="1:12">
      <c r="A41" s="19" t="s">
        <v>22</v>
      </c>
      <c r="B41" s="19" t="s">
        <v>342</v>
      </c>
      <c r="C41" s="19" t="s">
        <v>361</v>
      </c>
      <c r="D41" s="19" t="s">
        <v>901</v>
      </c>
      <c r="E41" s="20">
        <v>63</v>
      </c>
      <c r="F41" s="20">
        <v>35</v>
      </c>
      <c r="G41" s="21">
        <v>0.555555555555556</v>
      </c>
      <c r="H41" s="20">
        <v>13</v>
      </c>
      <c r="I41" s="20">
        <v>5</v>
      </c>
      <c r="J41" s="20">
        <v>0</v>
      </c>
      <c r="K41" s="23">
        <v>22.4833333333333</v>
      </c>
      <c r="L41" s="20">
        <v>1</v>
      </c>
    </row>
    <row r="42" customHeight="1" spans="1:12">
      <c r="A42" s="19" t="s">
        <v>22</v>
      </c>
      <c r="B42" s="19" t="s">
        <v>342</v>
      </c>
      <c r="C42" s="19" t="s">
        <v>343</v>
      </c>
      <c r="D42" s="19" t="s">
        <v>902</v>
      </c>
      <c r="E42" s="20">
        <v>148</v>
      </c>
      <c r="F42" s="20">
        <v>50</v>
      </c>
      <c r="G42" s="21">
        <v>0.337837837837838</v>
      </c>
      <c r="H42" s="20">
        <v>17</v>
      </c>
      <c r="I42" s="20">
        <v>8</v>
      </c>
      <c r="J42" s="20">
        <v>1</v>
      </c>
      <c r="K42" s="23">
        <v>30.3833333333333</v>
      </c>
      <c r="L42" s="20">
        <v>0</v>
      </c>
    </row>
    <row r="43" customHeight="1" spans="3:3">
      <c r="C43"/>
    </row>
    <row r="44" customHeight="1" spans="3:3">
      <c r="C44"/>
    </row>
    <row r="45" customHeight="1" spans="3:3">
      <c r="C45"/>
    </row>
    <row r="46" customHeight="1" spans="3:3">
      <c r="C46"/>
    </row>
    <row r="47" customHeight="1" spans="3:3">
      <c r="C47"/>
    </row>
    <row r="48" customHeight="1" spans="3:3">
      <c r="C48"/>
    </row>
    <row r="49" customHeight="1" spans="3:3">
      <c r="C49"/>
    </row>
    <row r="50" customHeight="1" spans="3:3">
      <c r="C50"/>
    </row>
    <row r="51" customHeight="1" spans="3:3">
      <c r="C51"/>
    </row>
    <row r="52" customHeight="1" spans="3:3">
      <c r="C52"/>
    </row>
    <row r="53" customHeight="1" spans="3:3">
      <c r="C53"/>
    </row>
    <row r="54" customHeight="1" spans="3:3">
      <c r="C54"/>
    </row>
    <row r="55" customHeight="1" spans="3:3">
      <c r="C55"/>
    </row>
    <row r="56" customHeight="1" spans="3:3">
      <c r="C56"/>
    </row>
    <row r="57" customHeight="1" spans="3:3">
      <c r="C57"/>
    </row>
    <row r="58" customHeight="1" spans="3:3">
      <c r="C58"/>
    </row>
    <row r="59" customHeight="1" spans="3:3">
      <c r="C59"/>
    </row>
    <row r="60" customHeight="1" spans="3:3">
      <c r="C60"/>
    </row>
    <row r="61" customHeight="1" spans="3:3">
      <c r="C61"/>
    </row>
    <row r="62" customHeight="1" spans="3:3">
      <c r="C62"/>
    </row>
    <row r="63" customHeight="1" spans="3:3">
      <c r="C63"/>
    </row>
    <row r="64" customHeight="1" spans="3:3">
      <c r="C64"/>
    </row>
    <row r="65" customHeight="1" spans="3:3">
      <c r="C65"/>
    </row>
    <row r="66" customHeight="1" spans="3:3">
      <c r="C66"/>
    </row>
    <row r="67" customHeight="1" spans="3:3">
      <c r="C67"/>
    </row>
    <row r="68" customHeight="1" spans="3:3">
      <c r="C68"/>
    </row>
    <row r="69" customHeight="1" spans="3:3">
      <c r="C69"/>
    </row>
    <row r="70" customHeight="1" spans="3:3">
      <c r="C70"/>
    </row>
    <row r="71" customHeight="1" spans="3:3">
      <c r="C71"/>
    </row>
    <row r="72" customHeight="1" spans="3:3">
      <c r="C72"/>
    </row>
    <row r="73" customHeight="1" spans="3:3">
      <c r="C73"/>
    </row>
    <row r="74" customHeight="1" spans="3:3">
      <c r="C74"/>
    </row>
    <row r="75" customHeight="1" spans="3:3">
      <c r="C75"/>
    </row>
    <row r="76" customHeight="1" spans="3:3">
      <c r="C76"/>
    </row>
    <row r="77" customHeight="1" spans="3:3">
      <c r="C77"/>
    </row>
    <row r="78" customHeight="1" spans="3:3">
      <c r="C78"/>
    </row>
    <row r="79" customHeight="1" spans="3:3">
      <c r="C79"/>
    </row>
    <row r="80" customHeight="1" spans="3:3">
      <c r="C80"/>
    </row>
    <row r="81" customHeight="1" spans="3:3">
      <c r="C81"/>
    </row>
    <row r="82" customHeight="1" spans="3:3">
      <c r="C82"/>
    </row>
    <row r="83" customHeight="1" spans="3:3">
      <c r="C83"/>
    </row>
    <row r="84" customHeight="1" spans="3:3">
      <c r="C84"/>
    </row>
    <row r="85" customHeight="1" spans="3:3">
      <c r="C85"/>
    </row>
    <row r="86" customHeight="1" spans="3:3">
      <c r="C86"/>
    </row>
    <row r="87" customHeight="1" spans="3:3">
      <c r="C87"/>
    </row>
    <row r="88" customHeight="1" spans="3:3">
      <c r="C88"/>
    </row>
    <row r="89" customHeight="1" spans="3:3">
      <c r="C89"/>
    </row>
    <row r="90" customHeight="1" spans="3:3">
      <c r="C90"/>
    </row>
    <row r="91" customHeight="1" spans="3:3">
      <c r="C91"/>
    </row>
    <row r="92" customHeight="1" spans="3:3">
      <c r="C92"/>
    </row>
    <row r="93" customHeight="1" spans="3:3">
      <c r="C93"/>
    </row>
    <row r="94" customHeight="1" spans="3:3">
      <c r="C94"/>
    </row>
    <row r="95" customHeight="1" spans="3:3">
      <c r="C95"/>
    </row>
    <row r="96" customHeight="1" spans="3:3">
      <c r="C96"/>
    </row>
    <row r="97" customHeight="1" spans="3:3">
      <c r="C97"/>
    </row>
    <row r="98" customHeight="1" spans="3:3">
      <c r="C98"/>
    </row>
    <row r="99" customHeight="1" spans="3:3">
      <c r="C99"/>
    </row>
    <row r="100" customHeight="1" spans="3:3">
      <c r="C100"/>
    </row>
    <row r="101" customHeight="1" spans="3:3">
      <c r="C101"/>
    </row>
    <row r="102" customHeight="1" spans="3:3">
      <c r="C102"/>
    </row>
    <row r="103" customHeight="1" spans="3:3">
      <c r="C103"/>
    </row>
    <row r="104" customHeight="1" spans="3:3">
      <c r="C104"/>
    </row>
    <row r="105" customHeight="1" spans="3:3">
      <c r="C105"/>
    </row>
    <row r="106" customHeight="1" spans="3:3">
      <c r="C106"/>
    </row>
    <row r="107" customHeight="1" spans="3:3">
      <c r="C107"/>
    </row>
    <row r="108" customHeight="1" spans="3:3">
      <c r="C108"/>
    </row>
    <row r="109" customHeight="1" spans="3:3">
      <c r="C109"/>
    </row>
    <row r="110" customHeight="1" spans="3:3">
      <c r="C110"/>
    </row>
    <row r="111" customHeight="1" spans="3:3">
      <c r="C111"/>
    </row>
    <row r="112" customHeight="1" spans="3:3">
      <c r="C112"/>
    </row>
    <row r="113" customHeight="1" spans="3:3">
      <c r="C113"/>
    </row>
    <row r="114" customHeight="1" spans="3:3">
      <c r="C114"/>
    </row>
    <row r="115" customHeight="1" spans="3:3">
      <c r="C115"/>
    </row>
    <row r="116" customHeight="1" spans="3:3">
      <c r="C116"/>
    </row>
    <row r="117" customHeight="1" spans="3:3">
      <c r="C117"/>
    </row>
    <row r="118" customHeight="1" spans="3:3">
      <c r="C118"/>
    </row>
    <row r="119" customHeight="1" spans="3:3">
      <c r="C119"/>
    </row>
    <row r="120" customHeight="1" spans="3:3">
      <c r="C120"/>
    </row>
    <row r="121" customHeight="1" spans="3:3">
      <c r="C121"/>
    </row>
    <row r="122" customHeight="1" spans="3:3">
      <c r="C122"/>
    </row>
    <row r="123" customHeight="1" spans="3:3">
      <c r="C123"/>
    </row>
    <row r="124" customHeight="1" spans="3:3">
      <c r="C124"/>
    </row>
    <row r="125" customHeight="1" spans="3:3">
      <c r="C125"/>
    </row>
    <row r="126" customHeight="1" spans="3:3">
      <c r="C126"/>
    </row>
    <row r="127" customHeight="1" spans="3:3">
      <c r="C127"/>
    </row>
    <row r="128" customHeight="1" spans="3:3">
      <c r="C128"/>
    </row>
    <row r="129" customHeight="1" spans="3:3">
      <c r="C129"/>
    </row>
    <row r="130" customHeight="1" spans="3:3">
      <c r="C130"/>
    </row>
    <row r="131" customHeight="1" spans="3:3">
      <c r="C131"/>
    </row>
    <row r="132" customHeight="1" spans="3:3">
      <c r="C132"/>
    </row>
    <row r="133" customHeight="1" spans="3:3">
      <c r="C133"/>
    </row>
    <row r="134" customHeight="1" spans="3:3">
      <c r="C134"/>
    </row>
    <row r="135" customHeight="1" spans="3:3">
      <c r="C135"/>
    </row>
    <row r="136" customHeight="1" spans="3:3">
      <c r="C136"/>
    </row>
    <row r="137" customHeight="1" spans="3:3">
      <c r="C137"/>
    </row>
    <row r="138" customHeight="1" spans="3:3">
      <c r="C138"/>
    </row>
    <row r="139" customHeight="1" spans="3:3">
      <c r="C139"/>
    </row>
    <row r="140" customHeight="1" spans="3:3">
      <c r="C140"/>
    </row>
    <row r="141" customHeight="1" spans="3:3">
      <c r="C141"/>
    </row>
    <row r="142" customHeight="1" spans="3:3">
      <c r="C142"/>
    </row>
    <row r="143" customHeight="1" spans="3:3">
      <c r="C143"/>
    </row>
    <row r="144" customHeight="1" spans="3:3">
      <c r="C144"/>
    </row>
    <row r="145" customHeight="1" spans="3:3">
      <c r="C145"/>
    </row>
    <row r="146" customHeight="1" spans="3:3">
      <c r="C146"/>
    </row>
    <row r="147" customHeight="1" spans="3:3">
      <c r="C147"/>
    </row>
    <row r="148" customHeight="1" spans="3:3">
      <c r="C148"/>
    </row>
    <row r="149" customHeight="1" spans="3:3">
      <c r="C149"/>
    </row>
    <row r="150" customHeight="1" spans="3:3">
      <c r="C150"/>
    </row>
    <row r="151" customHeight="1" spans="3:3">
      <c r="C151"/>
    </row>
    <row r="152" customHeight="1" spans="3:3">
      <c r="C152"/>
    </row>
    <row r="153" customHeight="1" spans="3:3">
      <c r="C153"/>
    </row>
    <row r="154" customHeight="1" spans="3:3">
      <c r="C154"/>
    </row>
    <row r="155" customHeight="1" spans="3:3">
      <c r="C155"/>
    </row>
    <row r="156" customHeight="1" spans="3:3">
      <c r="C156"/>
    </row>
    <row r="157" customHeight="1" spans="3:3">
      <c r="C157"/>
    </row>
    <row r="158" customHeight="1" spans="3:3">
      <c r="C158"/>
    </row>
    <row r="159" customHeight="1" spans="3:3">
      <c r="C159"/>
    </row>
    <row r="160" customHeight="1" spans="3:3">
      <c r="C160"/>
    </row>
    <row r="161" customHeight="1" spans="3:3">
      <c r="C161"/>
    </row>
    <row r="162" customHeight="1" spans="3:3">
      <c r="C162"/>
    </row>
    <row r="163" customHeight="1" spans="3:3">
      <c r="C163"/>
    </row>
    <row r="164" customHeight="1" spans="3:3">
      <c r="C164"/>
    </row>
    <row r="165" customHeight="1" spans="3:3">
      <c r="C165"/>
    </row>
    <row r="166" customHeight="1" spans="3:3">
      <c r="C166"/>
    </row>
    <row r="167" customHeight="1" spans="3:3">
      <c r="C167"/>
    </row>
    <row r="168" customHeight="1" spans="3:3">
      <c r="C168"/>
    </row>
    <row r="169" customHeight="1" spans="3:3">
      <c r="C169"/>
    </row>
    <row r="170" customHeight="1" spans="3:3">
      <c r="C170"/>
    </row>
    <row r="171" customHeight="1" spans="3:3">
      <c r="C171"/>
    </row>
    <row r="172" customHeight="1" spans="3:3">
      <c r="C172"/>
    </row>
    <row r="173" customHeight="1" spans="3:3">
      <c r="C173"/>
    </row>
    <row r="174" customHeight="1" spans="3:3">
      <c r="C174"/>
    </row>
    <row r="175" customHeight="1" spans="3:3">
      <c r="C175"/>
    </row>
    <row r="176" customHeight="1" spans="3:3">
      <c r="C176"/>
    </row>
    <row r="177" customHeight="1" spans="3:3">
      <c r="C177"/>
    </row>
    <row r="178" customHeight="1" spans="3:3">
      <c r="C178"/>
    </row>
    <row r="179" customHeight="1" spans="3:3">
      <c r="C179"/>
    </row>
    <row r="180" customHeight="1" spans="3:3">
      <c r="C180"/>
    </row>
    <row r="181" customHeight="1" spans="3:3">
      <c r="C181"/>
    </row>
    <row r="182" customHeight="1" spans="3:3">
      <c r="C182"/>
    </row>
    <row r="183" customHeight="1" spans="3:3">
      <c r="C183"/>
    </row>
    <row r="184" customHeight="1" spans="3:3">
      <c r="C184"/>
    </row>
    <row r="185" customHeight="1" spans="3:3">
      <c r="C185"/>
    </row>
    <row r="186" customHeight="1" spans="3:3">
      <c r="C186"/>
    </row>
    <row r="187" customHeight="1" spans="3:3">
      <c r="C187"/>
    </row>
    <row r="188" customHeight="1" spans="3:3">
      <c r="C188"/>
    </row>
    <row r="189" customHeight="1" spans="3:3">
      <c r="C189"/>
    </row>
    <row r="190" customHeight="1" spans="3:3">
      <c r="C190"/>
    </row>
    <row r="191" customHeight="1" spans="3:3">
      <c r="C191"/>
    </row>
    <row r="192" customHeight="1" spans="3:3">
      <c r="C192"/>
    </row>
    <row r="193" customHeight="1" spans="3:3">
      <c r="C193"/>
    </row>
    <row r="194" customHeight="1" spans="3:3">
      <c r="C194"/>
    </row>
    <row r="195" customHeight="1" spans="3:3">
      <c r="C195"/>
    </row>
    <row r="196" customHeight="1" spans="3:3">
      <c r="C196"/>
    </row>
    <row r="197" customHeight="1" spans="3:3">
      <c r="C197"/>
    </row>
    <row r="198" customHeight="1" spans="3:3">
      <c r="C198"/>
    </row>
    <row r="199" customHeight="1" spans="3:3">
      <c r="C199"/>
    </row>
    <row r="200" customHeight="1" spans="3:3">
      <c r="C200"/>
    </row>
    <row r="201" customHeight="1" spans="3:3">
      <c r="C201"/>
    </row>
    <row r="202" customHeight="1" spans="3:3">
      <c r="C202"/>
    </row>
    <row r="203" customHeight="1" spans="3:3">
      <c r="C203"/>
    </row>
    <row r="204" customHeight="1" spans="3:3">
      <c r="C204"/>
    </row>
    <row r="205" customHeight="1" spans="3:3">
      <c r="C205"/>
    </row>
    <row r="206" customHeight="1" spans="3:3">
      <c r="C206"/>
    </row>
    <row r="207" customHeight="1" spans="3:3">
      <c r="C207"/>
    </row>
    <row r="208" customHeight="1" spans="3:3">
      <c r="C208"/>
    </row>
    <row r="209" customHeight="1" spans="3:3">
      <c r="C209"/>
    </row>
    <row r="210" customHeight="1" spans="3:3">
      <c r="C210"/>
    </row>
    <row r="211" customHeight="1" spans="3:3">
      <c r="C211"/>
    </row>
    <row r="212" customHeight="1" spans="3:3">
      <c r="C212"/>
    </row>
    <row r="213" customHeight="1" spans="3:3">
      <c r="C213"/>
    </row>
    <row r="214" customHeight="1" spans="3:3">
      <c r="C214"/>
    </row>
    <row r="215" customHeight="1" spans="3:3">
      <c r="C215"/>
    </row>
    <row r="216" customHeight="1" spans="3:3">
      <c r="C216"/>
    </row>
    <row r="217" customHeight="1" spans="3:3">
      <c r="C217"/>
    </row>
    <row r="218" customHeight="1" spans="3:3">
      <c r="C218"/>
    </row>
    <row r="219" customHeight="1" spans="3:3">
      <c r="C219"/>
    </row>
    <row r="220" customHeight="1" spans="3:3">
      <c r="C220"/>
    </row>
    <row r="221" customHeight="1" spans="3:3">
      <c r="C221"/>
    </row>
    <row r="222" customHeight="1" spans="3:3">
      <c r="C222"/>
    </row>
    <row r="223" customHeight="1" spans="3:3">
      <c r="C223"/>
    </row>
    <row r="224" customHeight="1" spans="3:3">
      <c r="C224"/>
    </row>
    <row r="225" customHeight="1" spans="3:3">
      <c r="C225"/>
    </row>
    <row r="226" customHeight="1" spans="3:3">
      <c r="C226"/>
    </row>
    <row r="227" customHeight="1" spans="3:3">
      <c r="C227"/>
    </row>
    <row r="228" customHeight="1" spans="3:3">
      <c r="C228"/>
    </row>
    <row r="229" customHeight="1" spans="3:3">
      <c r="C229"/>
    </row>
    <row r="230" customHeight="1" spans="3:3">
      <c r="C230"/>
    </row>
    <row r="231" customHeight="1" spans="3:3">
      <c r="C231"/>
    </row>
    <row r="232" customHeight="1" spans="3:3">
      <c r="C232"/>
    </row>
    <row r="233" customHeight="1" spans="3:3">
      <c r="C233"/>
    </row>
    <row r="234" customHeight="1" spans="3:3">
      <c r="C234"/>
    </row>
    <row r="235" customHeight="1" spans="3:3">
      <c r="C235"/>
    </row>
    <row r="236" customHeight="1" spans="3:3">
      <c r="C236"/>
    </row>
    <row r="237" customHeight="1" spans="3:3">
      <c r="C237"/>
    </row>
    <row r="238" customHeight="1" spans="3:3">
      <c r="C238"/>
    </row>
    <row r="239" customHeight="1" spans="3:3">
      <c r="C239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64"/>
  <sheetViews>
    <sheetView zoomScale="55" zoomScaleNormal="55" workbookViewId="0">
      <selection activeCell="A1" sqref="A1:Z12"/>
    </sheetView>
  </sheetViews>
  <sheetFormatPr defaultColWidth="9" defaultRowHeight="16.5"/>
  <cols>
    <col min="1" max="1" width="17.5" style="2" customWidth="1"/>
    <col min="2" max="2" width="12.75" style="2" customWidth="1"/>
    <col min="3" max="3" width="8.5" style="2" customWidth="1"/>
    <col min="4" max="5" width="9.25" style="2" customWidth="1"/>
    <col min="6" max="7" width="8.125" style="2" customWidth="1"/>
    <col min="8" max="8" width="9.25" style="2" customWidth="1"/>
    <col min="9" max="9" width="8.25" style="2" customWidth="1"/>
    <col min="10" max="10" width="9.375" style="2" customWidth="1"/>
    <col min="11" max="11" width="8.875" style="2" customWidth="1"/>
    <col min="12" max="12" width="10.25" style="2" customWidth="1"/>
    <col min="13" max="13" width="12.875" style="2" customWidth="1"/>
    <col min="14" max="21" width="8.375" style="2" customWidth="1"/>
    <col min="22" max="22" width="12.25" style="2" customWidth="1"/>
    <col min="23" max="23" width="8.25" style="2" customWidth="1"/>
    <col min="24" max="24" width="9.375" style="2" customWidth="1"/>
    <col min="25" max="25" width="12.25" style="2" customWidth="1"/>
    <col min="26" max="27" width="12.875" style="2" customWidth="1"/>
    <col min="28" max="33" width="16.625" style="2" customWidth="1"/>
    <col min="34" max="16384" width="9" style="2" customWidth="1"/>
  </cols>
  <sheetData>
    <row r="1" spans="1:27">
      <c r="A1" s="3">
        <f ca="1">TODAY()</f>
        <v>45538</v>
      </c>
      <c r="B1" s="9"/>
      <c r="C1" s="9"/>
      <c r="D1" s="9"/>
      <c r="E1" s="6" t="s">
        <v>905</v>
      </c>
      <c r="F1" s="6"/>
      <c r="G1" s="6"/>
      <c r="H1" s="6"/>
      <c r="I1" s="6"/>
      <c r="J1" s="6"/>
      <c r="K1" s="6"/>
      <c r="L1" s="9"/>
      <c r="M1" s="9"/>
      <c r="N1" s="6" t="s">
        <v>906</v>
      </c>
      <c r="O1" s="6"/>
      <c r="P1" s="6"/>
      <c r="Q1" s="6"/>
      <c r="R1" s="6"/>
      <c r="S1" s="6"/>
      <c r="T1" s="6"/>
      <c r="U1" s="9"/>
      <c r="V1" s="9"/>
      <c r="W1" s="9"/>
      <c r="X1" s="9"/>
      <c r="AA1" s="1"/>
    </row>
    <row r="2" spans="1:33">
      <c r="A2" s="7" t="s">
        <v>907</v>
      </c>
      <c r="B2" s="7" t="s">
        <v>573</v>
      </c>
      <c r="C2" s="7" t="s">
        <v>19</v>
      </c>
      <c r="D2" s="7" t="s">
        <v>888</v>
      </c>
      <c r="E2" s="8" t="s">
        <v>908</v>
      </c>
      <c r="F2" s="8" t="s">
        <v>900</v>
      </c>
      <c r="G2" s="8" t="s">
        <v>902</v>
      </c>
      <c r="H2" s="8" t="s">
        <v>901</v>
      </c>
      <c r="I2" s="8" t="s">
        <v>898</v>
      </c>
      <c r="J2" s="8" t="s">
        <v>903</v>
      </c>
      <c r="K2" s="8" t="s">
        <v>904</v>
      </c>
      <c r="L2" s="8" t="s">
        <v>899</v>
      </c>
      <c r="M2" s="7" t="s">
        <v>909</v>
      </c>
      <c r="N2" s="7" t="s">
        <v>575</v>
      </c>
      <c r="O2" s="6" t="s">
        <v>908</v>
      </c>
      <c r="P2" s="6" t="s">
        <v>900</v>
      </c>
      <c r="Q2" s="8" t="s">
        <v>910</v>
      </c>
      <c r="R2" s="8" t="s">
        <v>901</v>
      </c>
      <c r="S2" s="8" t="s">
        <v>898</v>
      </c>
      <c r="T2" s="8" t="s">
        <v>903</v>
      </c>
      <c r="U2" s="8" t="s">
        <v>904</v>
      </c>
      <c r="V2" s="8" t="s">
        <v>899</v>
      </c>
      <c r="W2" s="7" t="s">
        <v>911</v>
      </c>
      <c r="X2" s="7" t="s">
        <v>912</v>
      </c>
      <c r="Y2" s="7" t="s">
        <v>913</v>
      </c>
      <c r="Z2" s="7" t="s">
        <v>914</v>
      </c>
      <c r="AA2" s="1"/>
      <c r="AB2" s="7" t="s">
        <v>915</v>
      </c>
      <c r="AC2" s="7" t="s">
        <v>916</v>
      </c>
      <c r="AD2" s="7" t="s">
        <v>917</v>
      </c>
      <c r="AE2" s="7" t="s">
        <v>918</v>
      </c>
      <c r="AF2" s="7" t="s">
        <v>919</v>
      </c>
      <c r="AG2" s="7" t="s">
        <v>907</v>
      </c>
    </row>
    <row r="3" spans="1:33">
      <c r="A3" s="9" t="str">
        <f>IF(LEFT(A2,2)="11",AB3,IF(LEFT(A2,2)="12",AC3,IF(LEFT(A2,2)="15",AD3,IF(LEFT(A2,2)="16",AE3,IF(LEFT(A2,2)="17",AF3,IF(LEFT(A2,2)="18",AG3,0))))))</f>
        <v>35个45s有效</v>
      </c>
      <c r="B3" s="9" t="s">
        <v>264</v>
      </c>
      <c r="C3" s="9" t="s">
        <v>444</v>
      </c>
      <c r="D3" s="9">
        <f t="shared" ref="D3:D8" si="0">COUNTIFS($B$14:$B$272,B3,$F$14:$F$272,"&lt;&gt;0")</f>
        <v>8</v>
      </c>
      <c r="E3" s="10">
        <f>AVERAGEIFS(F15:F173,B15:B173,B3)</f>
        <v>182.25</v>
      </c>
      <c r="F3" s="10" t="str">
        <f>IFERROR(AVERAGEIFS($F$15:$F$173,$B$15:$B$173,$B3,$E$15:$E$173,F$2),"")</f>
        <v/>
      </c>
      <c r="G3" s="10" t="str">
        <f>IFERROR(AVERAGEIFS($F$15:$F$173,$B$15:$B$173,$B3,$E$15:$E$173,G$2),"")</f>
        <v/>
      </c>
      <c r="H3" s="10">
        <f>IFERROR(AVERAGEIFS($F$15:$F$173,$B$15:$B$173,$B3,$E$15:$E$173,H$2),"")</f>
        <v>152</v>
      </c>
      <c r="I3" s="10">
        <f>IFERROR(AVERAGEIFS($F$15:$F$173,$B$15:$B$173,$B3,$E$15:$E$173,I$2),"")</f>
        <v>212</v>
      </c>
      <c r="J3" s="10" t="str">
        <f>IFERROR(AVERAGEIFS($F$15:$F$173,$B$15:$B$173,$B3,$E$15:$E$173,J$2),"")</f>
        <v/>
      </c>
      <c r="K3" s="10">
        <f>IFERROR(AVERAGEIFS($F$15:$F$173,$B$15:$B$173,$B3,$E$15:$E$173,K$2),"")</f>
        <v>189</v>
      </c>
      <c r="L3" s="10">
        <f>IFERROR(AVERAGEIFS($F$15:$F$173,$B$15:$B$173,$B3,$E$15:$E$173,L$2),"")</f>
        <v>179</v>
      </c>
      <c r="M3" s="14">
        <f>AVERAGEIFS(G$15:G$59,$B15:$B59,$B3)</f>
        <v>81.375</v>
      </c>
      <c r="N3" s="15">
        <f t="shared" ref="N3:N8" si="1">AVERAGEIFS(H$15:H$59,$B$15:$B$59,$B3)</f>
        <v>0.447699458387337</v>
      </c>
      <c r="O3" s="14">
        <f t="shared" ref="O3:O8" si="2">AVERAGEIFS(I$15:I$59,$B$15:$B$59,$B3)</f>
        <v>25.75</v>
      </c>
      <c r="P3" s="14" t="str">
        <f>IFERROR(AVERAGEIFS($I$15:$I$173,$B$15:$B$173,$B3,$E$15:$E$173,F$2),"")</f>
        <v/>
      </c>
      <c r="Q3" s="14" t="str">
        <f>IFERROR(AVERAGEIFS($I$15:$I$173,$B$15:$B$173,$B3,$E$15:$E$173,G$2),"")</f>
        <v/>
      </c>
      <c r="R3" s="14">
        <f>IFERROR(AVERAGEIFS($I$15:$I$173,$B$15:$B$173,$B3,$E$15:$E$173,H$2),"")</f>
        <v>34</v>
      </c>
      <c r="S3" s="14">
        <f>IFERROR(AVERAGEIFS($I$15:$I$173,$B$15:$B$173,$B3,$E$15:$E$173,I$2),"")</f>
        <v>24</v>
      </c>
      <c r="T3" s="14" t="str">
        <f>IFERROR(AVERAGEIFS($I$15:$I$173,$B$15:$B$173,$B3,$E$15:$E$173,J$2),"")</f>
        <v/>
      </c>
      <c r="U3" s="14">
        <f>IFERROR(AVERAGEIFS($I$15:$I$173,$B$15:$B$173,$B3,$E$15:$E$173,K$2),"")</f>
        <v>29.5</v>
      </c>
      <c r="V3" s="14">
        <f>IFERROR(AVERAGEIFS($I$15:$I$173,$B$15:$B$173,$B3,$E$15:$E$173,L$2),"")</f>
        <v>22.25</v>
      </c>
      <c r="W3" s="14">
        <f t="shared" ref="W3:W8" si="3">AVERAGEIFS(J$15:J$59,$B$15:$B$59,$B3)</f>
        <v>12.5</v>
      </c>
      <c r="X3" s="14">
        <f t="shared" ref="X3:X8" si="4">AVERAGEIFS(K$15:K$59,$B$15:$B$59,$B3)</f>
        <v>1.125</v>
      </c>
      <c r="Y3" s="14">
        <f t="shared" ref="Y3:Y8" si="5">AVERAGEIFS(L$15:L$59,$B$15:$B$59,$B3)</f>
        <v>48.8020833333333</v>
      </c>
      <c r="Z3" s="14">
        <f t="shared" ref="Z3:Z8" si="6">AVERAGEIFS(M$15:M$59,$B$15:$B$59,$B3)</f>
        <v>0.125</v>
      </c>
      <c r="AA3" s="1"/>
      <c r="AB3" s="9" t="s">
        <v>920</v>
      </c>
      <c r="AC3" s="9" t="s">
        <v>921</v>
      </c>
      <c r="AD3" s="9" t="s">
        <v>922</v>
      </c>
      <c r="AE3" s="9" t="s">
        <v>923</v>
      </c>
      <c r="AF3" s="9" t="s">
        <v>924</v>
      </c>
      <c r="AG3" s="9" t="s">
        <v>925</v>
      </c>
    </row>
    <row r="4" spans="1:33">
      <c r="A4" s="9" t="str">
        <f>IF(LEFT(A2,2)="11",AB3,IF(LEFT(A2,2)="12",AC3,IF(LEFT(A2,2)="15",AD3,IF(LEFT(A2,2)="16",AE3,IF(LEFT(A2,2)="17",AF3,IF(LEFT(A2,2)="18",AG3,0))))))</f>
        <v>35个45s有效</v>
      </c>
      <c r="B4" s="9" t="s">
        <v>151</v>
      </c>
      <c r="C4" s="9" t="s">
        <v>154</v>
      </c>
      <c r="D4" s="9">
        <f t="shared" si="0"/>
        <v>8</v>
      </c>
      <c r="E4" s="10">
        <f>AVERAGEIFS(F16:F174,B16:B174,B4)</f>
        <v>156.375</v>
      </c>
      <c r="F4" s="10">
        <f>IFERROR(AVERAGEIFS($F$15:$F$173,$B$15:$B$173,$B4,$E$15:$E$173,F$2),"")</f>
        <v>181</v>
      </c>
      <c r="G4" s="10">
        <f>IFERROR(AVERAGEIFS($F$15:$F$173,$B$15:$B$173,$B4,$E$15:$E$173,G$2),"")</f>
        <v>62</v>
      </c>
      <c r="H4" s="10">
        <f>IFERROR(AVERAGEIFS($F$15:$F$173,$B$15:$B$173,$B4,$E$15:$E$173,H$2),"")</f>
        <v>159.666666666667</v>
      </c>
      <c r="I4" s="10">
        <f>IFERROR(AVERAGEIFS($F$15:$F$173,$B$15:$B$173,$B4,$E$15:$E$173,I$2),"")</f>
        <v>119</v>
      </c>
      <c r="J4" s="10">
        <f>IFERROR(AVERAGEIFS($F$15:$F$173,$B$15:$B$173,$B4,$E$15:$E$173,J$2),"")</f>
        <v>69</v>
      </c>
      <c r="K4" s="10" t="str">
        <f>IFERROR(AVERAGEIFS($F$15:$F$173,$B$15:$B$173,$B4,$E$15:$E$173,K$2),"")</f>
        <v/>
      </c>
      <c r="L4" s="10">
        <f>IFERROR(AVERAGEIFS($F$15:$F$173,$B$15:$B$173,$B4,$E$15:$E$173,L$2),"")</f>
        <v>341</v>
      </c>
      <c r="M4" s="14">
        <f>AVERAGEIFS($G$15:$G$59,$B$15:$B$59,B4)</f>
        <v>76.75</v>
      </c>
      <c r="N4" s="15">
        <f t="shared" si="1"/>
        <v>0.494005870869935</v>
      </c>
      <c r="O4" s="14">
        <f t="shared" si="2"/>
        <v>25</v>
      </c>
      <c r="P4" s="14">
        <f>IFERROR(AVERAGEIFS($I$15:$I$173,$B$15:$B$173,$B4,$E$15:$E$173,F$2),"")</f>
        <v>35</v>
      </c>
      <c r="Q4" s="14">
        <f>IFERROR(AVERAGEIFS($I$15:$I$173,$B$15:$B$173,$B4,$E$15:$E$173,G$2),"")</f>
        <v>30</v>
      </c>
      <c r="R4" s="14">
        <f>IFERROR(AVERAGEIFS($I$15:$I$173,$B$15:$B$173,$B4,$E$15:$E$173,H$2),"")</f>
        <v>18.6666666666667</v>
      </c>
      <c r="S4" s="14">
        <f>IFERROR(AVERAGEIFS($I$15:$I$173,$B$15:$B$173,$B4,$E$15:$E$173,I$2),"")</f>
        <v>21</v>
      </c>
      <c r="T4" s="14">
        <f>IFERROR(AVERAGEIFS($I$15:$I$173,$B$15:$B$173,$B4,$E$15:$E$173,J$2),"")</f>
        <v>27</v>
      </c>
      <c r="U4" s="14" t="str">
        <f>IFERROR(AVERAGEIFS($I$15:$I$173,$B$15:$B$173,$B4,$E$15:$E$173,K$2),"")</f>
        <v/>
      </c>
      <c r="V4" s="14">
        <f>IFERROR(AVERAGEIFS($I$15:$I$173,$B$15:$B$173,$B4,$E$15:$E$173,L$2),"")</f>
        <v>31</v>
      </c>
      <c r="W4" s="14">
        <f t="shared" si="3"/>
        <v>11.625</v>
      </c>
      <c r="X4" s="14">
        <f t="shared" si="4"/>
        <v>1.25</v>
      </c>
      <c r="Y4" s="14">
        <f t="shared" si="5"/>
        <v>49.6604166666667</v>
      </c>
      <c r="Z4" s="14">
        <f t="shared" si="6"/>
        <v>0.5</v>
      </c>
      <c r="AA4" s="1"/>
      <c r="AB4" s="9" t="s">
        <v>926</v>
      </c>
      <c r="AC4" s="9" t="s">
        <v>927</v>
      </c>
      <c r="AD4" s="9" t="s">
        <v>928</v>
      </c>
      <c r="AE4" s="9" t="s">
        <v>929</v>
      </c>
      <c r="AF4" s="9" t="s">
        <v>930</v>
      </c>
      <c r="AG4" s="9" t="s">
        <v>931</v>
      </c>
    </row>
    <row r="5" spans="1:33">
      <c r="A5" s="9" t="str">
        <f>IF(LEFT(A2,2)="11",AB3,IF(LEFT(A2,2)="12",AC3,IF(LEFT(A2,2)="15",AD3,IF(LEFT(A2,2)="16",AE3,IF(LEFT(A2,2)="17",AF3,IF(LEFT(A2,2)="18",AG3,0))))))</f>
        <v>35个45s有效</v>
      </c>
      <c r="B5" s="9" t="s">
        <v>224</v>
      </c>
      <c r="C5" s="9" t="s">
        <v>227</v>
      </c>
      <c r="D5" s="9">
        <f t="shared" si="0"/>
        <v>8</v>
      </c>
      <c r="E5" s="10">
        <f>AVERAGEIFS(F17:F175,B17:B175,B5)</f>
        <v>185.625</v>
      </c>
      <c r="F5" s="10">
        <f>IFERROR(AVERAGEIFS($F$15:$F$173,$B$15:$B$173,$B5,$E$15:$E$173,F$2),"")</f>
        <v>77</v>
      </c>
      <c r="G5" s="10">
        <f>IFERROR(AVERAGEIFS($F$15:$F$173,$B$15:$B$173,$B5,$E$15:$E$173,G$2),"")</f>
        <v>217.75</v>
      </c>
      <c r="H5" s="10" t="str">
        <f>IFERROR(AVERAGEIFS($F$15:$F$173,$B$15:$B$173,$B5,$E$15:$E$173,H$2),"")</f>
        <v/>
      </c>
      <c r="I5" s="10">
        <f>IFERROR(AVERAGEIFS($F$15:$F$173,$B$15:$B$173,$B5,$E$15:$E$173,I$2),"")</f>
        <v>226</v>
      </c>
      <c r="J5" s="10">
        <f>IFERROR(AVERAGEIFS($F$15:$F$173,$B$15:$B$173,$B5,$E$15:$E$173,J$2),"")</f>
        <v>155.5</v>
      </c>
      <c r="K5" s="10" t="str">
        <f>IFERROR(AVERAGEIFS($F$15:$F$173,$B$15:$B$173,$B5,$E$15:$E$173,K$2),"")</f>
        <v/>
      </c>
      <c r="L5" s="10" t="str">
        <f>IFERROR(AVERAGEIFS($F$15:$F$173,$B$15:$B$173,$B5,$E$15:$E$173,L$2),"")</f>
        <v/>
      </c>
      <c r="M5" s="14">
        <f>AVERAGEIFS($G$15:$G$59,$B$15:$B$59,B5)</f>
        <v>87.75</v>
      </c>
      <c r="N5" s="15">
        <f t="shared" si="1"/>
        <v>0.482192131014339</v>
      </c>
      <c r="O5" s="14">
        <f t="shared" si="2"/>
        <v>27.625</v>
      </c>
      <c r="P5" s="14">
        <f>IFERROR(AVERAGEIFS($I$15:$I$173,$B$15:$B$173,$B5,$E$15:$E$173,F$2),"")</f>
        <v>8</v>
      </c>
      <c r="Q5" s="14">
        <f>IFERROR(AVERAGEIFS($I$15:$I$173,$B$15:$B$173,$B5,$E$15:$E$173,G$2),"")</f>
        <v>32</v>
      </c>
      <c r="R5" s="14" t="str">
        <f>IFERROR(AVERAGEIFS($I$15:$I$173,$B$15:$B$173,$B5,$E$15:$E$173,H$2),"")</f>
        <v/>
      </c>
      <c r="S5" s="14">
        <f>IFERROR(AVERAGEIFS($I$15:$I$173,$B$15:$B$173,$B5,$E$15:$E$173,I$2),"")</f>
        <v>33</v>
      </c>
      <c r="T5" s="14">
        <f>IFERROR(AVERAGEIFS($I$15:$I$173,$B$15:$B$173,$B5,$E$15:$E$173,J$2),"")</f>
        <v>26</v>
      </c>
      <c r="U5" s="14" t="str">
        <f>IFERROR(AVERAGEIFS($I$15:$I$173,$B$15:$B$173,$B5,$E$15:$E$173,K$2),"")</f>
        <v/>
      </c>
      <c r="V5" s="14" t="str">
        <f>IFERROR(AVERAGEIFS($I$15:$I$173,$B$15:$B$173,$B5,$E$15:$E$173,L$2),"")</f>
        <v/>
      </c>
      <c r="W5" s="14">
        <f t="shared" si="3"/>
        <v>14.5</v>
      </c>
      <c r="X5" s="14">
        <f t="shared" si="4"/>
        <v>1.375</v>
      </c>
      <c r="Y5" s="14">
        <f t="shared" si="5"/>
        <v>53.4</v>
      </c>
      <c r="Z5" s="14">
        <f t="shared" si="6"/>
        <v>0.625</v>
      </c>
      <c r="AA5" s="1"/>
      <c r="AB5" s="9" t="s">
        <v>932</v>
      </c>
      <c r="AC5" s="9" t="s">
        <v>933</v>
      </c>
      <c r="AD5" s="9" t="s">
        <v>934</v>
      </c>
      <c r="AE5" s="9" t="s">
        <v>935</v>
      </c>
      <c r="AF5" s="9" t="s">
        <v>936</v>
      </c>
      <c r="AG5" s="9" t="s">
        <v>937</v>
      </c>
    </row>
    <row r="6" spans="1:33">
      <c r="A6" s="9" t="str">
        <f>IF(LEFT(A2,2)="11",AB3,IF(LEFT(A2,2)="12",AC3,IF(LEFT(A2,2)="15",AD3,IF(LEFT(A2,2)="16",AE3,IF(LEFT(A2,2)="17",AF3,IF(LEFT(A2,2)="18",AG3,0))))))</f>
        <v>35个45s有效</v>
      </c>
      <c r="B6" s="9" t="s">
        <v>75</v>
      </c>
      <c r="C6" s="9" t="s">
        <v>79</v>
      </c>
      <c r="D6" s="9">
        <f t="shared" si="0"/>
        <v>8</v>
      </c>
      <c r="E6" s="10">
        <f>AVERAGEIFS(F18:F176,B18:B176,B6)</f>
        <v>172.5</v>
      </c>
      <c r="F6" s="10" t="str">
        <f>IFERROR(AVERAGEIFS($F$15:$F$173,$B$15:$B$173,$B6,$E$15:$E$173,F$2),"")</f>
        <v/>
      </c>
      <c r="G6" s="10">
        <f>IFERROR(AVERAGEIFS($F$15:$F$173,$B$15:$B$173,$B6,$E$15:$E$173,G$2),"")</f>
        <v>155</v>
      </c>
      <c r="H6" s="10">
        <f>IFERROR(AVERAGEIFS($F$15:$F$173,$B$15:$B$173,$B6,$E$15:$E$173,H$2),"")</f>
        <v>231</v>
      </c>
      <c r="I6" s="10" t="str">
        <f>IFERROR(AVERAGEIFS($F$15:$F$173,$B$15:$B$173,$B6,$E$15:$E$173,I$2),"")</f>
        <v/>
      </c>
      <c r="J6" s="10" t="str">
        <f>IFERROR(AVERAGEIFS($F$15:$F$173,$B$15:$B$173,$B6,$E$15:$E$173,J$2),"")</f>
        <v/>
      </c>
      <c r="K6" s="10">
        <f>IFERROR(AVERAGEIFS($F$15:$F$173,$B$15:$B$173,$B6,$E$15:$E$173,K$2),"")</f>
        <v>183</v>
      </c>
      <c r="L6" s="10">
        <f>IFERROR(AVERAGEIFS($F$15:$F$173,$B$15:$B$173,$B6,$E$15:$E$173,L$2),"")</f>
        <v>135</v>
      </c>
      <c r="M6" s="14">
        <f>AVERAGEIFS($G$15:$G$59,$B$15:$B$59,B6)</f>
        <v>72.75</v>
      </c>
      <c r="N6" s="15">
        <f t="shared" si="1"/>
        <v>0.414550594139576</v>
      </c>
      <c r="O6" s="14">
        <f t="shared" si="2"/>
        <v>24.375</v>
      </c>
      <c r="P6" s="14" t="str">
        <f>IFERROR(AVERAGEIFS($I$15:$I$173,$B$15:$B$173,$B6,$E$15:$E$173,F$2),"")</f>
        <v/>
      </c>
      <c r="Q6" s="14">
        <f>IFERROR(AVERAGEIFS($I$15:$I$173,$B$15:$B$173,$B6,$E$15:$E$173,G$2),"")</f>
        <v>27.3333333333333</v>
      </c>
      <c r="R6" s="14">
        <f>IFERROR(AVERAGEIFS($I$15:$I$173,$B$15:$B$173,$B6,$E$15:$E$173,H$2),"")</f>
        <v>27.5</v>
      </c>
      <c r="S6" s="14" t="str">
        <f>IFERROR(AVERAGEIFS($I$15:$I$173,$B$15:$B$173,$B6,$E$15:$E$173,I$2),"")</f>
        <v/>
      </c>
      <c r="T6" s="14" t="str">
        <f>IFERROR(AVERAGEIFS($I$15:$I$173,$B$15:$B$173,$B6,$E$15:$E$173,J$2),"")</f>
        <v/>
      </c>
      <c r="U6" s="14">
        <f>IFERROR(AVERAGEIFS($I$15:$I$173,$B$15:$B$173,$B6,$E$15:$E$173,K$2),"")</f>
        <v>17</v>
      </c>
      <c r="V6" s="14">
        <f>IFERROR(AVERAGEIFS($I$15:$I$173,$B$15:$B$173,$B6,$E$15:$E$173,L$2),"")</f>
        <v>20.5</v>
      </c>
      <c r="W6" s="14">
        <f t="shared" si="3"/>
        <v>13.5</v>
      </c>
      <c r="X6" s="14">
        <f t="shared" si="4"/>
        <v>1.75</v>
      </c>
      <c r="Y6" s="14">
        <f t="shared" si="5"/>
        <v>51.775</v>
      </c>
      <c r="Z6" s="14">
        <f t="shared" si="6"/>
        <v>0</v>
      </c>
      <c r="AA6" s="1"/>
      <c r="AB6" s="9" t="s">
        <v>938</v>
      </c>
      <c r="AC6" s="9" t="s">
        <v>939</v>
      </c>
      <c r="AD6" s="9" t="s">
        <v>940</v>
      </c>
      <c r="AE6" s="9" t="s">
        <v>941</v>
      </c>
      <c r="AF6" s="9" t="s">
        <v>942</v>
      </c>
      <c r="AG6" s="9" t="s">
        <v>943</v>
      </c>
    </row>
    <row r="7" spans="1:33">
      <c r="A7" s="9" t="str">
        <f>IF(LEFT(A2,2)="11",AB3,IF(LEFT(A2,2)="12",AC3,IF(LEFT(A2,2)="15",AD3,IF(LEFT(A2,2)="16",AE3,IF(LEFT(A2,2)="17",AF3,IF(LEFT(A2,2)="18",AG3,0))))))</f>
        <v>35个45s有效</v>
      </c>
      <c r="B7" s="9" t="s">
        <v>547</v>
      </c>
      <c r="C7" s="9" t="s">
        <v>550</v>
      </c>
      <c r="D7" s="9">
        <f t="shared" si="0"/>
        <v>8</v>
      </c>
      <c r="E7" s="10">
        <f>AVERAGEIFS(F19:F177,B19:B177,B7)</f>
        <v>103.75</v>
      </c>
      <c r="F7" s="10" t="str">
        <f>IFERROR(AVERAGEIFS($F$15:$F$173,$B$15:$B$173,$B7,$E$15:$E$173,F$2),"")</f>
        <v/>
      </c>
      <c r="G7" s="10">
        <f>IFERROR(AVERAGEIFS($F$15:$F$173,$B$15:$B$173,$B7,$E$15:$E$173,G$2),"")</f>
        <v>104.2</v>
      </c>
      <c r="H7" s="10">
        <f>IFERROR(AVERAGEIFS($F$15:$F$173,$B$15:$B$173,$B7,$E$15:$E$173,H$2),"")</f>
        <v>45</v>
      </c>
      <c r="I7" s="10" t="str">
        <f>IFERROR(AVERAGEIFS($F$15:$F$173,$B$15:$B$173,$B7,$E$15:$E$173,I$2),"")</f>
        <v/>
      </c>
      <c r="J7" s="10" t="str">
        <f>IFERROR(AVERAGEIFS($F$15:$F$173,$B$15:$B$173,$B7,$E$15:$E$173,J$2),"")</f>
        <v/>
      </c>
      <c r="K7" s="10" t="str">
        <f>IFERROR(AVERAGEIFS($F$15:$F$173,$B$15:$B$173,$B7,$E$15:$E$173,K$2),"")</f>
        <v/>
      </c>
      <c r="L7" s="10">
        <f>IFERROR(AVERAGEIFS($F$15:$F$173,$B$15:$B$173,$B7,$E$15:$E$173,L$2),"")</f>
        <v>132</v>
      </c>
      <c r="M7" s="14">
        <f>AVERAGEIFS($G$15:$G$59,$B$15:$B$59,B7)</f>
        <v>51</v>
      </c>
      <c r="N7" s="15">
        <f t="shared" si="1"/>
        <v>0.491639806150945</v>
      </c>
      <c r="O7" s="14">
        <f t="shared" si="2"/>
        <v>17.5</v>
      </c>
      <c r="P7" s="14" t="str">
        <f>IFERROR(AVERAGEIFS($I$15:$I$173,$B$15:$B$173,$B7,$E$15:$E$173,F$2),"")</f>
        <v/>
      </c>
      <c r="Q7" s="14">
        <f>IFERROR(AVERAGEIFS($I$15:$I$173,$B$15:$B$173,$B7,$E$15:$E$173,G$2),"")</f>
        <v>17.4</v>
      </c>
      <c r="R7" s="14">
        <f>IFERROR(AVERAGEIFS($I$15:$I$173,$B$15:$B$173,$B7,$E$15:$E$173,H$2),"")</f>
        <v>5</v>
      </c>
      <c r="S7" s="14" t="str">
        <f>IFERROR(AVERAGEIFS($I$15:$I$173,$B$15:$B$173,$B7,$E$15:$E$173,I$2),"")</f>
        <v/>
      </c>
      <c r="T7" s="14" t="str">
        <f>IFERROR(AVERAGEIFS($I$15:$I$173,$B$15:$B$173,$B7,$E$15:$E$173,J$2),"")</f>
        <v/>
      </c>
      <c r="U7" s="14" t="str">
        <f>IFERROR(AVERAGEIFS($I$15:$I$173,$B$15:$B$173,$B7,$E$15:$E$173,K$2),"")</f>
        <v/>
      </c>
      <c r="V7" s="14">
        <f>IFERROR(AVERAGEIFS($I$15:$I$173,$B$15:$B$173,$B7,$E$15:$E$173,L$2),"")</f>
        <v>24</v>
      </c>
      <c r="W7" s="14">
        <f t="shared" si="3"/>
        <v>9.125</v>
      </c>
      <c r="X7" s="14">
        <f t="shared" si="4"/>
        <v>0.75</v>
      </c>
      <c r="Y7" s="14">
        <f t="shared" si="5"/>
        <v>32.5645833333334</v>
      </c>
      <c r="Z7" s="14">
        <f t="shared" si="6"/>
        <v>0.375</v>
      </c>
      <c r="AA7" s="1"/>
      <c r="AB7" s="9" t="s">
        <v>944</v>
      </c>
      <c r="AC7" s="9" t="s">
        <v>945</v>
      </c>
      <c r="AD7" s="9" t="s">
        <v>946</v>
      </c>
      <c r="AE7" s="9" t="s">
        <v>947</v>
      </c>
      <c r="AF7" s="9" t="s">
        <v>948</v>
      </c>
      <c r="AG7" s="9" t="s">
        <v>949</v>
      </c>
    </row>
    <row r="8" spans="1:33">
      <c r="A8" s="9" t="str">
        <f>IF(LEFT(A2,2)="11",AB8,IF(LEFT(A2,2)="12",AC8,IF(LEFT(A2,2)="15",AD8,IF(LEFT(A2,2)="16",AE8,IF(LEFT(A2,2)="17",AF8,IF(LEFT(A2,2)="18",AG8,0))))))</f>
        <v>30个45s有效</v>
      </c>
      <c r="B8" s="9" t="s">
        <v>22</v>
      </c>
      <c r="C8" s="9" t="s">
        <v>295</v>
      </c>
      <c r="D8" s="9">
        <f t="shared" si="0"/>
        <v>8</v>
      </c>
      <c r="E8" s="10">
        <f>AVERAGEIFS(F19:F178,B19:B178,B8)</f>
        <v>52.125</v>
      </c>
      <c r="F8" s="10">
        <f>IFERROR(AVERAGEIFS($F$15:$F$173,$B$15:$B$173,$B8,$E$15:$E$173,F$2),"")</f>
        <v>251</v>
      </c>
      <c r="G8" s="10">
        <f>IFERROR(AVERAGEIFS($F$15:$F$173,$B$15:$B$173,$B8,$E$15:$E$173,G$2),"")</f>
        <v>20</v>
      </c>
      <c r="H8" s="10" t="str">
        <f>IFERROR(AVERAGEIFS($F$15:$F$173,$B$15:$B$173,$B8,$E$15:$E$173,H$2),"")</f>
        <v/>
      </c>
      <c r="I8" s="10" t="str">
        <f>IFERROR(AVERAGEIFS($F$15:$F$173,$B$15:$B$173,$B8,$E$15:$E$173,I$2),"")</f>
        <v/>
      </c>
      <c r="J8" s="10">
        <f>IFERROR(AVERAGEIFS($F$15:$F$173,$B$15:$B$173,$B8,$E$15:$E$173,J$2),"")</f>
        <v>26.6666666666667</v>
      </c>
      <c r="K8" s="10">
        <f>IFERROR(AVERAGEIFS($F$15:$F$173,$B$15:$B$173,$B8,$E$15:$E$173,K$2),"")</f>
        <v>14</v>
      </c>
      <c r="L8" s="10">
        <f>IFERROR(AVERAGEIFS($F$15:$F$173,$B$15:$B$173,$B8,$E$15:$E$173,L$2),"")</f>
        <v>26</v>
      </c>
      <c r="M8" s="14">
        <f>AVERAGEIFS($G$15:$G$59,$B$15:$B$59,B8)</f>
        <v>6.8</v>
      </c>
      <c r="N8" s="15">
        <f t="shared" si="1"/>
        <v>0.314973544973545</v>
      </c>
      <c r="O8" s="14">
        <f t="shared" si="2"/>
        <v>3.2</v>
      </c>
      <c r="P8" s="14">
        <f>IFERROR(AVERAGEIFS($I$15:$I$173,$B$15:$B$173,$B8,$E$15:$E$173,F$2),"")</f>
        <v>31</v>
      </c>
      <c r="Q8" s="14">
        <f>IFERROR(AVERAGEIFS($I$15:$I$173,$B$15:$B$173,$B8,$E$15:$E$173,G$2),"")</f>
        <v>4</v>
      </c>
      <c r="R8" s="14" t="str">
        <f>IFERROR(AVERAGEIFS($I$15:$I$173,$B$15:$B$173,$B8,$E$15:$E$173,H$2),"")</f>
        <v/>
      </c>
      <c r="S8" s="14" t="str">
        <f>IFERROR(AVERAGEIFS($I$15:$I$173,$B$15:$B$173,$B8,$E$15:$E$173,I$2),"")</f>
        <v/>
      </c>
      <c r="T8" s="14">
        <f>IFERROR(AVERAGEIFS($I$15:$I$173,$B$15:$B$173,$B8,$E$15:$E$173,J$2),"")</f>
        <v>3.66666666666667</v>
      </c>
      <c r="U8" s="14">
        <f>IFERROR(AVERAGEIFS($I$15:$I$173,$B$15:$B$173,$B8,$E$15:$E$173,K$2),"")</f>
        <v>4</v>
      </c>
      <c r="V8" s="14">
        <f>IFERROR(AVERAGEIFS($I$15:$I$173,$B$15:$B$173,$B8,$E$15:$E$173,L$2),"")</f>
        <v>5.5</v>
      </c>
      <c r="W8" s="14">
        <f t="shared" si="3"/>
        <v>2</v>
      </c>
      <c r="X8" s="14">
        <f t="shared" si="4"/>
        <v>0.2</v>
      </c>
      <c r="Y8" s="14">
        <f t="shared" si="5"/>
        <v>6.64000000000001</v>
      </c>
      <c r="Z8" s="14">
        <f t="shared" si="6"/>
        <v>0</v>
      </c>
      <c r="AA8" s="1"/>
      <c r="AB8" s="9" t="s">
        <v>950</v>
      </c>
      <c r="AC8" s="9" t="s">
        <v>951</v>
      </c>
      <c r="AD8" s="9" t="s">
        <v>952</v>
      </c>
      <c r="AE8" s="9" t="s">
        <v>953</v>
      </c>
      <c r="AF8" s="9" t="s">
        <v>954</v>
      </c>
      <c r="AG8" s="9" t="s">
        <v>924</v>
      </c>
    </row>
    <row r="9" hidden="1" spans="1:27">
      <c r="A9" s="9"/>
      <c r="B9" s="9" t="s">
        <v>52</v>
      </c>
      <c r="C9" s="9" t="s">
        <v>56</v>
      </c>
      <c r="D9" s="9">
        <f>COUNTIFS($B$14:$B$17,B9,$F$14:$F$17,"&lt;&gt;0")</f>
        <v>0</v>
      </c>
      <c r="E9" s="10" t="str">
        <f>IFERROR(SUMIFS([1]话务数据源!C:C,[1]话务数据源!A:A,B9,[1]话务数据源!P:P,1)/D9,"")</f>
        <v/>
      </c>
      <c r="F9" s="10"/>
      <c r="G9" s="10" t="str">
        <f>IFERROR(SUMIFS([1]话务数据源!C:C,[1]话务数据源!A:A,B9,[1]话务数据源!N:N,"0月-3月",[1]话务数据源!P:P,1)/COUNTIFS([1]话务数据源!A:A,B9,[1]话务数据源!N:N,"0月-3月",[1]话务数据源!P:P,1),"")</f>
        <v/>
      </c>
      <c r="H9" s="10" t="str">
        <f>IFERROR(SUMIFS([1]话务数据源!C:C,[1]话务数据源!A:A,B9,[1]话务数据源!N:N,"4月-6月",[1]话务数据源!P:P,1)/COUNTIFS([1]话务数据源!A:A,B9,[1]话务数据源!N:N,"4月-6月",[1]话务数据源!P:P,1),"")</f>
        <v/>
      </c>
      <c r="I9" s="10" t="str">
        <f>IFERROR(SUMIFS([1]话务数据源!C:C,[1]话务数据源!A:A,B9,[1]话务数据源!N:N,"7月-12月",[1]话务数据源!P:P,1)/COUNTIFS([1]话务数据源!A:A,B9,[1]话务数据源!N:N,"7月-12月",[1]话务数据源!P:P,1),"")</f>
        <v/>
      </c>
      <c r="J9" s="10" t="str">
        <f>IFERROR(SUMIFS([1]话务数据源!C:C,[1]话务数据源!A:A,B9,[1]话务数据源!N:N,"1年-2年",[1]话务数据源!P:P,1)/COUNTIFS([1]话务数据源!A:A,B9,[1]话务数据源!N:N,"1年-2年",[1]话务数据源!P:P,1),"")</f>
        <v/>
      </c>
      <c r="K9" s="10" t="str">
        <f>IFERROR(SUMIFS([1]话务数据源!C:C,[1]话务数据源!A:A,B9,[1]话务数据源!N:N,"2年-3年",[1]话务数据源!P:P,1)/COUNTIFS([1]话务数据源!A:A,B9,[1]话务数据源!N:N,"2年-3年",[1]话务数据源!P:P,1),"")</f>
        <v/>
      </c>
      <c r="L9" s="10" t="str">
        <f>IFERROR(SUMIFS([1]话务数据源!C:C,[1]话务数据源!A:A,B9,[1]话务数据源!N:N,"3年以上",[1]话务数据源!P:P,1)/COUNTIFS([1]话务数据源!A:A,B9,[1]话务数据源!N:N,"3年以上",[1]话务数据源!P:P,1),"")</f>
        <v/>
      </c>
      <c r="M9" s="14" t="str">
        <f>IFERROR(SUMIFS([1]话务数据源!D:D,[1]话务数据源!A:A,B9,[1]话务数据源!P:P,1)/D9,"")</f>
        <v/>
      </c>
      <c r="N9" s="13" t="str">
        <f>IFERROR(M9/E9,"")</f>
        <v/>
      </c>
      <c r="O9" s="14" t="str">
        <f>IFERROR(SUMIFS([1]话务数据源!O:O,[1]话务数据源!A:A,B9,[1]话务数据源!P:P,1)/D9,"")</f>
        <v/>
      </c>
      <c r="Q9" s="14" t="str">
        <f>IFERROR(SUMIFS([1]话务数据源!O:O,[1]话务数据源!A:A,B9,[1]话务数据源!N:N,"0月-3月",[1]话务数据源!P:P,1)/COUNTIFS([1]话务数据源!A:A,B9,[1]话务数据源!N:N,"0月-3月",[1]话务数据源!P:P,1),"")</f>
        <v/>
      </c>
      <c r="R9" s="14" t="str">
        <f>IFERROR(SUMIFS([1]话务数据源!O:O,[1]话务数据源!A:A,B9,[1]话务数据源!N:N,"4月-6月",[1]话务数据源!P:P,1)/COUNTIFS([1]话务数据源!A:A,B9,[1]话务数据源!N:N,"4月-6月",[1]话务数据源!P:P,1),"")</f>
        <v/>
      </c>
      <c r="S9" s="14" t="str">
        <f>IFERROR(SUMIFS([1]话务数据源!O:O,[1]话务数据源!A:A,B9,[1]话务数据源!N:N,"7月-12月",[1]话务数据源!P:P,1)/COUNTIFS([1]话务数据源!A:A,B9,[1]话务数据源!N:N,"7月-12月",[1]话务数据源!P:P,1),"")</f>
        <v/>
      </c>
      <c r="T9" s="14" t="str">
        <f>IFERROR(SUMIFS([1]话务数据源!O:O,[1]话务数据源!A:A,B9,[1]话务数据源!N:N,"1年-2年",[1]话务数据源!P:P,1)/COUNTIFS([1]话务数据源!A:A,B9,[1]话务数据源!N:N,"1年-2年",[1]话务数据源!P:P,1),"")</f>
        <v/>
      </c>
      <c r="U9" s="14" t="str">
        <f>IFERROR(SUMIFS([1]话务数据源!O:O,[1]话务数据源!A:A,B9,[1]话务数据源!N:N,"2年-3年",[1]话务数据源!P:P,1)/COUNTIFS([1]话务数据源!A:A,B9,[1]话务数据源!N:N,"2年-3年",[1]话务数据源!P:P,1),"")</f>
        <v/>
      </c>
      <c r="V9" s="14" t="str">
        <f>IFERROR(SUMIFS([1]话务数据源!O:O,[1]话务数据源!A:A,B9,[1]话务数据源!N:N,"3年以上",[1]话务数据源!P:P,1)/COUNTIFS([1]话务数据源!A:A,B9,[1]话务数据源!N:N,"3年以上",[1]话务数据源!P:P,1),"")</f>
        <v/>
      </c>
      <c r="W9" s="14"/>
      <c r="X9" s="14" t="str">
        <f>IFERROR(SUMIFS([1]话务数据源!F:F,[1]话务数据源!A:A,B9,[1]话务数据源!P:P,1)/D9,"")</f>
        <v/>
      </c>
      <c r="Y9" s="14" t="str">
        <f>IFERROR(SUMIFS([1]话务数据源!H:H,[1]话务数据源!A:A,B9,[1]话务数据源!P:P,1)/D9,"")</f>
        <v/>
      </c>
      <c r="Z9" s="14" t="str">
        <f>IFERROR(VLOOKUP(B9,[1]意向!B:E,2,FALSE)/D9,"")</f>
        <v/>
      </c>
      <c r="AA9" s="1"/>
    </row>
    <row r="10" hidden="1" spans="1:27">
      <c r="A10" s="9"/>
      <c r="B10" s="9" t="s">
        <v>102</v>
      </c>
      <c r="C10" s="9" t="s">
        <v>425</v>
      </c>
      <c r="D10" s="9">
        <f>COUNTIFS($B$14:$B$17,B10,$F$14:$F$17,"&lt;&gt;0")</f>
        <v>0</v>
      </c>
      <c r="E10" s="10" t="str">
        <f>IFERROR(SUMIFS([1]话务数据源!C:C,[1]话务数据源!A:A,B10,[1]话务数据源!P:P,1)/D10,"")</f>
        <v/>
      </c>
      <c r="F10" s="10"/>
      <c r="G10" s="10" t="str">
        <f>IFERROR(SUMIFS([1]话务数据源!C:C,[1]话务数据源!A:A,B10,[1]话务数据源!N:N,"0月-3月",[1]话务数据源!P:P,1)/COUNTIFS([1]话务数据源!A:A,B10,[1]话务数据源!N:N,"0月-3月",[1]话务数据源!P:P,1),"")</f>
        <v/>
      </c>
      <c r="H10" s="10" t="str">
        <f>IFERROR(SUMIFS([1]话务数据源!C:C,[1]话务数据源!A:A,B10,[1]话务数据源!N:N,"4月-6月",[1]话务数据源!P:P,1)/COUNTIFS([1]话务数据源!A:A,B10,[1]话务数据源!N:N,"4月-6月",[1]话务数据源!P:P,1),"")</f>
        <v/>
      </c>
      <c r="I10" s="10" t="str">
        <f>IFERROR(SUMIFS([1]话务数据源!C:C,[1]话务数据源!A:A,B10,[1]话务数据源!N:N,"7月-12月",[1]话务数据源!P:P,1)/COUNTIFS([1]话务数据源!A:A,B10,[1]话务数据源!N:N,"7月-12月",[1]话务数据源!P:P,1),"")</f>
        <v/>
      </c>
      <c r="J10" s="10" t="str">
        <f>IFERROR(SUMIFS([1]话务数据源!C:C,[1]话务数据源!A:A,B10,[1]话务数据源!N:N,"1年-2年",[1]话务数据源!P:P,1)/COUNTIFS([1]话务数据源!A:A,B10,[1]话务数据源!N:N,"1年-2年",[1]话务数据源!P:P,1),"")</f>
        <v/>
      </c>
      <c r="K10" s="10" t="str">
        <f>IFERROR(SUMIFS([1]话务数据源!C:C,[1]话务数据源!A:A,B10,[1]话务数据源!N:N,"2年-3年",[1]话务数据源!P:P,1)/COUNTIFS([1]话务数据源!A:A,B10,[1]话务数据源!N:N,"2年-3年",[1]话务数据源!P:P,1),"")</f>
        <v/>
      </c>
      <c r="L10" s="10" t="str">
        <f>IFERROR(SUMIFS([1]话务数据源!C:C,[1]话务数据源!A:A,B10,[1]话务数据源!N:N,"3年以上",[1]话务数据源!P:P,1)/COUNTIFS([1]话务数据源!A:A,B10,[1]话务数据源!N:N,"3年以上",[1]话务数据源!P:P,1),"")</f>
        <v/>
      </c>
      <c r="M10" s="14" t="str">
        <f>IFERROR(SUMIFS([1]话务数据源!D:D,[1]话务数据源!A:A,B10,[1]话务数据源!P:P,1)/D10,"")</f>
        <v/>
      </c>
      <c r="N10" s="13" t="str">
        <f>IFERROR(M10/E10,"")</f>
        <v/>
      </c>
      <c r="O10" s="14" t="str">
        <f>IFERROR(SUMIFS([1]话务数据源!O:O,[1]话务数据源!A:A,B10,[1]话务数据源!P:P,1)/D10,"")</f>
        <v/>
      </c>
      <c r="Q10" s="14" t="str">
        <f>IFERROR(SUMIFS([1]话务数据源!O:O,[1]话务数据源!A:A,B10,[1]话务数据源!N:N,"0月-3月",[1]话务数据源!P:P,1)/COUNTIFS([1]话务数据源!A:A,B10,[1]话务数据源!N:N,"0月-3月",[1]话务数据源!P:P,1),"")</f>
        <v/>
      </c>
      <c r="R10" s="14" t="str">
        <f>IFERROR(SUMIFS([1]话务数据源!O:O,[1]话务数据源!A:A,B10,[1]话务数据源!N:N,"4月-6月",[1]话务数据源!P:P,1)/COUNTIFS([1]话务数据源!A:A,B10,[1]话务数据源!N:N,"4月-6月",[1]话务数据源!P:P,1),"")</f>
        <v/>
      </c>
      <c r="S10" s="14" t="str">
        <f>IFERROR(SUMIFS([1]话务数据源!O:O,[1]话务数据源!A:A,B10,[1]话务数据源!N:N,"7月-12月",[1]话务数据源!P:P,1)/COUNTIFS([1]话务数据源!A:A,B10,[1]话务数据源!N:N,"7月-12月",[1]话务数据源!P:P,1),"")</f>
        <v/>
      </c>
      <c r="T10" s="14" t="str">
        <f>IFERROR(SUMIFS([1]话务数据源!O:O,[1]话务数据源!A:A,B10,[1]话务数据源!N:N,"1年-2年",[1]话务数据源!P:P,1)/COUNTIFS([1]话务数据源!A:A,B10,[1]话务数据源!N:N,"1年-2年",[1]话务数据源!P:P,1),"")</f>
        <v/>
      </c>
      <c r="U10" s="14" t="str">
        <f>IFERROR(SUMIFS([1]话务数据源!O:O,[1]话务数据源!A:A,B10,[1]话务数据源!N:N,"2年-3年",[1]话务数据源!P:P,1)/COUNTIFS([1]话务数据源!A:A,B10,[1]话务数据源!N:N,"2年-3年",[1]话务数据源!P:P,1),"")</f>
        <v/>
      </c>
      <c r="V10" s="14" t="str">
        <f>IFERROR(SUMIFS([1]话务数据源!O:O,[1]话务数据源!A:A,B10,[1]话务数据源!N:N,"3年以上",[1]话务数据源!P:P,1)/COUNTIFS([1]话务数据源!A:A,B10,[1]话务数据源!N:N,"3年以上",[1]话务数据源!P:P,1),"")</f>
        <v/>
      </c>
      <c r="W10" s="14"/>
      <c r="X10" s="14" t="str">
        <f>IFERROR(SUMIFS([1]话务数据源!F:F,[1]话务数据源!A:A,B10,[1]话务数据源!P:P,1)/D10,"")</f>
        <v/>
      </c>
      <c r="Y10" s="14" t="str">
        <f>IFERROR(SUMIFS([1]话务数据源!H:H,[1]话务数据源!A:A,B10,[1]话务数据源!P:P,1)/D10,"")</f>
        <v/>
      </c>
      <c r="Z10" s="14" t="str">
        <f>IFERROR(VLOOKUP(B10,[1]意向!B:E,2,FALSE)/D10,"")</f>
        <v/>
      </c>
      <c r="AA10" s="1"/>
    </row>
    <row r="11" hidden="1" spans="1:27">
      <c r="A11" s="9"/>
      <c r="B11" s="9" t="s">
        <v>125</v>
      </c>
      <c r="C11" s="9" t="s">
        <v>955</v>
      </c>
      <c r="D11" s="9">
        <f>COUNTIFS($B$14:$B$17,B11,$F$14:$F$17,"&lt;&gt;0")</f>
        <v>0</v>
      </c>
      <c r="E11" s="10" t="str">
        <f>IFERROR(SUMIFS([1]话务数据源!C:C,[1]话务数据源!A:A,B11,[1]话务数据源!P:P,1)/D11,"")</f>
        <v/>
      </c>
      <c r="F11" s="10"/>
      <c r="G11" s="10" t="str">
        <f>IFERROR(SUMIFS([1]话务数据源!C:C,[1]话务数据源!A:A,B11,[1]话务数据源!N:N,"0月-3月",[1]话务数据源!P:P,1)/COUNTIFS([1]话务数据源!A:A,B11,[1]话务数据源!N:N,"0月-3月",[1]话务数据源!P:P,1),"")</f>
        <v/>
      </c>
      <c r="H11" s="10" t="str">
        <f>IFERROR(SUMIFS([1]话务数据源!C:C,[1]话务数据源!A:A,B11,[1]话务数据源!N:N,"4月-6月",[1]话务数据源!P:P,1)/COUNTIFS([1]话务数据源!A:A,B11,[1]话务数据源!N:N,"4月-6月",[1]话务数据源!P:P,1),"")</f>
        <v/>
      </c>
      <c r="I11" s="10" t="str">
        <f>IFERROR(SUMIFS([1]话务数据源!C:C,[1]话务数据源!A:A,B11,[1]话务数据源!N:N,"7月-12月",[1]话务数据源!P:P,1)/COUNTIFS([1]话务数据源!A:A,B11,[1]话务数据源!N:N,"7月-12月",[1]话务数据源!P:P,1),"")</f>
        <v/>
      </c>
      <c r="J11" s="10" t="str">
        <f>IFERROR(SUMIFS([1]话务数据源!C:C,[1]话务数据源!A:A,B11,[1]话务数据源!N:N,"1年-2年",[1]话务数据源!P:P,1)/COUNTIFS([1]话务数据源!A:A,B11,[1]话务数据源!N:N,"1年-2年",[1]话务数据源!P:P,1),"")</f>
        <v/>
      </c>
      <c r="K11" s="10" t="str">
        <f>IFERROR(SUMIFS([1]话务数据源!C:C,[1]话务数据源!A:A,B11,[1]话务数据源!N:N,"2年-3年",[1]话务数据源!P:P,1)/COUNTIFS([1]话务数据源!A:A,B11,[1]话务数据源!N:N,"2年-3年",[1]话务数据源!P:P,1),"")</f>
        <v/>
      </c>
      <c r="L11" s="10" t="str">
        <f>IFERROR(SUMIFS([1]话务数据源!C:C,[1]话务数据源!A:A,B11,[1]话务数据源!N:N,"3年以上",[1]话务数据源!P:P,1)/COUNTIFS([1]话务数据源!A:A,B11,[1]话务数据源!N:N,"3年以上",[1]话务数据源!P:P,1),"")</f>
        <v/>
      </c>
      <c r="M11" s="14" t="str">
        <f>IFERROR(SUMIFS([1]话务数据源!D:D,[1]话务数据源!A:A,B11,[1]话务数据源!P:P,1)/D11,"")</f>
        <v/>
      </c>
      <c r="N11" s="13" t="str">
        <f>IFERROR(M11/E11,"")</f>
        <v/>
      </c>
      <c r="O11" s="14" t="str">
        <f>IFERROR(SUMIFS([1]话务数据源!O:O,[1]话务数据源!A:A,B11,[1]话务数据源!P:P,1)/D11,"")</f>
        <v/>
      </c>
      <c r="Q11" s="14" t="str">
        <f>IFERROR(SUMIFS([1]话务数据源!O:O,[1]话务数据源!A:A,B11,[1]话务数据源!N:N,"0月-3月",[1]话务数据源!P:P,1)/COUNTIFS([1]话务数据源!A:A,B11,[1]话务数据源!N:N,"0月-3月",[1]话务数据源!P:P,1),"")</f>
        <v/>
      </c>
      <c r="R11" s="14" t="str">
        <f>IFERROR(SUMIFS([1]话务数据源!O:O,[1]话务数据源!A:A,B11,[1]话务数据源!N:N,"4月-6月",[1]话务数据源!P:P,1)/COUNTIFS([1]话务数据源!A:A,B11,[1]话务数据源!N:N,"4月-6月",[1]话务数据源!P:P,1),"")</f>
        <v/>
      </c>
      <c r="S11" s="14" t="str">
        <f>IFERROR(SUMIFS([1]话务数据源!O:O,[1]话务数据源!A:A,B11,[1]话务数据源!N:N,"7月-12月",[1]话务数据源!P:P,1)/COUNTIFS([1]话务数据源!A:A,B11,[1]话务数据源!N:N,"7月-12月",[1]话务数据源!P:P,1),"")</f>
        <v/>
      </c>
      <c r="T11" s="14" t="str">
        <f>IFERROR(SUMIFS([1]话务数据源!O:O,[1]话务数据源!A:A,B11,[1]话务数据源!N:N,"1年-2年",[1]话务数据源!P:P,1)/COUNTIFS([1]话务数据源!A:A,B11,[1]话务数据源!N:N,"1年-2年",[1]话务数据源!P:P,1),"")</f>
        <v/>
      </c>
      <c r="U11" s="14" t="str">
        <f>IFERROR(SUMIFS([1]话务数据源!O:O,[1]话务数据源!A:A,B11,[1]话务数据源!N:N,"2年-3年",[1]话务数据源!P:P,1)/COUNTIFS([1]话务数据源!A:A,B11,[1]话务数据源!N:N,"2年-3年",[1]话务数据源!P:P,1),"")</f>
        <v/>
      </c>
      <c r="V11" s="14" t="str">
        <f>IFERROR(SUMIFS([1]话务数据源!O:O,[1]话务数据源!A:A,B11,[1]话务数据源!N:N,"3年以上",[1]话务数据源!P:P,1)/COUNTIFS([1]话务数据源!A:A,B11,[1]话务数据源!N:N,"3年以上",[1]话务数据源!P:P,1),"")</f>
        <v/>
      </c>
      <c r="W11" s="14"/>
      <c r="X11" s="14" t="str">
        <f>IFERROR(SUMIFS([1]话务数据源!F:F,[1]话务数据源!A:A,B11,[1]话务数据源!P:P,1)/D11,"")</f>
        <v/>
      </c>
      <c r="Y11" s="14" t="str">
        <f>IFERROR(SUMIFS([1]话务数据源!H:H,[1]话务数据源!A:A,B11,[1]话务数据源!P:P,1)/D11,"")</f>
        <v/>
      </c>
      <c r="Z11" s="14" t="str">
        <f>IFERROR(VLOOKUP(B11,[1]意向!B:E,2,FALSE)/D11,"")</f>
        <v/>
      </c>
      <c r="AA11" s="1"/>
    </row>
    <row r="12" spans="1:27">
      <c r="A12" s="9"/>
      <c r="B12" s="9" t="s">
        <v>51</v>
      </c>
      <c r="C12" s="9" t="s">
        <v>956</v>
      </c>
      <c r="D12" s="9">
        <f>SUM(D3:D11)</f>
        <v>48</v>
      </c>
      <c r="E12" s="10">
        <f>SUM(F15:F167)/$D$12</f>
        <v>142.104166666667</v>
      </c>
      <c r="F12" s="10">
        <f>AVERAGEIFS($F$15:$F$59,$E$15:$E$59,F2)</f>
        <v>129</v>
      </c>
      <c r="G12" s="10">
        <f>AVERAGEIFS($F$15:$F$59,$E$15:$E$59,G2)</f>
        <v>138.5</v>
      </c>
      <c r="H12" s="10">
        <f>AVERAGEIFS($F$15:$F$59,$E$15:$E$59,H2)</f>
        <v>162.571428571429</v>
      </c>
      <c r="I12" s="10">
        <f>AVERAGEIFS($F$15:$F$59,$E$15:$E$59,I2)</f>
        <v>185.666666666667</v>
      </c>
      <c r="J12" s="10">
        <f>AVERAGEIFS($F$15:$F$59,$E$15:$E$59,J2)</f>
        <v>88.4</v>
      </c>
      <c r="K12" s="10">
        <f>AVERAGEIFS($F$15:$F$59,$E$15:$E$59,K2)</f>
        <v>143.75</v>
      </c>
      <c r="L12" s="10">
        <f>AVERAGEIFS($F$15:$F$59,$E$15:$E$59,L2)</f>
        <v>160.1</v>
      </c>
      <c r="M12" s="14">
        <f>SUMPRODUCT($D$3:$D$11,M3:M11)/$D$12</f>
        <v>62.7375</v>
      </c>
      <c r="N12" s="13">
        <f>M12/E12</f>
        <v>0.441489517666031</v>
      </c>
      <c r="O12" s="14">
        <f>SUMPRODUCT(D3:D11,O3:O11)/D12</f>
        <v>20.575</v>
      </c>
      <c r="P12" s="14">
        <f>AVERAGEIFS($I$15:$I$59,$E$15:$E$59,F2)</f>
        <v>21.5</v>
      </c>
      <c r="Q12" s="14">
        <f>AVERAGEIFS($I$15:$I$59,$E$15:$E$59,G2)</f>
        <v>23.6428571428571</v>
      </c>
      <c r="R12" s="14">
        <f>AVERAGEIFS($I$15:$I$59,$E$15:$E$59,H2)</f>
        <v>21.4285714285714</v>
      </c>
      <c r="S12" s="14">
        <f>AVERAGEIFS($I$15:$I$59,$E$15:$E$59,I2)</f>
        <v>26</v>
      </c>
      <c r="T12" s="14">
        <f>AVERAGEIFS($I$15:$I$59,$E$15:$E$59,J2)</f>
        <v>17.2</v>
      </c>
      <c r="U12" s="14">
        <f>AVERAGEIFS($I$15:$I$59,$E$15:$E$59,K2)</f>
        <v>20</v>
      </c>
      <c r="V12" s="14">
        <f>AVERAGEIFS($I$15:$I$59,$E$15:$E$59,L2)</f>
        <v>21</v>
      </c>
      <c r="W12" s="14">
        <f>SUMPRODUCT(W3:W11,$D$3:$D$11)/$D$12</f>
        <v>10.5416666666667</v>
      </c>
      <c r="X12" s="14">
        <f>SUMPRODUCT(X3:X11,$D$3:$D$11)/$D$12</f>
        <v>1.075</v>
      </c>
      <c r="Y12" s="14">
        <f>SUMPRODUCT(Y3:Y11,$D$3:$D$11)/$D$12</f>
        <v>40.4736805555556</v>
      </c>
      <c r="Z12" s="14">
        <f>SUMPRODUCT(Z3:Z11,$D$3:$D$11)/$D$12</f>
        <v>0.270833333333333</v>
      </c>
      <c r="AA12" s="1"/>
    </row>
    <row r="13" s="1" customFormat="1" ht="17.1" customHeight="1" spans="2:13">
      <c r="B13" s="12" t="str">
        <f>"截止"&amp;LEFT(A2,3)&amp;",新签话务/太阳，
杭州人均外呼量为"&amp;TEXT(E12,0)&amp;"/强，
45s有效"&amp;TEXT(O12,"0.0")&amp;"/强。
新签部门45s未达标的有:新签一部@季 ,人均45s有效"&amp;TEXT(MIN(O3:O7),"0.0")</f>
        <v>截止18点,新签话务/太阳，
杭州人均外呼量为142/强，
45s有效20.6/强。
新签部门45s未达标的有:新签一部@季 ,人均45s有效17.5</v>
      </c>
      <c r="C13" s="12" t="str">
        <f>"截止"&amp;LEFT(A2,3)&amp;"，增值一部"&amp;L13&amp;"位员工未达成规定指标，
新签部门"&amp;TRIM(TEXT(M13,"# ?/?"))&amp;"位员工未达成规定的行为指标"</f>
        <v>截止18点，增值一部7位员工未达成规定指标，
新签部门4/5位员工未达成规定的行为指标</v>
      </c>
      <c r="L13" s="1">
        <f>IF(LEFT(A2,2)="11",COUNTIFS($B$17:$B$91,B8,I17:$I$91,"&lt;"&amp;LEFT(A8,1)),COUNTIFS($B$17:$B$91,B8,I17:$I$91,"&lt;"&amp;LEFT(A8,2)))</f>
        <v>7</v>
      </c>
      <c r="M13" s="1">
        <f>IF(LEFT(A2,2)="11",COUNTIFS(I17:$I$91,"&lt;"&amp;LEFT(A6,1),B17:$B$91,"新签*")/COUNTIFS(I17:$I$91,"&lt;&gt;0",B17:$B$91,"新签*"),COUNTIFS(I17:$I$91,"&lt;"&amp;LEFT(A6,2),B17:$B$91,"新签*")/COUNTIFS(I17:$I$91,"&lt;&gt;0",B17:$B$91,"新签*"))</f>
        <v>0.815789473684211</v>
      </c>
    </row>
    <row r="14" spans="2:28">
      <c r="B14" s="7" t="s">
        <v>573</v>
      </c>
      <c r="C14" s="7" t="s">
        <v>19</v>
      </c>
      <c r="D14" s="7" t="s">
        <v>888</v>
      </c>
      <c r="E14" s="7" t="s">
        <v>957</v>
      </c>
      <c r="F14" s="7" t="s">
        <v>958</v>
      </c>
      <c r="G14" s="7" t="s">
        <v>909</v>
      </c>
      <c r="H14" s="7" t="s">
        <v>575</v>
      </c>
      <c r="I14" s="7" t="s">
        <v>959</v>
      </c>
      <c r="J14" s="7" t="s">
        <v>960</v>
      </c>
      <c r="K14" s="7" t="s">
        <v>912</v>
      </c>
      <c r="L14" s="7" t="s">
        <v>961</v>
      </c>
      <c r="M14" s="7" t="s">
        <v>962</v>
      </c>
      <c r="Z14" s="1"/>
      <c r="AA14" s="1"/>
      <c r="AB14" s="1"/>
    </row>
    <row r="15" spans="2:29">
      <c r="B15" s="9" t="s">
        <v>264</v>
      </c>
      <c r="C15" s="9" t="s">
        <v>444</v>
      </c>
      <c r="D15" s="9" t="s">
        <v>451</v>
      </c>
      <c r="E15" s="9" t="s">
        <v>899</v>
      </c>
      <c r="F15" s="9">
        <v>203</v>
      </c>
      <c r="G15" s="9">
        <v>81</v>
      </c>
      <c r="H15" s="15">
        <v>0.399014778325123</v>
      </c>
      <c r="I15" s="9">
        <v>26</v>
      </c>
      <c r="J15" s="9">
        <v>11</v>
      </c>
      <c r="K15" s="9">
        <v>0</v>
      </c>
      <c r="L15" s="16">
        <v>44.3833333333333</v>
      </c>
      <c r="M15" s="9">
        <v>0</v>
      </c>
      <c r="O15" s="19"/>
      <c r="P15" s="19"/>
      <c r="Q15" s="17"/>
      <c r="R15" s="17"/>
      <c r="S15" s="19"/>
      <c r="T15" s="19"/>
      <c r="U15" s="20"/>
      <c r="V15" s="20"/>
      <c r="W15" s="21"/>
      <c r="X15" s="20"/>
      <c r="Y15" s="20"/>
      <c r="Z15" s="20"/>
      <c r="AA15" s="23"/>
      <c r="AB15" s="20"/>
      <c r="AC15" s="2" t="str">
        <f>LEFT(AB15,2)</f>
        <v/>
      </c>
    </row>
    <row r="16" spans="2:28">
      <c r="B16" s="9" t="s">
        <v>264</v>
      </c>
      <c r="C16" s="9" t="s">
        <v>444</v>
      </c>
      <c r="D16" s="9" t="s">
        <v>448</v>
      </c>
      <c r="E16" s="9" t="s">
        <v>899</v>
      </c>
      <c r="F16" s="9">
        <v>194</v>
      </c>
      <c r="G16" s="9">
        <v>85</v>
      </c>
      <c r="H16" s="15">
        <v>0.438144329896907</v>
      </c>
      <c r="I16" s="9">
        <v>30</v>
      </c>
      <c r="J16" s="9">
        <v>20</v>
      </c>
      <c r="K16" s="9">
        <v>1</v>
      </c>
      <c r="L16" s="16">
        <v>61.1166666666667</v>
      </c>
      <c r="M16" s="9">
        <v>1</v>
      </c>
      <c r="O16" s="19"/>
      <c r="P16" s="19"/>
      <c r="Q16" s="17"/>
      <c r="R16" s="17"/>
      <c r="S16" s="19"/>
      <c r="T16" s="19"/>
      <c r="U16" s="20"/>
      <c r="V16" s="20"/>
      <c r="W16" s="21"/>
      <c r="X16" s="20"/>
      <c r="Y16" s="20"/>
      <c r="Z16" s="20"/>
      <c r="AA16" s="23"/>
      <c r="AB16" s="20"/>
    </row>
    <row r="17" spans="2:28">
      <c r="B17" s="9" t="s">
        <v>264</v>
      </c>
      <c r="C17" s="9" t="s">
        <v>444</v>
      </c>
      <c r="D17" s="9" t="s">
        <v>445</v>
      </c>
      <c r="E17" s="9" t="s">
        <v>898</v>
      </c>
      <c r="F17" s="9">
        <v>212</v>
      </c>
      <c r="G17" s="9">
        <v>108</v>
      </c>
      <c r="H17" s="15">
        <v>0.509433962264151</v>
      </c>
      <c r="I17" s="9">
        <v>24</v>
      </c>
      <c r="J17" s="9">
        <v>9</v>
      </c>
      <c r="K17" s="9">
        <v>3</v>
      </c>
      <c r="L17" s="16">
        <v>59.5166666666667</v>
      </c>
      <c r="M17" s="9">
        <v>0</v>
      </c>
      <c r="O17" s="19"/>
      <c r="P17" s="19"/>
      <c r="Q17" s="17"/>
      <c r="R17" s="17"/>
      <c r="S17" s="19"/>
      <c r="T17" s="19"/>
      <c r="U17" s="20"/>
      <c r="V17" s="20"/>
      <c r="W17" s="21"/>
      <c r="X17" s="20"/>
      <c r="Y17" s="20"/>
      <c r="Z17" s="20"/>
      <c r="AA17" s="23"/>
      <c r="AB17" s="20"/>
    </row>
    <row r="18" spans="2:28">
      <c r="B18" s="9" t="s">
        <v>264</v>
      </c>
      <c r="C18" s="9" t="s">
        <v>444</v>
      </c>
      <c r="D18" s="9" t="s">
        <v>466</v>
      </c>
      <c r="E18" s="9" t="s">
        <v>904</v>
      </c>
      <c r="F18" s="9">
        <v>229</v>
      </c>
      <c r="G18" s="9">
        <v>94</v>
      </c>
      <c r="H18" s="15">
        <v>0.410480349344978</v>
      </c>
      <c r="I18" s="9">
        <v>21</v>
      </c>
      <c r="J18" s="9">
        <v>8</v>
      </c>
      <c r="K18" s="9">
        <v>0</v>
      </c>
      <c r="L18" s="16">
        <v>40.45</v>
      </c>
      <c r="M18" s="9">
        <v>0</v>
      </c>
      <c r="O18" s="19"/>
      <c r="P18" s="19"/>
      <c r="Q18" s="17"/>
      <c r="R18" s="17"/>
      <c r="S18" s="19"/>
      <c r="T18" s="19"/>
      <c r="U18" s="20"/>
      <c r="V18" s="20"/>
      <c r="W18" s="21"/>
      <c r="X18" s="20"/>
      <c r="Y18" s="20"/>
      <c r="Z18" s="20"/>
      <c r="AA18" s="23"/>
      <c r="AB18" s="20"/>
    </row>
    <row r="19" spans="2:28">
      <c r="B19" s="9" t="s">
        <v>264</v>
      </c>
      <c r="C19" s="9" t="s">
        <v>444</v>
      </c>
      <c r="D19" s="9" t="s">
        <v>441</v>
      </c>
      <c r="E19" s="9" t="s">
        <v>899</v>
      </c>
      <c r="F19" s="9">
        <v>139</v>
      </c>
      <c r="G19" s="9">
        <v>59</v>
      </c>
      <c r="H19" s="15">
        <v>0.424460431654676</v>
      </c>
      <c r="I19" s="9">
        <v>15</v>
      </c>
      <c r="J19" s="9">
        <v>14</v>
      </c>
      <c r="K19" s="9">
        <v>5</v>
      </c>
      <c r="L19" s="16">
        <v>47.6333333333333</v>
      </c>
      <c r="M19" s="9">
        <v>0</v>
      </c>
      <c r="O19" s="19"/>
      <c r="P19" s="19"/>
      <c r="Q19" s="17"/>
      <c r="R19" s="17"/>
      <c r="S19" s="19"/>
      <c r="T19" s="19"/>
      <c r="U19" s="20"/>
      <c r="V19" s="20"/>
      <c r="W19" s="21"/>
      <c r="X19" s="20"/>
      <c r="Y19" s="20"/>
      <c r="Z19" s="20"/>
      <c r="AA19" s="23"/>
      <c r="AB19" s="20"/>
    </row>
    <row r="20" spans="2:28">
      <c r="B20" s="9" t="s">
        <v>264</v>
      </c>
      <c r="C20" s="9" t="s">
        <v>444</v>
      </c>
      <c r="D20" s="9" t="s">
        <v>457</v>
      </c>
      <c r="E20" s="9" t="s">
        <v>899</v>
      </c>
      <c r="F20" s="9">
        <v>180</v>
      </c>
      <c r="G20" s="9">
        <v>81</v>
      </c>
      <c r="H20" s="15">
        <v>0.45</v>
      </c>
      <c r="I20" s="9">
        <v>18</v>
      </c>
      <c r="J20" s="9">
        <v>10</v>
      </c>
      <c r="K20" s="9">
        <v>0</v>
      </c>
      <c r="L20" s="16">
        <v>41.9166666666667</v>
      </c>
      <c r="M20" s="9">
        <v>0</v>
      </c>
      <c r="O20" s="19"/>
      <c r="P20" s="19"/>
      <c r="Q20" s="17"/>
      <c r="R20" s="17"/>
      <c r="S20" s="19"/>
      <c r="T20" s="19"/>
      <c r="U20" s="20"/>
      <c r="V20" s="20"/>
      <c r="W20" s="21"/>
      <c r="X20" s="20"/>
      <c r="Y20" s="20"/>
      <c r="Z20" s="20"/>
      <c r="AA20" s="23"/>
      <c r="AB20" s="20"/>
    </row>
    <row r="21" spans="2:28">
      <c r="B21" s="9" t="s">
        <v>264</v>
      </c>
      <c r="C21" s="9" t="s">
        <v>444</v>
      </c>
      <c r="D21" s="9" t="s">
        <v>454</v>
      </c>
      <c r="E21" s="9" t="s">
        <v>904</v>
      </c>
      <c r="F21" s="9">
        <v>149</v>
      </c>
      <c r="G21" s="9">
        <v>70</v>
      </c>
      <c r="H21" s="15">
        <v>0.469798657718121</v>
      </c>
      <c r="I21" s="9">
        <v>38</v>
      </c>
      <c r="J21" s="9">
        <v>8</v>
      </c>
      <c r="K21" s="9">
        <v>0</v>
      </c>
      <c r="L21" s="16">
        <v>40.2833333333333</v>
      </c>
      <c r="M21" s="9">
        <v>0</v>
      </c>
      <c r="O21" s="19"/>
      <c r="P21" s="19"/>
      <c r="Q21" s="17"/>
      <c r="R21" s="17"/>
      <c r="S21" s="19"/>
      <c r="T21" s="19"/>
      <c r="U21" s="20"/>
      <c r="V21" s="20"/>
      <c r="W21" s="21"/>
      <c r="X21" s="20"/>
      <c r="Y21" s="20"/>
      <c r="Z21" s="20"/>
      <c r="AA21" s="23"/>
      <c r="AB21" s="20"/>
    </row>
    <row r="22" spans="2:28">
      <c r="B22" s="9" t="s">
        <v>264</v>
      </c>
      <c r="C22" s="9" t="s">
        <v>444</v>
      </c>
      <c r="D22" s="9" t="s">
        <v>473</v>
      </c>
      <c r="E22" s="9" t="s">
        <v>901</v>
      </c>
      <c r="F22" s="9">
        <v>152</v>
      </c>
      <c r="G22" s="9">
        <v>73</v>
      </c>
      <c r="H22" s="15">
        <v>0.480263157894737</v>
      </c>
      <c r="I22" s="9">
        <v>34</v>
      </c>
      <c r="J22" s="9">
        <v>20</v>
      </c>
      <c r="K22" s="9">
        <v>0</v>
      </c>
      <c r="L22" s="16">
        <v>55.1166666666667</v>
      </c>
      <c r="M22" s="9">
        <v>0</v>
      </c>
      <c r="O22" s="30"/>
      <c r="P22" s="19"/>
      <c r="Q22" s="17"/>
      <c r="R22" s="17"/>
      <c r="S22" s="19"/>
      <c r="T22" s="19"/>
      <c r="U22" s="20"/>
      <c r="V22" s="20"/>
      <c r="W22" s="21"/>
      <c r="X22" s="20"/>
      <c r="Y22" s="20"/>
      <c r="Z22" s="20"/>
      <c r="AA22" s="23"/>
      <c r="AB22" s="20"/>
    </row>
    <row r="23" spans="2:28">
      <c r="B23" s="9" t="s">
        <v>151</v>
      </c>
      <c r="C23" s="9" t="s">
        <v>154</v>
      </c>
      <c r="D23" s="9" t="s">
        <v>172</v>
      </c>
      <c r="E23" s="9" t="s">
        <v>901</v>
      </c>
      <c r="F23" s="9">
        <v>160</v>
      </c>
      <c r="G23" s="9">
        <v>78</v>
      </c>
      <c r="H23" s="15">
        <v>0.4875</v>
      </c>
      <c r="I23" s="9">
        <v>24</v>
      </c>
      <c r="J23" s="9">
        <v>13</v>
      </c>
      <c r="K23" s="9">
        <v>2</v>
      </c>
      <c r="L23" s="16">
        <v>75.05</v>
      </c>
      <c r="M23" s="9">
        <v>0</v>
      </c>
      <c r="Q23" s="18"/>
      <c r="R23" s="17"/>
      <c r="S23" s="19"/>
      <c r="T23" s="19"/>
      <c r="U23" s="20"/>
      <c r="V23" s="20"/>
      <c r="W23" s="21"/>
      <c r="X23" s="20"/>
      <c r="Y23" s="20"/>
      <c r="Z23" s="20"/>
      <c r="AA23" s="23"/>
      <c r="AB23" s="20"/>
    </row>
    <row r="24" spans="2:28">
      <c r="B24" s="9" t="s">
        <v>151</v>
      </c>
      <c r="C24" s="9" t="s">
        <v>154</v>
      </c>
      <c r="D24" s="9" t="s">
        <v>175</v>
      </c>
      <c r="E24" s="9" t="s">
        <v>901</v>
      </c>
      <c r="F24" s="9">
        <v>192</v>
      </c>
      <c r="G24" s="9">
        <v>99</v>
      </c>
      <c r="H24" s="15">
        <v>0.515625</v>
      </c>
      <c r="I24" s="9">
        <v>13</v>
      </c>
      <c r="J24" s="9">
        <v>5</v>
      </c>
      <c r="K24" s="9">
        <v>1</v>
      </c>
      <c r="L24" s="16">
        <v>45.7166666666667</v>
      </c>
      <c r="M24" s="9">
        <v>0</v>
      </c>
      <c r="Q24" s="17"/>
      <c r="R24" s="17"/>
      <c r="S24" s="19"/>
      <c r="T24" s="19"/>
      <c r="U24" s="20"/>
      <c r="V24" s="20"/>
      <c r="W24" s="21"/>
      <c r="X24" s="20"/>
      <c r="Y24" s="20"/>
      <c r="Z24" s="20"/>
      <c r="AA24" s="23"/>
      <c r="AB24" s="20"/>
    </row>
    <row r="25" spans="2:28">
      <c r="B25" s="9" t="s">
        <v>151</v>
      </c>
      <c r="C25" s="9" t="s">
        <v>154</v>
      </c>
      <c r="D25" s="9" t="s">
        <v>155</v>
      </c>
      <c r="E25" s="9" t="s">
        <v>901</v>
      </c>
      <c r="F25" s="9">
        <v>127</v>
      </c>
      <c r="G25" s="9">
        <v>66</v>
      </c>
      <c r="H25" s="15">
        <v>0.519685039370079</v>
      </c>
      <c r="I25" s="9">
        <v>19</v>
      </c>
      <c r="J25" s="9">
        <v>9</v>
      </c>
      <c r="K25" s="9">
        <v>0</v>
      </c>
      <c r="L25" s="16">
        <v>36.35</v>
      </c>
      <c r="M25" s="9">
        <v>0</v>
      </c>
      <c r="Q25" s="17"/>
      <c r="R25" s="17"/>
      <c r="S25" s="19"/>
      <c r="T25" s="19"/>
      <c r="U25" s="20"/>
      <c r="V25" s="20"/>
      <c r="W25" s="21"/>
      <c r="X25" s="20"/>
      <c r="Y25" s="20"/>
      <c r="Z25" s="20"/>
      <c r="AA25" s="23"/>
      <c r="AB25" s="20"/>
    </row>
    <row r="26" spans="2:28">
      <c r="B26" s="9" t="s">
        <v>151</v>
      </c>
      <c r="C26" s="9" t="s">
        <v>154</v>
      </c>
      <c r="D26" s="9" t="s">
        <v>161</v>
      </c>
      <c r="E26" s="9" t="s">
        <v>899</v>
      </c>
      <c r="F26" s="9">
        <v>341</v>
      </c>
      <c r="G26" s="9">
        <v>146</v>
      </c>
      <c r="H26" s="15">
        <v>0.428152492668622</v>
      </c>
      <c r="I26" s="9">
        <v>31</v>
      </c>
      <c r="J26" s="9">
        <v>19</v>
      </c>
      <c r="K26" s="9">
        <v>2</v>
      </c>
      <c r="L26" s="16">
        <v>77.7666666666667</v>
      </c>
      <c r="M26" s="9">
        <v>0</v>
      </c>
      <c r="Q26" s="17"/>
      <c r="R26" s="17"/>
      <c r="S26" s="19"/>
      <c r="T26" s="19"/>
      <c r="U26" s="20"/>
      <c r="V26" s="20"/>
      <c r="W26" s="21"/>
      <c r="X26" s="20"/>
      <c r="Y26" s="20"/>
      <c r="Z26" s="20"/>
      <c r="AA26" s="23"/>
      <c r="AB26" s="20"/>
    </row>
    <row r="27" spans="2:28">
      <c r="B27" s="9" t="s">
        <v>151</v>
      </c>
      <c r="C27" s="9" t="s">
        <v>154</v>
      </c>
      <c r="D27" s="9" t="s">
        <v>163</v>
      </c>
      <c r="E27" s="9" t="s">
        <v>898</v>
      </c>
      <c r="F27" s="9">
        <v>119</v>
      </c>
      <c r="G27" s="9">
        <v>50</v>
      </c>
      <c r="H27" s="15">
        <v>0.420168067226891</v>
      </c>
      <c r="I27" s="9">
        <v>21</v>
      </c>
      <c r="J27" s="9">
        <v>12</v>
      </c>
      <c r="K27" s="9">
        <v>2</v>
      </c>
      <c r="L27" s="16">
        <v>38.05</v>
      </c>
      <c r="M27" s="9">
        <v>0</v>
      </c>
      <c r="Q27" s="17"/>
      <c r="R27" s="17"/>
      <c r="S27" s="19"/>
      <c r="T27" s="19"/>
      <c r="U27" s="20"/>
      <c r="V27" s="20"/>
      <c r="W27" s="21"/>
      <c r="X27" s="20"/>
      <c r="Y27" s="20"/>
      <c r="Z27" s="20"/>
      <c r="AA27" s="23"/>
      <c r="AB27" s="20"/>
    </row>
    <row r="28" spans="2:28">
      <c r="B28" s="9" t="s">
        <v>151</v>
      </c>
      <c r="C28" s="9" t="s">
        <v>154</v>
      </c>
      <c r="D28" s="9" t="s">
        <v>158</v>
      </c>
      <c r="E28" s="9" t="s">
        <v>903</v>
      </c>
      <c r="F28" s="9">
        <v>69</v>
      </c>
      <c r="G28" s="9">
        <v>33</v>
      </c>
      <c r="H28" s="15">
        <v>0.478260869565217</v>
      </c>
      <c r="I28" s="9">
        <v>27</v>
      </c>
      <c r="J28" s="9">
        <v>5</v>
      </c>
      <c r="K28" s="9">
        <v>1</v>
      </c>
      <c r="L28" s="16">
        <v>26.4333333333333</v>
      </c>
      <c r="M28" s="9">
        <v>1</v>
      </c>
      <c r="Q28" s="17"/>
      <c r="R28" s="17"/>
      <c r="S28" s="19"/>
      <c r="T28" s="19"/>
      <c r="U28" s="20"/>
      <c r="V28" s="20"/>
      <c r="W28" s="21"/>
      <c r="X28" s="20"/>
      <c r="Y28" s="20"/>
      <c r="Z28" s="20"/>
      <c r="AA28" s="23"/>
      <c r="AB28" s="20"/>
    </row>
    <row r="29" spans="2:28">
      <c r="B29" s="9" t="s">
        <v>151</v>
      </c>
      <c r="C29" s="9" t="s">
        <v>154</v>
      </c>
      <c r="D29" s="9" t="s">
        <v>152</v>
      </c>
      <c r="E29" s="9" t="s">
        <v>902</v>
      </c>
      <c r="F29" s="9">
        <v>62</v>
      </c>
      <c r="G29" s="9">
        <v>30</v>
      </c>
      <c r="H29" s="15">
        <v>0.483870967741935</v>
      </c>
      <c r="I29" s="9">
        <v>30</v>
      </c>
      <c r="J29" s="9">
        <v>6</v>
      </c>
      <c r="K29" s="9">
        <v>0</v>
      </c>
      <c r="L29" s="16">
        <v>15.2166666666667</v>
      </c>
      <c r="M29" s="9">
        <v>3</v>
      </c>
      <c r="Q29" s="17"/>
      <c r="R29" s="17"/>
      <c r="S29" s="19"/>
      <c r="T29" s="19"/>
      <c r="U29" s="20"/>
      <c r="V29" s="20"/>
      <c r="W29" s="21"/>
      <c r="X29" s="20"/>
      <c r="Y29" s="20"/>
      <c r="Z29" s="20"/>
      <c r="AA29" s="23"/>
      <c r="AB29" s="20"/>
    </row>
    <row r="30" spans="2:28">
      <c r="B30" s="9" t="s">
        <v>151</v>
      </c>
      <c r="C30" s="9" t="s">
        <v>154</v>
      </c>
      <c r="D30" s="9" t="s">
        <v>169</v>
      </c>
      <c r="E30" s="9" t="s">
        <v>900</v>
      </c>
      <c r="F30" s="9">
        <v>181</v>
      </c>
      <c r="G30" s="9">
        <v>112</v>
      </c>
      <c r="H30" s="15">
        <v>0.61878453038674</v>
      </c>
      <c r="I30" s="9">
        <v>35</v>
      </c>
      <c r="J30" s="9">
        <v>24</v>
      </c>
      <c r="K30" s="9">
        <v>2</v>
      </c>
      <c r="L30" s="16">
        <v>82.7</v>
      </c>
      <c r="M30" s="9">
        <v>0</v>
      </c>
      <c r="Q30" s="17"/>
      <c r="R30" s="17"/>
      <c r="S30" s="19"/>
      <c r="T30" s="19"/>
      <c r="U30" s="20"/>
      <c r="V30" s="20"/>
      <c r="W30" s="21"/>
      <c r="X30" s="20"/>
      <c r="Y30" s="20"/>
      <c r="Z30" s="20"/>
      <c r="AA30" s="23"/>
      <c r="AB30" s="20"/>
    </row>
    <row r="31" spans="2:28">
      <c r="B31" s="9" t="s">
        <v>224</v>
      </c>
      <c r="C31" s="9" t="s">
        <v>227</v>
      </c>
      <c r="D31" s="9" t="s">
        <v>231</v>
      </c>
      <c r="E31" s="9" t="s">
        <v>902</v>
      </c>
      <c r="F31" s="9">
        <v>129</v>
      </c>
      <c r="G31" s="9">
        <v>66</v>
      </c>
      <c r="H31" s="15">
        <v>0.511627906976744</v>
      </c>
      <c r="I31" s="9">
        <v>35</v>
      </c>
      <c r="J31" s="9">
        <v>16</v>
      </c>
      <c r="K31" s="9">
        <v>2</v>
      </c>
      <c r="L31" s="16">
        <v>47.2</v>
      </c>
      <c r="M31" s="9">
        <v>1</v>
      </c>
      <c r="Q31" s="18"/>
      <c r="R31" s="17"/>
      <c r="S31" s="19"/>
      <c r="T31" s="19"/>
      <c r="U31" s="20"/>
      <c r="V31" s="20"/>
      <c r="W31" s="21"/>
      <c r="X31" s="20"/>
      <c r="Y31" s="20"/>
      <c r="Z31" s="20"/>
      <c r="AA31" s="23"/>
      <c r="AB31" s="20"/>
    </row>
    <row r="32" spans="2:28">
      <c r="B32" s="9" t="s">
        <v>224</v>
      </c>
      <c r="C32" s="9" t="s">
        <v>227</v>
      </c>
      <c r="D32" s="9" t="s">
        <v>242</v>
      </c>
      <c r="E32" s="9" t="s">
        <v>898</v>
      </c>
      <c r="F32" s="9">
        <v>226</v>
      </c>
      <c r="G32" s="9">
        <v>115</v>
      </c>
      <c r="H32" s="15">
        <v>0.508849557522124</v>
      </c>
      <c r="I32" s="9">
        <v>33</v>
      </c>
      <c r="J32" s="9">
        <v>18</v>
      </c>
      <c r="K32" s="9">
        <v>2</v>
      </c>
      <c r="L32" s="16">
        <v>67.9666666666667</v>
      </c>
      <c r="M32" s="9">
        <v>1</v>
      </c>
      <c r="Q32" s="17"/>
      <c r="R32" s="17"/>
      <c r="S32" s="19"/>
      <c r="T32" s="19"/>
      <c r="U32" s="20"/>
      <c r="V32" s="20"/>
      <c r="W32" s="21"/>
      <c r="X32" s="20"/>
      <c r="Y32" s="20"/>
      <c r="Z32" s="20"/>
      <c r="AA32" s="23"/>
      <c r="AB32" s="20"/>
    </row>
    <row r="33" spans="2:28">
      <c r="B33" s="9" t="s">
        <v>224</v>
      </c>
      <c r="C33" s="9" t="s">
        <v>227</v>
      </c>
      <c r="D33" s="9" t="s">
        <v>237</v>
      </c>
      <c r="E33" s="9" t="s">
        <v>902</v>
      </c>
      <c r="F33" s="9">
        <v>280</v>
      </c>
      <c r="G33" s="9">
        <v>138</v>
      </c>
      <c r="H33" s="15">
        <v>0.492857142857143</v>
      </c>
      <c r="I33" s="9">
        <v>35</v>
      </c>
      <c r="J33" s="9">
        <v>18</v>
      </c>
      <c r="K33" s="9">
        <v>0</v>
      </c>
      <c r="L33" s="16">
        <v>68.8166666666667</v>
      </c>
      <c r="M33" s="9">
        <v>0</v>
      </c>
      <c r="Q33" s="17"/>
      <c r="R33" s="17"/>
      <c r="S33" s="19"/>
      <c r="T33" s="19"/>
      <c r="U33" s="20"/>
      <c r="V33" s="20"/>
      <c r="W33" s="21"/>
      <c r="X33" s="20"/>
      <c r="Y33" s="20"/>
      <c r="Z33" s="20"/>
      <c r="AA33" s="23"/>
      <c r="AB33" s="20"/>
    </row>
    <row r="34" spans="2:28">
      <c r="B34" s="9" t="s">
        <v>224</v>
      </c>
      <c r="C34" s="9" t="s">
        <v>227</v>
      </c>
      <c r="D34" s="9" t="s">
        <v>245</v>
      </c>
      <c r="E34" s="9" t="s">
        <v>903</v>
      </c>
      <c r="F34" s="9">
        <v>133</v>
      </c>
      <c r="G34" s="9">
        <v>55</v>
      </c>
      <c r="H34" s="15">
        <v>0.413533834586466</v>
      </c>
      <c r="I34" s="9">
        <v>15</v>
      </c>
      <c r="J34" s="9">
        <v>8</v>
      </c>
      <c r="K34" s="9">
        <v>3</v>
      </c>
      <c r="L34" s="16">
        <v>42</v>
      </c>
      <c r="M34" s="9">
        <v>1</v>
      </c>
      <c r="Q34" s="17"/>
      <c r="R34" s="17"/>
      <c r="S34" s="19"/>
      <c r="T34" s="19"/>
      <c r="U34" s="20"/>
      <c r="V34" s="20"/>
      <c r="W34" s="21"/>
      <c r="X34" s="20"/>
      <c r="Y34" s="20"/>
      <c r="Z34" s="20"/>
      <c r="AA34" s="23"/>
      <c r="AB34" s="20"/>
    </row>
    <row r="35" spans="2:28">
      <c r="B35" s="9" t="s">
        <v>224</v>
      </c>
      <c r="C35" s="9" t="s">
        <v>227</v>
      </c>
      <c r="D35" s="9" t="s">
        <v>235</v>
      </c>
      <c r="E35" s="9" t="s">
        <v>902</v>
      </c>
      <c r="F35" s="9">
        <v>292</v>
      </c>
      <c r="G35" s="9">
        <v>120</v>
      </c>
      <c r="H35" s="15">
        <v>0.410958904109589</v>
      </c>
      <c r="I35" s="9">
        <v>28</v>
      </c>
      <c r="J35" s="9">
        <v>15</v>
      </c>
      <c r="K35" s="9">
        <v>0</v>
      </c>
      <c r="L35" s="16">
        <v>59.4166666666667</v>
      </c>
      <c r="M35" s="9">
        <v>0</v>
      </c>
      <c r="Q35" s="17"/>
      <c r="R35" s="17"/>
      <c r="S35" s="19"/>
      <c r="T35" s="19"/>
      <c r="U35" s="20"/>
      <c r="V35" s="20"/>
      <c r="W35" s="21"/>
      <c r="X35" s="20"/>
      <c r="Y35" s="20"/>
      <c r="Z35" s="20"/>
      <c r="AA35" s="23"/>
      <c r="AB35" s="20"/>
    </row>
    <row r="36" spans="2:28">
      <c r="B36" s="9" t="s">
        <v>224</v>
      </c>
      <c r="C36" s="9" t="s">
        <v>227</v>
      </c>
      <c r="D36" s="9" t="s">
        <v>239</v>
      </c>
      <c r="E36" s="9" t="s">
        <v>903</v>
      </c>
      <c r="F36" s="9">
        <v>178</v>
      </c>
      <c r="G36" s="9">
        <v>89</v>
      </c>
      <c r="H36" s="15">
        <v>0.5</v>
      </c>
      <c r="I36" s="9">
        <v>37</v>
      </c>
      <c r="J36" s="9">
        <v>24</v>
      </c>
      <c r="K36" s="9">
        <v>1</v>
      </c>
      <c r="L36" s="16">
        <v>63.9833333333333</v>
      </c>
      <c r="M36" s="9">
        <v>1</v>
      </c>
      <c r="Q36" s="18"/>
      <c r="R36" s="17"/>
      <c r="S36" s="19"/>
      <c r="T36" s="19"/>
      <c r="U36" s="20"/>
      <c r="V36" s="20"/>
      <c r="W36" s="21"/>
      <c r="X36" s="20"/>
      <c r="Y36" s="20"/>
      <c r="Z36" s="20"/>
      <c r="AA36" s="23"/>
      <c r="AB36" s="20"/>
    </row>
    <row r="37" spans="2:28">
      <c r="B37" s="9" t="s">
        <v>224</v>
      </c>
      <c r="C37" s="9" t="s">
        <v>227</v>
      </c>
      <c r="D37" s="9" t="s">
        <v>228</v>
      </c>
      <c r="E37" s="9" t="s">
        <v>902</v>
      </c>
      <c r="F37" s="9">
        <v>170</v>
      </c>
      <c r="G37" s="9">
        <v>74</v>
      </c>
      <c r="H37" s="15">
        <v>0.435294117647059</v>
      </c>
      <c r="I37" s="9">
        <v>30</v>
      </c>
      <c r="J37" s="9">
        <v>12</v>
      </c>
      <c r="K37" s="9">
        <v>0</v>
      </c>
      <c r="L37" s="16">
        <v>44.9666666666667</v>
      </c>
      <c r="M37" s="9">
        <v>0</v>
      </c>
      <c r="Q37" s="17"/>
      <c r="R37" s="17"/>
      <c r="S37" s="19"/>
      <c r="T37" s="19"/>
      <c r="U37" s="20"/>
      <c r="V37" s="20"/>
      <c r="W37" s="21"/>
      <c r="X37" s="20"/>
      <c r="Y37" s="20"/>
      <c r="Z37" s="20"/>
      <c r="AA37" s="23"/>
      <c r="AB37" s="20"/>
    </row>
    <row r="38" spans="2:28">
      <c r="B38" s="9" t="s">
        <v>224</v>
      </c>
      <c r="C38" s="9" t="s">
        <v>227</v>
      </c>
      <c r="D38" s="9" t="s">
        <v>225</v>
      </c>
      <c r="E38" s="9" t="s">
        <v>900</v>
      </c>
      <c r="F38" s="9">
        <v>77</v>
      </c>
      <c r="G38" s="9">
        <v>45</v>
      </c>
      <c r="H38" s="15">
        <v>0.584415584415584</v>
      </c>
      <c r="I38" s="9">
        <v>8</v>
      </c>
      <c r="J38" s="9">
        <v>5</v>
      </c>
      <c r="K38" s="9">
        <v>3</v>
      </c>
      <c r="L38" s="16">
        <v>32.85</v>
      </c>
      <c r="M38" s="9">
        <v>1</v>
      </c>
      <c r="Q38" s="17"/>
      <c r="R38" s="17"/>
      <c r="S38" s="19"/>
      <c r="T38" s="19"/>
      <c r="U38" s="20"/>
      <c r="V38" s="20"/>
      <c r="W38" s="21"/>
      <c r="X38" s="20"/>
      <c r="Y38" s="20"/>
      <c r="Z38" s="20"/>
      <c r="AA38" s="23"/>
      <c r="AB38" s="20"/>
    </row>
    <row r="39" spans="2:28">
      <c r="B39" s="9" t="s">
        <v>75</v>
      </c>
      <c r="C39" s="9" t="s">
        <v>79</v>
      </c>
      <c r="D39" s="9" t="s">
        <v>95</v>
      </c>
      <c r="E39" s="9" t="s">
        <v>901</v>
      </c>
      <c r="F39" s="9">
        <v>216</v>
      </c>
      <c r="G39" s="9">
        <v>91</v>
      </c>
      <c r="H39" s="15">
        <v>0.421296296296296</v>
      </c>
      <c r="I39" s="9">
        <v>36</v>
      </c>
      <c r="J39" s="9">
        <v>25</v>
      </c>
      <c r="K39" s="9">
        <v>1</v>
      </c>
      <c r="L39" s="16">
        <v>67.7</v>
      </c>
      <c r="M39" s="9">
        <v>0</v>
      </c>
      <c r="Q39" s="17"/>
      <c r="R39" s="17"/>
      <c r="S39" s="19"/>
      <c r="T39" s="19"/>
      <c r="U39" s="20"/>
      <c r="V39" s="20"/>
      <c r="W39" s="21"/>
      <c r="X39" s="20"/>
      <c r="Y39" s="20"/>
      <c r="Z39" s="20"/>
      <c r="AA39" s="23"/>
      <c r="AB39" s="20"/>
    </row>
    <row r="40" spans="2:28">
      <c r="B40" s="9" t="s">
        <v>75</v>
      </c>
      <c r="C40" s="9" t="s">
        <v>79</v>
      </c>
      <c r="D40" s="9" t="s">
        <v>89</v>
      </c>
      <c r="E40" s="9" t="s">
        <v>902</v>
      </c>
      <c r="F40" s="9">
        <v>149</v>
      </c>
      <c r="G40" s="9">
        <v>58</v>
      </c>
      <c r="H40" s="15">
        <v>0.389261744966443</v>
      </c>
      <c r="I40" s="9">
        <v>25</v>
      </c>
      <c r="J40" s="9">
        <v>9</v>
      </c>
      <c r="K40" s="9">
        <v>1</v>
      </c>
      <c r="L40" s="16">
        <v>41.3166666666667</v>
      </c>
      <c r="M40" s="9">
        <v>0</v>
      </c>
      <c r="Q40" s="17"/>
      <c r="R40" s="17"/>
      <c r="S40" s="19"/>
      <c r="T40" s="19"/>
      <c r="U40" s="20"/>
      <c r="V40" s="20"/>
      <c r="W40" s="21"/>
      <c r="X40" s="20"/>
      <c r="Y40" s="20"/>
      <c r="Z40" s="20"/>
      <c r="AA40" s="23"/>
      <c r="AB40" s="20"/>
    </row>
    <row r="41" spans="2:28">
      <c r="B41" s="9" t="s">
        <v>75</v>
      </c>
      <c r="C41" s="9" t="s">
        <v>79</v>
      </c>
      <c r="D41" s="9" t="s">
        <v>86</v>
      </c>
      <c r="E41" s="9" t="s">
        <v>902</v>
      </c>
      <c r="F41" s="9">
        <v>157</v>
      </c>
      <c r="G41" s="9">
        <v>63</v>
      </c>
      <c r="H41" s="15">
        <v>0.401273885350318</v>
      </c>
      <c r="I41" s="9">
        <v>35</v>
      </c>
      <c r="J41" s="9">
        <v>22</v>
      </c>
      <c r="K41" s="9">
        <v>5</v>
      </c>
      <c r="L41" s="16">
        <v>70.1333333333333</v>
      </c>
      <c r="M41" s="9">
        <v>0</v>
      </c>
      <c r="Q41" s="17"/>
      <c r="R41" s="17"/>
      <c r="S41" s="19"/>
      <c r="T41" s="19"/>
      <c r="U41" s="20"/>
      <c r="V41" s="20"/>
      <c r="W41" s="21"/>
      <c r="X41" s="20"/>
      <c r="Y41" s="20"/>
      <c r="Z41" s="20"/>
      <c r="AA41" s="23"/>
      <c r="AB41" s="20"/>
    </row>
    <row r="42" spans="2:28">
      <c r="B42" s="9" t="s">
        <v>75</v>
      </c>
      <c r="C42" s="9" t="s">
        <v>79</v>
      </c>
      <c r="D42" s="9" t="s">
        <v>92</v>
      </c>
      <c r="E42" s="9" t="s">
        <v>902</v>
      </c>
      <c r="F42" s="9">
        <v>159</v>
      </c>
      <c r="G42" s="9">
        <v>39</v>
      </c>
      <c r="H42" s="15">
        <v>0.245283018867925</v>
      </c>
      <c r="I42" s="9">
        <v>22</v>
      </c>
      <c r="J42" s="9">
        <v>14</v>
      </c>
      <c r="K42" s="9">
        <v>3</v>
      </c>
      <c r="L42" s="16">
        <v>49.5333333333333</v>
      </c>
      <c r="M42" s="9">
        <v>0</v>
      </c>
      <c r="Q42" s="17"/>
      <c r="R42" s="17"/>
      <c r="S42" s="19"/>
      <c r="T42" s="19"/>
      <c r="U42" s="20"/>
      <c r="V42" s="20"/>
      <c r="W42" s="21"/>
      <c r="X42" s="20"/>
      <c r="Y42" s="20"/>
      <c r="Z42" s="20"/>
      <c r="AA42" s="23"/>
      <c r="AB42" s="20"/>
    </row>
    <row r="43" spans="2:28">
      <c r="B43" s="9" t="s">
        <v>75</v>
      </c>
      <c r="C43" s="9" t="s">
        <v>79</v>
      </c>
      <c r="D43" s="9" t="s">
        <v>76</v>
      </c>
      <c r="E43" s="9" t="s">
        <v>904</v>
      </c>
      <c r="F43" s="9">
        <v>183</v>
      </c>
      <c r="G43" s="9">
        <v>88</v>
      </c>
      <c r="H43" s="15">
        <v>0.480874316939891</v>
      </c>
      <c r="I43" s="9">
        <v>17</v>
      </c>
      <c r="J43" s="9">
        <v>11</v>
      </c>
      <c r="K43" s="9">
        <v>3</v>
      </c>
      <c r="L43" s="16">
        <v>58.7833333333333</v>
      </c>
      <c r="M43" s="9">
        <v>0</v>
      </c>
      <c r="Q43" s="17"/>
      <c r="R43" s="17"/>
      <c r="S43" s="19"/>
      <c r="T43" s="19"/>
      <c r="U43" s="20"/>
      <c r="V43" s="20"/>
      <c r="W43" s="21"/>
      <c r="X43" s="20"/>
      <c r="Y43" s="20"/>
      <c r="Z43" s="20"/>
      <c r="AA43" s="23"/>
      <c r="AB43" s="20"/>
    </row>
    <row r="44" spans="2:28">
      <c r="B44" s="9" t="s">
        <v>75</v>
      </c>
      <c r="C44" s="9" t="s">
        <v>79</v>
      </c>
      <c r="D44" s="9" t="s">
        <v>80</v>
      </c>
      <c r="E44" s="9" t="s">
        <v>899</v>
      </c>
      <c r="F44" s="9">
        <v>134</v>
      </c>
      <c r="G44" s="9">
        <v>54</v>
      </c>
      <c r="H44" s="15">
        <v>0.402985074626866</v>
      </c>
      <c r="I44" s="9">
        <v>30</v>
      </c>
      <c r="J44" s="9">
        <v>14</v>
      </c>
      <c r="K44" s="9">
        <v>1</v>
      </c>
      <c r="L44" s="16">
        <v>43.1666666666667</v>
      </c>
      <c r="M44" s="9">
        <v>0</v>
      </c>
      <c r="Q44" s="18"/>
      <c r="R44" s="17"/>
      <c r="S44" s="19"/>
      <c r="T44" s="19"/>
      <c r="U44" s="20"/>
      <c r="V44" s="20"/>
      <c r="W44" s="21"/>
      <c r="X44" s="20"/>
      <c r="Y44" s="20"/>
      <c r="Z44" s="20"/>
      <c r="AA44" s="23"/>
      <c r="AB44" s="20"/>
    </row>
    <row r="45" spans="2:28">
      <c r="B45" s="9" t="s">
        <v>75</v>
      </c>
      <c r="C45" s="9" t="s">
        <v>79</v>
      </c>
      <c r="D45" s="9" t="s">
        <v>83</v>
      </c>
      <c r="E45" s="9" t="s">
        <v>899</v>
      </c>
      <c r="F45" s="9">
        <v>136</v>
      </c>
      <c r="G45" s="9">
        <v>63</v>
      </c>
      <c r="H45" s="15">
        <v>0.463235294117647</v>
      </c>
      <c r="I45" s="9">
        <v>11</v>
      </c>
      <c r="J45" s="9">
        <v>3</v>
      </c>
      <c r="K45" s="9">
        <v>0</v>
      </c>
      <c r="L45" s="16">
        <v>25.4333333333333</v>
      </c>
      <c r="M45" s="9">
        <v>0</v>
      </c>
      <c r="Q45" s="17"/>
      <c r="R45" s="17"/>
      <c r="S45" s="19"/>
      <c r="T45" s="19"/>
      <c r="U45" s="20"/>
      <c r="V45" s="20"/>
      <c r="W45" s="21"/>
      <c r="X45" s="20"/>
      <c r="Y45" s="20"/>
      <c r="Z45" s="20"/>
      <c r="AA45" s="23"/>
      <c r="AB45" s="20"/>
    </row>
    <row r="46" spans="2:28">
      <c r="B46" s="9" t="s">
        <v>75</v>
      </c>
      <c r="C46" s="9" t="s">
        <v>79</v>
      </c>
      <c r="D46" s="9" t="s">
        <v>98</v>
      </c>
      <c r="E46" s="9" t="s">
        <v>901</v>
      </c>
      <c r="F46" s="9">
        <v>246</v>
      </c>
      <c r="G46" s="9">
        <v>126</v>
      </c>
      <c r="H46" s="15">
        <v>0.51219512195122</v>
      </c>
      <c r="I46" s="9">
        <v>19</v>
      </c>
      <c r="J46" s="9">
        <v>10</v>
      </c>
      <c r="K46" s="9">
        <v>0</v>
      </c>
      <c r="L46" s="16">
        <v>58.1333333333333</v>
      </c>
      <c r="M46" s="9">
        <v>0</v>
      </c>
      <c r="Q46" s="17"/>
      <c r="R46" s="17"/>
      <c r="S46" s="19"/>
      <c r="T46" s="19"/>
      <c r="U46" s="20"/>
      <c r="V46" s="20"/>
      <c r="W46" s="21"/>
      <c r="X46" s="20"/>
      <c r="Y46" s="20"/>
      <c r="Z46" s="20"/>
      <c r="AA46" s="23"/>
      <c r="AB46" s="20"/>
    </row>
    <row r="47" spans="2:28">
      <c r="B47" s="9" t="s">
        <v>547</v>
      </c>
      <c r="C47" s="9" t="s">
        <v>550</v>
      </c>
      <c r="D47" s="9" t="s">
        <v>563</v>
      </c>
      <c r="E47" s="9" t="s">
        <v>902</v>
      </c>
      <c r="F47" s="9">
        <v>140</v>
      </c>
      <c r="G47" s="9">
        <v>69</v>
      </c>
      <c r="H47" s="15">
        <v>0.492857142857143</v>
      </c>
      <c r="I47" s="9">
        <v>23</v>
      </c>
      <c r="J47" s="9">
        <v>11</v>
      </c>
      <c r="K47" s="9">
        <v>2</v>
      </c>
      <c r="L47" s="16">
        <v>44.75</v>
      </c>
      <c r="M47" s="9">
        <v>0</v>
      </c>
      <c r="Q47" s="17"/>
      <c r="R47" s="17"/>
      <c r="S47" s="19"/>
      <c r="T47" s="19"/>
      <c r="U47" s="20"/>
      <c r="V47" s="20"/>
      <c r="W47" s="21"/>
      <c r="X47" s="20"/>
      <c r="Y47" s="20"/>
      <c r="Z47" s="20"/>
      <c r="AA47" s="23"/>
      <c r="AB47" s="20"/>
    </row>
    <row r="48" spans="2:28">
      <c r="B48" s="9" t="s">
        <v>547</v>
      </c>
      <c r="C48" s="9" t="s">
        <v>550</v>
      </c>
      <c r="D48" s="9" t="s">
        <v>554</v>
      </c>
      <c r="E48" s="9" t="s">
        <v>901</v>
      </c>
      <c r="F48" s="9">
        <v>45</v>
      </c>
      <c r="G48" s="9">
        <v>21</v>
      </c>
      <c r="H48" s="15">
        <v>0.466666666666667</v>
      </c>
      <c r="I48" s="9">
        <v>5</v>
      </c>
      <c r="J48" s="9">
        <v>4</v>
      </c>
      <c r="K48" s="9">
        <v>0</v>
      </c>
      <c r="L48" s="16">
        <v>11.2</v>
      </c>
      <c r="M48" s="9">
        <v>0</v>
      </c>
      <c r="Q48" s="17"/>
      <c r="R48" s="17"/>
      <c r="S48" s="19"/>
      <c r="T48" s="19"/>
      <c r="U48" s="20"/>
      <c r="V48" s="20"/>
      <c r="W48" s="21"/>
      <c r="X48" s="20"/>
      <c r="Y48" s="20"/>
      <c r="Z48" s="20"/>
      <c r="AA48" s="23"/>
      <c r="AB48" s="20"/>
    </row>
    <row r="49" spans="2:28">
      <c r="B49" s="9" t="s">
        <v>547</v>
      </c>
      <c r="C49" s="9" t="s">
        <v>550</v>
      </c>
      <c r="D49" s="9" t="s">
        <v>561</v>
      </c>
      <c r="E49" s="9" t="s">
        <v>902</v>
      </c>
      <c r="F49" s="9">
        <v>120</v>
      </c>
      <c r="G49" s="9">
        <v>55</v>
      </c>
      <c r="H49" s="15">
        <v>0.458333333333333</v>
      </c>
      <c r="I49" s="9">
        <v>19</v>
      </c>
      <c r="J49" s="9">
        <v>9</v>
      </c>
      <c r="K49" s="9">
        <v>0</v>
      </c>
      <c r="L49" s="16">
        <v>32.4166666666667</v>
      </c>
      <c r="M49" s="9">
        <v>0</v>
      </c>
      <c r="Q49" s="17"/>
      <c r="R49" s="17"/>
      <c r="S49" s="19"/>
      <c r="T49" s="19"/>
      <c r="U49" s="20"/>
      <c r="V49" s="20"/>
      <c r="W49" s="21"/>
      <c r="X49" s="20"/>
      <c r="Y49" s="20"/>
      <c r="Z49" s="20"/>
      <c r="AA49" s="23"/>
      <c r="AB49" s="20"/>
    </row>
    <row r="50" spans="2:28">
      <c r="B50" s="9" t="s">
        <v>547</v>
      </c>
      <c r="C50" s="9" t="s">
        <v>550</v>
      </c>
      <c r="D50" s="9" t="s">
        <v>548</v>
      </c>
      <c r="E50" s="9" t="s">
        <v>902</v>
      </c>
      <c r="F50" s="9">
        <v>101</v>
      </c>
      <c r="G50" s="9">
        <v>56</v>
      </c>
      <c r="H50" s="15">
        <v>0.554455445544555</v>
      </c>
      <c r="I50" s="9">
        <v>20</v>
      </c>
      <c r="J50" s="9">
        <v>10</v>
      </c>
      <c r="K50" s="9">
        <v>0</v>
      </c>
      <c r="L50" s="16">
        <v>37.6166666666667</v>
      </c>
      <c r="M50" s="9">
        <v>1</v>
      </c>
      <c r="Q50" s="17"/>
      <c r="R50" s="17"/>
      <c r="S50" s="19"/>
      <c r="T50" s="19"/>
      <c r="U50" s="20"/>
      <c r="V50" s="20"/>
      <c r="W50" s="21"/>
      <c r="X50" s="20"/>
      <c r="Y50" s="20"/>
      <c r="Z50" s="20"/>
      <c r="AA50" s="23"/>
      <c r="AB50" s="20"/>
    </row>
    <row r="51" spans="2:28">
      <c r="B51" s="9" t="s">
        <v>547</v>
      </c>
      <c r="C51" s="9" t="s">
        <v>550</v>
      </c>
      <c r="D51" s="9" t="s">
        <v>551</v>
      </c>
      <c r="E51" s="9" t="s">
        <v>899</v>
      </c>
      <c r="F51" s="9">
        <v>130</v>
      </c>
      <c r="G51" s="9">
        <v>63</v>
      </c>
      <c r="H51" s="15">
        <v>0.484615384615385</v>
      </c>
      <c r="I51" s="9">
        <v>26</v>
      </c>
      <c r="J51" s="9">
        <v>17</v>
      </c>
      <c r="K51" s="9">
        <v>2</v>
      </c>
      <c r="L51" s="16">
        <v>48.0166666666667</v>
      </c>
      <c r="M51" s="9">
        <v>0</v>
      </c>
      <c r="Q51" s="17"/>
      <c r="R51" s="17"/>
      <c r="S51" s="19"/>
      <c r="T51" s="19"/>
      <c r="U51" s="20"/>
      <c r="V51" s="20"/>
      <c r="W51" s="21"/>
      <c r="X51" s="20"/>
      <c r="Y51" s="20"/>
      <c r="Z51" s="20"/>
      <c r="AA51" s="23"/>
      <c r="AB51" s="20"/>
    </row>
    <row r="52" spans="2:28">
      <c r="B52" s="9" t="s">
        <v>547</v>
      </c>
      <c r="C52" s="9" t="s">
        <v>550</v>
      </c>
      <c r="D52" s="9" t="s">
        <v>556</v>
      </c>
      <c r="E52" s="9" t="s">
        <v>899</v>
      </c>
      <c r="F52" s="9">
        <v>134</v>
      </c>
      <c r="G52" s="9">
        <v>67</v>
      </c>
      <c r="H52" s="15">
        <v>0.5</v>
      </c>
      <c r="I52" s="9">
        <v>22</v>
      </c>
      <c r="J52" s="9">
        <v>7</v>
      </c>
      <c r="K52" s="9">
        <v>0</v>
      </c>
      <c r="L52" s="16">
        <v>32.1166666666667</v>
      </c>
      <c r="M52" s="9">
        <v>2</v>
      </c>
      <c r="Q52" s="17"/>
      <c r="R52" s="17"/>
      <c r="S52" s="19"/>
      <c r="T52" s="19"/>
      <c r="U52" s="20"/>
      <c r="V52" s="20"/>
      <c r="W52" s="21"/>
      <c r="X52" s="20"/>
      <c r="Y52" s="20"/>
      <c r="Z52" s="20"/>
      <c r="AA52" s="23"/>
      <c r="AB52" s="20"/>
    </row>
    <row r="53" spans="2:28">
      <c r="B53" s="9" t="s">
        <v>547</v>
      </c>
      <c r="C53" s="9" t="s">
        <v>550</v>
      </c>
      <c r="D53" s="9" t="s">
        <v>569</v>
      </c>
      <c r="E53" s="10" t="s">
        <v>902</v>
      </c>
      <c r="F53" s="10">
        <v>70</v>
      </c>
      <c r="G53" s="10">
        <v>38</v>
      </c>
      <c r="H53" s="15">
        <v>0.542857142857143</v>
      </c>
      <c r="I53" s="10">
        <v>16</v>
      </c>
      <c r="J53" s="10">
        <v>9</v>
      </c>
      <c r="K53" s="10">
        <v>1</v>
      </c>
      <c r="L53" s="10">
        <v>29.1666666666667</v>
      </c>
      <c r="M53" s="10">
        <v>0</v>
      </c>
      <c r="Q53" s="17"/>
      <c r="R53" s="17"/>
      <c r="S53" s="19"/>
      <c r="T53" s="19"/>
      <c r="U53" s="20"/>
      <c r="V53" s="20"/>
      <c r="W53" s="21"/>
      <c r="X53" s="20"/>
      <c r="Y53" s="20"/>
      <c r="Z53" s="20"/>
      <c r="AA53" s="23"/>
      <c r="AB53" s="20"/>
    </row>
    <row r="54" spans="2:28">
      <c r="B54" s="9" t="s">
        <v>547</v>
      </c>
      <c r="C54" s="9" t="s">
        <v>550</v>
      </c>
      <c r="D54" s="9" t="s">
        <v>567</v>
      </c>
      <c r="E54" s="10" t="s">
        <v>902</v>
      </c>
      <c r="F54" s="10">
        <v>90</v>
      </c>
      <c r="G54" s="10">
        <v>39</v>
      </c>
      <c r="H54" s="15">
        <v>0.433333333333333</v>
      </c>
      <c r="I54" s="10">
        <v>9</v>
      </c>
      <c r="J54" s="10">
        <v>6</v>
      </c>
      <c r="K54" s="10">
        <v>1</v>
      </c>
      <c r="L54" s="10">
        <v>25.2333333333333</v>
      </c>
      <c r="M54" s="10">
        <v>0</v>
      </c>
      <c r="Q54" s="18"/>
      <c r="R54" s="17"/>
      <c r="S54" s="19"/>
      <c r="T54" s="19"/>
      <c r="U54" s="20"/>
      <c r="V54" s="20"/>
      <c r="W54" s="21"/>
      <c r="X54" s="20"/>
      <c r="Y54" s="20"/>
      <c r="Z54" s="20"/>
      <c r="AA54" s="23"/>
      <c r="AB54" s="20"/>
    </row>
    <row r="55" spans="2:28">
      <c r="B55" s="9" t="s">
        <v>22</v>
      </c>
      <c r="C55" s="9" t="s">
        <v>295</v>
      </c>
      <c r="D55" s="9" t="s">
        <v>305</v>
      </c>
      <c r="E55" s="10" t="s">
        <v>902</v>
      </c>
      <c r="F55" s="10">
        <v>20</v>
      </c>
      <c r="G55" s="10">
        <v>5</v>
      </c>
      <c r="H55" s="15">
        <v>0.25</v>
      </c>
      <c r="I55" s="10">
        <v>4</v>
      </c>
      <c r="J55" s="10">
        <v>2</v>
      </c>
      <c r="K55" s="10">
        <v>0</v>
      </c>
      <c r="L55" s="10">
        <v>6</v>
      </c>
      <c r="M55" s="10">
        <v>0</v>
      </c>
      <c r="Q55" s="17"/>
      <c r="R55" s="17"/>
      <c r="S55" s="19"/>
      <c r="T55" s="19"/>
      <c r="U55" s="20"/>
      <c r="V55" s="20"/>
      <c r="W55" s="21"/>
      <c r="X55" s="20"/>
      <c r="Y55" s="20"/>
      <c r="Z55" s="20"/>
      <c r="AA55" s="23"/>
      <c r="AB55" s="20"/>
    </row>
    <row r="56" spans="2:28">
      <c r="B56" s="9" t="s">
        <v>22</v>
      </c>
      <c r="C56" s="9" t="s">
        <v>295</v>
      </c>
      <c r="D56" s="9" t="s">
        <v>299</v>
      </c>
      <c r="E56" s="10" t="s">
        <v>904</v>
      </c>
      <c r="F56" s="10">
        <v>14</v>
      </c>
      <c r="G56" s="10">
        <v>5</v>
      </c>
      <c r="H56" s="15">
        <v>0.357142857142857</v>
      </c>
      <c r="I56" s="10">
        <v>4</v>
      </c>
      <c r="J56" s="10">
        <v>4</v>
      </c>
      <c r="K56" s="10">
        <v>0</v>
      </c>
      <c r="L56" s="10">
        <v>8.58333333333333</v>
      </c>
      <c r="M56" s="10">
        <v>0</v>
      </c>
      <c r="Q56" s="17"/>
      <c r="R56" s="17"/>
      <c r="S56" s="19"/>
      <c r="T56" s="19"/>
      <c r="U56" s="20"/>
      <c r="V56" s="20"/>
      <c r="W56" s="21"/>
      <c r="X56" s="20"/>
      <c r="Y56" s="20"/>
      <c r="Z56" s="20"/>
      <c r="AA56" s="23"/>
      <c r="AB56" s="20"/>
    </row>
    <row r="57" spans="2:28">
      <c r="B57" s="9" t="s">
        <v>22</v>
      </c>
      <c r="C57" s="9" t="s">
        <v>295</v>
      </c>
      <c r="D57" s="9" t="s">
        <v>307</v>
      </c>
      <c r="E57" s="10" t="s">
        <v>903</v>
      </c>
      <c r="F57" s="10">
        <v>35</v>
      </c>
      <c r="G57" s="10">
        <v>13</v>
      </c>
      <c r="H57" s="15">
        <v>0.371428571428571</v>
      </c>
      <c r="I57" s="10">
        <v>4</v>
      </c>
      <c r="J57" s="10">
        <v>1</v>
      </c>
      <c r="K57" s="10">
        <v>0</v>
      </c>
      <c r="L57" s="10">
        <v>6.58333333333333</v>
      </c>
      <c r="M57" s="10">
        <v>0</v>
      </c>
      <c r="Q57" s="17"/>
      <c r="R57" s="17"/>
      <c r="S57" s="19"/>
      <c r="T57" s="19"/>
      <c r="U57" s="20"/>
      <c r="V57" s="20"/>
      <c r="W57" s="21"/>
      <c r="X57" s="20"/>
      <c r="Y57" s="20"/>
      <c r="Z57" s="20"/>
      <c r="AA57" s="23"/>
      <c r="AB57" s="20"/>
    </row>
    <row r="58" spans="2:28">
      <c r="B58" s="9" t="s">
        <v>22</v>
      </c>
      <c r="C58" s="9" t="s">
        <v>295</v>
      </c>
      <c r="D58" s="9" t="s">
        <v>293</v>
      </c>
      <c r="E58" s="10" t="s">
        <v>903</v>
      </c>
      <c r="F58" s="10">
        <v>27</v>
      </c>
      <c r="G58" s="10">
        <v>8</v>
      </c>
      <c r="H58" s="15">
        <v>0.296296296296296</v>
      </c>
      <c r="I58" s="31">
        <v>3</v>
      </c>
      <c r="J58" s="10">
        <v>3</v>
      </c>
      <c r="K58" s="10">
        <v>1</v>
      </c>
      <c r="L58" s="10">
        <v>10.5666666666667</v>
      </c>
      <c r="M58" s="10">
        <v>0</v>
      </c>
      <c r="Q58" s="17"/>
      <c r="R58" s="17"/>
      <c r="S58" s="19"/>
      <c r="T58" s="19"/>
      <c r="U58" s="20"/>
      <c r="V58" s="20"/>
      <c r="W58" s="21"/>
      <c r="X58" s="20"/>
      <c r="Y58" s="20"/>
      <c r="Z58" s="20"/>
      <c r="AA58" s="23"/>
      <c r="AB58" s="20"/>
    </row>
    <row r="59" spans="2:28">
      <c r="B59" s="9" t="s">
        <v>22</v>
      </c>
      <c r="C59" s="9" t="s">
        <v>295</v>
      </c>
      <c r="D59" s="9" t="s">
        <v>313</v>
      </c>
      <c r="E59" s="10" t="s">
        <v>899</v>
      </c>
      <c r="F59" s="10">
        <v>10</v>
      </c>
      <c r="G59" s="10">
        <v>3</v>
      </c>
      <c r="H59" s="15">
        <v>0.3</v>
      </c>
      <c r="I59" s="31">
        <v>1</v>
      </c>
      <c r="J59" s="10">
        <v>0</v>
      </c>
      <c r="K59" s="10">
        <v>0</v>
      </c>
      <c r="L59" s="10">
        <v>1.46666666666667</v>
      </c>
      <c r="M59" s="10">
        <v>0</v>
      </c>
      <c r="Q59" s="17"/>
      <c r="R59" s="17"/>
      <c r="S59" s="19"/>
      <c r="T59" s="19"/>
      <c r="U59" s="20"/>
      <c r="V59" s="20"/>
      <c r="W59" s="21"/>
      <c r="X59" s="20"/>
      <c r="Y59" s="20"/>
      <c r="Z59" s="20"/>
      <c r="AA59" s="23"/>
      <c r="AB59" s="20"/>
    </row>
    <row r="60" spans="2:13">
      <c r="B60" s="9" t="s">
        <v>22</v>
      </c>
      <c r="C60" s="9" t="s">
        <v>295</v>
      </c>
      <c r="D60" s="9" t="s">
        <v>296</v>
      </c>
      <c r="E60" s="10" t="s">
        <v>903</v>
      </c>
      <c r="F60" s="10">
        <v>18</v>
      </c>
      <c r="G60" s="10">
        <v>6</v>
      </c>
      <c r="H60" s="15">
        <v>0.333333333333333</v>
      </c>
      <c r="I60" s="9">
        <v>4</v>
      </c>
      <c r="J60" s="9">
        <v>1</v>
      </c>
      <c r="K60" s="9">
        <v>0</v>
      </c>
      <c r="L60" s="16">
        <v>4.36666666666667</v>
      </c>
      <c r="M60" s="9">
        <v>0</v>
      </c>
    </row>
    <row r="61" spans="2:13">
      <c r="B61" s="9" t="s">
        <v>22</v>
      </c>
      <c r="C61" s="9" t="s">
        <v>295</v>
      </c>
      <c r="D61" s="9" t="s">
        <v>302</v>
      </c>
      <c r="E61" s="10" t="s">
        <v>899</v>
      </c>
      <c r="F61" s="10">
        <v>42</v>
      </c>
      <c r="G61" s="10">
        <v>22</v>
      </c>
      <c r="H61" s="15">
        <v>0.523809523809524</v>
      </c>
      <c r="I61" s="9">
        <v>10</v>
      </c>
      <c r="J61" s="9">
        <v>7</v>
      </c>
      <c r="K61" s="9">
        <v>0</v>
      </c>
      <c r="L61" s="16">
        <v>16.8666666666667</v>
      </c>
      <c r="M61" s="9">
        <v>0</v>
      </c>
    </row>
    <row r="62" spans="2:13">
      <c r="B62" s="9" t="s">
        <v>22</v>
      </c>
      <c r="C62" s="9" t="s">
        <v>295</v>
      </c>
      <c r="D62" s="9" t="s">
        <v>310</v>
      </c>
      <c r="E62" s="10" t="s">
        <v>900</v>
      </c>
      <c r="F62" s="10">
        <v>251</v>
      </c>
      <c r="G62" s="10">
        <v>94</v>
      </c>
      <c r="H62" s="15">
        <v>0.374501992031873</v>
      </c>
      <c r="I62" s="9">
        <v>31</v>
      </c>
      <c r="J62" s="9">
        <v>24</v>
      </c>
      <c r="K62" s="9">
        <v>2</v>
      </c>
      <c r="L62" s="16">
        <v>69.6166666666667</v>
      </c>
      <c r="M62" s="9">
        <v>0</v>
      </c>
    </row>
    <row r="63" spans="2:13">
      <c r="B63" s="9"/>
      <c r="C63" s="9"/>
      <c r="D63" s="9"/>
      <c r="E63" s="10"/>
      <c r="F63" s="10"/>
      <c r="G63" s="10"/>
      <c r="H63" s="15"/>
      <c r="I63" s="9"/>
      <c r="J63" s="9"/>
      <c r="K63" s="9"/>
      <c r="L63" s="26"/>
      <c r="M63" s="9"/>
    </row>
    <row r="64" spans="2:13">
      <c r="B64" s="9"/>
      <c r="C64" s="9"/>
      <c r="D64" s="9"/>
      <c r="E64" s="10"/>
      <c r="F64" s="10"/>
      <c r="G64" s="10"/>
      <c r="H64" s="15"/>
      <c r="I64" s="9"/>
      <c r="J64" s="9"/>
      <c r="K64" s="9"/>
      <c r="L64" s="26"/>
      <c r="M64" s="9"/>
    </row>
  </sheetData>
  <conditionalFormatting sqref="P12:V12">
    <cfRule type="colorScale" priority="1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56">
    <cfRule type="colorScale" priority="1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6">
    <cfRule type="colorScale" priority="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56">
    <cfRule type="colorScale" priority="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56">
    <cfRule type="colorScale" priority="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56">
    <cfRule type="colorScale" priority="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57">
    <cfRule type="colorScale" priority="1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7">
    <cfRule type="colorScale" priority="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57">
    <cfRule type="colorScale" priority="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57">
    <cfRule type="colorScale" priority="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57">
    <cfRule type="colorScale" priority="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:E7">
    <cfRule type="colorScale" priority="1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5:I52">
    <cfRule type="colorScale" priority="1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5:I53">
    <cfRule type="colorScale" priority="1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5:I55">
    <cfRule type="colorScale" priority="1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5:I57">
    <cfRule type="colorScale" priority="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5:I59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5:I61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5:I62">
    <cfRule type="colorScale" priority="2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5:I63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5:I6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5:J52">
    <cfRule type="colorScale" priority="1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5:J53">
    <cfRule type="colorScale" priority="1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5:J55">
    <cfRule type="colorScale" priority="1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5:J57">
    <cfRule type="colorScale" priority="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5:J59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5:J61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5:J62">
    <cfRule type="colorScale" priority="2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5:J63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5:J6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5:K52">
    <cfRule type="colorScale" priority="1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5:K53">
    <cfRule type="colorScale" priority="1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5:K55">
    <cfRule type="colorScale" priority="1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5:K57">
    <cfRule type="colorScale" priority="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5:K59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5:K61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5:K62">
    <cfRule type="colorScale" priority="2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5:K63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5:K6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5:L52">
    <cfRule type="colorScale" priority="1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5:L53">
    <cfRule type="colorScale" priority="1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5:L55">
    <cfRule type="colorScale" priority="1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5:L57">
    <cfRule type="colorScale" priority="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5:L59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5:L61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5:L62">
    <cfRule type="colorScale" priority="2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5:L6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5:L6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5:M52">
    <cfRule type="colorScale" priority="1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5:M53">
    <cfRule type="colorScale" priority="1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5:M55">
    <cfRule type="colorScale" priority="1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5:M57">
    <cfRule type="colorScale" priority="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5:M59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5:M61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5:M62">
    <cfRule type="colorScale" priority="2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5:M6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5:M6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:O7">
    <cfRule type="colorScale" priority="1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3:Z8">
    <cfRule type="colorScale" priority="2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:L7">
    <cfRule type="colorScale" priority="1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3:W8">
    <cfRule type="colorScale" priority="1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9:F12 G12:L12">
    <cfRule type="colorScale" priority="1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5:M35 I36:I51 J36:M52">
    <cfRule type="colorScale" priority="16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list" showInputMessage="1" showErrorMessage="1" sqref="A2">
      <formula1>$AB$2:$AG$2</formula1>
    </dataValidation>
  </dataValidation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54"/>
  <sheetViews>
    <sheetView zoomScale="55" zoomScaleNormal="55" workbookViewId="0">
      <selection activeCell="X43" sqref="X43"/>
    </sheetView>
  </sheetViews>
  <sheetFormatPr defaultColWidth="9" defaultRowHeight="16.5"/>
  <cols>
    <col min="1" max="1" width="17.5" style="2" customWidth="1"/>
    <col min="2" max="2" width="12.875" style="2" customWidth="1"/>
    <col min="3" max="3" width="8.5" style="2" customWidth="1"/>
    <col min="4" max="5" width="9.25" style="2" customWidth="1"/>
    <col min="6" max="7" width="8.125" style="2" customWidth="1"/>
    <col min="8" max="8" width="9.25" style="2" customWidth="1"/>
    <col min="9" max="9" width="8.25" style="2" customWidth="1"/>
    <col min="10" max="10" width="9.375" style="2" customWidth="1"/>
    <col min="11" max="11" width="8.875" style="2" customWidth="1"/>
    <col min="12" max="12" width="10.25" style="2" customWidth="1"/>
    <col min="13" max="13" width="12.875" style="2" customWidth="1"/>
    <col min="14" max="21" width="8.375" style="2" customWidth="1"/>
    <col min="22" max="22" width="12.25" style="2" customWidth="1"/>
    <col min="23" max="23" width="8.25" style="2" customWidth="1"/>
    <col min="24" max="24" width="9.375" style="2" customWidth="1"/>
    <col min="25" max="25" width="12.25" style="2" customWidth="1"/>
    <col min="26" max="27" width="12.875" style="2" customWidth="1"/>
    <col min="28" max="33" width="16.625" style="2" customWidth="1"/>
    <col min="34" max="16384" width="9" style="2" customWidth="1"/>
  </cols>
  <sheetData>
    <row r="1" spans="1:27">
      <c r="A1" s="3">
        <f ca="1">TODAY()</f>
        <v>45538</v>
      </c>
      <c r="B1" s="9"/>
      <c r="C1" s="9"/>
      <c r="D1" s="9"/>
      <c r="E1" s="6" t="s">
        <v>905</v>
      </c>
      <c r="F1" s="6"/>
      <c r="G1" s="6"/>
      <c r="H1" s="6"/>
      <c r="I1" s="6"/>
      <c r="J1" s="6"/>
      <c r="K1" s="6"/>
      <c r="L1" s="9"/>
      <c r="M1" s="9"/>
      <c r="N1" s="6" t="s">
        <v>906</v>
      </c>
      <c r="O1" s="6"/>
      <c r="P1" s="6"/>
      <c r="Q1" s="6"/>
      <c r="R1" s="6"/>
      <c r="S1" s="6"/>
      <c r="T1" s="6"/>
      <c r="U1" s="9"/>
      <c r="V1" s="9"/>
      <c r="W1" s="9"/>
      <c r="X1" s="9"/>
      <c r="AA1" s="1"/>
    </row>
    <row r="2" spans="1:33">
      <c r="A2" s="7" t="s">
        <v>907</v>
      </c>
      <c r="B2" s="7" t="s">
        <v>573</v>
      </c>
      <c r="C2" s="7" t="s">
        <v>19</v>
      </c>
      <c r="D2" s="7" t="s">
        <v>888</v>
      </c>
      <c r="E2" s="8" t="s">
        <v>908</v>
      </c>
      <c r="F2" s="8" t="s">
        <v>900</v>
      </c>
      <c r="G2" s="8" t="s">
        <v>902</v>
      </c>
      <c r="H2" s="8" t="s">
        <v>901</v>
      </c>
      <c r="I2" s="8" t="s">
        <v>898</v>
      </c>
      <c r="J2" s="8" t="s">
        <v>903</v>
      </c>
      <c r="K2" s="8" t="s">
        <v>904</v>
      </c>
      <c r="L2" s="8" t="s">
        <v>899</v>
      </c>
      <c r="M2" s="7" t="s">
        <v>909</v>
      </c>
      <c r="N2" s="7" t="s">
        <v>575</v>
      </c>
      <c r="O2" s="6" t="s">
        <v>908</v>
      </c>
      <c r="P2" s="6" t="s">
        <v>900</v>
      </c>
      <c r="Q2" s="8" t="s">
        <v>910</v>
      </c>
      <c r="R2" s="8" t="s">
        <v>901</v>
      </c>
      <c r="S2" s="8" t="s">
        <v>898</v>
      </c>
      <c r="T2" s="8" t="s">
        <v>903</v>
      </c>
      <c r="U2" s="8" t="s">
        <v>904</v>
      </c>
      <c r="V2" s="8" t="s">
        <v>899</v>
      </c>
      <c r="W2" s="7" t="s">
        <v>911</v>
      </c>
      <c r="X2" s="7" t="s">
        <v>912</v>
      </c>
      <c r="Y2" s="7" t="s">
        <v>913</v>
      </c>
      <c r="Z2" s="7" t="s">
        <v>914</v>
      </c>
      <c r="AA2" s="1"/>
      <c r="AB2" s="7" t="s">
        <v>915</v>
      </c>
      <c r="AC2" s="7" t="s">
        <v>916</v>
      </c>
      <c r="AD2" s="7" t="s">
        <v>917</v>
      </c>
      <c r="AE2" s="7" t="s">
        <v>918</v>
      </c>
      <c r="AF2" s="7" t="s">
        <v>919</v>
      </c>
      <c r="AG2" s="7" t="s">
        <v>907</v>
      </c>
    </row>
    <row r="3" spans="1:33">
      <c r="A3" s="9" t="str">
        <f>IF(LEFT(A2,2)="11",AB3,IF(LEFT(A2,2)="12",AC3,IF(LEFT(A2,2)="15",AD3,IF(LEFT(A2,2)="16",AE3,IF(LEFT(A2,2)="17",AF3,IF(LEFT(A2,2)="18",AG3,0))))))</f>
        <v>35个45s有效</v>
      </c>
      <c r="B3" s="9" t="s">
        <v>264</v>
      </c>
      <c r="C3" s="9" t="s">
        <v>268</v>
      </c>
      <c r="D3" s="9">
        <f>COUNTIFS($B$13:$B$266,B3,$F$13:$F$266,"&lt;&gt;0")</f>
        <v>9</v>
      </c>
      <c r="E3" s="10">
        <f>AVERAGEIFS(F14:F167,B14:B167,B3)</f>
        <v>80.3333333333333</v>
      </c>
      <c r="F3" s="10" t="str">
        <f>IFERROR(AVERAGEIFS($F$14:$F$167,$B$14:$B$167,$B3,$E$14:$E$167,F$2),"")</f>
        <v/>
      </c>
      <c r="G3" s="10">
        <f>IFERROR(AVERAGEIFS($F$14:$F$167,$B$14:$B$167,$B3,$E$14:$E$167,G$2),"")</f>
        <v>87</v>
      </c>
      <c r="H3" s="10">
        <f>IFERROR(AVERAGEIFS($F$14:$F$167,$B$14:$B$167,$B3,$E$14:$E$167,H$2),"")</f>
        <v>135.5</v>
      </c>
      <c r="I3" s="10">
        <f>IFERROR(AVERAGEIFS($F$14:$F$167,$B$14:$B$167,$B3,$E$14:$E$167,I$2),"")</f>
        <v>17.5</v>
      </c>
      <c r="J3" s="10">
        <f>IFERROR(AVERAGEIFS($F$14:$F$167,$B$14:$B$167,$B3,$E$14:$E$167,J$2),"")</f>
        <v>78</v>
      </c>
      <c r="K3" s="10" t="str">
        <f>IFERROR(AVERAGEIFS($F$14:$F$167,$B$14:$B$167,$B3,$E$14:$E$167,K$2),"")</f>
        <v/>
      </c>
      <c r="L3" s="10" t="str">
        <f>IFERROR(AVERAGEIFS($F$14:$F$167,$B$14:$B$167,$B3,$E$14:$E$167,L$2),"")</f>
        <v/>
      </c>
      <c r="M3" s="14">
        <f>AVERAGEIFS(G$14:G$48,$B14:$B48,$B3)</f>
        <v>34.6666666666667</v>
      </c>
      <c r="N3" s="15">
        <f>AVERAGEIFS(H$14:H$48,$B$14:$B$48,$B3)</f>
        <v>0.431651882339</v>
      </c>
      <c r="O3" s="14">
        <f>IFERROR(AVERAGEIFS(I$14:I$48,$B$14:$B$48,$B3,$C$14:$C$48,C3),0)</f>
        <v>15</v>
      </c>
      <c r="P3" s="14" t="str">
        <f>IFERROR(AVERAGEIFS($I$14:$I$167,$B$14:$B$167,$B3,$E$14:$E$167,F$2),"")</f>
        <v/>
      </c>
      <c r="Q3" s="14">
        <f>IFERROR(AVERAGEIFS($I$14:$I$167,$B$14:$B$167,$B3,$E$14:$E$167,G$2),"")</f>
        <v>20</v>
      </c>
      <c r="R3" s="14">
        <f>IFERROR(AVERAGEIFS($I$14:$I$167,$B$14:$B$167,$B3,$E$14:$E$167,H$2),"")</f>
        <v>19.5</v>
      </c>
      <c r="S3" s="14">
        <f>IFERROR(AVERAGEIFS($I$14:$I$167,$B$14:$B$167,$B3,$E$14:$E$167,I$2),"")</f>
        <v>4.5</v>
      </c>
      <c r="T3" s="14">
        <f>IFERROR(AVERAGEIFS($I$14:$I$167,$B$14:$B$167,$B3,$E$14:$E$167,J$2),"")</f>
        <v>13.5</v>
      </c>
      <c r="U3" s="14" t="str">
        <f>IFERROR(AVERAGEIFS($I$14:$I$167,$B$14:$B$167,$B3,$E$14:$E$167,K$2),"")</f>
        <v/>
      </c>
      <c r="V3" s="14" t="str">
        <f>IFERROR(AVERAGEIFS($I$14:$I$167,$B$14:$B$167,$B3,$E$14:$E$167,L$2),"")</f>
        <v/>
      </c>
      <c r="W3" s="14">
        <f>AVERAGEIFS(J$14:J$48,$B$14:$B$48,$B3)</f>
        <v>8.88888888888889</v>
      </c>
      <c r="X3" s="14">
        <f>AVERAGEIFS(K$14:K$48,$B$14:$B$48,$B3)</f>
        <v>2</v>
      </c>
      <c r="Y3" s="14">
        <f>AVERAGEIFS(L$14:L$48,$B$14:$B$48,$B3)</f>
        <v>33.6111111111111</v>
      </c>
      <c r="Z3" s="14">
        <f>AVERAGEIFS(M$14:M$48,$B$14:$B$48,$B3)</f>
        <v>0.555555555555556</v>
      </c>
      <c r="AA3" s="1"/>
      <c r="AB3" s="9" t="s">
        <v>920</v>
      </c>
      <c r="AC3" s="9" t="s">
        <v>921</v>
      </c>
      <c r="AD3" s="9" t="s">
        <v>922</v>
      </c>
      <c r="AE3" s="9" t="s">
        <v>923</v>
      </c>
      <c r="AF3" s="9" t="s">
        <v>924</v>
      </c>
      <c r="AG3" s="9" t="s">
        <v>925</v>
      </c>
    </row>
    <row r="4" spans="1:33">
      <c r="A4" s="9" t="str">
        <f>IF(LEFT(A2,2)="11",AB3,IF(LEFT(A2,2)="12",AC3,IF(LEFT(A2,2)="15",AD3,IF(LEFT(A2,2)="16",AE3,IF(LEFT(A2,2)="17",AF3,IF(LEFT(A2,2)="18",AG3,0))))))</f>
        <v>35个45s有效</v>
      </c>
      <c r="B4" s="9" t="s">
        <v>151</v>
      </c>
      <c r="C4" s="9" t="s">
        <v>502</v>
      </c>
      <c r="D4" s="9">
        <f>COUNTIFS($B$13:$B$266,B4,$F$13:$F$266,"&lt;&gt;0")</f>
        <v>9</v>
      </c>
      <c r="E4" s="10">
        <f>AVERAGEIFS(F15:F168,B15:B168,B4)</f>
        <v>159.444444444444</v>
      </c>
      <c r="F4" s="10">
        <f>IFERROR(AVERAGEIFS($F$14:$F$167,$B$14:$B$167,$B4,$E$14:$E$167,F$2),"")</f>
        <v>177</v>
      </c>
      <c r="G4" s="10">
        <f>IFERROR(AVERAGEIFS($F$14:$F$167,$B$14:$B$167,$B4,$E$14:$E$167,G$2),"")</f>
        <v>169.666666666667</v>
      </c>
      <c r="H4" s="10" t="str">
        <f>IFERROR(AVERAGEIFS($F$14:$F$167,$B$14:$B$167,$B4,$E$14:$E$167,H$2),"")</f>
        <v/>
      </c>
      <c r="I4" s="10">
        <f>IFERROR(AVERAGEIFS($F$14:$F$167,$B$14:$B$167,$B4,$E$14:$E$167,I$2),"")</f>
        <v>167</v>
      </c>
      <c r="J4" s="10">
        <f>IFERROR(AVERAGEIFS($F$14:$F$167,$B$14:$B$167,$B4,$E$14:$E$167,J$2),"")</f>
        <v>112.5</v>
      </c>
      <c r="K4" s="10">
        <f>IFERROR(AVERAGEIFS($F$14:$F$167,$B$14:$B$167,$B4,$E$14:$E$167,K$2),"")</f>
        <v>190</v>
      </c>
      <c r="L4" s="10" t="str">
        <f>IFERROR(AVERAGEIFS($F$14:$F$167,$B$14:$B$167,$B4,$E$14:$E$167,L$2),"")</f>
        <v/>
      </c>
      <c r="M4" s="14">
        <f>AVERAGEIFS($G$14:$G$48,$B$14:$B$48,B4)</f>
        <v>74.3333333333333</v>
      </c>
      <c r="N4" s="15">
        <f>AVERAGEIFS(H$14:H$48,$B$14:$B$48,$B4)</f>
        <v>0.462145263569961</v>
      </c>
      <c r="O4" s="14">
        <f>IFERROR(AVERAGEIFS(I$14:I$48,$B$14:$B$48,$B4,$C$14:$C$48,C4),0)</f>
        <v>23.6666666666667</v>
      </c>
      <c r="P4" s="14">
        <f>IFERROR(AVERAGEIFS($I$14:$I$167,$B$14:$B$167,$B4,$E$14:$E$167,F$2),"")</f>
        <v>6</v>
      </c>
      <c r="Q4" s="14">
        <f>IFERROR(AVERAGEIFS($I$14:$I$167,$B$14:$B$167,$B4,$E$14:$E$167,G$2),"")</f>
        <v>34</v>
      </c>
      <c r="R4" s="14" t="str">
        <f>IFERROR(AVERAGEIFS($I$14:$I$167,$B$14:$B$167,$B4,$E$14:$E$167,H$2),"")</f>
        <v/>
      </c>
      <c r="S4" s="14">
        <f>IFERROR(AVERAGEIFS($I$14:$I$167,$B$14:$B$167,$B4,$E$14:$E$167,I$2),"")</f>
        <v>27.5</v>
      </c>
      <c r="T4" s="14">
        <f>IFERROR(AVERAGEIFS($I$14:$I$167,$B$14:$B$167,$B4,$E$14:$E$167,J$2),"")</f>
        <v>14</v>
      </c>
      <c r="U4" s="14">
        <f>IFERROR(AVERAGEIFS($I$14:$I$167,$B$14:$B$167,$B4,$E$14:$E$167,K$2),"")</f>
        <v>22</v>
      </c>
      <c r="V4" s="14" t="str">
        <f>IFERROR(AVERAGEIFS($I$14:$I$167,$B$14:$B$167,$B4,$E$14:$E$167,L$2),"")</f>
        <v/>
      </c>
      <c r="W4" s="14">
        <f>AVERAGEIFS(J$14:J$48,$B$14:$B$48,$B4)</f>
        <v>12.4444444444444</v>
      </c>
      <c r="X4" s="14">
        <f>AVERAGEIFS(K$14:K$48,$B$14:$B$48,$B4)</f>
        <v>1.55555555555556</v>
      </c>
      <c r="Y4" s="14">
        <f>AVERAGEIFS(L$14:L$48,$B$14:$B$48,$B4)</f>
        <v>49.4703703703704</v>
      </c>
      <c r="Z4" s="14">
        <f>AVERAGEIFS(M$14:M$48,$B$14:$B$48,$B4)</f>
        <v>0.111111111111111</v>
      </c>
      <c r="AA4" s="1"/>
      <c r="AB4" s="9" t="s">
        <v>926</v>
      </c>
      <c r="AC4" s="9" t="s">
        <v>927</v>
      </c>
      <c r="AD4" s="9" t="s">
        <v>928</v>
      </c>
      <c r="AE4" s="9" t="s">
        <v>929</v>
      </c>
      <c r="AF4" s="9" t="s">
        <v>930</v>
      </c>
      <c r="AG4" s="9" t="s">
        <v>931</v>
      </c>
    </row>
    <row r="5" spans="1:33">
      <c r="A5" s="9" t="str">
        <f>IF(LEFT(A2,2)="11",AB3,IF(LEFT(A2,2)="12",AC3,IF(LEFT(A2,2)="15",AD3,IF(LEFT(A2,2)="16",AE3,IF(LEFT(A2,2)="17",AF3,IF(LEFT(A2,2)="18",AG3,0))))))</f>
        <v>35个45s有效</v>
      </c>
      <c r="B5" s="9" t="s">
        <v>224</v>
      </c>
      <c r="C5" s="9" t="s">
        <v>529</v>
      </c>
      <c r="D5" s="9">
        <f>COUNTIFS($B$13:$B$266,B5,$F$13:$F$266,"&lt;&gt;0")</f>
        <v>5</v>
      </c>
      <c r="E5" s="10">
        <f>AVERAGEIFS(F16:F169,B16:B169,B5)</f>
        <v>187.8</v>
      </c>
      <c r="F5" s="10">
        <f>IFERROR(AVERAGEIFS($F$14:$F$167,$B$14:$B$167,$B5,$E$14:$E$167,F$2),"")</f>
        <v>200</v>
      </c>
      <c r="G5" s="10">
        <f>IFERROR(AVERAGEIFS($F$14:$F$167,$B$14:$B$167,$B5,$E$14:$E$167,G$2),"")</f>
        <v>173.666666666667</v>
      </c>
      <c r="H5" s="10">
        <f>IFERROR(AVERAGEIFS($F$14:$F$167,$B$14:$B$167,$B5,$E$14:$E$167,H$2),"")</f>
        <v>218</v>
      </c>
      <c r="I5" s="10" t="str">
        <f>IFERROR(AVERAGEIFS($F$14:$F$167,$B$14:$B$167,$B5,$E$14:$E$167,I$2),"")</f>
        <v/>
      </c>
      <c r="J5" s="10" t="str">
        <f>IFERROR(AVERAGEIFS($F$14:$F$167,$B$14:$B$167,$B5,$E$14:$E$167,J$2),"")</f>
        <v/>
      </c>
      <c r="K5" s="10" t="str">
        <f>IFERROR(AVERAGEIFS($F$14:$F$167,$B$14:$B$167,$B5,$E$14:$E$167,K$2),"")</f>
        <v/>
      </c>
      <c r="L5" s="10" t="str">
        <f>IFERROR(AVERAGEIFS($F$14:$F$167,$B$14:$B$167,$B5,$E$14:$E$167,L$2),"")</f>
        <v/>
      </c>
      <c r="M5" s="14">
        <f>AVERAGEIFS($G$14:$G$48,$B$14:$B$48,B5)</f>
        <v>82.2</v>
      </c>
      <c r="N5" s="15">
        <f>AVERAGEIFS(H$14:H$48,$B$14:$B$48,$B5)</f>
        <v>0.430288609283691</v>
      </c>
      <c r="O5" s="14">
        <f>IFERROR(AVERAGEIFS(I$14:I$48,$B$14:$B$48,$B5,$C$14:$C$48,C5),0)</f>
        <v>27.8</v>
      </c>
      <c r="P5" s="14">
        <f>IFERROR(AVERAGEIFS($I$14:$I$167,$B$14:$B$167,$B5,$E$14:$E$167,F$2),"")</f>
        <v>15</v>
      </c>
      <c r="Q5" s="14">
        <f>IFERROR(AVERAGEIFS($I$14:$I$167,$B$14:$B$167,$B5,$E$14:$E$167,G$2),"")</f>
        <v>31.3333333333333</v>
      </c>
      <c r="R5" s="14">
        <f>IFERROR(AVERAGEIFS($I$14:$I$167,$B$14:$B$167,$B5,$E$14:$E$167,H$2),"")</f>
        <v>30</v>
      </c>
      <c r="S5" s="14" t="str">
        <f>IFERROR(AVERAGEIFS($I$14:$I$167,$B$14:$B$167,$B5,$E$14:$E$167,I$2),"")</f>
        <v/>
      </c>
      <c r="T5" s="14" t="str">
        <f>IFERROR(AVERAGEIFS($I$14:$I$167,$B$14:$B$167,$B5,$E$14:$E$167,J$2),"")</f>
        <v/>
      </c>
      <c r="U5" s="14" t="str">
        <f>IFERROR(AVERAGEIFS($I$14:$I$167,$B$14:$B$167,$B5,$E$14:$E$167,K$2),"")</f>
        <v/>
      </c>
      <c r="V5" s="14" t="str">
        <f>IFERROR(AVERAGEIFS($I$14:$I$167,$B$14:$B$167,$B5,$E$14:$E$167,L$2),"")</f>
        <v/>
      </c>
      <c r="W5" s="14">
        <f>AVERAGEIFS(J$14:J$48,$B$14:$B$48,$B5)</f>
        <v>12.6</v>
      </c>
      <c r="X5" s="14">
        <f>AVERAGEIFS(K$14:K$48,$B$14:$B$48,$B5)</f>
        <v>1.4</v>
      </c>
      <c r="Y5" s="14">
        <f>AVERAGEIFS(L$14:L$48,$B$14:$B$48,$B5)</f>
        <v>51.9833333333333</v>
      </c>
      <c r="Z5" s="14">
        <f>AVERAGEIFS(M$14:M$48,$B$14:$B$48,$B5)</f>
        <v>1.4</v>
      </c>
      <c r="AA5" s="1"/>
      <c r="AB5" s="9" t="s">
        <v>932</v>
      </c>
      <c r="AC5" s="9" t="s">
        <v>933</v>
      </c>
      <c r="AD5" s="9" t="s">
        <v>934</v>
      </c>
      <c r="AE5" s="9" t="s">
        <v>935</v>
      </c>
      <c r="AF5" s="9" t="s">
        <v>936</v>
      </c>
      <c r="AG5" s="9" t="s">
        <v>937</v>
      </c>
    </row>
    <row r="6" spans="1:33">
      <c r="A6" s="9" t="str">
        <f>IF(LEFT(A2,2)="11",AB3,IF(LEFT(A2,2)="12",AC3,IF(LEFT(A2,2)="15",AD3,IF(LEFT(A2,2)="16",AE3,IF(LEFT(A2,2)="17",AF3,IF(LEFT(A2,2)="18",AG3,0))))))</f>
        <v>35个45s有效</v>
      </c>
      <c r="B6" s="9" t="s">
        <v>75</v>
      </c>
      <c r="C6" s="9" t="s">
        <v>202</v>
      </c>
      <c r="D6" s="9">
        <f>COUNTIFS($B$13:$B$266,B6,$F$13:$F$266,"&lt;&gt;0")</f>
        <v>7</v>
      </c>
      <c r="E6" s="10">
        <f>AVERAGEIFS(F17:F170,B17:B170,B6)</f>
        <v>201.428571428571</v>
      </c>
      <c r="F6" s="10" t="str">
        <f>IFERROR(AVERAGEIFS($F$14:$F$167,$B$14:$B$167,$B6,$E$14:$E$167,F$2),"")</f>
        <v/>
      </c>
      <c r="G6" s="10">
        <f>IFERROR(AVERAGEIFS($F$14:$F$167,$B$14:$B$167,$B6,$E$14:$E$167,G$2),"")</f>
        <v>232.5</v>
      </c>
      <c r="H6" s="10">
        <f>IFERROR(AVERAGEIFS($F$14:$F$167,$B$14:$B$167,$B6,$E$14:$E$167,H$2),"")</f>
        <v>108</v>
      </c>
      <c r="I6" s="10" t="str">
        <f>IFERROR(AVERAGEIFS($F$14:$F$167,$B$14:$B$167,$B6,$E$14:$E$167,I$2),"")</f>
        <v/>
      </c>
      <c r="J6" s="10">
        <f>IFERROR(AVERAGEIFS($F$14:$F$167,$B$14:$B$167,$B6,$E$14:$E$167,J$2),"")</f>
        <v>186</v>
      </c>
      <c r="K6" s="10" t="str">
        <f>IFERROR(AVERAGEIFS($F$14:$F$167,$B$14:$B$167,$B6,$E$14:$E$167,K$2),"")</f>
        <v/>
      </c>
      <c r="L6" s="10" t="str">
        <f>IFERROR(AVERAGEIFS($F$14:$F$167,$B$14:$B$167,$B6,$E$14:$E$167,L$2),"")</f>
        <v/>
      </c>
      <c r="M6" s="14">
        <f>AVERAGEIFS($G$14:$G$48,$B$14:$B$48,B6)</f>
        <v>85.1428571428571</v>
      </c>
      <c r="N6" s="15">
        <f>AVERAGEIFS(H$14:H$48,$B$14:$B$48,$B6)</f>
        <v>0.426682490090746</v>
      </c>
      <c r="O6" s="14">
        <f>IFERROR(AVERAGEIFS(I$14:I$48,$B$14:$B$48,$B6,$C$14:$C$48,C6),0)</f>
        <v>19.1428571428571</v>
      </c>
      <c r="P6" s="14" t="str">
        <f>IFERROR(AVERAGEIFS($I$14:$I$167,$B$14:$B$167,$B6,$E$14:$E$167,F$2),"")</f>
        <v/>
      </c>
      <c r="Q6" s="14">
        <f>IFERROR(AVERAGEIFS($I$14:$I$167,$B$14:$B$167,$B6,$E$14:$E$167,G$2),"")</f>
        <v>15</v>
      </c>
      <c r="R6" s="14">
        <f>IFERROR(AVERAGEIFS($I$14:$I$167,$B$14:$B$167,$B6,$E$14:$E$167,H$2),"")</f>
        <v>30</v>
      </c>
      <c r="S6" s="14" t="str">
        <f>IFERROR(AVERAGEIFS($I$14:$I$167,$B$14:$B$167,$B6,$E$14:$E$167,I$2),"")</f>
        <v/>
      </c>
      <c r="T6" s="14">
        <f>IFERROR(AVERAGEIFS($I$14:$I$167,$B$14:$B$167,$B6,$E$14:$E$167,J$2),"")</f>
        <v>22</v>
      </c>
      <c r="U6" s="14" t="str">
        <f>IFERROR(AVERAGEIFS($I$14:$I$167,$B$14:$B$167,$B6,$E$14:$E$167,K$2),"")</f>
        <v/>
      </c>
      <c r="V6" s="14" t="str">
        <f>IFERROR(AVERAGEIFS($I$14:$I$167,$B$14:$B$167,$B6,$E$14:$E$167,L$2),"")</f>
        <v/>
      </c>
      <c r="W6" s="14">
        <f>AVERAGEIFS(J$14:J$48,$B$14:$B$48,$B6)</f>
        <v>12.1428571428571</v>
      </c>
      <c r="X6" s="14">
        <f>AVERAGEIFS(K$14:K$48,$B$14:$B$48,$B6)</f>
        <v>1.85714285714286</v>
      </c>
      <c r="Y6" s="14">
        <f>AVERAGEIFS(L$14:L$48,$B$14:$B$48,$B6)</f>
        <v>47.9452380952381</v>
      </c>
      <c r="Z6" s="14">
        <f>AVERAGEIFS(M$14:M$48,$B$14:$B$48,$B6)</f>
        <v>0.714285714285714</v>
      </c>
      <c r="AA6" s="1"/>
      <c r="AB6" s="9" t="s">
        <v>938</v>
      </c>
      <c r="AC6" s="9" t="s">
        <v>939</v>
      </c>
      <c r="AD6" s="9" t="s">
        <v>940</v>
      </c>
      <c r="AE6" s="9" t="s">
        <v>941</v>
      </c>
      <c r="AF6" s="9" t="s">
        <v>942</v>
      </c>
      <c r="AG6" s="9" t="s">
        <v>943</v>
      </c>
    </row>
    <row r="7" spans="1:33">
      <c r="A7" s="9" t="str">
        <f>IF(LEFT(A2,2)="11",AB7,IF(LEFT(A2,2)="12",AC7,IF(LEFT(A2,2)="15",AD7,IF(LEFT(A2,2)="16",AE7,IF(LEFT(A2,2)="17",AF7,IF(LEFT(A2,2)="18",AG7,0))))))</f>
        <v>30个45s有效</v>
      </c>
      <c r="B7" s="9" t="s">
        <v>22</v>
      </c>
      <c r="C7" s="11" t="s">
        <v>26</v>
      </c>
      <c r="D7" s="9">
        <f>COUNTIFS($B$13:$B$266,B7,$F$13:$F$266,"&lt;&gt;0")</f>
        <v>8</v>
      </c>
      <c r="E7" s="10">
        <f>AVERAGEIFS(F19:F172,B19:B172,B7)</f>
        <v>23.25</v>
      </c>
      <c r="F7" s="10" t="str">
        <f>IFERROR(AVERAGEIFS($F$14:$F$167,$B$14:$B$167,$B7,$E$14:$E$167,F$2),"")</f>
        <v/>
      </c>
      <c r="G7" s="10">
        <f>IFERROR(AVERAGEIFS($F$14:$F$167,$B$14:$B$167,$B7,$E$14:$E$167,G$2),"")</f>
        <v>47</v>
      </c>
      <c r="H7" s="10">
        <f>IFERROR(AVERAGEIFS($F$14:$F$167,$B$14:$B$167,$B7,$E$14:$E$167,H$2),"")</f>
        <v>26</v>
      </c>
      <c r="I7" s="10">
        <f>IFERROR(AVERAGEIFS($F$14:$F$167,$B$14:$B$167,$B7,$E$14:$E$167,I$2),"")</f>
        <v>21.6666666666667</v>
      </c>
      <c r="J7" s="10">
        <f>IFERROR(AVERAGEIFS($F$14:$F$167,$B$14:$B$167,$B7,$E$14:$E$167,J$2),"")</f>
        <v>16</v>
      </c>
      <c r="K7" s="10" t="str">
        <f>IFERROR(AVERAGEIFS($F$14:$F$167,$B$14:$B$167,$B7,$E$14:$E$167,K$2),"")</f>
        <v/>
      </c>
      <c r="L7" s="10" t="str">
        <f>IFERROR(AVERAGEIFS($F$14:$F$167,$B$14:$B$167,$B7,$E$14:$E$167,L$2),"")</f>
        <v/>
      </c>
      <c r="M7" s="14">
        <f>AVERAGEIFS($G$14:$G$48,$B$14:$B$48,B7)</f>
        <v>8</v>
      </c>
      <c r="N7" s="15">
        <f>AVERAGEIFS(H$14:H$48,$B$14:$B$48,$B7)</f>
        <v>0.46342383107089</v>
      </c>
      <c r="O7" s="14">
        <f>IFERROR(AVERAGEIFS(I$14:I$48,$B$14:$B$48,$B7,$C$14:$C$48,C7),0)</f>
        <v>4.2</v>
      </c>
      <c r="P7" s="14" t="str">
        <f>IFERROR(AVERAGEIFS($I$14:$I$167,$B$14:$B$167,$B7,$E$14:$E$167,F$2),"")</f>
        <v/>
      </c>
      <c r="Q7" s="14">
        <f>IFERROR(AVERAGEIFS($I$14:$I$167,$B$14:$B$167,$B7,$E$14:$E$167,G$2),"")</f>
        <v>14</v>
      </c>
      <c r="R7" s="14">
        <f>IFERROR(AVERAGEIFS($I$14:$I$167,$B$14:$B$167,$B7,$E$14:$E$167,H$2),"")</f>
        <v>0</v>
      </c>
      <c r="S7" s="14">
        <f>IFERROR(AVERAGEIFS($I$14:$I$167,$B$14:$B$167,$B7,$E$14:$E$167,I$2),"")</f>
        <v>5.33333333333333</v>
      </c>
      <c r="T7" s="14">
        <f>IFERROR(AVERAGEIFS($I$14:$I$167,$B$14:$B$167,$B7,$E$14:$E$167,J$2),"")</f>
        <v>5</v>
      </c>
      <c r="U7" s="14" t="str">
        <f>IFERROR(AVERAGEIFS($I$14:$I$167,$B$14:$B$167,$B7,$E$14:$E$167,K$2),"")</f>
        <v/>
      </c>
      <c r="V7" s="14" t="str">
        <f>IFERROR(AVERAGEIFS($I$14:$I$167,$B$14:$B$167,$B7,$E$14:$E$167,L$2),"")</f>
        <v/>
      </c>
      <c r="W7" s="14">
        <f>AVERAGEIFS(J$14:J$48,$B$14:$B$48,$B7)</f>
        <v>2.6</v>
      </c>
      <c r="X7" s="14">
        <f>AVERAGEIFS(K$14:K$48,$B$14:$B$48,$B7)</f>
        <v>0.6</v>
      </c>
      <c r="Y7" s="14">
        <f>AVERAGEIFS(L$14:L$48,$B$14:$B$48,$B7)</f>
        <v>8.90999999999999</v>
      </c>
      <c r="Z7" s="14">
        <f>AVERAGEIFS(M$14:M$48,$B$14:$B$48,$B7)</f>
        <v>0</v>
      </c>
      <c r="AA7" s="1"/>
      <c r="AB7" s="9" t="s">
        <v>950</v>
      </c>
      <c r="AC7" s="9" t="s">
        <v>951</v>
      </c>
      <c r="AD7" s="9" t="s">
        <v>952</v>
      </c>
      <c r="AE7" s="9" t="s">
        <v>953</v>
      </c>
      <c r="AF7" s="9" t="s">
        <v>954</v>
      </c>
      <c r="AG7" s="9" t="s">
        <v>924</v>
      </c>
    </row>
    <row r="8" hidden="1" spans="1:27">
      <c r="A8" s="9"/>
      <c r="B8" s="9" t="s">
        <v>52</v>
      </c>
      <c r="C8" s="9" t="s">
        <v>56</v>
      </c>
      <c r="D8" s="9">
        <f>COUNTIFS($B$13:$B$16,B8,$F$13:$F$16,"&lt;&gt;0")</f>
        <v>0</v>
      </c>
      <c r="E8" s="10" t="str">
        <f>IFERROR(SUMIFS([1]话务数据源!C:C,[1]话务数据源!A:A,B8,[1]话务数据源!P:P,1)/D8,"")</f>
        <v/>
      </c>
      <c r="F8" s="10"/>
      <c r="G8" s="10" t="str">
        <f>IFERROR(SUMIFS([1]话务数据源!C:C,[1]话务数据源!A:A,B8,[1]话务数据源!N:N,"0月-3月",[1]话务数据源!P:P,1)/COUNTIFS([1]话务数据源!A:A,B8,[1]话务数据源!N:N,"0月-3月",[1]话务数据源!P:P,1),"")</f>
        <v/>
      </c>
      <c r="H8" s="10" t="str">
        <f>IFERROR(SUMIFS([1]话务数据源!C:C,[1]话务数据源!A:A,B8,[1]话务数据源!N:N,"4月-6月",[1]话务数据源!P:P,1)/COUNTIFS([1]话务数据源!A:A,B8,[1]话务数据源!N:N,"4月-6月",[1]话务数据源!P:P,1),"")</f>
        <v/>
      </c>
      <c r="I8" s="10" t="str">
        <f>IFERROR(SUMIFS([1]话务数据源!C:C,[1]话务数据源!A:A,B8,[1]话务数据源!N:N,"7月-12月",[1]话务数据源!P:P,1)/COUNTIFS([1]话务数据源!A:A,B8,[1]话务数据源!N:N,"7月-12月",[1]话务数据源!P:P,1),"")</f>
        <v/>
      </c>
      <c r="J8" s="10" t="str">
        <f>IFERROR(SUMIFS([1]话务数据源!C:C,[1]话务数据源!A:A,B8,[1]话务数据源!N:N,"1年-2年",[1]话务数据源!P:P,1)/COUNTIFS([1]话务数据源!A:A,B8,[1]话务数据源!N:N,"1年-2年",[1]话务数据源!P:P,1),"")</f>
        <v/>
      </c>
      <c r="K8" s="10" t="str">
        <f>IFERROR(SUMIFS([1]话务数据源!C:C,[1]话务数据源!A:A,B8,[1]话务数据源!N:N,"2年-3年",[1]话务数据源!P:P,1)/COUNTIFS([1]话务数据源!A:A,B8,[1]话务数据源!N:N,"2年-3年",[1]话务数据源!P:P,1),"")</f>
        <v/>
      </c>
      <c r="L8" s="10" t="str">
        <f>IFERROR(SUMIFS([1]话务数据源!C:C,[1]话务数据源!A:A,B8,[1]话务数据源!N:N,"3年以上",[1]话务数据源!P:P,1)/COUNTIFS([1]话务数据源!A:A,B8,[1]话务数据源!N:N,"3年以上",[1]话务数据源!P:P,1),"")</f>
        <v/>
      </c>
      <c r="M8" s="14" t="str">
        <f>IFERROR(SUMIFS([1]话务数据源!D:D,[1]话务数据源!A:A,B8,[1]话务数据源!P:P,1)/D8,"")</f>
        <v/>
      </c>
      <c r="N8" s="13" t="str">
        <f>IFERROR(M8/E8,"")</f>
        <v/>
      </c>
      <c r="O8" s="14" t="str">
        <f>IFERROR(SUMIFS([1]话务数据源!O:O,[1]话务数据源!A:A,B8,[1]话务数据源!P:P,1)/D8,"")</f>
        <v/>
      </c>
      <c r="Q8" s="14" t="str">
        <f>IFERROR(SUMIFS([1]话务数据源!O:O,[1]话务数据源!A:A,B8,[1]话务数据源!N:N,"0月-3月",[1]话务数据源!P:P,1)/COUNTIFS([1]话务数据源!A:A,B8,[1]话务数据源!N:N,"0月-3月",[1]话务数据源!P:P,1),"")</f>
        <v/>
      </c>
      <c r="R8" s="14" t="str">
        <f>IFERROR(SUMIFS([1]话务数据源!O:O,[1]话务数据源!A:A,B8,[1]话务数据源!N:N,"4月-6月",[1]话务数据源!P:P,1)/COUNTIFS([1]话务数据源!A:A,B8,[1]话务数据源!N:N,"4月-6月",[1]话务数据源!P:P,1),"")</f>
        <v/>
      </c>
      <c r="S8" s="14" t="str">
        <f>IFERROR(SUMIFS([1]话务数据源!O:O,[1]话务数据源!A:A,B8,[1]话务数据源!N:N,"7月-12月",[1]话务数据源!P:P,1)/COUNTIFS([1]话务数据源!A:A,B8,[1]话务数据源!N:N,"7月-12月",[1]话务数据源!P:P,1),"")</f>
        <v/>
      </c>
      <c r="T8" s="14" t="str">
        <f>IFERROR(SUMIFS([1]话务数据源!O:O,[1]话务数据源!A:A,B8,[1]话务数据源!N:N,"1年-2年",[1]话务数据源!P:P,1)/COUNTIFS([1]话务数据源!A:A,B8,[1]话务数据源!N:N,"1年-2年",[1]话务数据源!P:P,1),"")</f>
        <v/>
      </c>
      <c r="U8" s="14" t="str">
        <f>IFERROR(SUMIFS([1]话务数据源!O:O,[1]话务数据源!A:A,B8,[1]话务数据源!N:N,"2年-3年",[1]话务数据源!P:P,1)/COUNTIFS([1]话务数据源!A:A,B8,[1]话务数据源!N:N,"2年-3年",[1]话务数据源!P:P,1),"")</f>
        <v/>
      </c>
      <c r="V8" s="14" t="str">
        <f>IFERROR(SUMIFS([1]话务数据源!O:O,[1]话务数据源!A:A,B8,[1]话务数据源!N:N,"3年以上",[1]话务数据源!P:P,1)/COUNTIFS([1]话务数据源!A:A,B8,[1]话务数据源!N:N,"3年以上",[1]话务数据源!P:P,1),"")</f>
        <v/>
      </c>
      <c r="W8" s="14"/>
      <c r="X8" s="14" t="str">
        <f>IFERROR(SUMIFS([1]话务数据源!F:F,[1]话务数据源!A:A,B8,[1]话务数据源!P:P,1)/D8,"")</f>
        <v/>
      </c>
      <c r="Y8" s="14" t="str">
        <f>IFERROR(SUMIFS([1]话务数据源!H:H,[1]话务数据源!A:A,B8,[1]话务数据源!P:P,1)/D8,"")</f>
        <v/>
      </c>
      <c r="Z8" s="14" t="str">
        <f>IFERROR(VLOOKUP(B8,[1]意向!B:E,2,FALSE)/D8,"")</f>
        <v/>
      </c>
      <c r="AA8" s="1"/>
    </row>
    <row r="9" hidden="1" spans="1:27">
      <c r="A9" s="9"/>
      <c r="B9" s="9" t="s">
        <v>102</v>
      </c>
      <c r="C9" s="9" t="s">
        <v>425</v>
      </c>
      <c r="D9" s="9">
        <f>COUNTIFS($B$13:$B$16,B9,$F$13:$F$16,"&lt;&gt;0")</f>
        <v>0</v>
      </c>
      <c r="E9" s="10" t="str">
        <f>IFERROR(SUMIFS([1]话务数据源!C:C,[1]话务数据源!A:A,B9,[1]话务数据源!P:P,1)/D9,"")</f>
        <v/>
      </c>
      <c r="F9" s="10"/>
      <c r="G9" s="10" t="str">
        <f>IFERROR(SUMIFS([1]话务数据源!C:C,[1]话务数据源!A:A,B9,[1]话务数据源!N:N,"0月-3月",[1]话务数据源!P:P,1)/COUNTIFS([1]话务数据源!A:A,B9,[1]话务数据源!N:N,"0月-3月",[1]话务数据源!P:P,1),"")</f>
        <v/>
      </c>
      <c r="H9" s="10" t="str">
        <f>IFERROR(SUMIFS([1]话务数据源!C:C,[1]话务数据源!A:A,B9,[1]话务数据源!N:N,"4月-6月",[1]话务数据源!P:P,1)/COUNTIFS([1]话务数据源!A:A,B9,[1]话务数据源!N:N,"4月-6月",[1]话务数据源!P:P,1),"")</f>
        <v/>
      </c>
      <c r="I9" s="10" t="str">
        <f>IFERROR(SUMIFS([1]话务数据源!C:C,[1]话务数据源!A:A,B9,[1]话务数据源!N:N,"7月-12月",[1]话务数据源!P:P,1)/COUNTIFS([1]话务数据源!A:A,B9,[1]话务数据源!N:N,"7月-12月",[1]话务数据源!P:P,1),"")</f>
        <v/>
      </c>
      <c r="J9" s="10" t="str">
        <f>IFERROR(SUMIFS([1]话务数据源!C:C,[1]话务数据源!A:A,B9,[1]话务数据源!N:N,"1年-2年",[1]话务数据源!P:P,1)/COUNTIFS([1]话务数据源!A:A,B9,[1]话务数据源!N:N,"1年-2年",[1]话务数据源!P:P,1),"")</f>
        <v/>
      </c>
      <c r="K9" s="10" t="str">
        <f>IFERROR(SUMIFS([1]话务数据源!C:C,[1]话务数据源!A:A,B9,[1]话务数据源!N:N,"2年-3年",[1]话务数据源!P:P,1)/COUNTIFS([1]话务数据源!A:A,B9,[1]话务数据源!N:N,"2年-3年",[1]话务数据源!P:P,1),"")</f>
        <v/>
      </c>
      <c r="L9" s="10" t="str">
        <f>IFERROR(SUMIFS([1]话务数据源!C:C,[1]话务数据源!A:A,B9,[1]话务数据源!N:N,"3年以上",[1]话务数据源!P:P,1)/COUNTIFS([1]话务数据源!A:A,B9,[1]话务数据源!N:N,"3年以上",[1]话务数据源!P:P,1),"")</f>
        <v/>
      </c>
      <c r="M9" s="14" t="str">
        <f>IFERROR(SUMIFS([1]话务数据源!D:D,[1]话务数据源!A:A,B9,[1]话务数据源!P:P,1)/D9,"")</f>
        <v/>
      </c>
      <c r="N9" s="13" t="str">
        <f>IFERROR(M9/E9,"")</f>
        <v/>
      </c>
      <c r="O9" s="14" t="str">
        <f>IFERROR(SUMIFS([1]话务数据源!O:O,[1]话务数据源!A:A,B9,[1]话务数据源!P:P,1)/D9,"")</f>
        <v/>
      </c>
      <c r="Q9" s="14" t="str">
        <f>IFERROR(SUMIFS([1]话务数据源!O:O,[1]话务数据源!A:A,B9,[1]话务数据源!N:N,"0月-3月",[1]话务数据源!P:P,1)/COUNTIFS([1]话务数据源!A:A,B9,[1]话务数据源!N:N,"0月-3月",[1]话务数据源!P:P,1),"")</f>
        <v/>
      </c>
      <c r="R9" s="14" t="str">
        <f>IFERROR(SUMIFS([1]话务数据源!O:O,[1]话务数据源!A:A,B9,[1]话务数据源!N:N,"4月-6月",[1]话务数据源!P:P,1)/COUNTIFS([1]话务数据源!A:A,B9,[1]话务数据源!N:N,"4月-6月",[1]话务数据源!P:P,1),"")</f>
        <v/>
      </c>
      <c r="S9" s="14" t="str">
        <f>IFERROR(SUMIFS([1]话务数据源!O:O,[1]话务数据源!A:A,B9,[1]话务数据源!N:N,"7月-12月",[1]话务数据源!P:P,1)/COUNTIFS([1]话务数据源!A:A,B9,[1]话务数据源!N:N,"7月-12月",[1]话务数据源!P:P,1),"")</f>
        <v/>
      </c>
      <c r="T9" s="14" t="str">
        <f>IFERROR(SUMIFS([1]话务数据源!O:O,[1]话务数据源!A:A,B9,[1]话务数据源!N:N,"1年-2年",[1]话务数据源!P:P,1)/COUNTIFS([1]话务数据源!A:A,B9,[1]话务数据源!N:N,"1年-2年",[1]话务数据源!P:P,1),"")</f>
        <v/>
      </c>
      <c r="U9" s="14" t="str">
        <f>IFERROR(SUMIFS([1]话务数据源!O:O,[1]话务数据源!A:A,B9,[1]话务数据源!N:N,"2年-3年",[1]话务数据源!P:P,1)/COUNTIFS([1]话务数据源!A:A,B9,[1]话务数据源!N:N,"2年-3年",[1]话务数据源!P:P,1),"")</f>
        <v/>
      </c>
      <c r="V9" s="14" t="str">
        <f>IFERROR(SUMIFS([1]话务数据源!O:O,[1]话务数据源!A:A,B9,[1]话务数据源!N:N,"3年以上",[1]话务数据源!P:P,1)/COUNTIFS([1]话务数据源!A:A,B9,[1]话务数据源!N:N,"3年以上",[1]话务数据源!P:P,1),"")</f>
        <v/>
      </c>
      <c r="W9" s="14"/>
      <c r="X9" s="14" t="str">
        <f>IFERROR(SUMIFS([1]话务数据源!F:F,[1]话务数据源!A:A,B9,[1]话务数据源!P:P,1)/D9,"")</f>
        <v/>
      </c>
      <c r="Y9" s="14" t="str">
        <f>IFERROR(SUMIFS([1]话务数据源!H:H,[1]话务数据源!A:A,B9,[1]话务数据源!P:P,1)/D9,"")</f>
        <v/>
      </c>
      <c r="Z9" s="14" t="str">
        <f>IFERROR(VLOOKUP(B9,[1]意向!B:E,2,FALSE)/D9,"")</f>
        <v/>
      </c>
      <c r="AA9" s="1"/>
    </row>
    <row r="10" hidden="1" spans="1:27">
      <c r="A10" s="9"/>
      <c r="B10" s="9" t="s">
        <v>125</v>
      </c>
      <c r="C10" s="9" t="s">
        <v>955</v>
      </c>
      <c r="D10" s="9">
        <f>COUNTIFS($B$13:$B$16,B10,$F$13:$F$16,"&lt;&gt;0")</f>
        <v>0</v>
      </c>
      <c r="E10" s="10" t="str">
        <f>IFERROR(SUMIFS([1]话务数据源!C:C,[1]话务数据源!A:A,B10,[1]话务数据源!P:P,1)/D10,"")</f>
        <v/>
      </c>
      <c r="F10" s="10"/>
      <c r="G10" s="10" t="str">
        <f>IFERROR(SUMIFS([1]话务数据源!C:C,[1]话务数据源!A:A,B10,[1]话务数据源!N:N,"0月-3月",[1]话务数据源!P:P,1)/COUNTIFS([1]话务数据源!A:A,B10,[1]话务数据源!N:N,"0月-3月",[1]话务数据源!P:P,1),"")</f>
        <v/>
      </c>
      <c r="H10" s="10" t="str">
        <f>IFERROR(SUMIFS([1]话务数据源!C:C,[1]话务数据源!A:A,B10,[1]话务数据源!N:N,"4月-6月",[1]话务数据源!P:P,1)/COUNTIFS([1]话务数据源!A:A,B10,[1]话务数据源!N:N,"4月-6月",[1]话务数据源!P:P,1),"")</f>
        <v/>
      </c>
      <c r="I10" s="10" t="str">
        <f>IFERROR(SUMIFS([1]话务数据源!C:C,[1]话务数据源!A:A,B10,[1]话务数据源!N:N,"7月-12月",[1]话务数据源!P:P,1)/COUNTIFS([1]话务数据源!A:A,B10,[1]话务数据源!N:N,"7月-12月",[1]话务数据源!P:P,1),"")</f>
        <v/>
      </c>
      <c r="J10" s="10" t="str">
        <f>IFERROR(SUMIFS([1]话务数据源!C:C,[1]话务数据源!A:A,B10,[1]话务数据源!N:N,"1年-2年",[1]话务数据源!P:P,1)/COUNTIFS([1]话务数据源!A:A,B10,[1]话务数据源!N:N,"1年-2年",[1]话务数据源!P:P,1),"")</f>
        <v/>
      </c>
      <c r="K10" s="10" t="str">
        <f>IFERROR(SUMIFS([1]话务数据源!C:C,[1]话务数据源!A:A,B10,[1]话务数据源!N:N,"2年-3年",[1]话务数据源!P:P,1)/COUNTIFS([1]话务数据源!A:A,B10,[1]话务数据源!N:N,"2年-3年",[1]话务数据源!P:P,1),"")</f>
        <v/>
      </c>
      <c r="L10" s="10" t="str">
        <f>IFERROR(SUMIFS([1]话务数据源!C:C,[1]话务数据源!A:A,B10,[1]话务数据源!N:N,"3年以上",[1]话务数据源!P:P,1)/COUNTIFS([1]话务数据源!A:A,B10,[1]话务数据源!N:N,"3年以上",[1]话务数据源!P:P,1),"")</f>
        <v/>
      </c>
      <c r="M10" s="14" t="str">
        <f>IFERROR(SUMIFS([1]话务数据源!D:D,[1]话务数据源!A:A,B10,[1]话务数据源!P:P,1)/D10,"")</f>
        <v/>
      </c>
      <c r="N10" s="13" t="str">
        <f>IFERROR(M10/E10,"")</f>
        <v/>
      </c>
      <c r="O10" s="14" t="str">
        <f>IFERROR(SUMIFS([1]话务数据源!O:O,[1]话务数据源!A:A,B10,[1]话务数据源!P:P,1)/D10,"")</f>
        <v/>
      </c>
      <c r="Q10" s="14" t="str">
        <f>IFERROR(SUMIFS([1]话务数据源!O:O,[1]话务数据源!A:A,B10,[1]话务数据源!N:N,"0月-3月",[1]话务数据源!P:P,1)/COUNTIFS([1]话务数据源!A:A,B10,[1]话务数据源!N:N,"0月-3月",[1]话务数据源!P:P,1),"")</f>
        <v/>
      </c>
      <c r="R10" s="14" t="str">
        <f>IFERROR(SUMIFS([1]话务数据源!O:O,[1]话务数据源!A:A,B10,[1]话务数据源!N:N,"4月-6月",[1]话务数据源!P:P,1)/COUNTIFS([1]话务数据源!A:A,B10,[1]话务数据源!N:N,"4月-6月",[1]话务数据源!P:P,1),"")</f>
        <v/>
      </c>
      <c r="S10" s="14" t="str">
        <f>IFERROR(SUMIFS([1]话务数据源!O:O,[1]话务数据源!A:A,B10,[1]话务数据源!N:N,"7月-12月",[1]话务数据源!P:P,1)/COUNTIFS([1]话务数据源!A:A,B10,[1]话务数据源!N:N,"7月-12月",[1]话务数据源!P:P,1),"")</f>
        <v/>
      </c>
      <c r="T10" s="14" t="str">
        <f>IFERROR(SUMIFS([1]话务数据源!O:O,[1]话务数据源!A:A,B10,[1]话务数据源!N:N,"1年-2年",[1]话务数据源!P:P,1)/COUNTIFS([1]话务数据源!A:A,B10,[1]话务数据源!N:N,"1年-2年",[1]话务数据源!P:P,1),"")</f>
        <v/>
      </c>
      <c r="U10" s="14" t="str">
        <f>IFERROR(SUMIFS([1]话务数据源!O:O,[1]话务数据源!A:A,B10,[1]话务数据源!N:N,"2年-3年",[1]话务数据源!P:P,1)/COUNTIFS([1]话务数据源!A:A,B10,[1]话务数据源!N:N,"2年-3年",[1]话务数据源!P:P,1),"")</f>
        <v/>
      </c>
      <c r="V10" s="14" t="str">
        <f>IFERROR(SUMIFS([1]话务数据源!O:O,[1]话务数据源!A:A,B10,[1]话务数据源!N:N,"3年以上",[1]话务数据源!P:P,1)/COUNTIFS([1]话务数据源!A:A,B10,[1]话务数据源!N:N,"3年以上",[1]话务数据源!P:P,1),"")</f>
        <v/>
      </c>
      <c r="W10" s="14"/>
      <c r="X10" s="14" t="str">
        <f>IFERROR(SUMIFS([1]话务数据源!F:F,[1]话务数据源!A:A,B10,[1]话务数据源!P:P,1)/D10,"")</f>
        <v/>
      </c>
      <c r="Y10" s="14" t="str">
        <f>IFERROR(SUMIFS([1]话务数据源!H:H,[1]话务数据源!A:A,B10,[1]话务数据源!P:P,1)/D10,"")</f>
        <v/>
      </c>
      <c r="Z10" s="14" t="str">
        <f>IFERROR(VLOOKUP(B10,[1]意向!B:E,2,FALSE)/D10,"")</f>
        <v/>
      </c>
      <c r="AA10" s="1"/>
    </row>
    <row r="11" spans="1:27">
      <c r="A11" s="9"/>
      <c r="B11" s="9" t="s">
        <v>21</v>
      </c>
      <c r="C11" s="9" t="s">
        <v>419</v>
      </c>
      <c r="D11" s="9">
        <f>SUM(D3:D10)</f>
        <v>38</v>
      </c>
      <c r="E11" s="10">
        <f>SUM(F14:F78)/$D$11</f>
        <v>123.5</v>
      </c>
      <c r="F11" s="10">
        <f>AVERAGEIFS($F$14:$F$48,$E$14:$E$48,F2)</f>
        <v>188.5</v>
      </c>
      <c r="G11" s="10">
        <f>AVERAGEIFS($F$14:$F$48,$E$14:$E$48,G2)</f>
        <v>170.846153846154</v>
      </c>
      <c r="H11" s="10">
        <f>AVERAGEIFS($F$14:$F$48,$E$14:$E$48,H2)</f>
        <v>124.6</v>
      </c>
      <c r="I11" s="10">
        <f>AVERAGEIFS($F$14:$F$48,$E$14:$E$48,I2)</f>
        <v>62</v>
      </c>
      <c r="J11" s="10">
        <f>AVERAGEIFS($F$14:$F$48,$E$14:$E$48,J2)</f>
        <v>108.714285714286</v>
      </c>
      <c r="K11" s="10">
        <f t="array" ref="K11">IFERROR(AVERAGEIFS($F$14:$F$48,$E$14:$E$48,K2)," ")</f>
        <v>190</v>
      </c>
      <c r="L11" s="25">
        <f>IFERROR(AVERAGEIFS($F$14:$F$48,$E$14:$E$48,L2),0)</f>
        <v>0</v>
      </c>
      <c r="M11" s="14">
        <f>SUMPRODUCT($D$3:$D$10,M3:M10)/$D$11</f>
        <v>54</v>
      </c>
      <c r="N11" s="13">
        <f>M11/E11</f>
        <v>0.437246963562753</v>
      </c>
      <c r="O11" s="14">
        <f>SUMPRODUCT(D3:D10,O3:O10)/D11</f>
        <v>17.2263157894737</v>
      </c>
      <c r="P11" s="14">
        <f>AVERAGEIFS($I$14:$I$48,$E$14:$E$48,F2)</f>
        <v>10.5</v>
      </c>
      <c r="Q11" s="14">
        <f>AVERAGEIFS($I$14:$I$48,$E$14:$E$48,G2)</f>
        <v>24.3076923076923</v>
      </c>
      <c r="R11" s="14">
        <f>AVERAGEIFS($I$14:$I$48,$E$14:$E$48,H2)</f>
        <v>19.8</v>
      </c>
      <c r="S11" s="14">
        <f>AVERAGEIFS($I$14:$I$48,$E$14:$E$48,I2)</f>
        <v>11.4285714285714</v>
      </c>
      <c r="T11" s="14">
        <f>AVERAGEIFS($I$14:$I$48,$E$14:$E$48,J2)</f>
        <v>14.8571428571429</v>
      </c>
      <c r="U11" s="14">
        <f t="array" ref="U11">IFERROR(AVERAGEIFS($I$14:$I$48,$E$14:$E$48,K2)," ")</f>
        <v>22</v>
      </c>
      <c r="V11" s="27">
        <f>IFERROR(AVERAGEIFS($I$14:$I$48,$E$14:$E$48,L2),0)</f>
        <v>0</v>
      </c>
      <c r="W11" s="14">
        <f>SUMPRODUCT(W3:W10,$D$3:$D$10)/$D$11</f>
        <v>9.49473684210526</v>
      </c>
      <c r="X11" s="14">
        <f>SUMPRODUCT(X3:X10,$D$3:$D$10)/$D$11</f>
        <v>1.49473684210526</v>
      </c>
      <c r="Y11" s="14">
        <f>SUMPRODUCT(Y3:Y10,$D$3:$D$10)/$D$11</f>
        <v>37.2249122807017</v>
      </c>
      <c r="Z11" s="14">
        <f>SUMPRODUCT(Z3:Z10,$D$3:$D$10)/$D$11</f>
        <v>0.473684210526316</v>
      </c>
      <c r="AA11" s="1"/>
    </row>
    <row r="12" s="1" customFormat="1" ht="17.1" customHeight="1" spans="2:13">
      <c r="B12" s="12" t="str">
        <f>"截止"&amp;LEFT(A2,3)&amp;",新签话务/太阳，
青岛人均外呼量为"&amp;TEXT(E11,0)&amp;"/强，
45s有效"&amp;TEXT(O11,"0.0")&amp;"/强。
新签部门45s未达标的有:新签一部@季 ,人均45s有效"&amp;TEXT(MIN(O3:O6),"0.0")</f>
        <v>截止18点,新签话务/太阳，
青岛人均外呼量为124/强，
45s有效17.2/强。
新签部门45s未达标的有:新签一部@季 ,人均45s有效15.0</v>
      </c>
      <c r="C12" s="12" t="str">
        <f>"截止"&amp;LEFT(A2,3)&amp;"，增值一部"&amp;L12&amp;"位员工未达成规定指标，
新签部门"&amp;TRIM(TEXT(M12,"# ?/?"))&amp;"位员工未达成规定的行为指标"</f>
        <v>截止18点，增值一部8位员工未达成规定指标，
新签部门8/9位员工未达成规定的行为指标</v>
      </c>
      <c r="L12" s="1">
        <f>IF(LEFT(A2,2)="11",COUNTIFS($B$16:$B$85,B7,I16:$I$85,"&lt;"&amp;LEFT(A7,1)),COUNTIFS($B$16:$B$85,B7,I16:$I$85,"&lt;"&amp;LEFT(A7,2)))</f>
        <v>8</v>
      </c>
      <c r="M12" s="1">
        <f>IF(LEFT(A2,2)="11",COUNTIFS(I16:$I$85,"&lt;"&amp;LEFT(A6,1),B16:$B$85,"新签*")/COUNTIFS(I16:$I$85,"&lt;&gt;0",B16:$B$85,"新签*"),COUNTIFS(I16:$I$85,"&lt;"&amp;LEFT(A6,2),B16:$B$85,"新签*")/COUNTIFS(I16:$I$85,"&lt;&gt;0",B16:$B$85,"新签*"))</f>
        <v>0.892857142857143</v>
      </c>
    </row>
    <row r="13" spans="2:28">
      <c r="B13" s="7" t="s">
        <v>573</v>
      </c>
      <c r="C13" s="7" t="s">
        <v>19</v>
      </c>
      <c r="D13" s="7" t="s">
        <v>888</v>
      </c>
      <c r="E13" s="7" t="s">
        <v>957</v>
      </c>
      <c r="F13" s="7" t="s">
        <v>958</v>
      </c>
      <c r="G13" s="7" t="s">
        <v>909</v>
      </c>
      <c r="H13" s="7" t="s">
        <v>575</v>
      </c>
      <c r="I13" s="7" t="s">
        <v>959</v>
      </c>
      <c r="J13" s="7" t="s">
        <v>960</v>
      </c>
      <c r="K13" s="7" t="s">
        <v>912</v>
      </c>
      <c r="L13" s="7" t="s">
        <v>961</v>
      </c>
      <c r="M13" s="7" t="s">
        <v>962</v>
      </c>
      <c r="AA13" s="1"/>
      <c r="AB13" s="1"/>
    </row>
    <row r="14" spans="2:29">
      <c r="B14" s="9" t="s">
        <v>264</v>
      </c>
      <c r="C14" s="9" t="s">
        <v>268</v>
      </c>
      <c r="D14" s="9" t="s">
        <v>272</v>
      </c>
      <c r="E14" s="9" t="s">
        <v>903</v>
      </c>
      <c r="F14" s="9">
        <v>95</v>
      </c>
      <c r="G14" s="9">
        <v>35</v>
      </c>
      <c r="H14" s="13">
        <v>0.368421052631579</v>
      </c>
      <c r="I14" s="9">
        <v>15</v>
      </c>
      <c r="J14" s="9">
        <v>12</v>
      </c>
      <c r="K14" s="9">
        <v>5</v>
      </c>
      <c r="L14" s="16">
        <v>42.65</v>
      </c>
      <c r="M14" s="9">
        <v>2</v>
      </c>
      <c r="Z14" s="1"/>
      <c r="AA14" s="20"/>
      <c r="AB14" s="1"/>
      <c r="AC14" s="2" t="str">
        <f>LEFT(AB14,2)</f>
        <v/>
      </c>
    </row>
    <row r="15" spans="2:28">
      <c r="B15" s="9" t="s">
        <v>264</v>
      </c>
      <c r="C15" s="9" t="s">
        <v>268</v>
      </c>
      <c r="D15" s="9" t="s">
        <v>265</v>
      </c>
      <c r="E15" s="9" t="s">
        <v>898</v>
      </c>
      <c r="F15" s="9">
        <v>28</v>
      </c>
      <c r="G15" s="9">
        <v>13</v>
      </c>
      <c r="H15" s="13">
        <v>0.464285714285714</v>
      </c>
      <c r="I15" s="9">
        <v>7</v>
      </c>
      <c r="J15" s="9">
        <v>4</v>
      </c>
      <c r="K15" s="9">
        <v>0</v>
      </c>
      <c r="L15" s="16">
        <v>10.5333333333333</v>
      </c>
      <c r="M15" s="9">
        <v>0</v>
      </c>
      <c r="O15" s="17"/>
      <c r="P15" s="17"/>
      <c r="Q15" s="19"/>
      <c r="R15" s="19"/>
      <c r="S15" s="20"/>
      <c r="T15" s="20"/>
      <c r="U15" s="21"/>
      <c r="V15" s="20"/>
      <c r="W15" s="20"/>
      <c r="X15" s="20"/>
      <c r="Y15" s="23"/>
      <c r="Z15" s="20"/>
      <c r="AA15" s="20"/>
      <c r="AB15" s="2" t="s">
        <v>963</v>
      </c>
    </row>
    <row r="16" spans="2:27">
      <c r="B16" s="9" t="s">
        <v>264</v>
      </c>
      <c r="C16" s="9" t="s">
        <v>268</v>
      </c>
      <c r="D16" s="9" t="s">
        <v>287</v>
      </c>
      <c r="E16" s="9" t="s">
        <v>901</v>
      </c>
      <c r="F16" s="9">
        <v>151</v>
      </c>
      <c r="G16" s="9">
        <v>64</v>
      </c>
      <c r="H16" s="13">
        <v>0.423841059602649</v>
      </c>
      <c r="I16" s="9">
        <v>20</v>
      </c>
      <c r="J16" s="9">
        <v>10</v>
      </c>
      <c r="K16" s="9">
        <v>4</v>
      </c>
      <c r="L16" s="16">
        <v>67.5333333333333</v>
      </c>
      <c r="M16" s="9">
        <v>0</v>
      </c>
      <c r="O16" s="17"/>
      <c r="P16" s="17"/>
      <c r="Q16" s="19"/>
      <c r="R16" s="19"/>
      <c r="S16" s="20"/>
      <c r="T16" s="20"/>
      <c r="U16" s="21"/>
      <c r="V16" s="20"/>
      <c r="W16" s="20"/>
      <c r="X16" s="20"/>
      <c r="Y16" s="23"/>
      <c r="Z16" s="20"/>
      <c r="AA16" s="20"/>
    </row>
    <row r="17" spans="2:27">
      <c r="B17" s="9" t="s">
        <v>264</v>
      </c>
      <c r="C17" s="9" t="s">
        <v>268</v>
      </c>
      <c r="D17" s="9" t="s">
        <v>285</v>
      </c>
      <c r="E17" s="9" t="s">
        <v>902</v>
      </c>
      <c r="F17" s="9">
        <v>16</v>
      </c>
      <c r="G17" s="9">
        <v>9</v>
      </c>
      <c r="H17" s="13">
        <v>0.5625</v>
      </c>
      <c r="I17" s="9">
        <v>16</v>
      </c>
      <c r="J17" s="9">
        <v>3</v>
      </c>
      <c r="K17" s="9">
        <v>0</v>
      </c>
      <c r="L17" s="16">
        <v>7.45</v>
      </c>
      <c r="M17" s="9">
        <v>1</v>
      </c>
      <c r="O17" s="17"/>
      <c r="P17" s="17"/>
      <c r="Q17" s="19"/>
      <c r="R17" s="19"/>
      <c r="S17" s="20"/>
      <c r="T17" s="20"/>
      <c r="U17" s="21"/>
      <c r="V17" s="20"/>
      <c r="W17" s="20"/>
      <c r="X17" s="20"/>
      <c r="Y17" s="23"/>
      <c r="Z17" s="20"/>
      <c r="AA17" s="20"/>
    </row>
    <row r="18" spans="2:29">
      <c r="B18" s="9" t="s">
        <v>264</v>
      </c>
      <c r="C18" s="9" t="s">
        <v>268</v>
      </c>
      <c r="D18" s="9" t="s">
        <v>280</v>
      </c>
      <c r="E18" s="9" t="s">
        <v>902</v>
      </c>
      <c r="F18" s="9">
        <v>98</v>
      </c>
      <c r="G18" s="9">
        <v>43</v>
      </c>
      <c r="H18" s="13">
        <v>0.438775510204082</v>
      </c>
      <c r="I18" s="9">
        <v>20</v>
      </c>
      <c r="J18" s="9">
        <v>13</v>
      </c>
      <c r="K18" s="9">
        <v>1</v>
      </c>
      <c r="L18" s="16">
        <v>33.45</v>
      </c>
      <c r="M18" s="9">
        <v>1</v>
      </c>
      <c r="O18" s="17"/>
      <c r="P18" s="17"/>
      <c r="Q18" s="19"/>
      <c r="R18" s="19"/>
      <c r="S18" s="20"/>
      <c r="T18" s="20"/>
      <c r="U18" s="21"/>
      <c r="V18" s="20"/>
      <c r="W18" s="20"/>
      <c r="X18" s="20"/>
      <c r="Y18" s="23"/>
      <c r="Z18" s="20"/>
      <c r="AA18" s="20"/>
      <c r="AB18" s="20"/>
      <c r="AC18" s="20"/>
    </row>
    <row r="19" spans="2:32">
      <c r="B19" s="9" t="s">
        <v>264</v>
      </c>
      <c r="C19" s="9" t="s">
        <v>268</v>
      </c>
      <c r="D19" s="9" t="s">
        <v>290</v>
      </c>
      <c r="E19" s="9" t="s">
        <v>903</v>
      </c>
      <c r="F19" s="9">
        <v>61</v>
      </c>
      <c r="G19" s="9">
        <v>28</v>
      </c>
      <c r="H19" s="13">
        <v>0.459016393442623</v>
      </c>
      <c r="I19" s="9">
        <v>12</v>
      </c>
      <c r="J19" s="9">
        <v>9</v>
      </c>
      <c r="K19" s="9">
        <v>2</v>
      </c>
      <c r="L19" s="16">
        <v>30.15</v>
      </c>
      <c r="M19" s="9">
        <v>0</v>
      </c>
      <c r="O19" s="17"/>
      <c r="P19" s="17"/>
      <c r="Q19" s="19"/>
      <c r="R19" s="19"/>
      <c r="S19" s="20"/>
      <c r="T19" s="20"/>
      <c r="U19" s="21"/>
      <c r="V19" s="20"/>
      <c r="W19" s="20"/>
      <c r="X19" s="20"/>
      <c r="Y19" s="23"/>
      <c r="Z19" s="20"/>
      <c r="AA19" s="20"/>
      <c r="AB19" s="28"/>
      <c r="AC19" s="20"/>
      <c r="AF19" s="29" t="s">
        <v>964</v>
      </c>
    </row>
    <row r="20" spans="2:29">
      <c r="B20" s="9" t="s">
        <v>264</v>
      </c>
      <c r="C20" s="9" t="s">
        <v>268</v>
      </c>
      <c r="D20" s="9" t="s">
        <v>269</v>
      </c>
      <c r="E20" s="9" t="s">
        <v>898</v>
      </c>
      <c r="F20" s="9">
        <v>7</v>
      </c>
      <c r="G20" s="9">
        <v>2</v>
      </c>
      <c r="H20" s="13">
        <v>0.285714285714286</v>
      </c>
      <c r="I20" s="9">
        <v>2</v>
      </c>
      <c r="J20" s="9">
        <v>2</v>
      </c>
      <c r="K20" s="9">
        <v>2</v>
      </c>
      <c r="L20" s="16">
        <v>11.4166666666667</v>
      </c>
      <c r="M20" s="9">
        <v>1</v>
      </c>
      <c r="O20" s="17"/>
      <c r="P20" s="17"/>
      <c r="Q20" s="19"/>
      <c r="R20" s="19"/>
      <c r="S20" s="20"/>
      <c r="T20" s="20"/>
      <c r="U20" s="21"/>
      <c r="V20" s="20"/>
      <c r="W20" s="20"/>
      <c r="X20" s="20"/>
      <c r="Y20" s="23"/>
      <c r="Z20" s="20"/>
      <c r="AA20" s="20"/>
      <c r="AB20" s="28"/>
      <c r="AC20" s="20"/>
    </row>
    <row r="21" spans="2:28">
      <c r="B21" s="9" t="s">
        <v>264</v>
      </c>
      <c r="C21" s="9" t="s">
        <v>268</v>
      </c>
      <c r="D21" s="9" t="s">
        <v>274</v>
      </c>
      <c r="E21" s="9" t="s">
        <v>901</v>
      </c>
      <c r="F21" s="9">
        <v>120</v>
      </c>
      <c r="G21" s="9">
        <v>52</v>
      </c>
      <c r="H21" s="13">
        <v>0.433333333333333</v>
      </c>
      <c r="I21" s="9">
        <v>19</v>
      </c>
      <c r="J21" s="9">
        <v>11</v>
      </c>
      <c r="K21" s="9">
        <v>2</v>
      </c>
      <c r="L21" s="16">
        <v>46.4666666666667</v>
      </c>
      <c r="M21" s="9">
        <v>0</v>
      </c>
      <c r="O21" s="17"/>
      <c r="P21" s="17"/>
      <c r="Q21" s="19"/>
      <c r="R21" s="19"/>
      <c r="S21" s="20"/>
      <c r="T21" s="20"/>
      <c r="U21" s="21"/>
      <c r="V21" s="20"/>
      <c r="W21" s="20"/>
      <c r="X21" s="20"/>
      <c r="Y21" s="23"/>
      <c r="Z21" s="20"/>
      <c r="AA21" s="20"/>
      <c r="AB21" s="28"/>
    </row>
    <row r="22" spans="2:28">
      <c r="B22" s="9" t="s">
        <v>264</v>
      </c>
      <c r="C22" s="9" t="s">
        <v>268</v>
      </c>
      <c r="D22" s="9" t="s">
        <v>283</v>
      </c>
      <c r="E22" s="9" t="s">
        <v>902</v>
      </c>
      <c r="F22" s="9">
        <v>147</v>
      </c>
      <c r="G22" s="9">
        <v>66</v>
      </c>
      <c r="H22" s="13">
        <v>0.448979591836735</v>
      </c>
      <c r="I22" s="9">
        <v>24</v>
      </c>
      <c r="J22" s="9">
        <v>16</v>
      </c>
      <c r="K22" s="9">
        <v>2</v>
      </c>
      <c r="L22" s="16">
        <v>52.85</v>
      </c>
      <c r="M22" s="9">
        <v>0</v>
      </c>
      <c r="O22" s="17"/>
      <c r="P22" s="17"/>
      <c r="Q22" s="19"/>
      <c r="R22" s="19"/>
      <c r="S22" s="20"/>
      <c r="T22" s="20"/>
      <c r="U22" s="21"/>
      <c r="V22" s="20"/>
      <c r="W22" s="20"/>
      <c r="X22" s="20"/>
      <c r="Y22" s="23"/>
      <c r="Z22" s="20"/>
      <c r="AA22" s="20"/>
      <c r="AB22" s="28"/>
    </row>
    <row r="23" spans="2:28">
      <c r="B23" s="9" t="s">
        <v>151</v>
      </c>
      <c r="C23" s="9" t="s">
        <v>502</v>
      </c>
      <c r="D23" s="9" t="s">
        <v>516</v>
      </c>
      <c r="E23" s="9" t="s">
        <v>904</v>
      </c>
      <c r="F23" s="9">
        <v>190</v>
      </c>
      <c r="G23" s="9">
        <v>99</v>
      </c>
      <c r="H23" s="13">
        <v>0.521052631578947</v>
      </c>
      <c r="I23" s="9">
        <v>22</v>
      </c>
      <c r="J23" s="9">
        <v>7</v>
      </c>
      <c r="K23" s="9">
        <v>0</v>
      </c>
      <c r="L23" s="16">
        <v>40.55</v>
      </c>
      <c r="M23" s="9">
        <v>0</v>
      </c>
      <c r="O23" s="18"/>
      <c r="P23" s="17"/>
      <c r="Q23" s="19"/>
      <c r="R23" s="19"/>
      <c r="S23" s="20"/>
      <c r="T23" s="20"/>
      <c r="U23" s="21"/>
      <c r="V23" s="20"/>
      <c r="W23" s="20"/>
      <c r="X23" s="20"/>
      <c r="Y23" s="23"/>
      <c r="Z23" s="20"/>
      <c r="AA23" s="20"/>
      <c r="AB23" s="28"/>
    </row>
    <row r="24" spans="2:28">
      <c r="B24" s="9" t="s">
        <v>151</v>
      </c>
      <c r="C24" s="9" t="s">
        <v>502</v>
      </c>
      <c r="D24" s="9" t="s">
        <v>524</v>
      </c>
      <c r="E24" s="9" t="s">
        <v>903</v>
      </c>
      <c r="F24" s="9">
        <v>120</v>
      </c>
      <c r="G24" s="9">
        <v>57</v>
      </c>
      <c r="H24" s="13">
        <v>0.475</v>
      </c>
      <c r="I24" s="9">
        <v>16</v>
      </c>
      <c r="J24" s="9">
        <v>10</v>
      </c>
      <c r="K24" s="9">
        <v>0</v>
      </c>
      <c r="L24" s="16">
        <v>34.5666666666667</v>
      </c>
      <c r="M24" s="9">
        <v>0</v>
      </c>
      <c r="O24" s="17"/>
      <c r="P24" s="17"/>
      <c r="Q24" s="19"/>
      <c r="R24" s="19"/>
      <c r="S24" s="20"/>
      <c r="T24" s="20"/>
      <c r="U24" s="21"/>
      <c r="V24" s="20"/>
      <c r="W24" s="20"/>
      <c r="X24" s="20"/>
      <c r="Y24" s="23"/>
      <c r="Z24" s="20"/>
      <c r="AA24" s="20"/>
      <c r="AB24" s="28"/>
    </row>
    <row r="25" spans="2:28">
      <c r="B25" s="9" t="s">
        <v>151</v>
      </c>
      <c r="C25" s="9" t="s">
        <v>502</v>
      </c>
      <c r="D25" s="9" t="s">
        <v>512</v>
      </c>
      <c r="E25" s="9" t="s">
        <v>902</v>
      </c>
      <c r="F25" s="9">
        <v>206</v>
      </c>
      <c r="G25" s="9">
        <v>105</v>
      </c>
      <c r="H25" s="13">
        <v>0.509708737864078</v>
      </c>
      <c r="I25" s="9">
        <v>39</v>
      </c>
      <c r="J25" s="9">
        <v>27</v>
      </c>
      <c r="K25" s="9">
        <v>4</v>
      </c>
      <c r="L25" s="16">
        <v>87.6333333333333</v>
      </c>
      <c r="M25" s="9">
        <v>0</v>
      </c>
      <c r="O25" s="17"/>
      <c r="P25" s="17"/>
      <c r="Q25" s="19"/>
      <c r="R25" s="19"/>
      <c r="S25" s="20"/>
      <c r="T25" s="20"/>
      <c r="U25" s="21"/>
      <c r="V25" s="20"/>
      <c r="W25" s="20"/>
      <c r="X25" s="20"/>
      <c r="Y25" s="23"/>
      <c r="Z25" s="20"/>
      <c r="AA25" s="20"/>
      <c r="AB25" s="28"/>
    </row>
    <row r="26" spans="2:28">
      <c r="B26" s="9" t="s">
        <v>151</v>
      </c>
      <c r="C26" s="9" t="s">
        <v>502</v>
      </c>
      <c r="D26" s="9" t="s">
        <v>499</v>
      </c>
      <c r="E26" s="9" t="s">
        <v>903</v>
      </c>
      <c r="F26" s="9">
        <v>105</v>
      </c>
      <c r="G26" s="9">
        <v>48</v>
      </c>
      <c r="H26" s="13">
        <v>0.457142857142857</v>
      </c>
      <c r="I26" s="9">
        <v>12</v>
      </c>
      <c r="J26" s="9">
        <v>7</v>
      </c>
      <c r="K26" s="9">
        <v>1</v>
      </c>
      <c r="L26" s="16">
        <v>26.8166666666667</v>
      </c>
      <c r="M26" s="9">
        <v>0</v>
      </c>
      <c r="O26" s="17"/>
      <c r="P26" s="17"/>
      <c r="Q26" s="19"/>
      <c r="R26" s="19"/>
      <c r="S26" s="20"/>
      <c r="T26" s="20"/>
      <c r="U26" s="21"/>
      <c r="V26" s="20"/>
      <c r="W26" s="20"/>
      <c r="X26" s="20"/>
      <c r="Y26" s="23"/>
      <c r="Z26" s="20"/>
      <c r="AA26" s="20"/>
      <c r="AB26" s="28"/>
    </row>
    <row r="27" spans="2:28">
      <c r="B27" s="9" t="s">
        <v>151</v>
      </c>
      <c r="C27" s="9" t="s">
        <v>502</v>
      </c>
      <c r="D27" s="9" t="s">
        <v>503</v>
      </c>
      <c r="E27" s="9" t="s">
        <v>902</v>
      </c>
      <c r="F27" s="9">
        <v>169</v>
      </c>
      <c r="G27" s="9">
        <v>72</v>
      </c>
      <c r="H27" s="13">
        <v>0.42603550295858</v>
      </c>
      <c r="I27" s="9">
        <v>35</v>
      </c>
      <c r="J27" s="9">
        <v>22</v>
      </c>
      <c r="K27" s="9">
        <v>5</v>
      </c>
      <c r="L27" s="16">
        <v>82.3666666666667</v>
      </c>
      <c r="M27" s="9">
        <v>1</v>
      </c>
      <c r="O27" s="17"/>
      <c r="P27" s="17"/>
      <c r="Q27" s="19"/>
      <c r="R27" s="19"/>
      <c r="S27" s="20"/>
      <c r="T27" s="20"/>
      <c r="U27" s="21"/>
      <c r="V27" s="20"/>
      <c r="W27" s="20"/>
      <c r="X27" s="20"/>
      <c r="Y27" s="23"/>
      <c r="Z27" s="20"/>
      <c r="AA27" s="20"/>
      <c r="AB27" s="28"/>
    </row>
    <row r="28" spans="2:28">
      <c r="B28" s="9" t="s">
        <v>151</v>
      </c>
      <c r="C28" s="9" t="s">
        <v>502</v>
      </c>
      <c r="D28" s="9" t="s">
        <v>522</v>
      </c>
      <c r="E28" s="9" t="s">
        <v>898</v>
      </c>
      <c r="F28" s="9">
        <v>79</v>
      </c>
      <c r="G28" s="9">
        <v>28</v>
      </c>
      <c r="H28" s="13">
        <v>0.354430379746835</v>
      </c>
      <c r="I28" s="9">
        <v>23</v>
      </c>
      <c r="J28" s="9">
        <v>6</v>
      </c>
      <c r="K28" s="9">
        <v>1</v>
      </c>
      <c r="L28" s="16">
        <v>25.9</v>
      </c>
      <c r="M28" s="9">
        <v>0</v>
      </c>
      <c r="O28" s="17"/>
      <c r="P28" s="17"/>
      <c r="Q28" s="19"/>
      <c r="R28" s="19"/>
      <c r="S28" s="20"/>
      <c r="T28" s="20"/>
      <c r="U28" s="21"/>
      <c r="V28" s="20"/>
      <c r="W28" s="20"/>
      <c r="X28" s="20"/>
      <c r="Y28" s="23"/>
      <c r="Z28" s="20"/>
      <c r="AA28" s="20"/>
      <c r="AB28" s="28"/>
    </row>
    <row r="29" spans="2:27">
      <c r="B29" s="9" t="s">
        <v>151</v>
      </c>
      <c r="C29" s="9" t="s">
        <v>502</v>
      </c>
      <c r="D29" s="9" t="s">
        <v>510</v>
      </c>
      <c r="E29" s="9" t="s">
        <v>902</v>
      </c>
      <c r="F29" s="9">
        <v>134</v>
      </c>
      <c r="G29" s="9">
        <v>68</v>
      </c>
      <c r="H29" s="13">
        <v>0.507462686567164</v>
      </c>
      <c r="I29" s="9">
        <v>28</v>
      </c>
      <c r="J29" s="9">
        <v>17</v>
      </c>
      <c r="K29" s="9">
        <v>2</v>
      </c>
      <c r="L29" s="16">
        <v>56.3666666666667</v>
      </c>
      <c r="M29" s="9">
        <v>0</v>
      </c>
      <c r="O29" s="17"/>
      <c r="P29" s="17"/>
      <c r="Q29" s="19"/>
      <c r="R29" s="19"/>
      <c r="S29" s="20"/>
      <c r="T29" s="20"/>
      <c r="U29" s="21"/>
      <c r="V29" s="20"/>
      <c r="W29" s="20"/>
      <c r="X29" s="20"/>
      <c r="Y29" s="23"/>
      <c r="Z29" s="20"/>
      <c r="AA29" s="20"/>
    </row>
    <row r="30" spans="2:27">
      <c r="B30" s="9" t="s">
        <v>151</v>
      </c>
      <c r="C30" s="9" t="s">
        <v>502</v>
      </c>
      <c r="D30" s="9" t="s">
        <v>519</v>
      </c>
      <c r="E30" s="9" t="s">
        <v>898</v>
      </c>
      <c r="F30" s="9">
        <v>255</v>
      </c>
      <c r="G30" s="9">
        <v>102</v>
      </c>
      <c r="H30" s="13">
        <v>0.4</v>
      </c>
      <c r="I30" s="9">
        <v>32</v>
      </c>
      <c r="J30" s="9">
        <v>13</v>
      </c>
      <c r="K30" s="9">
        <v>1</v>
      </c>
      <c r="L30" s="16">
        <v>56</v>
      </c>
      <c r="M30" s="9">
        <v>0</v>
      </c>
      <c r="O30" s="17"/>
      <c r="P30" s="17"/>
      <c r="Q30" s="19"/>
      <c r="R30" s="19"/>
      <c r="S30" s="20"/>
      <c r="T30" s="20"/>
      <c r="U30" s="21"/>
      <c r="V30" s="20"/>
      <c r="W30" s="20"/>
      <c r="X30" s="20"/>
      <c r="Y30" s="23"/>
      <c r="Z30" s="20"/>
      <c r="AA30" s="20"/>
    </row>
    <row r="31" spans="2:27">
      <c r="B31" s="9" t="s">
        <v>151</v>
      </c>
      <c r="C31" s="9" t="s">
        <v>502</v>
      </c>
      <c r="D31" s="9" t="s">
        <v>505</v>
      </c>
      <c r="E31" s="9" t="s">
        <v>900</v>
      </c>
      <c r="F31" s="9">
        <v>177</v>
      </c>
      <c r="G31" s="9">
        <v>90</v>
      </c>
      <c r="H31" s="13">
        <v>0.508474576271186</v>
      </c>
      <c r="I31" s="9">
        <v>6</v>
      </c>
      <c r="J31" s="9">
        <v>3</v>
      </c>
      <c r="K31" s="9">
        <v>0</v>
      </c>
      <c r="L31" s="16">
        <v>35.0333333333333</v>
      </c>
      <c r="M31" s="9">
        <v>0</v>
      </c>
      <c r="O31" s="18"/>
      <c r="P31" s="17"/>
      <c r="Q31" s="19"/>
      <c r="R31" s="19"/>
      <c r="S31" s="20"/>
      <c r="T31" s="20"/>
      <c r="U31" s="21"/>
      <c r="V31" s="20"/>
      <c r="W31" s="20"/>
      <c r="X31" s="20"/>
      <c r="Y31" s="23"/>
      <c r="Z31" s="20"/>
      <c r="AA31" s="20"/>
    </row>
    <row r="32" spans="2:27">
      <c r="B32" s="9" t="s">
        <v>224</v>
      </c>
      <c r="C32" s="9" t="s">
        <v>529</v>
      </c>
      <c r="D32" s="24" t="s">
        <v>545</v>
      </c>
      <c r="E32" s="9" t="s">
        <v>902</v>
      </c>
      <c r="F32" s="9">
        <v>170</v>
      </c>
      <c r="G32" s="9">
        <v>70</v>
      </c>
      <c r="H32" s="13">
        <v>0.411764705882353</v>
      </c>
      <c r="I32" s="9">
        <v>19</v>
      </c>
      <c r="J32" s="9">
        <v>10</v>
      </c>
      <c r="K32" s="9">
        <v>1</v>
      </c>
      <c r="L32" s="16">
        <v>39.2166666666667</v>
      </c>
      <c r="M32" s="9">
        <v>0</v>
      </c>
      <c r="O32" s="17"/>
      <c r="P32" s="17"/>
      <c r="Q32" s="19"/>
      <c r="R32" s="19"/>
      <c r="S32" s="20"/>
      <c r="T32" s="20"/>
      <c r="U32" s="21"/>
      <c r="V32" s="20"/>
      <c r="W32" s="20"/>
      <c r="X32" s="20"/>
      <c r="Y32" s="23"/>
      <c r="Z32" s="20"/>
      <c r="AA32" s="20"/>
    </row>
    <row r="33" spans="2:27">
      <c r="B33" s="9" t="s">
        <v>224</v>
      </c>
      <c r="C33" s="9" t="s">
        <v>529</v>
      </c>
      <c r="D33" s="9" t="s">
        <v>532</v>
      </c>
      <c r="E33" s="9" t="s">
        <v>901</v>
      </c>
      <c r="F33" s="9">
        <v>218</v>
      </c>
      <c r="G33" s="9">
        <v>106</v>
      </c>
      <c r="H33" s="13">
        <v>0.486238532110092</v>
      </c>
      <c r="I33" s="9">
        <v>30</v>
      </c>
      <c r="J33" s="9">
        <v>16</v>
      </c>
      <c r="K33" s="9">
        <v>4</v>
      </c>
      <c r="L33" s="16">
        <v>74.3833333333333</v>
      </c>
      <c r="M33" s="9">
        <v>4</v>
      </c>
      <c r="O33" s="17"/>
      <c r="P33" s="17"/>
      <c r="Q33" s="19"/>
      <c r="R33" s="19"/>
      <c r="S33" s="20"/>
      <c r="T33" s="20"/>
      <c r="U33" s="21"/>
      <c r="V33" s="20"/>
      <c r="W33" s="20"/>
      <c r="X33" s="20"/>
      <c r="Y33" s="23"/>
      <c r="Z33" s="20"/>
      <c r="AA33" s="20"/>
    </row>
    <row r="34" spans="2:27">
      <c r="B34" s="9" t="s">
        <v>224</v>
      </c>
      <c r="C34" s="9" t="s">
        <v>529</v>
      </c>
      <c r="D34" s="9" t="s">
        <v>530</v>
      </c>
      <c r="E34" s="9" t="s">
        <v>902</v>
      </c>
      <c r="F34" s="9">
        <v>97</v>
      </c>
      <c r="G34" s="9">
        <v>39</v>
      </c>
      <c r="H34" s="13">
        <v>0.402061855670103</v>
      </c>
      <c r="I34" s="9">
        <v>23</v>
      </c>
      <c r="J34" s="9">
        <v>4</v>
      </c>
      <c r="K34" s="9">
        <v>1</v>
      </c>
      <c r="L34" s="16">
        <v>21.0833333333333</v>
      </c>
      <c r="M34" s="9">
        <v>2</v>
      </c>
      <c r="O34" s="17"/>
      <c r="P34" s="17"/>
      <c r="Q34" s="19"/>
      <c r="R34" s="19"/>
      <c r="S34" s="20"/>
      <c r="T34" s="20"/>
      <c r="U34" s="21"/>
      <c r="V34" s="20"/>
      <c r="W34" s="20"/>
      <c r="X34" s="20"/>
      <c r="Y34" s="23"/>
      <c r="Z34" s="20"/>
      <c r="AA34" s="20"/>
    </row>
    <row r="35" spans="2:27">
      <c r="B35" s="9" t="s">
        <v>224</v>
      </c>
      <c r="C35" s="9" t="s">
        <v>529</v>
      </c>
      <c r="D35" s="9" t="s">
        <v>539</v>
      </c>
      <c r="E35" s="9" t="s">
        <v>902</v>
      </c>
      <c r="F35" s="9">
        <v>254</v>
      </c>
      <c r="G35" s="9">
        <v>121</v>
      </c>
      <c r="H35" s="13">
        <v>0.476377952755905</v>
      </c>
      <c r="I35" s="9">
        <v>52</v>
      </c>
      <c r="J35" s="9">
        <v>27</v>
      </c>
      <c r="K35" s="9">
        <v>1</v>
      </c>
      <c r="L35" s="16">
        <v>90.4333333333333</v>
      </c>
      <c r="M35" s="9">
        <v>0</v>
      </c>
      <c r="O35" s="17"/>
      <c r="P35" s="17"/>
      <c r="Q35" s="19"/>
      <c r="R35" s="19"/>
      <c r="S35" s="20"/>
      <c r="T35" s="20"/>
      <c r="U35" s="21"/>
      <c r="V35" s="20"/>
      <c r="W35" s="20"/>
      <c r="X35" s="20"/>
      <c r="Y35" s="23"/>
      <c r="Z35" s="20"/>
      <c r="AA35" s="20"/>
    </row>
    <row r="36" spans="2:27">
      <c r="B36" s="9" t="s">
        <v>224</v>
      </c>
      <c r="C36" s="9" t="s">
        <v>529</v>
      </c>
      <c r="D36" s="9" t="s">
        <v>536</v>
      </c>
      <c r="E36" s="9" t="s">
        <v>900</v>
      </c>
      <c r="F36" s="9">
        <v>200</v>
      </c>
      <c r="G36" s="9">
        <v>75</v>
      </c>
      <c r="H36" s="13">
        <v>0.375</v>
      </c>
      <c r="I36" s="9">
        <v>15</v>
      </c>
      <c r="J36" s="9">
        <v>6</v>
      </c>
      <c r="K36" s="9">
        <v>0</v>
      </c>
      <c r="L36" s="16">
        <v>34.8</v>
      </c>
      <c r="M36" s="9">
        <v>1</v>
      </c>
      <c r="O36" s="17"/>
      <c r="P36" s="17"/>
      <c r="Q36" s="19"/>
      <c r="R36" s="19"/>
      <c r="S36" s="20"/>
      <c r="T36" s="20"/>
      <c r="U36" s="21"/>
      <c r="V36" s="20"/>
      <c r="W36" s="20"/>
      <c r="X36" s="20"/>
      <c r="Y36" s="23"/>
      <c r="Z36" s="20"/>
      <c r="AA36" s="20"/>
    </row>
    <row r="37" spans="2:27">
      <c r="B37" s="9" t="s">
        <v>75</v>
      </c>
      <c r="C37" s="9" t="s">
        <v>202</v>
      </c>
      <c r="D37" s="9" t="s">
        <v>199</v>
      </c>
      <c r="E37" s="9" t="s">
        <v>903</v>
      </c>
      <c r="F37" s="9">
        <v>217</v>
      </c>
      <c r="G37" s="9">
        <v>96</v>
      </c>
      <c r="H37" s="13">
        <v>0.442396313364055</v>
      </c>
      <c r="I37" s="9">
        <v>29</v>
      </c>
      <c r="J37" s="9">
        <v>22</v>
      </c>
      <c r="K37" s="9">
        <v>3</v>
      </c>
      <c r="L37" s="16">
        <v>64.45</v>
      </c>
      <c r="M37" s="9">
        <v>1</v>
      </c>
      <c r="O37" s="18"/>
      <c r="P37" s="17"/>
      <c r="Q37" s="19"/>
      <c r="R37" s="19"/>
      <c r="S37" s="20"/>
      <c r="T37" s="20"/>
      <c r="U37" s="21"/>
      <c r="V37" s="20"/>
      <c r="W37" s="20"/>
      <c r="X37" s="20"/>
      <c r="Y37" s="23"/>
      <c r="Z37" s="20"/>
      <c r="AA37" s="20"/>
    </row>
    <row r="38" spans="2:27">
      <c r="B38" s="9" t="s">
        <v>75</v>
      </c>
      <c r="C38" s="9" t="s">
        <v>202</v>
      </c>
      <c r="D38" s="9" t="s">
        <v>203</v>
      </c>
      <c r="E38" s="9" t="s">
        <v>903</v>
      </c>
      <c r="F38" s="9">
        <v>155</v>
      </c>
      <c r="G38" s="9">
        <v>63</v>
      </c>
      <c r="H38" s="13">
        <v>0.406451612903226</v>
      </c>
      <c r="I38" s="9">
        <v>15</v>
      </c>
      <c r="J38" s="9">
        <v>9</v>
      </c>
      <c r="K38" s="9">
        <v>1</v>
      </c>
      <c r="L38" s="16">
        <v>32.85</v>
      </c>
      <c r="M38" s="9">
        <v>0</v>
      </c>
      <c r="O38" s="17"/>
      <c r="P38" s="17"/>
      <c r="Q38" s="19"/>
      <c r="R38" s="19"/>
      <c r="S38" s="20"/>
      <c r="T38" s="20"/>
      <c r="U38" s="21"/>
      <c r="V38" s="20"/>
      <c r="W38" s="20"/>
      <c r="X38" s="20"/>
      <c r="Y38" s="23"/>
      <c r="Z38" s="20"/>
      <c r="AA38" s="20"/>
    </row>
    <row r="39" spans="2:27">
      <c r="B39" s="9" t="s">
        <v>75</v>
      </c>
      <c r="C39" s="9" t="s">
        <v>202</v>
      </c>
      <c r="D39" s="9" t="s">
        <v>206</v>
      </c>
      <c r="E39" s="9" t="s">
        <v>901</v>
      </c>
      <c r="F39" s="9">
        <v>108</v>
      </c>
      <c r="G39" s="9">
        <v>54</v>
      </c>
      <c r="H39" s="13">
        <v>0.5</v>
      </c>
      <c r="I39" s="9">
        <v>30</v>
      </c>
      <c r="J39" s="9">
        <v>12</v>
      </c>
      <c r="K39" s="9">
        <v>2</v>
      </c>
      <c r="L39" s="16">
        <v>41.7666666666667</v>
      </c>
      <c r="M39" s="9">
        <v>3</v>
      </c>
      <c r="O39" s="17"/>
      <c r="P39" s="17"/>
      <c r="Q39" s="19"/>
      <c r="R39" s="19"/>
      <c r="S39" s="20"/>
      <c r="T39" s="20"/>
      <c r="U39" s="21"/>
      <c r="V39" s="20"/>
      <c r="W39" s="20"/>
      <c r="X39" s="20"/>
      <c r="Y39" s="23"/>
      <c r="Z39" s="20"/>
      <c r="AA39" s="20"/>
    </row>
    <row r="40" spans="2:27">
      <c r="B40" s="9" t="s">
        <v>75</v>
      </c>
      <c r="C40" s="9" t="s">
        <v>202</v>
      </c>
      <c r="D40" s="9" t="s">
        <v>212</v>
      </c>
      <c r="E40" s="9" t="s">
        <v>902</v>
      </c>
      <c r="F40" s="9">
        <v>256</v>
      </c>
      <c r="G40" s="9">
        <v>111</v>
      </c>
      <c r="H40" s="13">
        <v>0.43359375</v>
      </c>
      <c r="I40" s="9">
        <v>7</v>
      </c>
      <c r="J40" s="9">
        <v>4</v>
      </c>
      <c r="K40" s="9">
        <v>0</v>
      </c>
      <c r="L40" s="16">
        <v>37.1666666666667</v>
      </c>
      <c r="M40" s="9">
        <v>0</v>
      </c>
      <c r="O40" s="17"/>
      <c r="P40" s="17"/>
      <c r="Q40" s="19"/>
      <c r="R40" s="19"/>
      <c r="S40" s="20"/>
      <c r="T40" s="20"/>
      <c r="U40" s="21"/>
      <c r="V40" s="20"/>
      <c r="W40" s="20"/>
      <c r="X40" s="20"/>
      <c r="Y40" s="23"/>
      <c r="Z40" s="20"/>
      <c r="AA40" s="20"/>
    </row>
    <row r="41" spans="2:27">
      <c r="B41" s="9" t="s">
        <v>75</v>
      </c>
      <c r="C41" s="9" t="s">
        <v>202</v>
      </c>
      <c r="D41" s="9" t="s">
        <v>215</v>
      </c>
      <c r="E41" s="9" t="s">
        <v>902</v>
      </c>
      <c r="F41" s="9">
        <v>186</v>
      </c>
      <c r="G41" s="9">
        <v>70</v>
      </c>
      <c r="H41" s="13">
        <v>0.376344086021505</v>
      </c>
      <c r="I41" s="9">
        <v>20</v>
      </c>
      <c r="J41" s="9">
        <v>17</v>
      </c>
      <c r="K41" s="9">
        <v>4</v>
      </c>
      <c r="L41" s="16">
        <v>53</v>
      </c>
      <c r="M41" s="9">
        <v>0</v>
      </c>
      <c r="O41" s="17"/>
      <c r="P41" s="17"/>
      <c r="Q41" s="19"/>
      <c r="R41" s="19"/>
      <c r="S41" s="20"/>
      <c r="T41" s="20"/>
      <c r="U41" s="21"/>
      <c r="V41" s="20"/>
      <c r="W41" s="20"/>
      <c r="X41" s="20"/>
      <c r="Y41" s="23"/>
      <c r="Z41" s="20"/>
      <c r="AA41" s="20"/>
    </row>
    <row r="42" spans="2:27">
      <c r="B42" s="9" t="s">
        <v>75</v>
      </c>
      <c r="C42" s="9" t="s">
        <v>202</v>
      </c>
      <c r="D42" s="9" t="s">
        <v>220</v>
      </c>
      <c r="E42" s="9" t="s">
        <v>902</v>
      </c>
      <c r="F42" s="9">
        <v>246</v>
      </c>
      <c r="G42" s="9">
        <v>100</v>
      </c>
      <c r="H42" s="13">
        <v>0.40650406504065</v>
      </c>
      <c r="I42" s="9">
        <v>11</v>
      </c>
      <c r="J42" s="9">
        <v>7</v>
      </c>
      <c r="K42" s="9">
        <v>0</v>
      </c>
      <c r="L42" s="16">
        <v>43</v>
      </c>
      <c r="M42" s="9">
        <v>1</v>
      </c>
      <c r="O42" s="17"/>
      <c r="P42" s="17"/>
      <c r="Q42" s="19"/>
      <c r="R42" s="19"/>
      <c r="S42" s="20"/>
      <c r="T42" s="20"/>
      <c r="U42" s="21"/>
      <c r="V42" s="20"/>
      <c r="W42" s="20"/>
      <c r="X42" s="20"/>
      <c r="Y42" s="23"/>
      <c r="Z42" s="20"/>
      <c r="AA42" s="20"/>
    </row>
    <row r="43" spans="2:27">
      <c r="B43" s="9" t="s">
        <v>75</v>
      </c>
      <c r="C43" s="9" t="s">
        <v>202</v>
      </c>
      <c r="D43" s="9" t="s">
        <v>222</v>
      </c>
      <c r="E43" s="9" t="s">
        <v>902</v>
      </c>
      <c r="F43" s="9">
        <v>242</v>
      </c>
      <c r="G43" s="9">
        <v>102</v>
      </c>
      <c r="H43" s="13">
        <v>0.421487603305785</v>
      </c>
      <c r="I43" s="9">
        <v>22</v>
      </c>
      <c r="J43" s="9">
        <v>14</v>
      </c>
      <c r="K43" s="9">
        <v>3</v>
      </c>
      <c r="L43" s="16">
        <v>63.3833333333333</v>
      </c>
      <c r="M43" s="9">
        <v>0</v>
      </c>
      <c r="O43" s="18"/>
      <c r="P43" s="17"/>
      <c r="Q43" s="19"/>
      <c r="R43" s="19"/>
      <c r="S43" s="20"/>
      <c r="T43" s="20"/>
      <c r="U43" s="21"/>
      <c r="V43" s="20"/>
      <c r="W43" s="20"/>
      <c r="X43" s="20"/>
      <c r="Y43" s="23"/>
      <c r="Z43" s="20"/>
      <c r="AA43" s="20"/>
    </row>
    <row r="44" spans="2:27">
      <c r="B44" s="9" t="s">
        <v>22</v>
      </c>
      <c r="C44" s="9" t="s">
        <v>26</v>
      </c>
      <c r="D44" s="9" t="s">
        <v>48</v>
      </c>
      <c r="E44" s="9" t="s">
        <v>898</v>
      </c>
      <c r="F44" s="9">
        <v>8</v>
      </c>
      <c r="G44" s="9">
        <v>4</v>
      </c>
      <c r="H44" s="13">
        <v>0.5</v>
      </c>
      <c r="I44" s="9">
        <v>1</v>
      </c>
      <c r="J44" s="9">
        <v>1</v>
      </c>
      <c r="K44" s="9">
        <v>0</v>
      </c>
      <c r="L44" s="16">
        <v>3.2</v>
      </c>
      <c r="M44" s="9">
        <v>0</v>
      </c>
      <c r="O44" s="17"/>
      <c r="P44" s="17"/>
      <c r="Q44" s="19"/>
      <c r="R44" s="19"/>
      <c r="S44" s="20"/>
      <c r="T44" s="20"/>
      <c r="U44" s="21"/>
      <c r="V44" s="20"/>
      <c r="W44" s="20"/>
      <c r="X44" s="20"/>
      <c r="Y44" s="23"/>
      <c r="Z44" s="20"/>
      <c r="AA44" s="20"/>
    </row>
    <row r="45" spans="2:27">
      <c r="B45" s="9" t="s">
        <v>22</v>
      </c>
      <c r="C45" s="9" t="s">
        <v>26</v>
      </c>
      <c r="D45" s="9" t="s">
        <v>23</v>
      </c>
      <c r="E45" s="9" t="s">
        <v>903</v>
      </c>
      <c r="F45" s="9">
        <v>8</v>
      </c>
      <c r="G45" s="9">
        <v>6</v>
      </c>
      <c r="H45" s="13">
        <v>0.75</v>
      </c>
      <c r="I45" s="9">
        <v>5</v>
      </c>
      <c r="J45" s="9">
        <v>5</v>
      </c>
      <c r="K45" s="9">
        <v>1</v>
      </c>
      <c r="L45" s="16">
        <v>10.7</v>
      </c>
      <c r="M45" s="9">
        <v>0</v>
      </c>
      <c r="O45" s="17"/>
      <c r="P45" s="17"/>
      <c r="Q45" s="19"/>
      <c r="R45" s="19"/>
      <c r="S45" s="20"/>
      <c r="T45" s="20"/>
      <c r="U45" s="21"/>
      <c r="V45" s="20"/>
      <c r="W45" s="20"/>
      <c r="X45" s="20"/>
      <c r="Y45" s="23"/>
      <c r="Z45" s="20"/>
      <c r="AA45" s="20"/>
    </row>
    <row r="46" spans="2:27">
      <c r="B46" s="10" t="s">
        <v>22</v>
      </c>
      <c r="C46" s="10" t="s">
        <v>26</v>
      </c>
      <c r="D46" s="10" t="s">
        <v>45</v>
      </c>
      <c r="E46" s="10" t="s">
        <v>898</v>
      </c>
      <c r="F46" s="10">
        <v>6</v>
      </c>
      <c r="G46" s="10">
        <v>3</v>
      </c>
      <c r="H46" s="13">
        <v>0.5</v>
      </c>
      <c r="I46" s="10">
        <v>3</v>
      </c>
      <c r="J46" s="10">
        <v>1</v>
      </c>
      <c r="K46" s="10">
        <v>0</v>
      </c>
      <c r="L46" s="10">
        <v>3.63333333333333</v>
      </c>
      <c r="M46" s="10">
        <v>0</v>
      </c>
      <c r="O46" s="17"/>
      <c r="P46" s="17"/>
      <c r="Q46" s="19"/>
      <c r="R46" s="19"/>
      <c r="S46" s="20"/>
      <c r="T46" s="20"/>
      <c r="U46" s="21"/>
      <c r="V46" s="20"/>
      <c r="W46" s="20"/>
      <c r="X46" s="20"/>
      <c r="Y46" s="23"/>
      <c r="Z46" s="20"/>
      <c r="AA46" s="20"/>
    </row>
    <row r="47" spans="2:26">
      <c r="B47" s="10" t="s">
        <v>22</v>
      </c>
      <c r="C47" s="10" t="s">
        <v>26</v>
      </c>
      <c r="D47" s="10" t="s">
        <v>33</v>
      </c>
      <c r="E47" s="10" t="s">
        <v>898</v>
      </c>
      <c r="F47" s="10">
        <v>51</v>
      </c>
      <c r="G47" s="10">
        <v>25</v>
      </c>
      <c r="H47" s="13">
        <v>0.490196078431373</v>
      </c>
      <c r="I47" s="10">
        <v>12</v>
      </c>
      <c r="J47" s="10">
        <v>6</v>
      </c>
      <c r="K47" s="10">
        <v>2</v>
      </c>
      <c r="L47" s="10">
        <v>26.6333333333333</v>
      </c>
      <c r="M47" s="10">
        <v>0</v>
      </c>
      <c r="O47" s="17"/>
      <c r="P47" s="17"/>
      <c r="Q47" s="19"/>
      <c r="R47" s="19"/>
      <c r="S47" s="20"/>
      <c r="T47" s="20"/>
      <c r="U47" s="21"/>
      <c r="V47" s="20"/>
      <c r="W47" s="20"/>
      <c r="X47" s="20"/>
      <c r="Y47" s="23"/>
      <c r="Z47" s="20"/>
    </row>
    <row r="48" spans="2:26">
      <c r="B48" s="10" t="s">
        <v>22</v>
      </c>
      <c r="C48" s="10" t="s">
        <v>26</v>
      </c>
      <c r="D48" s="10" t="s">
        <v>39</v>
      </c>
      <c r="E48" s="10" t="s">
        <v>901</v>
      </c>
      <c r="F48" s="10">
        <v>26</v>
      </c>
      <c r="G48" s="10">
        <v>2</v>
      </c>
      <c r="H48" s="13">
        <v>0.0769230769230769</v>
      </c>
      <c r="I48" s="10">
        <v>0</v>
      </c>
      <c r="J48" s="10">
        <v>0</v>
      </c>
      <c r="K48" s="10">
        <v>0</v>
      </c>
      <c r="L48" s="10">
        <v>0.383333333333333</v>
      </c>
      <c r="M48" s="10">
        <v>0</v>
      </c>
      <c r="O48" s="17"/>
      <c r="P48" s="17"/>
      <c r="Q48" s="19"/>
      <c r="R48" s="19"/>
      <c r="S48" s="20"/>
      <c r="T48" s="20"/>
      <c r="U48" s="21"/>
      <c r="V48" s="20"/>
      <c r="W48" s="20"/>
      <c r="X48" s="20"/>
      <c r="Y48" s="23"/>
      <c r="Z48" s="20"/>
    </row>
    <row r="49" spans="2:13">
      <c r="B49" s="10" t="s">
        <v>22</v>
      </c>
      <c r="C49" s="10" t="s">
        <v>26</v>
      </c>
      <c r="D49" s="10" t="s">
        <v>27</v>
      </c>
      <c r="E49" s="10" t="s">
        <v>903</v>
      </c>
      <c r="F49" s="10">
        <v>30</v>
      </c>
      <c r="G49" s="10">
        <v>9</v>
      </c>
      <c r="H49" s="13">
        <v>0.3</v>
      </c>
      <c r="I49" s="9">
        <v>6</v>
      </c>
      <c r="J49" s="9">
        <v>4</v>
      </c>
      <c r="K49" s="9">
        <v>1</v>
      </c>
      <c r="L49" s="16">
        <v>11.7333333333333</v>
      </c>
      <c r="M49" s="9">
        <v>0</v>
      </c>
    </row>
    <row r="50" spans="2:13">
      <c r="B50" s="10" t="s">
        <v>22</v>
      </c>
      <c r="C50" s="10" t="s">
        <v>26</v>
      </c>
      <c r="D50" s="10" t="s">
        <v>30</v>
      </c>
      <c r="E50" s="10" t="s">
        <v>903</v>
      </c>
      <c r="F50" s="10">
        <v>10</v>
      </c>
      <c r="G50" s="10">
        <v>7</v>
      </c>
      <c r="H50" s="13">
        <v>0.7</v>
      </c>
      <c r="I50" s="9">
        <v>4</v>
      </c>
      <c r="J50" s="9">
        <v>4</v>
      </c>
      <c r="K50" s="9">
        <v>2</v>
      </c>
      <c r="L50" s="16">
        <v>16.8833333333333</v>
      </c>
      <c r="M50" s="9">
        <v>0</v>
      </c>
    </row>
    <row r="51" spans="2:13">
      <c r="B51" s="10" t="s">
        <v>22</v>
      </c>
      <c r="C51" s="10" t="s">
        <v>26</v>
      </c>
      <c r="D51" s="10" t="s">
        <v>36</v>
      </c>
      <c r="E51" s="10" t="s">
        <v>902</v>
      </c>
      <c r="F51" s="10">
        <v>47</v>
      </c>
      <c r="G51" s="10">
        <v>21</v>
      </c>
      <c r="H51" s="13">
        <v>0.446808510638298</v>
      </c>
      <c r="I51" s="9">
        <v>14</v>
      </c>
      <c r="J51" s="9">
        <v>9</v>
      </c>
      <c r="K51" s="9">
        <v>0</v>
      </c>
      <c r="L51" s="16">
        <v>20.3</v>
      </c>
      <c r="M51" s="9">
        <v>0</v>
      </c>
    </row>
    <row r="52" spans="2:13">
      <c r="B52" s="9"/>
      <c r="C52" s="9"/>
      <c r="D52" s="9"/>
      <c r="E52" s="9"/>
      <c r="F52" s="9"/>
      <c r="G52" s="9"/>
      <c r="H52" s="13"/>
      <c r="I52" s="9"/>
      <c r="J52" s="9"/>
      <c r="K52" s="9"/>
      <c r="L52" s="26"/>
      <c r="M52" s="9"/>
    </row>
    <row r="53" spans="2:13">
      <c r="B53" s="9"/>
      <c r="C53" s="9"/>
      <c r="D53" s="9"/>
      <c r="E53" s="9"/>
      <c r="F53" s="9"/>
      <c r="G53" s="9"/>
      <c r="H53" s="13"/>
      <c r="I53" s="9"/>
      <c r="J53" s="9"/>
      <c r="K53" s="9"/>
      <c r="L53" s="26"/>
      <c r="M53" s="9"/>
    </row>
    <row r="54" spans="2:13">
      <c r="B54" s="9"/>
      <c r="C54" s="9"/>
      <c r="D54" s="9"/>
      <c r="E54" s="9"/>
      <c r="F54" s="9"/>
      <c r="G54" s="9"/>
      <c r="H54" s="13"/>
      <c r="I54" s="9"/>
      <c r="J54" s="9"/>
      <c r="K54" s="9"/>
      <c r="L54" s="26"/>
      <c r="M54" s="9"/>
    </row>
  </sheetData>
  <mergeCells count="1">
    <mergeCell ref="AF19:AO36"/>
  </mergeCells>
  <conditionalFormatting sqref="P11:V11">
    <cfRule type="colorScale" priority="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:E6">
    <cfRule type="colorScale" priority="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4:I45"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4:I46">
    <cfRule type="colorScale" priority="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4:I47"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4:I48"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4:I49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4:I50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4:I51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4:I54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4:J45">
    <cfRule type="colorScale" priority="7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4:J46"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4:J47">
    <cfRule type="colorScale" priority="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4:J48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4:J49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4:J50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4:J51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4:J54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4:K45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4:K46">
    <cfRule type="colorScale" priority="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4:K47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4:K48"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4:K49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4:K50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4:K51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4:K54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4:L45">
    <cfRule type="colorScale" priority="7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4:L46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4:L47">
    <cfRule type="colorScale" priority="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4:L48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4:L49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4:L50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4:L51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4:L54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4:M45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4:M46">
    <cfRule type="colorScale" priority="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4:M47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4:M48">
    <cfRule type="colorScale" priority="4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4:M49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4:M50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4:M51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4:M54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:O6"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3:Z7">
    <cfRule type="colorScale" priority="1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:L6"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3:W7">
    <cfRule type="colorScale" priority="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8:F11 G11:L11">
    <cfRule type="colorScale" priority="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4:I45 I48">
    <cfRule type="colorScale" priority="12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list" showInputMessage="1" showErrorMessage="1" sqref="A2 AB14">
      <formula1>$AB$2:$AG$2</formula1>
    </dataValidation>
  </dataValidations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53"/>
  <sheetViews>
    <sheetView tabSelected="1" zoomScale="55" zoomScaleNormal="55" topLeftCell="A23" workbookViewId="0">
      <selection activeCell="Q68" sqref="Q68"/>
    </sheetView>
  </sheetViews>
  <sheetFormatPr defaultColWidth="9" defaultRowHeight="16.5"/>
  <cols>
    <col min="1" max="1" width="17.5" style="2" customWidth="1"/>
    <col min="2" max="2" width="12.875" style="2" customWidth="1"/>
    <col min="3" max="3" width="8.5" style="2" customWidth="1"/>
    <col min="4" max="5" width="9.25" style="2" customWidth="1"/>
    <col min="6" max="7" width="8.125" style="2" customWidth="1"/>
    <col min="8" max="8" width="9.25" style="2" customWidth="1"/>
    <col min="9" max="9" width="8.25" style="2" customWidth="1"/>
    <col min="10" max="10" width="9.375" style="2" customWidth="1"/>
    <col min="11" max="11" width="8.875" style="2" customWidth="1"/>
    <col min="12" max="12" width="10.25" style="2" customWidth="1"/>
    <col min="13" max="13" width="12.875" style="2" customWidth="1"/>
    <col min="14" max="21" width="8.375" style="2" customWidth="1"/>
    <col min="22" max="22" width="12.25" style="2" customWidth="1"/>
    <col min="23" max="23" width="8.25" style="2" customWidth="1"/>
    <col min="24" max="24" width="9.375" style="2" customWidth="1"/>
    <col min="25" max="25" width="12.25" style="2" customWidth="1"/>
    <col min="26" max="27" width="12.875" style="2" customWidth="1"/>
    <col min="28" max="33" width="16.625" style="2" customWidth="1"/>
    <col min="34" max="16384" width="9" style="2" customWidth="1"/>
  </cols>
  <sheetData>
    <row r="1" spans="1:27">
      <c r="A1" s="3">
        <f ca="1">TODAY()</f>
        <v>45538</v>
      </c>
      <c r="B1" s="4"/>
      <c r="C1" s="4"/>
      <c r="D1" s="5"/>
      <c r="E1" s="6" t="s">
        <v>905</v>
      </c>
      <c r="F1" s="4"/>
      <c r="G1" s="4"/>
      <c r="H1" s="4"/>
      <c r="I1" s="4"/>
      <c r="J1" s="4"/>
      <c r="K1" s="5"/>
      <c r="L1" s="9"/>
      <c r="M1" s="9"/>
      <c r="N1" s="6" t="s">
        <v>906</v>
      </c>
      <c r="O1" s="4"/>
      <c r="P1" s="4"/>
      <c r="Q1" s="4"/>
      <c r="R1" s="4"/>
      <c r="S1" s="4"/>
      <c r="T1" s="5"/>
      <c r="U1" s="9"/>
      <c r="V1" s="9"/>
      <c r="W1" s="9"/>
      <c r="X1" s="9"/>
      <c r="AA1" s="1"/>
    </row>
    <row r="2" spans="1:33">
      <c r="A2" s="7" t="s">
        <v>907</v>
      </c>
      <c r="B2" s="7" t="s">
        <v>573</v>
      </c>
      <c r="C2" s="7" t="s">
        <v>19</v>
      </c>
      <c r="D2" s="7" t="s">
        <v>888</v>
      </c>
      <c r="E2" s="7" t="s">
        <v>908</v>
      </c>
      <c r="F2" s="8" t="s">
        <v>900</v>
      </c>
      <c r="G2" s="8" t="s">
        <v>902</v>
      </c>
      <c r="H2" s="8" t="s">
        <v>901</v>
      </c>
      <c r="I2" s="8" t="s">
        <v>898</v>
      </c>
      <c r="J2" s="8" t="s">
        <v>903</v>
      </c>
      <c r="K2" s="8" t="s">
        <v>904</v>
      </c>
      <c r="L2" s="8" t="s">
        <v>899</v>
      </c>
      <c r="M2" s="7" t="s">
        <v>909</v>
      </c>
      <c r="N2" s="7" t="s">
        <v>575</v>
      </c>
      <c r="O2" s="7" t="s">
        <v>908</v>
      </c>
      <c r="P2" s="6" t="s">
        <v>900</v>
      </c>
      <c r="Q2" s="8" t="s">
        <v>910</v>
      </c>
      <c r="R2" s="8" t="s">
        <v>901</v>
      </c>
      <c r="S2" s="8" t="s">
        <v>898</v>
      </c>
      <c r="T2" s="8" t="s">
        <v>903</v>
      </c>
      <c r="U2" s="8" t="s">
        <v>904</v>
      </c>
      <c r="V2" s="8" t="s">
        <v>899</v>
      </c>
      <c r="W2" s="7" t="s">
        <v>911</v>
      </c>
      <c r="X2" s="7" t="s">
        <v>912</v>
      </c>
      <c r="Y2" s="7" t="s">
        <v>913</v>
      </c>
      <c r="Z2" s="7" t="s">
        <v>914</v>
      </c>
      <c r="AA2" s="1"/>
      <c r="AB2" s="7" t="s">
        <v>915</v>
      </c>
      <c r="AC2" s="7" t="s">
        <v>916</v>
      </c>
      <c r="AD2" s="7" t="s">
        <v>917</v>
      </c>
      <c r="AE2" s="7" t="s">
        <v>918</v>
      </c>
      <c r="AF2" s="7" t="s">
        <v>919</v>
      </c>
      <c r="AG2" s="7" t="s">
        <v>907</v>
      </c>
    </row>
    <row r="3" spans="1:33">
      <c r="A3" s="9" t="str">
        <f>IF(LEFT(A2,2)="11",AB3,IF(LEFT(A2,2)="12",AC3,IF(LEFT(A2,2)="15",AD3,IF(LEFT(A2,2)="16",AE3,IF(LEFT(A2,2)="17",AF3,IF(LEFT(A2,2)="18",AG3,0))))))</f>
        <v>35个45s有效</v>
      </c>
      <c r="B3" s="9" t="s">
        <v>264</v>
      </c>
      <c r="C3" s="9" t="s">
        <v>479</v>
      </c>
      <c r="D3" s="9">
        <f>COUNTIFS($B$13:$B$282,B3,$F$13:$F$282,"&lt;&gt;0")</f>
        <v>8</v>
      </c>
      <c r="E3" s="10">
        <f>AVERAGEIFS(F14:F183,B14:B183,B3)</f>
        <v>140.875</v>
      </c>
      <c r="F3" s="10">
        <f>IFERROR(AVERAGEIFS($F$14:$F$183,$B$14:$B$183,$B3,$E$14:$E$183,F$2),"")</f>
        <v>170</v>
      </c>
      <c r="G3" s="10" t="str">
        <f>IFERROR(AVERAGEIFS($F$14:$F$183,$B$14:$B$183,$B3,$E$14:$E$183,G$2),"")</f>
        <v/>
      </c>
      <c r="H3" s="10" t="str">
        <f>IFERROR(AVERAGEIFS($F$14:$F$183,$B$14:$B$183,$B3,$E$14:$E$183,H$2),"")</f>
        <v/>
      </c>
      <c r="I3" s="10">
        <f>IFERROR(AVERAGEIFS($F$14:$F$183,$B$14:$B$183,$B3,$E$14:$E$183,I$2),"")</f>
        <v>148.25</v>
      </c>
      <c r="J3" s="10" t="str">
        <f>IFERROR(AVERAGEIFS($F$14:$F$183,$B$14:$B$183,$B3,$E$14:$E$183,J$2),"")</f>
        <v/>
      </c>
      <c r="K3" s="10" t="str">
        <f>IFERROR(AVERAGEIFS($F$14:$F$183,$B$14:$B$183,$B3,$E$14:$E$183,K$2),"")</f>
        <v/>
      </c>
      <c r="L3" s="10">
        <f>IFERROR(AVERAGEIFS($F$14:$F$183,$B$14:$B$183,$B3,$E$14:$E$183,L$2),"")</f>
        <v>121.333333333333</v>
      </c>
      <c r="M3" s="14">
        <f>AVERAGEIFS(G$14:G$53,$B14:$B53,$B3)</f>
        <v>61</v>
      </c>
      <c r="N3" s="15">
        <f>AVERAGEIFS(H$14:H$53,$B$14:$B$53,$B3)</f>
        <v>0.430147155474479</v>
      </c>
      <c r="O3" s="14">
        <f>IFERROR(AVERAGEIFS(I$14:I$53,$B$14:$B$53,$B3,$C$14:$C$53,C3),0)</f>
        <v>25.25</v>
      </c>
      <c r="P3" s="14">
        <f>IFERROR(AVERAGEIFS($I$14:$I$183,$B$14:$B$183,$B3,$E$14:$E$183,F$2),"")</f>
        <v>23</v>
      </c>
      <c r="Q3" s="14" t="str">
        <f>IFERROR(AVERAGEIFS($I$14:$I$183,$B$14:$B$183,$B3,$E$14:$E$183,G$2),"")</f>
        <v/>
      </c>
      <c r="R3" s="14" t="str">
        <f>IFERROR(AVERAGEIFS($I$14:$I$183,$B$14:$B$183,$B3,$E$14:$E$183,H$2),"")</f>
        <v/>
      </c>
      <c r="S3" s="14">
        <f>IFERROR(AVERAGEIFS($I$14:$I$183,$B$14:$B$183,$B3,$E$14:$E$183,I$2),"")</f>
        <v>25.5</v>
      </c>
      <c r="T3" s="14" t="str">
        <f>IFERROR(AVERAGEIFS($I$14:$I$183,$B$14:$B$183,$B3,$E$14:$E$183,J$2),"")</f>
        <v/>
      </c>
      <c r="U3" s="14" t="str">
        <f>IFERROR(AVERAGEIFS($I$14:$I$183,$B$14:$B$183,$B3,$E$14:$E$183,K$2),"")</f>
        <v/>
      </c>
      <c r="V3" s="14">
        <f>IFERROR(AVERAGEIFS($I$14:$I$183,$B$14:$B$183,$B3,$E$14:$E$183,L$2),"")</f>
        <v>25.6666666666667</v>
      </c>
      <c r="W3" s="14">
        <f>AVERAGEIFS(J$14:J$53,$B$14:$B$53,$B3)</f>
        <v>13.125</v>
      </c>
      <c r="X3" s="14">
        <f>AVERAGEIFS(K$14:K$53,$B$14:$B$53,$B3)</f>
        <v>1.625</v>
      </c>
      <c r="Y3" s="14">
        <f>AVERAGEIFS(L$14:L$53,$B$14:$B$53,$B3)</f>
        <v>44.3583333333333</v>
      </c>
      <c r="Z3" s="14">
        <f>AVERAGEIFS(M$14:M$53,$B$14:$B$53,$B3)</f>
        <v>1.25</v>
      </c>
      <c r="AA3" s="1"/>
      <c r="AB3" s="9" t="s">
        <v>920</v>
      </c>
      <c r="AC3" s="9" t="s">
        <v>952</v>
      </c>
      <c r="AD3" s="9" t="s">
        <v>965</v>
      </c>
      <c r="AE3" s="9" t="s">
        <v>966</v>
      </c>
      <c r="AF3" s="9" t="s">
        <v>967</v>
      </c>
      <c r="AG3" s="9" t="s">
        <v>925</v>
      </c>
    </row>
    <row r="4" spans="1:33">
      <c r="A4" s="9" t="str">
        <f>IF(LEFT(A2,2)="11",AB3,IF(LEFT(A2,2)="12",AC3,IF(LEFT(A2,2)="15",AD3,IF(LEFT(A2,2)="16",AE3,IF(LEFT(A2,2)="17",AF3,IF(LEFT(A2,2)="18",AG3,0))))))</f>
        <v>35个45s有效</v>
      </c>
      <c r="B4" s="9" t="s">
        <v>151</v>
      </c>
      <c r="C4" s="9" t="s">
        <v>319</v>
      </c>
      <c r="D4" s="9">
        <f>COUNTIFS($B$13:$B$282,B4,$F$13:$F$282,"&lt;&gt;0")</f>
        <v>7</v>
      </c>
      <c r="E4" s="10">
        <f>AVERAGEIFS(F15:F184,B15:B184,B4)</f>
        <v>200.285714285714</v>
      </c>
      <c r="F4" s="10">
        <f>IFERROR(AVERAGEIFS($F$14:$F$183,$B$14:$B$183,$B4,$E$14:$E$183,F$2),"")</f>
        <v>274.5</v>
      </c>
      <c r="G4" s="10">
        <f>IFERROR(AVERAGEIFS($F$14:$F$183,$B$14:$B$183,$B4,$E$14:$E$183,G$2),"")</f>
        <v>223.5</v>
      </c>
      <c r="H4" s="10">
        <f>IFERROR(AVERAGEIFS($F$14:$F$183,$B$14:$B$183,$B4,$E$14:$E$183,H$2),"")</f>
        <v>80</v>
      </c>
      <c r="I4" s="10">
        <f>IFERROR(AVERAGEIFS($F$14:$F$183,$B$14:$B$183,$B4,$E$14:$E$183,I$2),"")</f>
        <v>237</v>
      </c>
      <c r="J4" s="10" t="str">
        <f>IFERROR(AVERAGEIFS($F$14:$F$183,$B$14:$B$183,$B4,$E$14:$E$183,J$2),"")</f>
        <v/>
      </c>
      <c r="K4" s="10" t="str">
        <f>IFERROR(AVERAGEIFS($F$14:$F$183,$B$14:$B$183,$B4,$E$14:$E$183,K$2),"")</f>
        <v/>
      </c>
      <c r="L4" s="10">
        <f>IFERROR(AVERAGEIFS($F$14:$F$183,$B$14:$B$183,$B4,$E$14:$E$183,L$2),"")</f>
        <v>89</v>
      </c>
      <c r="M4" s="14">
        <f>AVERAGEIFS($G$14:$G$53,$B$14:$B$53,B4)</f>
        <v>97.2857142857143</v>
      </c>
      <c r="N4" s="15">
        <f>AVERAGEIFS(H$14:H$53,$B$14:$B$53,$B4)</f>
        <v>0.47453038158826</v>
      </c>
      <c r="O4" s="14">
        <f>IFERROR(AVERAGEIFS(I$14:I$53,$B$14:$B$53,$B4,$C$14:$C$53,C4),0)</f>
        <v>29.7142857142857</v>
      </c>
      <c r="P4" s="14">
        <f>IFERROR(AVERAGEIFS($I$14:$I$183,$B$14:$B$183,$B4,$E$14:$E$183,F$2),"")</f>
        <v>36</v>
      </c>
      <c r="Q4" s="14">
        <f>IFERROR(AVERAGEIFS($I$14:$I$183,$B$14:$B$183,$B4,$E$14:$E$183,G$2),"")</f>
        <v>33.5</v>
      </c>
      <c r="R4" s="14">
        <f>IFERROR(AVERAGEIFS($I$14:$I$183,$B$14:$B$183,$B4,$E$14:$E$183,H$2),"")</f>
        <v>23</v>
      </c>
      <c r="S4" s="14">
        <f>IFERROR(AVERAGEIFS($I$14:$I$183,$B$14:$B$183,$B4,$E$14:$E$183,I$2),"")</f>
        <v>31</v>
      </c>
      <c r="T4" s="14" t="str">
        <f>IFERROR(AVERAGEIFS($I$14:$I$183,$B$14:$B$183,$B4,$E$14:$E$183,J$2),"")</f>
        <v/>
      </c>
      <c r="U4" s="14" t="str">
        <f>IFERROR(AVERAGEIFS($I$14:$I$183,$B$14:$B$183,$B4,$E$14:$E$183,K$2),"")</f>
        <v/>
      </c>
      <c r="V4" s="14">
        <f>IFERROR(AVERAGEIFS($I$14:$I$183,$B$14:$B$183,$B4,$E$14:$E$183,L$2),"")</f>
        <v>15</v>
      </c>
      <c r="W4" s="14">
        <f>AVERAGEIFS(J$14:J$53,$B$14:$B$53,$B4)</f>
        <v>18.1428571428571</v>
      </c>
      <c r="X4" s="14">
        <f>AVERAGEIFS(K$14:K$53,$B$14:$B$53,$B4)</f>
        <v>1.14285714285714</v>
      </c>
      <c r="Y4" s="14">
        <f>AVERAGEIFS(L$14:L$53,$B$14:$B$53,$B4)</f>
        <v>62.9761904761905</v>
      </c>
      <c r="Z4" s="14">
        <f>AVERAGEIFS(M$14:M$53,$B$14:$B$53,$B4)</f>
        <v>0.428571428571429</v>
      </c>
      <c r="AA4" s="1"/>
      <c r="AB4" s="9" t="s">
        <v>926</v>
      </c>
      <c r="AC4" s="9" t="s">
        <v>968</v>
      </c>
      <c r="AD4" s="9" t="s">
        <v>969</v>
      </c>
      <c r="AE4" s="9" t="s">
        <v>970</v>
      </c>
      <c r="AF4" s="9" t="s">
        <v>971</v>
      </c>
      <c r="AG4" s="9" t="s">
        <v>931</v>
      </c>
    </row>
    <row r="5" spans="1:33">
      <c r="A5" s="9" t="str">
        <f>IF(LEFT(A2,2)="11",AB3,IF(LEFT(A2,2)="12",AC3,IF(LEFT(A2,2)="15",AD3,IF(LEFT(A2,2)="16",AE3,IF(LEFT(A2,2)="17",AF3,IF(LEFT(A2,2)="18",AG3,0))))))</f>
        <v>35个45s有效</v>
      </c>
      <c r="B5" s="9" t="s">
        <v>224</v>
      </c>
      <c r="C5" s="9" t="s">
        <v>388</v>
      </c>
      <c r="D5" s="9">
        <f>COUNTIFS($B$13:$B$282,B5,$F$13:$F$282,"&lt;&gt;0")</f>
        <v>11</v>
      </c>
      <c r="E5" s="10">
        <f>AVERAGEIFS(F16:F185,B16:B185,B5)</f>
        <v>201.727272727273</v>
      </c>
      <c r="F5" s="10">
        <f>IFERROR(AVERAGEIFS($F$14:$F$183,$B$14:$B$183,$B5,$E$14:$E$183,F$2),"")</f>
        <v>251</v>
      </c>
      <c r="G5" s="10">
        <f>IFERROR(AVERAGEIFS($F$14:$F$183,$B$14:$B$183,$B5,$E$14:$E$183,G$2),"")</f>
        <v>205.333333333333</v>
      </c>
      <c r="H5" s="10">
        <f>IFERROR(AVERAGEIFS($F$14:$F$183,$B$14:$B$183,$B5,$E$14:$E$183,H$2),"")</f>
        <v>173.5</v>
      </c>
      <c r="I5" s="10" t="str">
        <f>IFERROR(AVERAGEIFS($F$14:$F$183,$B$14:$B$183,$B5,$E$14:$E$183,I$2),"")</f>
        <v/>
      </c>
      <c r="J5" s="10">
        <f>IFERROR(AVERAGEIFS($F$14:$F$183,$B$14:$B$183,$B5,$E$14:$E$183,J$2),"")</f>
        <v>194</v>
      </c>
      <c r="K5" s="10">
        <f>IFERROR(AVERAGEIFS($F$14:$F$183,$B$14:$B$183,$B5,$E$14:$E$183,K$2),"")</f>
        <v>118</v>
      </c>
      <c r="L5" s="10">
        <f>IFERROR(AVERAGEIFS($F$14:$F$183,$B$14:$B$183,$B5,$E$14:$E$183,L$2),"")</f>
        <v>191</v>
      </c>
      <c r="M5" s="14">
        <f>AVERAGEIFS($G$14:$G$53,$B$14:$B$53,B5)</f>
        <v>77.5454545454545</v>
      </c>
      <c r="N5" s="15">
        <f>AVERAGEIFS(H$14:H$53,$B$14:$B$53,$B5)</f>
        <v>0.380099809511433</v>
      </c>
      <c r="O5" s="14">
        <f>IFERROR(AVERAGEIFS(I$14:I$53,$B$14:$B$53,$B5,$C$14:$C$53,C5),0)</f>
        <v>25.6363636363636</v>
      </c>
      <c r="P5" s="14">
        <f>IFERROR(AVERAGEIFS($I$14:$I$183,$B$14:$B$183,$B5,$E$14:$E$183,F$2),"")</f>
        <v>30.3333333333333</v>
      </c>
      <c r="Q5" s="14">
        <f>IFERROR(AVERAGEIFS($I$14:$I$183,$B$14:$B$183,$B5,$E$14:$E$183,G$2),"")</f>
        <v>27</v>
      </c>
      <c r="R5" s="14">
        <f>IFERROR(AVERAGEIFS($I$14:$I$183,$B$14:$B$183,$B5,$E$14:$E$183,H$2),"")</f>
        <v>27</v>
      </c>
      <c r="S5" s="14" t="str">
        <f>IFERROR(AVERAGEIFS($I$14:$I$183,$B$14:$B$183,$B5,$E$14:$E$183,I$2),"")</f>
        <v/>
      </c>
      <c r="T5" s="14">
        <f>IFERROR(AVERAGEIFS($I$14:$I$183,$B$14:$B$183,$B5,$E$14:$E$183,J$2),"")</f>
        <v>18</v>
      </c>
      <c r="U5" s="14">
        <f>IFERROR(AVERAGEIFS($I$14:$I$183,$B$14:$B$183,$B5,$E$14:$E$183,K$2),"")</f>
        <v>15</v>
      </c>
      <c r="V5" s="14">
        <f>IFERROR(AVERAGEIFS($I$14:$I$183,$B$14:$B$183,$B5,$E$14:$E$183,L$2),"")</f>
        <v>23</v>
      </c>
      <c r="W5" s="14">
        <f>AVERAGEIFS(J$14:J$53,$B$14:$B$53,$B5)</f>
        <v>13.2727272727273</v>
      </c>
      <c r="X5" s="14">
        <f>AVERAGEIFS(K$14:K$53,$B$14:$B$53,$B5)</f>
        <v>1.45454545454545</v>
      </c>
      <c r="Y5" s="14">
        <f>AVERAGEIFS(L$14:L$53,$B$14:$B$53,$B5)</f>
        <v>51.119696969697</v>
      </c>
      <c r="Z5" s="14">
        <f>AVERAGEIFS(M$14:M$53,$B$14:$B$53,$B5)</f>
        <v>0.181818181818182</v>
      </c>
      <c r="AA5" s="1"/>
      <c r="AB5" s="9" t="s">
        <v>932</v>
      </c>
      <c r="AC5" s="9" t="s">
        <v>972</v>
      </c>
      <c r="AD5" s="9" t="s">
        <v>973</v>
      </c>
      <c r="AE5" s="9" t="s">
        <v>974</v>
      </c>
      <c r="AF5" s="9" t="s">
        <v>975</v>
      </c>
      <c r="AG5" s="9" t="s">
        <v>937</v>
      </c>
    </row>
    <row r="6" spans="1:33">
      <c r="A6" s="9" t="str">
        <f>IF(LEFT(A2,2)="11",AB3,IF(LEFT(A2,2)="12",AC3,IF(LEFT(A2,2)="15",AD3,IF(LEFT(A2,2)="16",AE3,IF(LEFT(A2,2)="17",AF3,IF(LEFT(A2,2)="18",AG3,0))))))</f>
        <v>35个45s有效</v>
      </c>
      <c r="B6" s="9" t="s">
        <v>75</v>
      </c>
      <c r="C6" s="9" t="s">
        <v>112</v>
      </c>
      <c r="D6" s="9">
        <f>COUNTIFS($B$13:$B$282,B6,$F$13:$F$282,"&lt;&gt;0")</f>
        <v>5</v>
      </c>
      <c r="E6" s="10">
        <f>AVERAGEIFS(F17:F186,B17:B186,B6)</f>
        <v>261.8</v>
      </c>
      <c r="F6" s="10" t="str">
        <f>IFERROR(AVERAGEIFS($F$14:$F$183,$B$14:$B$183,$B6,$E$14:$E$183,F$2),"")</f>
        <v/>
      </c>
      <c r="G6" s="10">
        <f>IFERROR(AVERAGEIFS($F$14:$F$183,$B$14:$B$183,$B6,$E$14:$E$183,G$2),"")</f>
        <v>274</v>
      </c>
      <c r="H6" s="10" t="str">
        <f>IFERROR(AVERAGEIFS($F$14:$F$183,$B$14:$B$183,$B6,$E$14:$E$183,H$2),"")</f>
        <v/>
      </c>
      <c r="I6" s="10">
        <f>IFERROR(AVERAGEIFS($F$14:$F$183,$B$14:$B$183,$B6,$E$14:$E$183,I$2),"")</f>
        <v>243.5</v>
      </c>
      <c r="J6" s="10" t="str">
        <f>IFERROR(AVERAGEIFS($F$14:$F$183,$B$14:$B$183,$B6,$E$14:$E$183,J$2),"")</f>
        <v/>
      </c>
      <c r="K6" s="10" t="str">
        <f>IFERROR(AVERAGEIFS($F$14:$F$183,$B$14:$B$183,$B6,$E$14:$E$183,K$2),"")</f>
        <v/>
      </c>
      <c r="L6" s="10" t="str">
        <f>IFERROR(AVERAGEIFS($F$14:$F$183,$B$14:$B$183,$B6,$E$14:$E$183,L$2),"")</f>
        <v/>
      </c>
      <c r="M6" s="14">
        <f>AVERAGEIFS($G$14:$G$53,$B$14:$B$53,B6)</f>
        <v>110</v>
      </c>
      <c r="N6" s="15">
        <f>AVERAGEIFS(H$14:H$53,$B$14:$B$53,$B6)</f>
        <v>0.421369796732209</v>
      </c>
      <c r="O6" s="14">
        <f>IFERROR(AVERAGEIFS(I$14:I$53,$B$14:$B$53,$B6,$C$14:$C$53,C6),0)</f>
        <v>36</v>
      </c>
      <c r="P6" s="14" t="str">
        <f>IFERROR(AVERAGEIFS($I$14:$I$183,$B$14:$B$183,$B6,$E$14:$E$183,F$2),"")</f>
        <v/>
      </c>
      <c r="Q6" s="14">
        <f>IFERROR(AVERAGEIFS($I$14:$I$183,$B$14:$B$183,$B6,$E$14:$E$183,G$2),"")</f>
        <v>33.3333333333333</v>
      </c>
      <c r="R6" s="14" t="str">
        <f>IFERROR(AVERAGEIFS($I$14:$I$183,$B$14:$B$183,$B6,$E$14:$E$183,H$2),"")</f>
        <v/>
      </c>
      <c r="S6" s="14">
        <f>IFERROR(AVERAGEIFS($I$14:$I$183,$B$14:$B$183,$B6,$E$14:$E$183,I$2),"")</f>
        <v>40</v>
      </c>
      <c r="T6" s="14" t="str">
        <f>IFERROR(AVERAGEIFS($I$14:$I$183,$B$14:$B$183,$B6,$E$14:$E$183,J$2),"")</f>
        <v/>
      </c>
      <c r="U6" s="14" t="str">
        <f>IFERROR(AVERAGEIFS($I$14:$I$183,$B$14:$B$183,$B6,$E$14:$E$183,K$2),"")</f>
        <v/>
      </c>
      <c r="V6" s="14" t="str">
        <f>IFERROR(AVERAGEIFS($I$14:$I$183,$B$14:$B$183,$B6,$E$14:$E$183,L$2),"")</f>
        <v/>
      </c>
      <c r="W6" s="14">
        <f>AVERAGEIFS(J$14:J$53,$B$14:$B$53,$B6)</f>
        <v>15.8</v>
      </c>
      <c r="X6" s="14">
        <f>AVERAGEIFS(K$14:K$53,$B$14:$B$53,$B6)</f>
        <v>1.8</v>
      </c>
      <c r="Y6" s="14">
        <f>AVERAGEIFS(L$14:L$53,$B$14:$B$53,$B6)</f>
        <v>68.4733333333333</v>
      </c>
      <c r="Z6" s="14">
        <f>AVERAGEIFS(M$14:M$53,$B$14:$B$53,$B6)</f>
        <v>0.4</v>
      </c>
      <c r="AA6" s="1"/>
      <c r="AB6" s="9" t="s">
        <v>938</v>
      </c>
      <c r="AC6" s="9" t="s">
        <v>976</v>
      </c>
      <c r="AD6" s="9" t="s">
        <v>977</v>
      </c>
      <c r="AE6" s="9" t="s">
        <v>978</v>
      </c>
      <c r="AF6" s="9" t="s">
        <v>979</v>
      </c>
      <c r="AG6" s="9" t="s">
        <v>943</v>
      </c>
    </row>
    <row r="7" spans="1:33">
      <c r="A7" s="9" t="str">
        <f>IF(LEFT(A2,2)="11",AB7,IF(LEFT(A2,2)="12",AC7,IF(LEFT(A2,2)="15",AD7,IF(LEFT(A2,2)="16",AE7,IF(LEFT(A2,2)="17",AF7,IF(LEFT(A2,2)="18",AG7,0))))))</f>
        <v>30个45s有效</v>
      </c>
      <c r="B7" s="9" t="s">
        <v>22</v>
      </c>
      <c r="C7" s="11" t="s">
        <v>342</v>
      </c>
      <c r="D7" s="9">
        <f>COUNTIFS($B$13:$B$282,B7,$F$13:$F$282,"&lt;&gt;0")</f>
        <v>7</v>
      </c>
      <c r="E7" s="10">
        <f>AVERAGEIFS(F19:F188,B19:B188,B7)</f>
        <v>53.4285714285714</v>
      </c>
      <c r="F7" s="10" t="str">
        <f>IFERROR(AVERAGEIFS($F$14:$F$183,$B$14:$B$183,$B7,$E$14:$E$183,F$2),"")</f>
        <v/>
      </c>
      <c r="G7" s="10">
        <f>IFERROR(AVERAGEIFS($F$14:$F$183,$B$14:$B$183,$B7,$E$14:$E$183,G$2),"")</f>
        <v>148</v>
      </c>
      <c r="H7" s="10">
        <f>IFERROR(AVERAGEIFS($F$14:$F$183,$B$14:$B$183,$B7,$E$14:$E$183,H$2),"")</f>
        <v>49</v>
      </c>
      <c r="I7" s="10" t="str">
        <f>IFERROR(AVERAGEIFS($F$14:$F$183,$B$14:$B$183,$B7,$E$14:$E$183,I$2),"")</f>
        <v/>
      </c>
      <c r="J7" s="10" t="str">
        <f>IFERROR(AVERAGEIFS($F$14:$F$183,$B$14:$B$183,$B7,$E$14:$E$183,J$2),"")</f>
        <v/>
      </c>
      <c r="K7" s="10" t="str">
        <f>IFERROR(AVERAGEIFS($F$14:$F$183,$B$14:$B$183,$B7,$E$14:$E$183,K$2),"")</f>
        <v/>
      </c>
      <c r="L7" s="10">
        <f>IFERROR(AVERAGEIFS($F$14:$F$183,$B$14:$B$183,$B7,$E$14:$E$183,L$2),"")</f>
        <v>32</v>
      </c>
      <c r="M7" s="14">
        <f>AVERAGEIFS($G$14:$G$53,$B$14:$B$53,B7)</f>
        <v>26.8571428571429</v>
      </c>
      <c r="N7" s="15">
        <f>AVERAGEIFS(H$14:H$53,$B$14:$B$53,$B7)</f>
        <v>0.556065464300759</v>
      </c>
      <c r="O7" s="14">
        <f>IFERROR(AVERAGEIFS(I$14:I$53,$B$14:$B$53,$B7,$C$14:$C$53,C7),0)</f>
        <v>15.7142857142857</v>
      </c>
      <c r="P7" s="14" t="str">
        <f>IFERROR(AVERAGEIFS($I$14:$I$183,$B$14:$B$183,$B7,$E$14:$E$183,F$2),"")</f>
        <v/>
      </c>
      <c r="Q7" s="14">
        <f>IFERROR(AVERAGEIFS($I$14:$I$183,$B$14:$B$183,$B7,$E$14:$E$183,G$2),"")</f>
        <v>17</v>
      </c>
      <c r="R7" s="14">
        <f>IFERROR(AVERAGEIFS($I$14:$I$183,$B$14:$B$183,$B7,$E$14:$E$183,H$2),"")</f>
        <v>12</v>
      </c>
      <c r="S7" s="14" t="str">
        <f>IFERROR(AVERAGEIFS($I$14:$I$183,$B$14:$B$183,$B7,$E$14:$E$183,I$2),"")</f>
        <v/>
      </c>
      <c r="T7" s="14" t="str">
        <f>IFERROR(AVERAGEIFS($I$14:$I$183,$B$14:$B$183,$B7,$E$14:$E$183,J$2),"")</f>
        <v/>
      </c>
      <c r="U7" s="14" t="str">
        <f>IFERROR(AVERAGEIFS($I$14:$I$183,$B$14:$B$183,$B7,$E$14:$E$183,K$2),"")</f>
        <v/>
      </c>
      <c r="V7" s="14">
        <f>IFERROR(AVERAGEIFS($I$14:$I$183,$B$14:$B$183,$B7,$E$14:$E$183,L$2),"")</f>
        <v>17.25</v>
      </c>
      <c r="W7" s="14">
        <f>AVERAGEIFS(J$14:J$53,$B$14:$B$53,$B7)</f>
        <v>7.42857142857143</v>
      </c>
      <c r="X7" s="14">
        <f>AVERAGEIFS(K$14:K$53,$B$14:$B$53,$B7)</f>
        <v>1.14285714285714</v>
      </c>
      <c r="Y7" s="14">
        <f>AVERAGEIFS(L$14:L$53,$B$14:$B$53,$B7)</f>
        <v>24.8047619047619</v>
      </c>
      <c r="Z7" s="14">
        <f>AVERAGEIFS(M$14:M$53,$B$14:$B$53,$B7)</f>
        <v>0.857142857142857</v>
      </c>
      <c r="AA7" s="1"/>
      <c r="AB7" s="9" t="s">
        <v>950</v>
      </c>
      <c r="AC7" s="9" t="s">
        <v>951</v>
      </c>
      <c r="AD7" s="9" t="s">
        <v>952</v>
      </c>
      <c r="AE7" s="9" t="s">
        <v>953</v>
      </c>
      <c r="AF7" s="9" t="s">
        <v>954</v>
      </c>
      <c r="AG7" s="9" t="s">
        <v>924</v>
      </c>
    </row>
    <row r="8" hidden="1" spans="1:27">
      <c r="A8" s="9"/>
      <c r="B8" s="9" t="s">
        <v>52</v>
      </c>
      <c r="C8" s="9" t="s">
        <v>56</v>
      </c>
      <c r="D8" s="9">
        <f>COUNTIFS($B$13:$B$16,B8,$F$13:$F$16,"&lt;&gt;0")</f>
        <v>0</v>
      </c>
      <c r="E8" s="10" t="str">
        <f>IFERROR(SUMIFS([1]话务数据源!C:C,[1]话务数据源!A:A,B8,[1]话务数据源!P:P,1)/D8,"")</f>
        <v/>
      </c>
      <c r="F8" s="10"/>
      <c r="G8" s="10" t="str">
        <f>IFERROR(SUMIFS([1]话务数据源!C:C,[1]话务数据源!A:A,B8,[1]话务数据源!N:N,"0月-3月",[1]话务数据源!P:P,1)/COUNTIFS([1]话务数据源!A:A,B8,[1]话务数据源!N:N,"0月-3月",[1]话务数据源!P:P,1),"")</f>
        <v/>
      </c>
      <c r="H8" s="10" t="str">
        <f>IFERROR(SUMIFS([1]话务数据源!C:C,[1]话务数据源!A:A,B8,[1]话务数据源!N:N,"4月-6月",[1]话务数据源!P:P,1)/COUNTIFS([1]话务数据源!A:A,B8,[1]话务数据源!N:N,"4月-6月",[1]话务数据源!P:P,1),"")</f>
        <v/>
      </c>
      <c r="I8" s="10" t="str">
        <f>IFERROR(SUMIFS([1]话务数据源!C:C,[1]话务数据源!A:A,B8,[1]话务数据源!N:N,"7月-12月",[1]话务数据源!P:P,1)/COUNTIFS([1]话务数据源!A:A,B8,[1]话务数据源!N:N,"7月-12月",[1]话务数据源!P:P,1),"")</f>
        <v/>
      </c>
      <c r="J8" s="10" t="str">
        <f>IFERROR(SUMIFS([1]话务数据源!C:C,[1]话务数据源!A:A,B8,[1]话务数据源!N:N,"1年-2年",[1]话务数据源!P:P,1)/COUNTIFS([1]话务数据源!A:A,B8,[1]话务数据源!N:N,"1年-2年",[1]话务数据源!P:P,1),"")</f>
        <v/>
      </c>
      <c r="K8" s="10" t="str">
        <f>IFERROR(SUMIFS([1]话务数据源!C:C,[1]话务数据源!A:A,B8,[1]话务数据源!N:N,"2年-3年",[1]话务数据源!P:P,1)/COUNTIFS([1]话务数据源!A:A,B8,[1]话务数据源!N:N,"2年-3年",[1]话务数据源!P:P,1),"")</f>
        <v/>
      </c>
      <c r="L8" s="10" t="str">
        <f>IFERROR(SUMIFS([1]话务数据源!C:C,[1]话务数据源!A:A,B8,[1]话务数据源!N:N,"3年以上",[1]话务数据源!P:P,1)/COUNTIFS([1]话务数据源!A:A,B8,[1]话务数据源!N:N,"3年以上",[1]话务数据源!P:P,1),"")</f>
        <v/>
      </c>
      <c r="M8" s="14" t="str">
        <f>IFERROR(SUMIFS([1]话务数据源!D:D,[1]话务数据源!A:A,B8,[1]话务数据源!P:P,1)/D8,"")</f>
        <v/>
      </c>
      <c r="N8" s="13" t="str">
        <f>IFERROR(M8/E8,"")</f>
        <v/>
      </c>
      <c r="O8" s="14" t="str">
        <f>IFERROR(SUMIFS([1]话务数据源!O:O,[1]话务数据源!A:A,B8,[1]话务数据源!P:P,1)/D8,"")</f>
        <v/>
      </c>
      <c r="Q8" s="14" t="str">
        <f>IFERROR(SUMIFS([1]话务数据源!O:O,[1]话务数据源!A:A,B8,[1]话务数据源!N:N,"0月-3月",[1]话务数据源!P:P,1)/COUNTIFS([1]话务数据源!A:A,B8,[1]话务数据源!N:N,"0月-3月",[1]话务数据源!P:P,1),"")</f>
        <v/>
      </c>
      <c r="R8" s="14" t="str">
        <f>IFERROR(SUMIFS([1]话务数据源!O:O,[1]话务数据源!A:A,B8,[1]话务数据源!N:N,"4月-6月",[1]话务数据源!P:P,1)/COUNTIFS([1]话务数据源!A:A,B8,[1]话务数据源!N:N,"4月-6月",[1]话务数据源!P:P,1),"")</f>
        <v/>
      </c>
      <c r="S8" s="14" t="str">
        <f>IFERROR(SUMIFS([1]话务数据源!O:O,[1]话务数据源!A:A,B8,[1]话务数据源!N:N,"7月-12月",[1]话务数据源!P:P,1)/COUNTIFS([1]话务数据源!A:A,B8,[1]话务数据源!N:N,"7月-12月",[1]话务数据源!P:P,1),"")</f>
        <v/>
      </c>
      <c r="T8" s="14" t="str">
        <f>IFERROR(SUMIFS([1]话务数据源!O:O,[1]话务数据源!A:A,B8,[1]话务数据源!N:N,"1年-2年",[1]话务数据源!P:P,1)/COUNTIFS([1]话务数据源!A:A,B8,[1]话务数据源!N:N,"1年-2年",[1]话务数据源!P:P,1),"")</f>
        <v/>
      </c>
      <c r="U8" s="14" t="str">
        <f>IFERROR(SUMIFS([1]话务数据源!O:O,[1]话务数据源!A:A,B8,[1]话务数据源!N:N,"2年-3年",[1]话务数据源!P:P,1)/COUNTIFS([1]话务数据源!A:A,B8,[1]话务数据源!N:N,"2年-3年",[1]话务数据源!P:P,1),"")</f>
        <v/>
      </c>
      <c r="V8" s="14" t="str">
        <f>IFERROR(SUMIFS([1]话务数据源!O:O,[1]话务数据源!A:A,B8,[1]话务数据源!N:N,"3年以上",[1]话务数据源!P:P,1)/COUNTIFS([1]话务数据源!A:A,B8,[1]话务数据源!N:N,"3年以上",[1]话务数据源!P:P,1),"")</f>
        <v/>
      </c>
      <c r="W8" s="14"/>
      <c r="X8" s="14" t="str">
        <f>IFERROR(SUMIFS([1]话务数据源!F:F,[1]话务数据源!A:A,B8,[1]话务数据源!P:P,1)/D8,"")</f>
        <v/>
      </c>
      <c r="Y8" s="14" t="str">
        <f>IFERROR(SUMIFS([1]话务数据源!H:H,[1]话务数据源!A:A,B8,[1]话务数据源!P:P,1)/D8,"")</f>
        <v/>
      </c>
      <c r="Z8" s="14" t="str">
        <f>IFERROR(VLOOKUP(B8,[1]意向!B:E,2,FALSE)/D8,"")</f>
        <v/>
      </c>
      <c r="AA8" s="1"/>
    </row>
    <row r="9" hidden="1" spans="1:27">
      <c r="A9" s="9"/>
      <c r="B9" s="9" t="s">
        <v>102</v>
      </c>
      <c r="C9" s="9" t="s">
        <v>425</v>
      </c>
      <c r="D9" s="9">
        <f>COUNTIFS($B$13:$B$16,B9,$F$13:$F$16,"&lt;&gt;0")</f>
        <v>0</v>
      </c>
      <c r="E9" s="10" t="str">
        <f>IFERROR(SUMIFS([1]话务数据源!C:C,[1]话务数据源!A:A,B9,[1]话务数据源!P:P,1)/D9,"")</f>
        <v/>
      </c>
      <c r="F9" s="10"/>
      <c r="G9" s="10" t="str">
        <f>IFERROR(SUMIFS([1]话务数据源!C:C,[1]话务数据源!A:A,B9,[1]话务数据源!N:N,"0月-3月",[1]话务数据源!P:P,1)/COUNTIFS([1]话务数据源!A:A,B9,[1]话务数据源!N:N,"0月-3月",[1]话务数据源!P:P,1),"")</f>
        <v/>
      </c>
      <c r="H9" s="10" t="str">
        <f>IFERROR(SUMIFS([1]话务数据源!C:C,[1]话务数据源!A:A,B9,[1]话务数据源!N:N,"4月-6月",[1]话务数据源!P:P,1)/COUNTIFS([1]话务数据源!A:A,B9,[1]话务数据源!N:N,"4月-6月",[1]话务数据源!P:P,1),"")</f>
        <v/>
      </c>
      <c r="I9" s="10" t="str">
        <f>IFERROR(SUMIFS([1]话务数据源!C:C,[1]话务数据源!A:A,B9,[1]话务数据源!N:N,"7月-12月",[1]话务数据源!P:P,1)/COUNTIFS([1]话务数据源!A:A,B9,[1]话务数据源!N:N,"7月-12月",[1]话务数据源!P:P,1),"")</f>
        <v/>
      </c>
      <c r="J9" s="10" t="str">
        <f>IFERROR(SUMIFS([1]话务数据源!C:C,[1]话务数据源!A:A,B9,[1]话务数据源!N:N,"1年-2年",[1]话务数据源!P:P,1)/COUNTIFS([1]话务数据源!A:A,B9,[1]话务数据源!N:N,"1年-2年",[1]话务数据源!P:P,1),"")</f>
        <v/>
      </c>
      <c r="K9" s="10" t="str">
        <f>IFERROR(SUMIFS([1]话务数据源!C:C,[1]话务数据源!A:A,B9,[1]话务数据源!N:N,"2年-3年",[1]话务数据源!P:P,1)/COUNTIFS([1]话务数据源!A:A,B9,[1]话务数据源!N:N,"2年-3年",[1]话务数据源!P:P,1),"")</f>
        <v/>
      </c>
      <c r="L9" s="10" t="str">
        <f>IFERROR(SUMIFS([1]话务数据源!C:C,[1]话务数据源!A:A,B9,[1]话务数据源!N:N,"3年以上",[1]话务数据源!P:P,1)/COUNTIFS([1]话务数据源!A:A,B9,[1]话务数据源!N:N,"3年以上",[1]话务数据源!P:P,1),"")</f>
        <v/>
      </c>
      <c r="M9" s="14" t="str">
        <f>IFERROR(SUMIFS([1]话务数据源!D:D,[1]话务数据源!A:A,B9,[1]话务数据源!P:P,1)/D9,"")</f>
        <v/>
      </c>
      <c r="N9" s="13" t="str">
        <f>IFERROR(M9/E9,"")</f>
        <v/>
      </c>
      <c r="O9" s="14" t="str">
        <f>IFERROR(SUMIFS([1]话务数据源!O:O,[1]话务数据源!A:A,B9,[1]话务数据源!P:P,1)/D9,"")</f>
        <v/>
      </c>
      <c r="Q9" s="14" t="str">
        <f>IFERROR(SUMIFS([1]话务数据源!O:O,[1]话务数据源!A:A,B9,[1]话务数据源!N:N,"0月-3月",[1]话务数据源!P:P,1)/COUNTIFS([1]话务数据源!A:A,B9,[1]话务数据源!N:N,"0月-3月",[1]话务数据源!P:P,1),"")</f>
        <v/>
      </c>
      <c r="R9" s="14" t="str">
        <f>IFERROR(SUMIFS([1]话务数据源!O:O,[1]话务数据源!A:A,B9,[1]话务数据源!N:N,"4月-6月",[1]话务数据源!P:P,1)/COUNTIFS([1]话务数据源!A:A,B9,[1]话务数据源!N:N,"4月-6月",[1]话务数据源!P:P,1),"")</f>
        <v/>
      </c>
      <c r="S9" s="14" t="str">
        <f>IFERROR(SUMIFS([1]话务数据源!O:O,[1]话务数据源!A:A,B9,[1]话务数据源!N:N,"7月-12月",[1]话务数据源!P:P,1)/COUNTIFS([1]话务数据源!A:A,B9,[1]话务数据源!N:N,"7月-12月",[1]话务数据源!P:P,1),"")</f>
        <v/>
      </c>
      <c r="T9" s="14" t="str">
        <f>IFERROR(SUMIFS([1]话务数据源!O:O,[1]话务数据源!A:A,B9,[1]话务数据源!N:N,"1年-2年",[1]话务数据源!P:P,1)/COUNTIFS([1]话务数据源!A:A,B9,[1]话务数据源!N:N,"1年-2年",[1]话务数据源!P:P,1),"")</f>
        <v/>
      </c>
      <c r="U9" s="14" t="str">
        <f>IFERROR(SUMIFS([1]话务数据源!O:O,[1]话务数据源!A:A,B9,[1]话务数据源!N:N,"2年-3年",[1]话务数据源!P:P,1)/COUNTIFS([1]话务数据源!A:A,B9,[1]话务数据源!N:N,"2年-3年",[1]话务数据源!P:P,1),"")</f>
        <v/>
      </c>
      <c r="V9" s="14" t="str">
        <f>IFERROR(SUMIFS([1]话务数据源!O:O,[1]话务数据源!A:A,B9,[1]话务数据源!N:N,"3年以上",[1]话务数据源!P:P,1)/COUNTIFS([1]话务数据源!A:A,B9,[1]话务数据源!N:N,"3年以上",[1]话务数据源!P:P,1),"")</f>
        <v/>
      </c>
      <c r="W9" s="14"/>
      <c r="X9" s="14" t="str">
        <f>IFERROR(SUMIFS([1]话务数据源!F:F,[1]话务数据源!A:A,B9,[1]话务数据源!P:P,1)/D9,"")</f>
        <v/>
      </c>
      <c r="Y9" s="14" t="str">
        <f>IFERROR(SUMIFS([1]话务数据源!H:H,[1]话务数据源!A:A,B9,[1]话务数据源!P:P,1)/D9,"")</f>
        <v/>
      </c>
      <c r="Z9" s="14" t="str">
        <f>IFERROR(VLOOKUP(B9,[1]意向!B:E,2,FALSE)/D9,"")</f>
        <v/>
      </c>
      <c r="AA9" s="1"/>
    </row>
    <row r="10" hidden="1" spans="1:27">
      <c r="A10" s="9"/>
      <c r="B10" s="9" t="s">
        <v>125</v>
      </c>
      <c r="C10" s="9" t="s">
        <v>955</v>
      </c>
      <c r="D10" s="9">
        <f>COUNTIFS($B$13:$B$16,B10,$F$13:$F$16,"&lt;&gt;0")</f>
        <v>0</v>
      </c>
      <c r="E10" s="10" t="str">
        <f>IFERROR(SUMIFS([1]话务数据源!C:C,[1]话务数据源!A:A,B10,[1]话务数据源!P:P,1)/D10,"")</f>
        <v/>
      </c>
      <c r="F10" s="10"/>
      <c r="G10" s="10" t="str">
        <f>IFERROR(SUMIFS([1]话务数据源!C:C,[1]话务数据源!A:A,B10,[1]话务数据源!N:N,"0月-3月",[1]话务数据源!P:P,1)/COUNTIFS([1]话务数据源!A:A,B10,[1]话务数据源!N:N,"0月-3月",[1]话务数据源!P:P,1),"")</f>
        <v/>
      </c>
      <c r="H10" s="10" t="str">
        <f>IFERROR(SUMIFS([1]话务数据源!C:C,[1]话务数据源!A:A,B10,[1]话务数据源!N:N,"4月-6月",[1]话务数据源!P:P,1)/COUNTIFS([1]话务数据源!A:A,B10,[1]话务数据源!N:N,"4月-6月",[1]话务数据源!P:P,1),"")</f>
        <v/>
      </c>
      <c r="I10" s="10" t="str">
        <f>IFERROR(SUMIFS([1]话务数据源!C:C,[1]话务数据源!A:A,B10,[1]话务数据源!N:N,"7月-12月",[1]话务数据源!P:P,1)/COUNTIFS([1]话务数据源!A:A,B10,[1]话务数据源!N:N,"7月-12月",[1]话务数据源!P:P,1),"")</f>
        <v/>
      </c>
      <c r="J10" s="10" t="str">
        <f>IFERROR(SUMIFS([1]话务数据源!C:C,[1]话务数据源!A:A,B10,[1]话务数据源!N:N,"1年-2年",[1]话务数据源!P:P,1)/COUNTIFS([1]话务数据源!A:A,B10,[1]话务数据源!N:N,"1年-2年",[1]话务数据源!P:P,1),"")</f>
        <v/>
      </c>
      <c r="K10" s="10" t="str">
        <f>IFERROR(SUMIFS([1]话务数据源!C:C,[1]话务数据源!A:A,B10,[1]话务数据源!N:N,"2年-3年",[1]话务数据源!P:P,1)/COUNTIFS([1]话务数据源!A:A,B10,[1]话务数据源!N:N,"2年-3年",[1]话务数据源!P:P,1),"")</f>
        <v/>
      </c>
      <c r="L10" s="10" t="str">
        <f>IFERROR(SUMIFS([1]话务数据源!C:C,[1]话务数据源!A:A,B10,[1]话务数据源!N:N,"3年以上",[1]话务数据源!P:P,1)/COUNTIFS([1]话务数据源!A:A,B10,[1]话务数据源!N:N,"3年以上",[1]话务数据源!P:P,1),"")</f>
        <v/>
      </c>
      <c r="M10" s="14" t="str">
        <f>IFERROR(SUMIFS([1]话务数据源!D:D,[1]话务数据源!A:A,B10,[1]话务数据源!P:P,1)/D10,"")</f>
        <v/>
      </c>
      <c r="N10" s="13" t="str">
        <f>IFERROR(M10/E10,"")</f>
        <v/>
      </c>
      <c r="O10" s="14" t="str">
        <f>IFERROR(SUMIFS([1]话务数据源!O:O,[1]话务数据源!A:A,B10,[1]话务数据源!P:P,1)/D10,"")</f>
        <v/>
      </c>
      <c r="Q10" s="14" t="str">
        <f>IFERROR(SUMIFS([1]话务数据源!O:O,[1]话务数据源!A:A,B10,[1]话务数据源!N:N,"0月-3月",[1]话务数据源!P:P,1)/COUNTIFS([1]话务数据源!A:A,B10,[1]话务数据源!N:N,"0月-3月",[1]话务数据源!P:P,1),"")</f>
        <v/>
      </c>
      <c r="R10" s="14" t="str">
        <f>IFERROR(SUMIFS([1]话务数据源!O:O,[1]话务数据源!A:A,B10,[1]话务数据源!N:N,"4月-6月",[1]话务数据源!P:P,1)/COUNTIFS([1]话务数据源!A:A,B10,[1]话务数据源!N:N,"4月-6月",[1]话务数据源!P:P,1),"")</f>
        <v/>
      </c>
      <c r="S10" s="14" t="str">
        <f>IFERROR(SUMIFS([1]话务数据源!O:O,[1]话务数据源!A:A,B10,[1]话务数据源!N:N,"7月-12月",[1]话务数据源!P:P,1)/COUNTIFS([1]话务数据源!A:A,B10,[1]话务数据源!N:N,"7月-12月",[1]话务数据源!P:P,1),"")</f>
        <v/>
      </c>
      <c r="T10" s="14" t="str">
        <f>IFERROR(SUMIFS([1]话务数据源!O:O,[1]话务数据源!A:A,B10,[1]话务数据源!N:N,"1年-2年",[1]话务数据源!P:P,1)/COUNTIFS([1]话务数据源!A:A,B10,[1]话务数据源!N:N,"1年-2年",[1]话务数据源!P:P,1),"")</f>
        <v/>
      </c>
      <c r="U10" s="14" t="str">
        <f>IFERROR(SUMIFS([1]话务数据源!O:O,[1]话务数据源!A:A,B10,[1]话务数据源!N:N,"2年-3年",[1]话务数据源!P:P,1)/COUNTIFS([1]话务数据源!A:A,B10,[1]话务数据源!N:N,"2年-3年",[1]话务数据源!P:P,1),"")</f>
        <v/>
      </c>
      <c r="V10" s="14" t="str">
        <f>IFERROR(SUMIFS([1]话务数据源!O:O,[1]话务数据源!A:A,B10,[1]话务数据源!N:N,"3年以上",[1]话务数据源!P:P,1)/COUNTIFS([1]话务数据源!A:A,B10,[1]话务数据源!N:N,"3年以上",[1]话务数据源!P:P,1),"")</f>
        <v/>
      </c>
      <c r="W10" s="14"/>
      <c r="X10" s="14" t="str">
        <f>IFERROR(SUMIFS([1]话务数据源!F:F,[1]话务数据源!A:A,B10,[1]话务数据源!P:P,1)/D10,"")</f>
        <v/>
      </c>
      <c r="Y10" s="14" t="str">
        <f>IFERROR(SUMIFS([1]话务数据源!H:H,[1]话务数据源!A:A,B10,[1]话务数据源!P:P,1)/D10,"")</f>
        <v/>
      </c>
      <c r="Z10" s="14" t="str">
        <f>IFERROR(VLOOKUP(B10,[1]意向!B:E,2,FALSE)/D10,"")</f>
        <v/>
      </c>
      <c r="AA10" s="1"/>
    </row>
    <row r="11" spans="1:27">
      <c r="A11" s="9"/>
      <c r="B11" s="9" t="s">
        <v>101</v>
      </c>
      <c r="C11" s="9" t="s">
        <v>105</v>
      </c>
      <c r="D11" s="9">
        <f>SUM(D3:D10)</f>
        <v>38</v>
      </c>
      <c r="E11" s="10">
        <f>SUM(F14:F132)/$D$11</f>
        <v>169.236842105263</v>
      </c>
      <c r="F11" s="10">
        <f>IFERROR(AVERAGEIFS($F$14:$F$53,$E$14:$E$53,F2),"")</f>
        <v>245.333333333333</v>
      </c>
      <c r="G11" s="10">
        <f>AVERAGEIFS($F$14:$F$53,$E$14:$E$53,G2)</f>
        <v>225.888888888889</v>
      </c>
      <c r="H11" s="10">
        <f>AVERAGEIFS($F$14:$F$53,$E$14:$E$53,H2)</f>
        <v>105</v>
      </c>
      <c r="I11" s="10">
        <f>AVERAGEIFS($F$14:$F$53,$E$14:$E$53,I2)</f>
        <v>188.142857142857</v>
      </c>
      <c r="J11" s="10">
        <f>AVERAGEIFS($F$14:$F$53,$E$14:$E$53,J2)</f>
        <v>194</v>
      </c>
      <c r="K11" s="10">
        <f t="array" ref="K11">IFERROR(AVERAGEIFS($F$14:$F$53,$E$14:$E$53,K2)," ")</f>
        <v>118</v>
      </c>
      <c r="L11" s="10">
        <f>AVERAGEIFS($F$14:$F$53,$E$14:$E$53,L2)</f>
        <v>85.7777777777778</v>
      </c>
      <c r="M11" s="14">
        <f>SUMPRODUCT($D$3:$D$10,M3:M10)/$D$11</f>
        <v>72.6315789473684</v>
      </c>
      <c r="N11" s="13">
        <f>M11/E11</f>
        <v>0.429171201990359</v>
      </c>
      <c r="O11" s="14">
        <f>SUMPRODUCT(D3:D10,O3:O10)/D11</f>
        <v>25.8421052631579</v>
      </c>
      <c r="P11" s="14">
        <f>IFERROR(AVERAGEIFS($I$14:$I$53,$E$14:$E$53,F2),"")</f>
        <v>31</v>
      </c>
      <c r="Q11" s="14">
        <f>AVERAGEIFS($I$14:$I$53,$E$14:$E$53,G2)</f>
        <v>29.4444444444444</v>
      </c>
      <c r="R11" s="14">
        <f>AVERAGEIFS($I$14:$I$53,$E$14:$E$53,H2)</f>
        <v>20.2</v>
      </c>
      <c r="S11" s="14">
        <f>AVERAGEIFS($I$14:$I$53,$E$14:$E$53,I2)</f>
        <v>30.4285714285714</v>
      </c>
      <c r="T11" s="14">
        <f>AVERAGEIFS($I$14:$I$53,$E$14:$E$53,J2)</f>
        <v>18</v>
      </c>
      <c r="U11" s="14">
        <f t="array" ref="U11">IFERROR(AVERAGEIFS($I$14:$I$53,$E$14:$E$53,K2)," ")</f>
        <v>15</v>
      </c>
      <c r="V11" s="14">
        <f>AVERAGEIFS($I$14:$I$53,$E$14:$E$53,L2)</f>
        <v>20.4444444444444</v>
      </c>
      <c r="W11" s="14">
        <f>SUMPRODUCT(W3:W10,$D$3:$D$10)/$D$11</f>
        <v>13.3947368421053</v>
      </c>
      <c r="X11" s="14">
        <f>SUMPRODUCT(X3:X10,$D$3:$D$10)/$D$11</f>
        <v>1.42105263157895</v>
      </c>
      <c r="Y11" s="14">
        <f>SUMPRODUCT(Y3:Y10,$D$3:$D$10)/$D$11</f>
        <v>49.3162280701754</v>
      </c>
      <c r="Z11" s="14">
        <f>SUMPRODUCT(Z3:Z10,$D$3:$D$10)/$D$11</f>
        <v>0.605263157894737</v>
      </c>
      <c r="AA11" s="1"/>
    </row>
    <row r="12" s="1" customFormat="1" ht="17.1" customHeight="1" spans="2:13">
      <c r="B12" s="12" t="str">
        <f>"截止"&amp;LEFT(A2,3)&amp;",新签话务/太阳，
济南人均外呼量为"&amp;TEXT(E11,0)&amp;"/强，
45s有效"&amp;TEXT(O11,"0.0")&amp;"/强。
新签部门45s未达标的有:新签一部@季 ,人均45s有效"&amp;TEXT(MIN(O3:O6),"0.0")</f>
        <v>截止18点,新签话务/太阳，
济南人均外呼量为169/强，
45s有效25.8/强。
新签部门45s未达标的有:新签一部@季 ,人均45s有效25.3</v>
      </c>
      <c r="C12" s="12" t="str">
        <f>"截止"&amp;LEFT(A2,3)&amp;"，增值一部"&amp;L12&amp;"位员工未达成规定指标，
新签部门"&amp;TRIM(TEXT(M12,"# ?/?"))&amp;"位员工未达成规定的行为指标"</f>
        <v>截止18点，增值一部7位员工未达成规定指标，
新签部门5/7位员工未达成规定的行为指标</v>
      </c>
      <c r="L12" s="1">
        <f>IF(LEFT(A2,2)="11",COUNTIFS($B$16:$B$101,B7,I16:$I$101,"&lt;"&amp;LEFT(A7,1)),COUNTIFS($B$16:$B$101,B7,I16:$I$101,"&lt;"&amp;LEFT(A7,2)))</f>
        <v>7</v>
      </c>
      <c r="M12" s="1">
        <f>IF(LEFT(A2,2)="11",COUNTIFS(I16:$I$101,"&lt;"&amp;LEFT(A6,1),B16:$B$101,"新签*")/COUNTIFS(I16:$I$101,"&lt;&gt;0",B16:$B$101,"新签*"),COUNTIFS(I16:$I$101,"&lt;"&amp;LEFT(A6,2),B16:$B$101,"新签*")/COUNTIFS(I16:$I$101,"&lt;&gt;0",B16:$B$101,"新签*"))</f>
        <v>0.724137931034483</v>
      </c>
    </row>
    <row r="13" spans="2:28">
      <c r="B13" s="7" t="s">
        <v>573</v>
      </c>
      <c r="C13" s="7" t="s">
        <v>19</v>
      </c>
      <c r="D13" s="7" t="s">
        <v>888</v>
      </c>
      <c r="E13" s="7" t="s">
        <v>957</v>
      </c>
      <c r="F13" s="7" t="s">
        <v>958</v>
      </c>
      <c r="G13" s="7" t="s">
        <v>909</v>
      </c>
      <c r="H13" s="7" t="s">
        <v>575</v>
      </c>
      <c r="I13" s="7" t="s">
        <v>959</v>
      </c>
      <c r="J13" s="7" t="s">
        <v>960</v>
      </c>
      <c r="K13" s="7" t="s">
        <v>912</v>
      </c>
      <c r="L13" s="7" t="s">
        <v>961</v>
      </c>
      <c r="M13" s="7" t="s">
        <v>962</v>
      </c>
      <c r="Z13" s="1"/>
      <c r="AA13" s="1"/>
      <c r="AB13" s="1"/>
    </row>
    <row r="14" spans="2:29">
      <c r="B14" s="9" t="s">
        <v>264</v>
      </c>
      <c r="C14" s="9" t="s">
        <v>479</v>
      </c>
      <c r="D14" s="9" t="s">
        <v>485</v>
      </c>
      <c r="E14" s="9" t="s">
        <v>898</v>
      </c>
      <c r="F14" s="9">
        <v>146</v>
      </c>
      <c r="G14" s="9">
        <v>65</v>
      </c>
      <c r="H14" s="13">
        <v>0.445205479452055</v>
      </c>
      <c r="I14" s="9">
        <v>28</v>
      </c>
      <c r="J14" s="9">
        <v>19</v>
      </c>
      <c r="K14" s="9">
        <v>3</v>
      </c>
      <c r="L14" s="16">
        <v>56.3</v>
      </c>
      <c r="M14" s="9">
        <v>2</v>
      </c>
      <c r="O14" s="17"/>
      <c r="P14" s="17"/>
      <c r="Q14" s="17"/>
      <c r="R14" s="19"/>
      <c r="S14" s="19"/>
      <c r="T14" s="20"/>
      <c r="U14" s="20"/>
      <c r="V14" s="21"/>
      <c r="W14" s="20"/>
      <c r="X14" s="20"/>
      <c r="Y14" s="20"/>
      <c r="Z14" s="23"/>
      <c r="AA14" s="20"/>
      <c r="AB14" s="1"/>
      <c r="AC14" s="2" t="str">
        <f>LEFT(AB14,2)</f>
        <v/>
      </c>
    </row>
    <row r="15" spans="2:26">
      <c r="B15" s="9" t="s">
        <v>264</v>
      </c>
      <c r="C15" s="9" t="s">
        <v>479</v>
      </c>
      <c r="D15" s="9" t="s">
        <v>483</v>
      </c>
      <c r="E15" s="9" t="s">
        <v>899</v>
      </c>
      <c r="F15" s="9">
        <v>139</v>
      </c>
      <c r="G15" s="9">
        <v>66</v>
      </c>
      <c r="H15" s="13">
        <v>0.474820143884892</v>
      </c>
      <c r="I15" s="9">
        <v>22</v>
      </c>
      <c r="J15" s="9">
        <v>14</v>
      </c>
      <c r="K15" s="9">
        <v>3</v>
      </c>
      <c r="L15" s="16">
        <v>54.5333333333333</v>
      </c>
      <c r="M15" s="9">
        <v>0</v>
      </c>
      <c r="O15" s="17"/>
      <c r="P15" s="17"/>
      <c r="Q15" s="17"/>
      <c r="R15" s="19"/>
      <c r="S15" s="19"/>
      <c r="T15" s="20"/>
      <c r="U15" s="20"/>
      <c r="V15" s="21"/>
      <c r="W15" s="20"/>
      <c r="X15" s="20"/>
      <c r="Y15" s="20"/>
      <c r="Z15" s="23"/>
    </row>
    <row r="16" spans="2:27">
      <c r="B16" s="9" t="s">
        <v>264</v>
      </c>
      <c r="C16" s="9" t="s">
        <v>479</v>
      </c>
      <c r="D16" s="9" t="s">
        <v>491</v>
      </c>
      <c r="E16" s="9" t="s">
        <v>898</v>
      </c>
      <c r="F16" s="9">
        <v>201</v>
      </c>
      <c r="G16" s="9">
        <v>74</v>
      </c>
      <c r="H16" s="13">
        <v>0.368159203980099</v>
      </c>
      <c r="I16" s="9">
        <v>22</v>
      </c>
      <c r="J16" s="9">
        <v>12</v>
      </c>
      <c r="K16" s="9">
        <v>3</v>
      </c>
      <c r="L16" s="16">
        <v>54.6166666666667</v>
      </c>
      <c r="M16" s="9">
        <v>3</v>
      </c>
      <c r="O16" s="17"/>
      <c r="P16" s="17"/>
      <c r="Q16" s="17"/>
      <c r="R16" s="19"/>
      <c r="S16" s="19"/>
      <c r="T16" s="20"/>
      <c r="U16" s="20"/>
      <c r="V16" s="21"/>
      <c r="W16" s="20"/>
      <c r="X16" s="20"/>
      <c r="Y16" s="20"/>
      <c r="Z16" s="23"/>
      <c r="AA16" s="20"/>
    </row>
    <row r="17" spans="2:27">
      <c r="B17" s="9" t="s">
        <v>264</v>
      </c>
      <c r="C17" s="9" t="s">
        <v>479</v>
      </c>
      <c r="D17" s="9" t="s">
        <v>493</v>
      </c>
      <c r="E17" s="9" t="s">
        <v>898</v>
      </c>
      <c r="F17" s="9">
        <v>164</v>
      </c>
      <c r="G17" s="9">
        <v>63</v>
      </c>
      <c r="H17" s="13">
        <v>0.384146341463415</v>
      </c>
      <c r="I17" s="9">
        <v>25</v>
      </c>
      <c r="J17" s="9">
        <v>14</v>
      </c>
      <c r="K17" s="9">
        <v>0</v>
      </c>
      <c r="L17" s="16">
        <v>40.9833333333333</v>
      </c>
      <c r="M17" s="9">
        <v>0</v>
      </c>
      <c r="O17" s="17"/>
      <c r="P17" s="17"/>
      <c r="Q17" s="17"/>
      <c r="R17" s="19"/>
      <c r="S17" s="19"/>
      <c r="T17" s="20"/>
      <c r="U17" s="20"/>
      <c r="V17" s="21"/>
      <c r="W17" s="20"/>
      <c r="X17" s="20"/>
      <c r="Y17" s="20"/>
      <c r="Z17" s="23"/>
      <c r="AA17" s="20"/>
    </row>
    <row r="18" spans="2:27">
      <c r="B18" s="9" t="s">
        <v>264</v>
      </c>
      <c r="C18" s="9" t="s">
        <v>479</v>
      </c>
      <c r="D18" s="9" t="s">
        <v>488</v>
      </c>
      <c r="E18" s="9" t="s">
        <v>898</v>
      </c>
      <c r="F18" s="9">
        <v>82</v>
      </c>
      <c r="G18" s="9">
        <v>35</v>
      </c>
      <c r="H18" s="13">
        <v>0.426829268292683</v>
      </c>
      <c r="I18" s="9">
        <v>27</v>
      </c>
      <c r="J18" s="9">
        <v>11</v>
      </c>
      <c r="K18" s="9">
        <v>1</v>
      </c>
      <c r="L18" s="16">
        <v>26.55</v>
      </c>
      <c r="M18" s="9">
        <v>1</v>
      </c>
      <c r="O18" s="17"/>
      <c r="P18" s="17"/>
      <c r="Q18" s="17"/>
      <c r="R18" s="19"/>
      <c r="S18" s="19"/>
      <c r="T18" s="20"/>
      <c r="U18" s="20"/>
      <c r="V18" s="21"/>
      <c r="W18" s="20"/>
      <c r="X18" s="20"/>
      <c r="Y18" s="20"/>
      <c r="Z18" s="23"/>
      <c r="AA18" s="20"/>
    </row>
    <row r="19" spans="2:27">
      <c r="B19" s="9" t="s">
        <v>264</v>
      </c>
      <c r="C19" s="9" t="s">
        <v>479</v>
      </c>
      <c r="D19" s="9" t="s">
        <v>496</v>
      </c>
      <c r="E19" s="9" t="s">
        <v>899</v>
      </c>
      <c r="F19" s="9">
        <v>50</v>
      </c>
      <c r="G19" s="9">
        <v>19</v>
      </c>
      <c r="H19" s="13">
        <v>0.38</v>
      </c>
      <c r="I19" s="9">
        <v>19</v>
      </c>
      <c r="J19" s="9">
        <v>6</v>
      </c>
      <c r="K19" s="9">
        <v>0</v>
      </c>
      <c r="L19" s="16">
        <v>12.9833333333333</v>
      </c>
      <c r="M19" s="9">
        <v>1</v>
      </c>
      <c r="O19" s="18"/>
      <c r="P19" s="17"/>
      <c r="Q19" s="17"/>
      <c r="R19" s="19"/>
      <c r="S19" s="19"/>
      <c r="T19" s="20"/>
      <c r="U19" s="20"/>
      <c r="V19" s="21"/>
      <c r="W19" s="20"/>
      <c r="X19" s="20"/>
      <c r="Y19" s="20"/>
      <c r="Z19" s="23"/>
      <c r="AA19" s="20"/>
    </row>
    <row r="20" spans="2:27">
      <c r="B20" s="9" t="s">
        <v>264</v>
      </c>
      <c r="C20" s="9" t="s">
        <v>479</v>
      </c>
      <c r="D20" s="9" t="s">
        <v>476</v>
      </c>
      <c r="E20" s="9" t="s">
        <v>899</v>
      </c>
      <c r="F20" s="9">
        <v>175</v>
      </c>
      <c r="G20" s="9">
        <v>86</v>
      </c>
      <c r="H20" s="13">
        <v>0.491428571428571</v>
      </c>
      <c r="I20" s="9">
        <v>36</v>
      </c>
      <c r="J20" s="9">
        <v>16</v>
      </c>
      <c r="K20" s="9">
        <v>2</v>
      </c>
      <c r="L20" s="16">
        <v>61.3666666666667</v>
      </c>
      <c r="M20" s="9">
        <v>2</v>
      </c>
      <c r="O20" s="17"/>
      <c r="P20" s="18"/>
      <c r="Q20" s="17"/>
      <c r="R20" s="19"/>
      <c r="S20" s="19"/>
      <c r="T20" s="20"/>
      <c r="U20" s="20"/>
      <c r="V20" s="21"/>
      <c r="W20" s="20"/>
      <c r="X20" s="20"/>
      <c r="Y20" s="20"/>
      <c r="Z20" s="23"/>
      <c r="AA20" s="20"/>
    </row>
    <row r="21" spans="2:27">
      <c r="B21" s="9" t="s">
        <v>264</v>
      </c>
      <c r="C21" s="9" t="s">
        <v>479</v>
      </c>
      <c r="D21" s="9" t="s">
        <v>480</v>
      </c>
      <c r="E21" s="9" t="s">
        <v>900</v>
      </c>
      <c r="F21" s="9">
        <v>170</v>
      </c>
      <c r="G21" s="9">
        <v>80</v>
      </c>
      <c r="H21" s="13">
        <v>0.470588235294118</v>
      </c>
      <c r="I21" s="9">
        <v>23</v>
      </c>
      <c r="J21" s="9">
        <v>13</v>
      </c>
      <c r="K21" s="9">
        <v>1</v>
      </c>
      <c r="L21" s="16">
        <v>47.5333333333333</v>
      </c>
      <c r="M21" s="9">
        <v>1</v>
      </c>
      <c r="O21" s="17"/>
      <c r="P21" s="17"/>
      <c r="Q21" s="17"/>
      <c r="R21" s="19"/>
      <c r="S21" s="19"/>
      <c r="T21" s="20"/>
      <c r="U21" s="20"/>
      <c r="V21" s="21"/>
      <c r="W21" s="20"/>
      <c r="X21" s="20"/>
      <c r="Y21" s="20"/>
      <c r="Z21" s="23"/>
      <c r="AA21" s="20"/>
    </row>
    <row r="22" spans="2:27">
      <c r="B22" s="9" t="s">
        <v>151</v>
      </c>
      <c r="C22" s="9" t="s">
        <v>319</v>
      </c>
      <c r="D22" s="9" t="s">
        <v>320</v>
      </c>
      <c r="E22" s="9" t="s">
        <v>898</v>
      </c>
      <c r="F22" s="9">
        <v>237</v>
      </c>
      <c r="G22" s="9">
        <v>117</v>
      </c>
      <c r="H22" s="13">
        <v>0.493670886075949</v>
      </c>
      <c r="I22" s="9">
        <v>31</v>
      </c>
      <c r="J22" s="9">
        <v>17</v>
      </c>
      <c r="K22" s="9">
        <v>1</v>
      </c>
      <c r="L22" s="16">
        <v>66.9833333333333</v>
      </c>
      <c r="M22" s="9">
        <v>0</v>
      </c>
      <c r="O22" s="18"/>
      <c r="P22" s="17"/>
      <c r="Q22" s="17"/>
      <c r="R22" s="19"/>
      <c r="S22" s="19"/>
      <c r="T22" s="20"/>
      <c r="U22" s="20"/>
      <c r="V22" s="21"/>
      <c r="W22" s="20"/>
      <c r="X22" s="20"/>
      <c r="Y22" s="20"/>
      <c r="Z22" s="23"/>
      <c r="AA22" s="20"/>
    </row>
    <row r="23" spans="2:27">
      <c r="B23" s="9" t="s">
        <v>151</v>
      </c>
      <c r="C23" s="9" t="s">
        <v>319</v>
      </c>
      <c r="D23" s="9" t="s">
        <v>323</v>
      </c>
      <c r="E23" s="9" t="s">
        <v>901</v>
      </c>
      <c r="F23" s="9">
        <v>80</v>
      </c>
      <c r="G23" s="9">
        <v>35</v>
      </c>
      <c r="H23" s="13">
        <v>0.4375</v>
      </c>
      <c r="I23" s="9">
        <v>23</v>
      </c>
      <c r="J23" s="9">
        <v>18</v>
      </c>
      <c r="K23" s="9">
        <v>0</v>
      </c>
      <c r="L23" s="16">
        <v>38.0333333333333</v>
      </c>
      <c r="M23" s="9">
        <v>2</v>
      </c>
      <c r="O23" s="17"/>
      <c r="P23" s="18"/>
      <c r="Q23" s="17"/>
      <c r="R23" s="19"/>
      <c r="S23" s="19"/>
      <c r="T23" s="20"/>
      <c r="U23" s="20"/>
      <c r="V23" s="21"/>
      <c r="W23" s="20"/>
      <c r="X23" s="20"/>
      <c r="Y23" s="20"/>
      <c r="Z23" s="23"/>
      <c r="AA23" s="20"/>
    </row>
    <row r="24" spans="2:27">
      <c r="B24" s="9" t="s">
        <v>151</v>
      </c>
      <c r="C24" s="9" t="s">
        <v>319</v>
      </c>
      <c r="D24" s="9" t="s">
        <v>328</v>
      </c>
      <c r="E24" s="9" t="s">
        <v>902</v>
      </c>
      <c r="F24" s="9">
        <v>180</v>
      </c>
      <c r="G24" s="9">
        <v>78</v>
      </c>
      <c r="H24" s="13">
        <v>0.433333333333333</v>
      </c>
      <c r="I24" s="9">
        <v>28</v>
      </c>
      <c r="J24" s="9">
        <v>15</v>
      </c>
      <c r="K24" s="9">
        <v>4</v>
      </c>
      <c r="L24" s="16">
        <v>58.5833333333333</v>
      </c>
      <c r="M24" s="9">
        <v>1</v>
      </c>
      <c r="O24" s="17"/>
      <c r="P24" s="17"/>
      <c r="Q24" s="17"/>
      <c r="R24" s="19"/>
      <c r="S24" s="19"/>
      <c r="T24" s="20"/>
      <c r="U24" s="20"/>
      <c r="V24" s="21"/>
      <c r="W24" s="20"/>
      <c r="X24" s="20"/>
      <c r="Y24" s="20"/>
      <c r="Z24" s="23"/>
      <c r="AA24" s="20"/>
    </row>
    <row r="25" spans="2:27">
      <c r="B25" s="9" t="s">
        <v>151</v>
      </c>
      <c r="C25" s="9" t="s">
        <v>319</v>
      </c>
      <c r="D25" s="9" t="s">
        <v>316</v>
      </c>
      <c r="E25" s="9" t="s">
        <v>899</v>
      </c>
      <c r="F25" s="9">
        <v>89</v>
      </c>
      <c r="G25" s="9">
        <v>40</v>
      </c>
      <c r="H25" s="13">
        <v>0.449438202247191</v>
      </c>
      <c r="I25" s="9">
        <v>15</v>
      </c>
      <c r="J25" s="9">
        <v>10</v>
      </c>
      <c r="K25" s="9">
        <v>2</v>
      </c>
      <c r="L25" s="16">
        <v>39.0666666666667</v>
      </c>
      <c r="M25" s="9">
        <v>0</v>
      </c>
      <c r="O25" s="17"/>
      <c r="P25" s="17"/>
      <c r="Q25" s="17"/>
      <c r="R25" s="19"/>
      <c r="S25" s="19"/>
      <c r="T25" s="20"/>
      <c r="U25" s="20"/>
      <c r="V25" s="21"/>
      <c r="W25" s="20"/>
      <c r="X25" s="20"/>
      <c r="Y25" s="20"/>
      <c r="Z25" s="23"/>
      <c r="AA25" s="20"/>
    </row>
    <row r="26" spans="2:27">
      <c r="B26" s="9" t="s">
        <v>151</v>
      </c>
      <c r="C26" s="9" t="s">
        <v>319</v>
      </c>
      <c r="D26" s="9" t="s">
        <v>331</v>
      </c>
      <c r="E26" s="9" t="s">
        <v>902</v>
      </c>
      <c r="F26" s="9">
        <v>267</v>
      </c>
      <c r="G26" s="9">
        <v>118</v>
      </c>
      <c r="H26" s="13">
        <v>0.441947565543071</v>
      </c>
      <c r="I26" s="9">
        <v>39</v>
      </c>
      <c r="J26" s="9">
        <v>15</v>
      </c>
      <c r="K26" s="9">
        <v>0</v>
      </c>
      <c r="L26" s="16">
        <v>68</v>
      </c>
      <c r="M26" s="9">
        <v>0</v>
      </c>
      <c r="O26" s="17"/>
      <c r="P26" s="17"/>
      <c r="Q26" s="17"/>
      <c r="R26" s="19"/>
      <c r="S26" s="19"/>
      <c r="T26" s="20"/>
      <c r="U26" s="20"/>
      <c r="V26" s="21"/>
      <c r="W26" s="20"/>
      <c r="X26" s="20"/>
      <c r="Y26" s="20"/>
      <c r="Z26" s="23"/>
      <c r="AA26" s="20"/>
    </row>
    <row r="27" spans="2:27">
      <c r="B27" s="9" t="s">
        <v>151</v>
      </c>
      <c r="C27" s="9" t="s">
        <v>319</v>
      </c>
      <c r="D27" s="9" t="s">
        <v>334</v>
      </c>
      <c r="E27" s="9" t="s">
        <v>900</v>
      </c>
      <c r="F27" s="9">
        <v>283</v>
      </c>
      <c r="G27" s="9">
        <v>158</v>
      </c>
      <c r="H27" s="13">
        <v>0.558303886925795</v>
      </c>
      <c r="I27" s="9">
        <v>44</v>
      </c>
      <c r="J27" s="9">
        <v>28</v>
      </c>
      <c r="K27" s="9">
        <v>0</v>
      </c>
      <c r="L27" s="16">
        <v>97.3166666666667</v>
      </c>
      <c r="M27" s="9">
        <v>0</v>
      </c>
      <c r="O27" s="17"/>
      <c r="P27" s="17"/>
      <c r="Q27" s="17"/>
      <c r="R27" s="19"/>
      <c r="S27" s="19"/>
      <c r="T27" s="20"/>
      <c r="U27" s="20"/>
      <c r="V27" s="21"/>
      <c r="W27" s="20"/>
      <c r="X27" s="20"/>
      <c r="Y27" s="20"/>
      <c r="Z27" s="23"/>
      <c r="AA27" s="20"/>
    </row>
    <row r="28" spans="2:27">
      <c r="B28" s="9" t="s">
        <v>151</v>
      </c>
      <c r="C28" s="9" t="s">
        <v>319</v>
      </c>
      <c r="D28" s="9" t="s">
        <v>337</v>
      </c>
      <c r="E28" s="9" t="s">
        <v>900</v>
      </c>
      <c r="F28" s="9">
        <v>266</v>
      </c>
      <c r="G28" s="9">
        <v>135</v>
      </c>
      <c r="H28" s="13">
        <v>0.507518796992481</v>
      </c>
      <c r="I28" s="9">
        <v>28</v>
      </c>
      <c r="J28" s="9">
        <v>24</v>
      </c>
      <c r="K28" s="9">
        <v>1</v>
      </c>
      <c r="L28" s="16">
        <v>72.85</v>
      </c>
      <c r="M28" s="9">
        <v>0</v>
      </c>
      <c r="O28" s="17"/>
      <c r="P28" s="17"/>
      <c r="Q28" s="17"/>
      <c r="R28" s="19"/>
      <c r="S28" s="19"/>
      <c r="T28" s="20"/>
      <c r="U28" s="20"/>
      <c r="V28" s="21"/>
      <c r="W28" s="20"/>
      <c r="X28" s="20"/>
      <c r="Y28" s="20"/>
      <c r="Z28" s="23"/>
      <c r="AA28" s="20"/>
    </row>
    <row r="29" spans="2:27">
      <c r="B29" s="9" t="s">
        <v>224</v>
      </c>
      <c r="C29" s="9" t="s">
        <v>388</v>
      </c>
      <c r="D29" s="9" t="s">
        <v>405</v>
      </c>
      <c r="E29" s="9" t="s">
        <v>901</v>
      </c>
      <c r="F29" s="9">
        <v>143</v>
      </c>
      <c r="G29" s="9">
        <v>57</v>
      </c>
      <c r="H29" s="13">
        <v>0.398601398601399</v>
      </c>
      <c r="I29" s="9">
        <v>24</v>
      </c>
      <c r="J29" s="9">
        <v>15</v>
      </c>
      <c r="K29" s="9">
        <v>0</v>
      </c>
      <c r="L29" s="16">
        <v>40.9833333333333</v>
      </c>
      <c r="M29" s="9">
        <v>0</v>
      </c>
      <c r="O29" s="17"/>
      <c r="P29" s="17"/>
      <c r="Q29" s="17"/>
      <c r="R29" s="19"/>
      <c r="S29" s="19"/>
      <c r="T29" s="20"/>
      <c r="U29" s="20"/>
      <c r="V29" s="21"/>
      <c r="W29" s="20"/>
      <c r="X29" s="20"/>
      <c r="Y29" s="20"/>
      <c r="Z29" s="23"/>
      <c r="AA29" s="20"/>
    </row>
    <row r="30" spans="2:27">
      <c r="B30" s="9" t="s">
        <v>224</v>
      </c>
      <c r="C30" s="9" t="s">
        <v>388</v>
      </c>
      <c r="D30" s="9" t="s">
        <v>400</v>
      </c>
      <c r="E30" s="9" t="s">
        <v>899</v>
      </c>
      <c r="F30" s="9">
        <v>191</v>
      </c>
      <c r="G30" s="9">
        <v>45</v>
      </c>
      <c r="H30" s="13">
        <v>0.235602094240838</v>
      </c>
      <c r="I30" s="9">
        <v>23</v>
      </c>
      <c r="J30" s="9">
        <v>5</v>
      </c>
      <c r="K30" s="9">
        <v>1</v>
      </c>
      <c r="L30" s="16">
        <v>31.35</v>
      </c>
      <c r="M30" s="9">
        <v>1</v>
      </c>
      <c r="O30" s="17"/>
      <c r="P30" s="17"/>
      <c r="Q30" s="22"/>
      <c r="R30" s="19"/>
      <c r="S30" s="19"/>
      <c r="T30" s="20"/>
      <c r="U30" s="20"/>
      <c r="V30" s="21"/>
      <c r="W30" s="20"/>
      <c r="X30" s="20"/>
      <c r="Y30" s="20"/>
      <c r="Z30" s="23"/>
      <c r="AA30" s="20"/>
    </row>
    <row r="31" spans="2:27">
      <c r="B31" s="9" t="s">
        <v>224</v>
      </c>
      <c r="C31" s="9" t="s">
        <v>388</v>
      </c>
      <c r="D31" s="9" t="s">
        <v>410</v>
      </c>
      <c r="E31" s="9" t="s">
        <v>901</v>
      </c>
      <c r="F31" s="9">
        <v>204</v>
      </c>
      <c r="G31" s="9">
        <v>78</v>
      </c>
      <c r="H31" s="13">
        <v>0.382352941176471</v>
      </c>
      <c r="I31" s="9">
        <v>30</v>
      </c>
      <c r="J31" s="9">
        <v>16</v>
      </c>
      <c r="K31" s="9">
        <v>2</v>
      </c>
      <c r="L31" s="16">
        <v>56.4833333333333</v>
      </c>
      <c r="M31" s="9">
        <v>1</v>
      </c>
      <c r="O31" s="18"/>
      <c r="P31" s="17"/>
      <c r="Q31" s="17"/>
      <c r="R31" s="19"/>
      <c r="S31" s="19"/>
      <c r="T31" s="20"/>
      <c r="U31" s="20"/>
      <c r="V31" s="21"/>
      <c r="W31" s="20"/>
      <c r="X31" s="20"/>
      <c r="Y31" s="20"/>
      <c r="Z31" s="23"/>
      <c r="AA31" s="20"/>
    </row>
    <row r="32" spans="2:27">
      <c r="B32" s="9" t="s">
        <v>224</v>
      </c>
      <c r="C32" s="9" t="s">
        <v>388</v>
      </c>
      <c r="D32" s="9" t="s">
        <v>413</v>
      </c>
      <c r="E32" s="9" t="s">
        <v>903</v>
      </c>
      <c r="F32" s="9">
        <v>194</v>
      </c>
      <c r="G32" s="9">
        <v>79</v>
      </c>
      <c r="H32" s="13">
        <v>0.407216494845361</v>
      </c>
      <c r="I32" s="9">
        <v>18</v>
      </c>
      <c r="J32" s="9">
        <v>4</v>
      </c>
      <c r="K32" s="9">
        <v>0</v>
      </c>
      <c r="L32" s="16">
        <v>36.7166666666667</v>
      </c>
      <c r="M32" s="9">
        <v>0</v>
      </c>
      <c r="O32" s="17"/>
      <c r="P32" s="18"/>
      <c r="Q32" s="17"/>
      <c r="R32" s="19"/>
      <c r="S32" s="19"/>
      <c r="T32" s="20"/>
      <c r="U32" s="20"/>
      <c r="V32" s="21"/>
      <c r="W32" s="20"/>
      <c r="X32" s="20"/>
      <c r="Y32" s="20"/>
      <c r="Z32" s="23"/>
      <c r="AA32" s="20"/>
    </row>
    <row r="33" spans="2:27">
      <c r="B33" s="9" t="s">
        <v>224</v>
      </c>
      <c r="C33" s="9" t="s">
        <v>388</v>
      </c>
      <c r="D33" s="9" t="s">
        <v>407</v>
      </c>
      <c r="E33" s="9" t="s">
        <v>904</v>
      </c>
      <c r="F33" s="9">
        <v>118</v>
      </c>
      <c r="G33" s="9">
        <v>49</v>
      </c>
      <c r="H33" s="13">
        <v>0.415254237288136</v>
      </c>
      <c r="I33" s="9">
        <v>15</v>
      </c>
      <c r="J33" s="9">
        <v>11</v>
      </c>
      <c r="K33" s="9">
        <v>3</v>
      </c>
      <c r="L33" s="16">
        <v>38.85</v>
      </c>
      <c r="M33" s="9">
        <v>0</v>
      </c>
      <c r="O33" s="17"/>
      <c r="P33" s="17"/>
      <c r="Q33" s="17"/>
      <c r="R33" s="19"/>
      <c r="S33" s="19"/>
      <c r="T33" s="20"/>
      <c r="U33" s="20"/>
      <c r="V33" s="21"/>
      <c r="W33" s="20"/>
      <c r="X33" s="20"/>
      <c r="Y33" s="20"/>
      <c r="Z33" s="23"/>
      <c r="AA33" s="20"/>
    </row>
    <row r="34" spans="2:27">
      <c r="B34" s="9" t="s">
        <v>224</v>
      </c>
      <c r="C34" s="9" t="s">
        <v>388</v>
      </c>
      <c r="D34" s="9" t="s">
        <v>403</v>
      </c>
      <c r="E34" s="9" t="s">
        <v>902</v>
      </c>
      <c r="F34" s="9">
        <v>136</v>
      </c>
      <c r="G34" s="9">
        <v>62</v>
      </c>
      <c r="H34" s="13">
        <v>0.455882352941176</v>
      </c>
      <c r="I34" s="9">
        <v>25</v>
      </c>
      <c r="J34" s="9">
        <v>11</v>
      </c>
      <c r="K34" s="9">
        <v>1</v>
      </c>
      <c r="L34" s="16">
        <v>43.5166666666667</v>
      </c>
      <c r="M34" s="9">
        <v>0</v>
      </c>
      <c r="O34" s="17"/>
      <c r="P34" s="17"/>
      <c r="Q34" s="17"/>
      <c r="R34" s="19"/>
      <c r="S34" s="19"/>
      <c r="T34" s="20"/>
      <c r="U34" s="20"/>
      <c r="V34" s="21"/>
      <c r="W34" s="20"/>
      <c r="X34" s="20"/>
      <c r="Y34" s="20"/>
      <c r="Z34" s="23"/>
      <c r="AA34" s="20"/>
    </row>
    <row r="35" spans="2:27">
      <c r="B35" s="9" t="s">
        <v>224</v>
      </c>
      <c r="C35" s="9" t="s">
        <v>388</v>
      </c>
      <c r="D35" s="9" t="s">
        <v>398</v>
      </c>
      <c r="E35" s="9" t="s">
        <v>902</v>
      </c>
      <c r="F35" s="9">
        <v>127</v>
      </c>
      <c r="G35" s="9">
        <v>31</v>
      </c>
      <c r="H35" s="13">
        <v>0.244094488188976</v>
      </c>
      <c r="I35" s="9">
        <v>18</v>
      </c>
      <c r="J35" s="9">
        <v>8</v>
      </c>
      <c r="K35" s="9">
        <v>1</v>
      </c>
      <c r="L35" s="16">
        <v>28.2166666666667</v>
      </c>
      <c r="M35" s="9">
        <v>0</v>
      </c>
      <c r="O35" s="18"/>
      <c r="P35" s="17"/>
      <c r="Q35" s="17"/>
      <c r="R35" s="19"/>
      <c r="S35" s="19"/>
      <c r="T35" s="20"/>
      <c r="U35" s="20"/>
      <c r="V35" s="21"/>
      <c r="W35" s="20"/>
      <c r="X35" s="20"/>
      <c r="Y35" s="20"/>
      <c r="Z35" s="23"/>
      <c r="AA35" s="20"/>
    </row>
    <row r="36" spans="2:27">
      <c r="B36" s="9" t="s">
        <v>224</v>
      </c>
      <c r="C36" s="9" t="s">
        <v>388</v>
      </c>
      <c r="D36" s="9" t="s">
        <v>396</v>
      </c>
      <c r="E36" s="9" t="s">
        <v>902</v>
      </c>
      <c r="F36" s="9">
        <v>353</v>
      </c>
      <c r="G36" s="9">
        <v>137</v>
      </c>
      <c r="H36" s="13">
        <v>0.388101983002833</v>
      </c>
      <c r="I36" s="9">
        <v>38</v>
      </c>
      <c r="J36" s="9">
        <v>22</v>
      </c>
      <c r="K36" s="9">
        <v>0</v>
      </c>
      <c r="L36" s="16">
        <v>75.4666666666667</v>
      </c>
      <c r="M36" s="9">
        <v>0</v>
      </c>
      <c r="O36" s="17"/>
      <c r="P36" s="18"/>
      <c r="Q36" s="17"/>
      <c r="R36" s="19"/>
      <c r="S36" s="19"/>
      <c r="T36" s="20"/>
      <c r="U36" s="20"/>
      <c r="V36" s="21"/>
      <c r="W36" s="20"/>
      <c r="X36" s="20"/>
      <c r="Y36" s="20"/>
      <c r="Z36" s="23"/>
      <c r="AA36" s="20"/>
    </row>
    <row r="37" spans="2:27">
      <c r="B37" s="9" t="s">
        <v>224</v>
      </c>
      <c r="C37" s="9" t="s">
        <v>388</v>
      </c>
      <c r="D37" s="9" t="s">
        <v>386</v>
      </c>
      <c r="E37" s="9" t="s">
        <v>900</v>
      </c>
      <c r="F37" s="9">
        <v>193</v>
      </c>
      <c r="G37" s="9">
        <v>82</v>
      </c>
      <c r="H37" s="13">
        <v>0.424870466321244</v>
      </c>
      <c r="I37" s="9">
        <v>30</v>
      </c>
      <c r="J37" s="9">
        <v>15</v>
      </c>
      <c r="K37" s="9">
        <v>1</v>
      </c>
      <c r="L37" s="16">
        <v>52.3833333333333</v>
      </c>
      <c r="M37" s="9">
        <v>0</v>
      </c>
      <c r="O37" s="17"/>
      <c r="P37" s="17"/>
      <c r="Q37" s="17"/>
      <c r="R37" s="19"/>
      <c r="S37" s="19"/>
      <c r="T37" s="20"/>
      <c r="U37" s="20"/>
      <c r="V37" s="21"/>
      <c r="W37" s="20"/>
      <c r="X37" s="20"/>
      <c r="Y37" s="20"/>
      <c r="Z37" s="23"/>
      <c r="AA37" s="20"/>
    </row>
    <row r="38" spans="2:27">
      <c r="B38" s="9" t="s">
        <v>224</v>
      </c>
      <c r="C38" s="9" t="s">
        <v>388</v>
      </c>
      <c r="D38" s="9" t="s">
        <v>394</v>
      </c>
      <c r="E38" s="9" t="s">
        <v>900</v>
      </c>
      <c r="F38" s="9">
        <v>267</v>
      </c>
      <c r="G38" s="9">
        <v>102</v>
      </c>
      <c r="H38" s="13">
        <v>0.382022471910112</v>
      </c>
      <c r="I38" s="9">
        <v>25</v>
      </c>
      <c r="J38" s="9">
        <v>15</v>
      </c>
      <c r="K38" s="9">
        <v>1</v>
      </c>
      <c r="L38" s="16">
        <v>62.8833333333333</v>
      </c>
      <c r="M38" s="9">
        <v>0</v>
      </c>
      <c r="O38" s="17"/>
      <c r="P38" s="17"/>
      <c r="Q38" s="17"/>
      <c r="R38" s="19"/>
      <c r="S38" s="19"/>
      <c r="T38" s="20"/>
      <c r="U38" s="20"/>
      <c r="V38" s="21"/>
      <c r="W38" s="20"/>
      <c r="X38" s="20"/>
      <c r="Y38" s="20"/>
      <c r="Z38" s="23"/>
      <c r="AA38" s="20"/>
    </row>
    <row r="39" spans="2:27">
      <c r="B39" s="9" t="s">
        <v>224</v>
      </c>
      <c r="C39" s="9" t="s">
        <v>388</v>
      </c>
      <c r="D39" s="9" t="s">
        <v>391</v>
      </c>
      <c r="E39" s="9" t="s">
        <v>900</v>
      </c>
      <c r="F39" s="9">
        <v>293</v>
      </c>
      <c r="G39" s="9">
        <v>131</v>
      </c>
      <c r="H39" s="13">
        <v>0.447098976109215</v>
      </c>
      <c r="I39" s="9">
        <v>36</v>
      </c>
      <c r="J39" s="9">
        <v>24</v>
      </c>
      <c r="K39" s="9">
        <v>6</v>
      </c>
      <c r="L39" s="16">
        <v>95.4666666666667</v>
      </c>
      <c r="M39" s="9">
        <v>0</v>
      </c>
      <c r="O39" s="17"/>
      <c r="P39" s="17"/>
      <c r="Q39" s="17"/>
      <c r="R39" s="19"/>
      <c r="S39" s="19"/>
      <c r="T39" s="20"/>
      <c r="U39" s="20"/>
      <c r="V39" s="21"/>
      <c r="W39" s="20"/>
      <c r="X39" s="20"/>
      <c r="Y39" s="20"/>
      <c r="Z39" s="23"/>
      <c r="AA39" s="20"/>
    </row>
    <row r="40" spans="2:27">
      <c r="B40" s="9" t="s">
        <v>75</v>
      </c>
      <c r="C40" s="9" t="s">
        <v>112</v>
      </c>
      <c r="D40" s="9" t="s">
        <v>109</v>
      </c>
      <c r="E40" s="9" t="s">
        <v>898</v>
      </c>
      <c r="F40" s="9">
        <v>293</v>
      </c>
      <c r="G40" s="9">
        <v>125</v>
      </c>
      <c r="H40" s="13">
        <v>0.426621160409556</v>
      </c>
      <c r="I40" s="9">
        <v>39</v>
      </c>
      <c r="J40" s="9">
        <v>18</v>
      </c>
      <c r="K40" s="9">
        <v>1</v>
      </c>
      <c r="L40" s="16">
        <v>68.35</v>
      </c>
      <c r="M40" s="9">
        <v>0</v>
      </c>
      <c r="O40" s="17"/>
      <c r="P40" s="17"/>
      <c r="Q40" s="17"/>
      <c r="R40" s="19"/>
      <c r="S40" s="19"/>
      <c r="T40" s="20"/>
      <c r="U40" s="20"/>
      <c r="V40" s="21"/>
      <c r="W40" s="20"/>
      <c r="X40" s="20"/>
      <c r="Y40" s="20"/>
      <c r="Z40" s="23"/>
      <c r="AA40" s="20"/>
    </row>
    <row r="41" spans="2:27">
      <c r="B41" s="9" t="s">
        <v>75</v>
      </c>
      <c r="C41" s="9" t="s">
        <v>112</v>
      </c>
      <c r="D41" s="9" t="s">
        <v>113</v>
      </c>
      <c r="E41" s="9" t="s">
        <v>898</v>
      </c>
      <c r="F41" s="9">
        <v>194</v>
      </c>
      <c r="G41" s="9">
        <v>84</v>
      </c>
      <c r="H41" s="13">
        <v>0.43298969072165</v>
      </c>
      <c r="I41" s="9">
        <v>41</v>
      </c>
      <c r="J41" s="9">
        <v>8</v>
      </c>
      <c r="K41" s="9">
        <v>3</v>
      </c>
      <c r="L41" s="16">
        <v>63.25</v>
      </c>
      <c r="M41" s="9">
        <v>2</v>
      </c>
      <c r="O41" s="18"/>
      <c r="P41" s="17"/>
      <c r="Q41" s="17"/>
      <c r="R41" s="19"/>
      <c r="S41" s="19"/>
      <c r="T41" s="20"/>
      <c r="U41" s="20"/>
      <c r="V41" s="21"/>
      <c r="W41" s="20"/>
      <c r="X41" s="20"/>
      <c r="Y41" s="20"/>
      <c r="Z41" s="23"/>
      <c r="AA41" s="20"/>
    </row>
    <row r="42" spans="2:27">
      <c r="B42" s="9" t="s">
        <v>75</v>
      </c>
      <c r="C42" s="9" t="s">
        <v>112</v>
      </c>
      <c r="D42" s="9" t="s">
        <v>116</v>
      </c>
      <c r="E42" s="9" t="s">
        <v>902</v>
      </c>
      <c r="F42" s="9">
        <v>277</v>
      </c>
      <c r="G42" s="9">
        <v>100</v>
      </c>
      <c r="H42" s="13">
        <v>0.36101083032491</v>
      </c>
      <c r="I42" s="9">
        <v>39</v>
      </c>
      <c r="J42" s="9">
        <v>27</v>
      </c>
      <c r="K42" s="9">
        <v>3</v>
      </c>
      <c r="L42" s="16">
        <v>79.9333333333333</v>
      </c>
      <c r="M42" s="9">
        <v>0</v>
      </c>
      <c r="P42" s="18"/>
      <c r="Q42" s="17"/>
      <c r="R42" s="19"/>
      <c r="S42" s="19"/>
      <c r="T42" s="20"/>
      <c r="U42" s="20"/>
      <c r="V42" s="21"/>
      <c r="W42" s="20"/>
      <c r="X42" s="20"/>
      <c r="Y42" s="20"/>
      <c r="Z42" s="23"/>
      <c r="AA42" s="20"/>
    </row>
    <row r="43" spans="2:13">
      <c r="B43" s="9" t="s">
        <v>75</v>
      </c>
      <c r="C43" s="9" t="s">
        <v>112</v>
      </c>
      <c r="D43" s="9" t="s">
        <v>119</v>
      </c>
      <c r="E43" s="9" t="s">
        <v>902</v>
      </c>
      <c r="F43" s="9">
        <v>288</v>
      </c>
      <c r="G43" s="9">
        <v>123</v>
      </c>
      <c r="H43" s="13">
        <v>0.427083333333333</v>
      </c>
      <c r="I43" s="9">
        <v>31</v>
      </c>
      <c r="J43" s="9">
        <v>16</v>
      </c>
      <c r="K43" s="9">
        <v>1</v>
      </c>
      <c r="L43" s="16">
        <v>67.25</v>
      </c>
      <c r="M43" s="9">
        <v>0</v>
      </c>
    </row>
    <row r="44" spans="2:13">
      <c r="B44" s="9" t="s">
        <v>75</v>
      </c>
      <c r="C44" s="9" t="s">
        <v>112</v>
      </c>
      <c r="D44" s="9" t="s">
        <v>122</v>
      </c>
      <c r="E44" s="9" t="s">
        <v>902</v>
      </c>
      <c r="F44" s="9">
        <v>257</v>
      </c>
      <c r="G44" s="9">
        <v>118</v>
      </c>
      <c r="H44" s="13">
        <v>0.459143968871595</v>
      </c>
      <c r="I44" s="9">
        <v>30</v>
      </c>
      <c r="J44" s="9">
        <v>10</v>
      </c>
      <c r="K44" s="9">
        <v>1</v>
      </c>
      <c r="L44" s="16">
        <v>63.5833333333333</v>
      </c>
      <c r="M44" s="9">
        <v>0</v>
      </c>
    </row>
    <row r="45" spans="2:13">
      <c r="B45" s="9" t="s">
        <v>22</v>
      </c>
      <c r="C45" s="9" t="s">
        <v>342</v>
      </c>
      <c r="D45" s="9" t="s">
        <v>340</v>
      </c>
      <c r="E45" s="9" t="s">
        <v>901</v>
      </c>
      <c r="F45" s="9">
        <v>35</v>
      </c>
      <c r="G45" s="9">
        <v>21</v>
      </c>
      <c r="H45" s="13">
        <v>0.6</v>
      </c>
      <c r="I45" s="9">
        <v>11</v>
      </c>
      <c r="J45" s="9">
        <v>8</v>
      </c>
      <c r="K45" s="9">
        <v>1</v>
      </c>
      <c r="L45" s="16">
        <v>22.7166666666667</v>
      </c>
      <c r="M45" s="9">
        <v>5</v>
      </c>
    </row>
    <row r="46" spans="2:13">
      <c r="B46" s="9" t="s">
        <v>22</v>
      </c>
      <c r="C46" s="9" t="s">
        <v>342</v>
      </c>
      <c r="D46" s="9" t="s">
        <v>358</v>
      </c>
      <c r="E46" s="9" t="s">
        <v>899</v>
      </c>
      <c r="F46" s="9">
        <v>50</v>
      </c>
      <c r="G46" s="9">
        <v>33</v>
      </c>
      <c r="H46" s="13">
        <v>0.66</v>
      </c>
      <c r="I46" s="9">
        <v>18</v>
      </c>
      <c r="J46" s="9">
        <v>13</v>
      </c>
      <c r="K46" s="9">
        <v>4</v>
      </c>
      <c r="L46" s="16">
        <v>44.8666666666667</v>
      </c>
      <c r="M46" s="9">
        <v>0</v>
      </c>
    </row>
    <row r="47" spans="2:13">
      <c r="B47" s="9" t="s">
        <v>22</v>
      </c>
      <c r="C47" s="9" t="s">
        <v>342</v>
      </c>
      <c r="D47" s="9" t="s">
        <v>346</v>
      </c>
      <c r="E47" s="9" t="s">
        <v>899</v>
      </c>
      <c r="F47" s="9">
        <v>13</v>
      </c>
      <c r="G47" s="9">
        <v>4</v>
      </c>
      <c r="H47" s="13">
        <v>0.307692307692308</v>
      </c>
      <c r="I47" s="9">
        <v>14</v>
      </c>
      <c r="J47" s="9">
        <v>2</v>
      </c>
      <c r="K47" s="9">
        <v>0</v>
      </c>
      <c r="L47" s="16">
        <v>6.38333333333333</v>
      </c>
      <c r="M47" s="9">
        <v>0</v>
      </c>
    </row>
    <row r="48" spans="2:13">
      <c r="B48" s="9" t="s">
        <v>22</v>
      </c>
      <c r="C48" s="9" t="s">
        <v>342</v>
      </c>
      <c r="D48" s="9" t="s">
        <v>355</v>
      </c>
      <c r="E48" s="9" t="s">
        <v>899</v>
      </c>
      <c r="F48" s="9">
        <v>48</v>
      </c>
      <c r="G48" s="9">
        <v>32</v>
      </c>
      <c r="H48" s="13">
        <v>0.666666666666667</v>
      </c>
      <c r="I48" s="9">
        <v>14</v>
      </c>
      <c r="J48" s="9">
        <v>7</v>
      </c>
      <c r="K48" s="9">
        <v>1</v>
      </c>
      <c r="L48" s="16">
        <v>25.95</v>
      </c>
      <c r="M48" s="9">
        <v>0</v>
      </c>
    </row>
    <row r="49" spans="2:13">
      <c r="B49" s="9" t="s">
        <v>22</v>
      </c>
      <c r="C49" s="9" t="s">
        <v>342</v>
      </c>
      <c r="D49" s="9" t="s">
        <v>352</v>
      </c>
      <c r="E49" s="9" t="s">
        <v>899</v>
      </c>
      <c r="F49" s="9">
        <v>17</v>
      </c>
      <c r="G49" s="9">
        <v>13</v>
      </c>
      <c r="H49" s="13">
        <v>0.764705882352941</v>
      </c>
      <c r="I49" s="9">
        <v>23</v>
      </c>
      <c r="J49" s="9">
        <v>9</v>
      </c>
      <c r="K49" s="9">
        <v>1</v>
      </c>
      <c r="L49" s="16">
        <v>20.85</v>
      </c>
      <c r="M49" s="9">
        <v>0</v>
      </c>
    </row>
    <row r="50" spans="2:13">
      <c r="B50" s="9" t="s">
        <v>22</v>
      </c>
      <c r="C50" s="9" t="s">
        <v>342</v>
      </c>
      <c r="D50" s="9" t="s">
        <v>361</v>
      </c>
      <c r="E50" s="9" t="s">
        <v>901</v>
      </c>
      <c r="F50" s="9">
        <v>63</v>
      </c>
      <c r="G50" s="9">
        <v>35</v>
      </c>
      <c r="H50" s="13">
        <v>0.555555555555556</v>
      </c>
      <c r="I50" s="9">
        <v>13</v>
      </c>
      <c r="J50" s="9">
        <v>5</v>
      </c>
      <c r="K50" s="9">
        <v>0</v>
      </c>
      <c r="L50" s="16">
        <v>22.4833333333333</v>
      </c>
      <c r="M50" s="9">
        <v>1</v>
      </c>
    </row>
    <row r="51" spans="2:13">
      <c r="B51" s="9" t="s">
        <v>22</v>
      </c>
      <c r="C51" s="9" t="s">
        <v>342</v>
      </c>
      <c r="D51" s="9" t="s">
        <v>343</v>
      </c>
      <c r="E51" s="9" t="s">
        <v>902</v>
      </c>
      <c r="F51" s="9">
        <v>148</v>
      </c>
      <c r="G51" s="9">
        <v>50</v>
      </c>
      <c r="H51" s="13">
        <v>0.337837837837838</v>
      </c>
      <c r="I51" s="9">
        <v>17</v>
      </c>
      <c r="J51" s="9">
        <v>8</v>
      </c>
      <c r="K51" s="9">
        <v>1</v>
      </c>
      <c r="L51" s="16">
        <v>30.3833333333333</v>
      </c>
      <c r="M51" s="9">
        <v>0</v>
      </c>
    </row>
    <row r="52" spans="2:13">
      <c r="B52" s="9"/>
      <c r="C52" s="9"/>
      <c r="D52" s="9"/>
      <c r="E52" s="9"/>
      <c r="F52" s="9"/>
      <c r="G52" s="9"/>
      <c r="H52" s="10"/>
      <c r="I52" s="9"/>
      <c r="J52" s="9"/>
      <c r="K52" s="9"/>
      <c r="L52" s="16"/>
      <c r="M52" s="9"/>
    </row>
    <row r="53" spans="2:13">
      <c r="B53" s="9"/>
      <c r="C53" s="9"/>
      <c r="D53" s="9"/>
      <c r="E53" s="9"/>
      <c r="F53" s="9"/>
      <c r="G53" s="9"/>
      <c r="H53" s="10"/>
      <c r="I53" s="9"/>
      <c r="J53" s="9"/>
      <c r="K53" s="9"/>
      <c r="L53" s="16"/>
      <c r="M53" s="9"/>
    </row>
  </sheetData>
  <mergeCells count="3">
    <mergeCell ref="A1:D1"/>
    <mergeCell ref="E1:K1"/>
    <mergeCell ref="N1:T1"/>
  </mergeCells>
  <conditionalFormatting sqref="P11:V11">
    <cfRule type="colorScale" priority="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:E6">
    <cfRule type="colorScale" priority="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4:I39">
    <cfRule type="colorScale" priority="14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4:I40">
    <cfRule type="colorScale" priority="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4:I41">
    <cfRule type="colorScale" priority="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4:I42">
    <cfRule type="colorScale" priority="6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4:I44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4:I43">
    <cfRule type="colorScale" priority="2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4:I45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4:I46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4:I47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4:I5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4:J39">
    <cfRule type="colorScale" priority="12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4:J40">
    <cfRule type="colorScale" priority="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4:J41">
    <cfRule type="colorScale" priority="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4:J42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4:J44">
    <cfRule type="colorScale" priority="5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0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0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4:J43">
    <cfRule type="colorScale" priority="2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4:J45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4:J46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4:J47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4:J5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4:K39">
    <cfRule type="colorScale" priority="12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4:K40">
    <cfRule type="colorScale" priority="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4:K41"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4:K42">
    <cfRule type="colorScale" priority="5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4:K44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1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1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4:K43">
    <cfRule type="colorScale" priority="2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4:K45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4:K46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4:K47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4:K5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4:L39">
    <cfRule type="colorScale" priority="11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4:L40">
    <cfRule type="colorScale" priority="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4:L41">
    <cfRule type="colorScale" priority="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4:L42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4:L44">
    <cfRule type="colorScale" priority="5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1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1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4:L43">
    <cfRule type="colorScale" priority="2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4:L45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4:L46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4:L47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4:L5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4:M39">
    <cfRule type="colorScale" priority="10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4:M40">
    <cfRule type="colorScale" priority="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4:M41"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4:M42">
    <cfRule type="colorScale" priority="5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4:M44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2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2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4:M43">
    <cfRule type="colorScale" priority="2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4:M45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4:M4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4:M4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4:M5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:O6">
    <cfRule type="colorScale" priority="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3:Z7">
    <cfRule type="colorScale" priority="1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:L6">
    <cfRule type="colorScale" priority="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3:W7">
    <cfRule type="colorScale" priority="1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8:F11 G11:L11">
    <cfRule type="colorScale" priority="1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list" showInputMessage="1" showErrorMessage="1" sqref="A2 AB14">
      <formula1>$AB$2:$AG$2</formula1>
    </dataValidation>
  </dataValidations>
  <pageMargins left="0.75" right="0.75" top="1" bottom="1" header="0.5" footer="0.5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521:P3911"/>
  <sheetViews>
    <sheetView zoomScale="115" zoomScaleNormal="115" workbookViewId="0">
      <selection activeCell="J29" sqref="J29"/>
    </sheetView>
  </sheetViews>
  <sheetFormatPr defaultColWidth="8.66666666666667" defaultRowHeight="14"/>
  <sheetData>
    <row r="3521" spans="1:16">
      <c r="A3521" t="s">
        <v>571</v>
      </c>
      <c r="B3521" t="s">
        <v>572</v>
      </c>
      <c r="C3521" t="s">
        <v>573</v>
      </c>
      <c r="D3521" t="s">
        <v>574</v>
      </c>
      <c r="E3521" t="s">
        <v>5</v>
      </c>
      <c r="F3521" t="s">
        <v>6</v>
      </c>
      <c r="G3521" t="s">
        <v>575</v>
      </c>
      <c r="H3521" t="s">
        <v>8</v>
      </c>
      <c r="I3521" t="s">
        <v>9</v>
      </c>
      <c r="J3521" t="s">
        <v>10</v>
      </c>
      <c r="K3521" t="s">
        <v>11</v>
      </c>
      <c r="L3521" t="s">
        <v>12</v>
      </c>
      <c r="M3521" t="s">
        <v>13</v>
      </c>
      <c r="N3521" t="s">
        <v>14</v>
      </c>
      <c r="O3521" t="s">
        <v>15</v>
      </c>
      <c r="P3521" t="s">
        <v>16</v>
      </c>
    </row>
    <row r="3522" spans="1:12">
      <c r="A3522" t="s">
        <v>576</v>
      </c>
      <c r="B3522" t="s">
        <v>21</v>
      </c>
      <c r="C3522" t="s">
        <v>102</v>
      </c>
      <c r="D3522" t="s">
        <v>416</v>
      </c>
      <c r="E3522">
        <v>1</v>
      </c>
      <c r="F3522">
        <v>1</v>
      </c>
      <c r="G3522">
        <v>1</v>
      </c>
      <c r="H3522">
        <v>0</v>
      </c>
      <c r="I3522">
        <v>0</v>
      </c>
      <c r="J3522">
        <v>0</v>
      </c>
      <c r="K3522">
        <v>0</v>
      </c>
      <c r="L3522">
        <v>0.233333333333333</v>
      </c>
    </row>
    <row r="3523" spans="1:12">
      <c r="A3523" t="s">
        <v>576</v>
      </c>
      <c r="B3523" t="s">
        <v>21</v>
      </c>
      <c r="C3523" t="s">
        <v>52</v>
      </c>
      <c r="D3523" t="s">
        <v>255</v>
      </c>
      <c r="E3523">
        <v>1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</row>
    <row r="3524" spans="1:12">
      <c r="A3524" t="s">
        <v>576</v>
      </c>
      <c r="B3524" t="s">
        <v>21</v>
      </c>
      <c r="C3524" t="s">
        <v>52</v>
      </c>
      <c r="D3524" t="s">
        <v>261</v>
      </c>
      <c r="E3524">
        <v>20</v>
      </c>
      <c r="F3524">
        <v>3</v>
      </c>
      <c r="G3524">
        <v>0.15</v>
      </c>
      <c r="H3524">
        <v>0</v>
      </c>
      <c r="I3524">
        <v>0</v>
      </c>
      <c r="J3524">
        <v>0</v>
      </c>
      <c r="K3524">
        <v>0</v>
      </c>
      <c r="L3524">
        <v>0.716666666666667</v>
      </c>
    </row>
    <row r="3525" spans="1:12">
      <c r="A3525" t="s">
        <v>576</v>
      </c>
      <c r="B3525" t="s">
        <v>21</v>
      </c>
      <c r="C3525" t="s">
        <v>75</v>
      </c>
      <c r="D3525" t="s">
        <v>222</v>
      </c>
      <c r="E3525">
        <v>232</v>
      </c>
      <c r="F3525">
        <v>97</v>
      </c>
      <c r="G3525">
        <v>0.418103448275862</v>
      </c>
      <c r="H3525">
        <v>35</v>
      </c>
      <c r="I3525">
        <v>22</v>
      </c>
      <c r="J3525">
        <v>14</v>
      </c>
      <c r="K3525">
        <v>3</v>
      </c>
      <c r="L3525">
        <v>61.7333333333333</v>
      </c>
    </row>
    <row r="3526" spans="1:12">
      <c r="A3526" t="s">
        <v>576</v>
      </c>
      <c r="B3526" t="s">
        <v>21</v>
      </c>
      <c r="C3526" t="s">
        <v>75</v>
      </c>
      <c r="D3526" t="s">
        <v>212</v>
      </c>
      <c r="E3526">
        <v>238</v>
      </c>
      <c r="F3526">
        <v>102</v>
      </c>
      <c r="G3526">
        <v>0.428571428571428</v>
      </c>
      <c r="H3526">
        <v>11</v>
      </c>
      <c r="I3526">
        <v>7</v>
      </c>
      <c r="J3526">
        <v>4</v>
      </c>
      <c r="K3526">
        <v>0</v>
      </c>
      <c r="L3526">
        <v>35.25</v>
      </c>
    </row>
    <row r="3527" spans="1:16">
      <c r="A3527" t="s">
        <v>576</v>
      </c>
      <c r="B3527" t="s">
        <v>21</v>
      </c>
      <c r="C3527" t="s">
        <v>75</v>
      </c>
      <c r="D3527" t="s">
        <v>206</v>
      </c>
      <c r="E3527">
        <v>108</v>
      </c>
      <c r="F3527">
        <v>54</v>
      </c>
      <c r="G3527">
        <v>0.5</v>
      </c>
      <c r="H3527">
        <v>21</v>
      </c>
      <c r="I3527">
        <v>18</v>
      </c>
      <c r="J3527">
        <v>12</v>
      </c>
      <c r="K3527">
        <v>2</v>
      </c>
      <c r="L3527">
        <v>41.7666666666667</v>
      </c>
      <c r="M3527">
        <v>1</v>
      </c>
      <c r="N3527">
        <v>0</v>
      </c>
      <c r="O3527">
        <v>0</v>
      </c>
      <c r="P3527">
        <v>0</v>
      </c>
    </row>
    <row r="3528" spans="1:12">
      <c r="A3528" t="s">
        <v>576</v>
      </c>
      <c r="B3528" t="s">
        <v>21</v>
      </c>
      <c r="C3528" t="s">
        <v>75</v>
      </c>
      <c r="D3528" t="s">
        <v>203</v>
      </c>
      <c r="E3528">
        <v>149</v>
      </c>
      <c r="F3528">
        <v>60</v>
      </c>
      <c r="G3528">
        <v>0.402684563758389</v>
      </c>
      <c r="H3528">
        <v>15</v>
      </c>
      <c r="I3528">
        <v>14</v>
      </c>
      <c r="J3528">
        <v>8</v>
      </c>
      <c r="K3528">
        <v>1</v>
      </c>
      <c r="L3528">
        <v>31.1</v>
      </c>
    </row>
    <row r="3529" spans="1:12">
      <c r="A3529" t="s">
        <v>576</v>
      </c>
      <c r="B3529" t="s">
        <v>21</v>
      </c>
      <c r="C3529" t="s">
        <v>75</v>
      </c>
      <c r="D3529" t="s">
        <v>220</v>
      </c>
      <c r="E3529">
        <v>227</v>
      </c>
      <c r="F3529">
        <v>90</v>
      </c>
      <c r="G3529">
        <v>0.39647577092511</v>
      </c>
      <c r="H3529">
        <v>18</v>
      </c>
      <c r="I3529">
        <v>10</v>
      </c>
      <c r="J3529">
        <v>6</v>
      </c>
      <c r="K3529">
        <v>0</v>
      </c>
      <c r="L3529">
        <v>38.9666666666667</v>
      </c>
    </row>
    <row r="3530" spans="1:12">
      <c r="A3530" t="s">
        <v>576</v>
      </c>
      <c r="B3530" t="s">
        <v>21</v>
      </c>
      <c r="C3530" t="s">
        <v>75</v>
      </c>
      <c r="D3530" t="s">
        <v>199</v>
      </c>
      <c r="E3530">
        <v>211</v>
      </c>
      <c r="F3530">
        <v>94</v>
      </c>
      <c r="G3530">
        <v>0.445497630331753</v>
      </c>
      <c r="H3530">
        <v>37</v>
      </c>
      <c r="I3530">
        <v>28</v>
      </c>
      <c r="J3530">
        <v>21</v>
      </c>
      <c r="K3530">
        <v>2</v>
      </c>
      <c r="L3530">
        <v>60.15</v>
      </c>
    </row>
    <row r="3531" spans="1:12">
      <c r="A3531" t="s">
        <v>576</v>
      </c>
      <c r="B3531" t="s">
        <v>21</v>
      </c>
      <c r="C3531" t="s">
        <v>75</v>
      </c>
      <c r="D3531" t="s">
        <v>215</v>
      </c>
      <c r="E3531">
        <v>171</v>
      </c>
      <c r="F3531">
        <v>67</v>
      </c>
      <c r="G3531">
        <v>0.391812865497076</v>
      </c>
      <c r="H3531">
        <v>30</v>
      </c>
      <c r="I3531">
        <v>20</v>
      </c>
      <c r="J3531">
        <v>17</v>
      </c>
      <c r="K3531">
        <v>4</v>
      </c>
      <c r="L3531">
        <v>52.3833333333333</v>
      </c>
    </row>
    <row r="3532" spans="1:12">
      <c r="A3532" t="s">
        <v>576</v>
      </c>
      <c r="B3532" t="s">
        <v>21</v>
      </c>
      <c r="C3532" t="s">
        <v>151</v>
      </c>
      <c r="D3532" t="s">
        <v>503</v>
      </c>
      <c r="E3532">
        <v>139</v>
      </c>
      <c r="F3532">
        <v>59</v>
      </c>
      <c r="G3532">
        <v>0.424460431654676</v>
      </c>
      <c r="H3532">
        <v>39</v>
      </c>
      <c r="I3532">
        <v>34</v>
      </c>
      <c r="J3532">
        <v>21</v>
      </c>
      <c r="K3532">
        <v>4</v>
      </c>
      <c r="L3532">
        <v>70.9666666666667</v>
      </c>
    </row>
    <row r="3533" spans="1:12">
      <c r="A3533" t="s">
        <v>576</v>
      </c>
      <c r="B3533" t="s">
        <v>21</v>
      </c>
      <c r="C3533" t="s">
        <v>151</v>
      </c>
      <c r="D3533" t="s">
        <v>510</v>
      </c>
      <c r="E3533">
        <v>115</v>
      </c>
      <c r="F3533">
        <v>57</v>
      </c>
      <c r="G3533">
        <v>0.495652173913044</v>
      </c>
      <c r="H3533">
        <v>30</v>
      </c>
      <c r="I3533">
        <v>25</v>
      </c>
      <c r="J3533">
        <v>15</v>
      </c>
      <c r="K3533">
        <v>1</v>
      </c>
      <c r="L3533">
        <v>46.55</v>
      </c>
    </row>
    <row r="3534" spans="1:12">
      <c r="A3534" t="s">
        <v>576</v>
      </c>
      <c r="B3534" t="s">
        <v>21</v>
      </c>
      <c r="C3534" t="s">
        <v>151</v>
      </c>
      <c r="D3534" t="s">
        <v>512</v>
      </c>
      <c r="E3534">
        <v>191</v>
      </c>
      <c r="F3534">
        <v>98</v>
      </c>
      <c r="G3534">
        <v>0.513089005235602</v>
      </c>
      <c r="H3534">
        <v>50</v>
      </c>
      <c r="I3534">
        <v>38</v>
      </c>
      <c r="J3534">
        <v>27</v>
      </c>
      <c r="K3534">
        <v>4</v>
      </c>
      <c r="L3534">
        <v>84.4833333333333</v>
      </c>
    </row>
    <row r="3535" spans="1:12">
      <c r="A3535" t="s">
        <v>576</v>
      </c>
      <c r="B3535" t="s">
        <v>21</v>
      </c>
      <c r="C3535" t="s">
        <v>151</v>
      </c>
      <c r="D3535" t="s">
        <v>519</v>
      </c>
      <c r="E3535">
        <v>233</v>
      </c>
      <c r="F3535">
        <v>90</v>
      </c>
      <c r="G3535">
        <v>0.386266094420601</v>
      </c>
      <c r="H3535">
        <v>36</v>
      </c>
      <c r="I3535">
        <v>28</v>
      </c>
      <c r="J3535">
        <v>12</v>
      </c>
      <c r="K3535">
        <v>1</v>
      </c>
      <c r="L3535">
        <v>50.15</v>
      </c>
    </row>
    <row r="3536" spans="1:12">
      <c r="A3536" t="s">
        <v>576</v>
      </c>
      <c r="B3536" t="s">
        <v>21</v>
      </c>
      <c r="C3536" t="s">
        <v>151</v>
      </c>
      <c r="D3536" t="s">
        <v>524</v>
      </c>
      <c r="E3536">
        <v>98</v>
      </c>
      <c r="F3536">
        <v>47</v>
      </c>
      <c r="G3536">
        <v>0.479591836734694</v>
      </c>
      <c r="H3536">
        <v>25</v>
      </c>
      <c r="I3536">
        <v>16</v>
      </c>
      <c r="J3536">
        <v>10</v>
      </c>
      <c r="K3536">
        <v>0</v>
      </c>
      <c r="L3536">
        <v>31.0166666666667</v>
      </c>
    </row>
    <row r="3537" spans="1:12">
      <c r="A3537" t="s">
        <v>576</v>
      </c>
      <c r="B3537" t="s">
        <v>21</v>
      </c>
      <c r="C3537" t="s">
        <v>151</v>
      </c>
      <c r="D3537" t="s">
        <v>516</v>
      </c>
      <c r="E3537">
        <v>170</v>
      </c>
      <c r="F3537">
        <v>85</v>
      </c>
      <c r="G3537">
        <v>0.5</v>
      </c>
      <c r="H3537">
        <v>22</v>
      </c>
      <c r="I3537">
        <v>19</v>
      </c>
      <c r="J3537">
        <v>7</v>
      </c>
      <c r="K3537">
        <v>0</v>
      </c>
      <c r="L3537">
        <v>35.3833333333333</v>
      </c>
    </row>
    <row r="3538" spans="1:12">
      <c r="A3538" t="s">
        <v>576</v>
      </c>
      <c r="B3538" t="s">
        <v>21</v>
      </c>
      <c r="C3538" t="s">
        <v>151</v>
      </c>
      <c r="D3538" t="s">
        <v>499</v>
      </c>
      <c r="E3538">
        <v>105</v>
      </c>
      <c r="F3538">
        <v>48</v>
      </c>
      <c r="G3538">
        <v>0.457142857142857</v>
      </c>
      <c r="H3538">
        <v>18</v>
      </c>
      <c r="I3538">
        <v>12</v>
      </c>
      <c r="J3538">
        <v>7</v>
      </c>
      <c r="K3538">
        <v>1</v>
      </c>
      <c r="L3538">
        <v>26.8166666666667</v>
      </c>
    </row>
    <row r="3539" spans="1:12">
      <c r="A3539" t="s">
        <v>576</v>
      </c>
      <c r="B3539" t="s">
        <v>21</v>
      </c>
      <c r="C3539" t="s">
        <v>151</v>
      </c>
      <c r="D3539" t="s">
        <v>505</v>
      </c>
      <c r="E3539">
        <v>156</v>
      </c>
      <c r="F3539">
        <v>79</v>
      </c>
      <c r="G3539">
        <v>0.506410256410256</v>
      </c>
      <c r="H3539">
        <v>10</v>
      </c>
      <c r="I3539">
        <v>2</v>
      </c>
      <c r="J3539">
        <v>2</v>
      </c>
      <c r="K3539">
        <v>0</v>
      </c>
      <c r="L3539">
        <v>28.25</v>
      </c>
    </row>
    <row r="3540" spans="1:16">
      <c r="A3540" t="s">
        <v>576</v>
      </c>
      <c r="B3540" t="s">
        <v>21</v>
      </c>
      <c r="C3540" t="s">
        <v>151</v>
      </c>
      <c r="D3540" t="s">
        <v>522</v>
      </c>
      <c r="E3540">
        <v>74</v>
      </c>
      <c r="F3540">
        <v>27</v>
      </c>
      <c r="G3540">
        <v>0.364864864864865</v>
      </c>
      <c r="H3540">
        <v>15</v>
      </c>
      <c r="I3540">
        <v>11</v>
      </c>
      <c r="J3540">
        <v>6</v>
      </c>
      <c r="K3540">
        <v>1</v>
      </c>
      <c r="L3540">
        <v>25.6166666666667</v>
      </c>
      <c r="M3540">
        <v>1</v>
      </c>
      <c r="N3540">
        <v>0</v>
      </c>
      <c r="O3540">
        <v>0</v>
      </c>
      <c r="P3540">
        <v>43</v>
      </c>
    </row>
    <row r="3541" spans="1:16">
      <c r="A3541" t="s">
        <v>576</v>
      </c>
      <c r="B3541" t="s">
        <v>21</v>
      </c>
      <c r="C3541" t="s">
        <v>224</v>
      </c>
      <c r="D3541" t="s">
        <v>530</v>
      </c>
      <c r="E3541">
        <v>97</v>
      </c>
      <c r="F3541">
        <v>39</v>
      </c>
      <c r="G3541">
        <v>0.402061855670103</v>
      </c>
      <c r="H3541">
        <v>13</v>
      </c>
      <c r="I3541">
        <v>11</v>
      </c>
      <c r="J3541">
        <v>4</v>
      </c>
      <c r="K3541">
        <v>1</v>
      </c>
      <c r="L3541">
        <v>21.0833333333333</v>
      </c>
      <c r="M3541">
        <v>1</v>
      </c>
      <c r="N3541">
        <v>0</v>
      </c>
      <c r="O3541">
        <v>0</v>
      </c>
      <c r="P3541">
        <v>0</v>
      </c>
    </row>
    <row r="3542" spans="1:12">
      <c r="A3542" t="s">
        <v>576</v>
      </c>
      <c r="B3542" t="s">
        <v>21</v>
      </c>
      <c r="C3542" t="s">
        <v>224</v>
      </c>
      <c r="D3542" t="s">
        <v>532</v>
      </c>
      <c r="E3542">
        <v>199</v>
      </c>
      <c r="F3542">
        <v>95</v>
      </c>
      <c r="G3542">
        <v>0.477386934673367</v>
      </c>
      <c r="H3542">
        <v>30</v>
      </c>
      <c r="I3542">
        <v>27</v>
      </c>
      <c r="J3542">
        <v>14</v>
      </c>
      <c r="K3542">
        <v>3</v>
      </c>
      <c r="L3542">
        <v>63.6833333333333</v>
      </c>
    </row>
    <row r="3543" spans="1:12">
      <c r="A3543" t="s">
        <v>576</v>
      </c>
      <c r="B3543" t="s">
        <v>21</v>
      </c>
      <c r="C3543" t="s">
        <v>224</v>
      </c>
      <c r="D3543" t="s">
        <v>527</v>
      </c>
      <c r="E3543">
        <v>1</v>
      </c>
      <c r="F3543">
        <v>1</v>
      </c>
      <c r="G3543">
        <v>1</v>
      </c>
      <c r="H3543">
        <v>0</v>
      </c>
      <c r="I3543">
        <v>0</v>
      </c>
      <c r="J3543">
        <v>0</v>
      </c>
      <c r="K3543">
        <v>0</v>
      </c>
      <c r="L3543">
        <v>0.216666666666667</v>
      </c>
    </row>
    <row r="3544" spans="1:12">
      <c r="A3544" t="s">
        <v>576</v>
      </c>
      <c r="B3544" t="s">
        <v>21</v>
      </c>
      <c r="C3544" t="s">
        <v>224</v>
      </c>
      <c r="D3544" t="s">
        <v>539</v>
      </c>
      <c r="E3544">
        <v>220</v>
      </c>
      <c r="F3544">
        <v>106</v>
      </c>
      <c r="G3544">
        <v>0.481818181818182</v>
      </c>
      <c r="H3544">
        <v>57</v>
      </c>
      <c r="I3544">
        <v>44</v>
      </c>
      <c r="J3544">
        <v>22</v>
      </c>
      <c r="K3544">
        <v>1</v>
      </c>
      <c r="L3544">
        <v>77.5166666666667</v>
      </c>
    </row>
    <row r="3545" spans="1:12">
      <c r="A3545" t="s">
        <v>576</v>
      </c>
      <c r="B3545" t="s">
        <v>21</v>
      </c>
      <c r="C3545" t="s">
        <v>224</v>
      </c>
      <c r="D3545" t="s">
        <v>545</v>
      </c>
      <c r="E3545">
        <v>137</v>
      </c>
      <c r="F3545">
        <v>58</v>
      </c>
      <c r="G3545">
        <v>0.423357664233577</v>
      </c>
      <c r="H3545">
        <v>27</v>
      </c>
      <c r="I3545">
        <v>17</v>
      </c>
      <c r="J3545">
        <v>8</v>
      </c>
      <c r="K3545">
        <v>1</v>
      </c>
      <c r="L3545">
        <v>33.9833333333333</v>
      </c>
    </row>
    <row r="3546" spans="1:12">
      <c r="A3546" t="s">
        <v>576</v>
      </c>
      <c r="B3546" t="s">
        <v>21</v>
      </c>
      <c r="C3546" t="s">
        <v>224</v>
      </c>
      <c r="D3546" t="s">
        <v>536</v>
      </c>
      <c r="E3546">
        <v>177</v>
      </c>
      <c r="F3546">
        <v>69</v>
      </c>
      <c r="G3546">
        <v>0.389830508474576</v>
      </c>
      <c r="H3546">
        <v>30</v>
      </c>
      <c r="I3546">
        <v>14</v>
      </c>
      <c r="J3546">
        <v>6</v>
      </c>
      <c r="K3546">
        <v>0</v>
      </c>
      <c r="L3546">
        <v>33</v>
      </c>
    </row>
    <row r="3547" spans="1:16">
      <c r="A3547" t="s">
        <v>576</v>
      </c>
      <c r="B3547" t="s">
        <v>21</v>
      </c>
      <c r="C3547" t="s">
        <v>264</v>
      </c>
      <c r="D3547" t="s">
        <v>285</v>
      </c>
      <c r="E3547">
        <v>12</v>
      </c>
      <c r="F3547">
        <v>7</v>
      </c>
      <c r="G3547">
        <v>0.583333333333333</v>
      </c>
      <c r="H3547">
        <v>4</v>
      </c>
      <c r="I3547">
        <v>4</v>
      </c>
      <c r="J3547">
        <v>3</v>
      </c>
      <c r="K3547">
        <v>0</v>
      </c>
      <c r="L3547">
        <v>6.9</v>
      </c>
      <c r="M3547">
        <v>1</v>
      </c>
      <c r="N3547">
        <v>1</v>
      </c>
      <c r="O3547">
        <v>1</v>
      </c>
      <c r="P3547">
        <v>176</v>
      </c>
    </row>
    <row r="3548" spans="1:12">
      <c r="A3548" t="s">
        <v>576</v>
      </c>
      <c r="B3548" t="s">
        <v>21</v>
      </c>
      <c r="C3548" t="s">
        <v>264</v>
      </c>
      <c r="D3548" t="s">
        <v>287</v>
      </c>
      <c r="E3548">
        <v>132</v>
      </c>
      <c r="F3548">
        <v>55</v>
      </c>
      <c r="G3548">
        <v>0.416666666666667</v>
      </c>
      <c r="H3548">
        <v>21</v>
      </c>
      <c r="I3548">
        <v>17</v>
      </c>
      <c r="J3548">
        <v>9</v>
      </c>
      <c r="K3548">
        <v>4</v>
      </c>
      <c r="L3548">
        <v>61.3</v>
      </c>
    </row>
    <row r="3549" spans="1:12">
      <c r="A3549" t="s">
        <v>576</v>
      </c>
      <c r="B3549" t="s">
        <v>21</v>
      </c>
      <c r="C3549" t="s">
        <v>264</v>
      </c>
      <c r="D3549" t="s">
        <v>290</v>
      </c>
      <c r="E3549">
        <v>60</v>
      </c>
      <c r="F3549">
        <v>27</v>
      </c>
      <c r="G3549">
        <v>0.45</v>
      </c>
      <c r="H3549">
        <v>14</v>
      </c>
      <c r="I3549">
        <v>11</v>
      </c>
      <c r="J3549">
        <v>8</v>
      </c>
      <c r="K3549">
        <v>1</v>
      </c>
      <c r="L3549">
        <v>22.5</v>
      </c>
    </row>
    <row r="3550" spans="1:12">
      <c r="A3550" t="s">
        <v>576</v>
      </c>
      <c r="B3550" t="s">
        <v>21</v>
      </c>
      <c r="C3550" t="s">
        <v>264</v>
      </c>
      <c r="D3550" t="s">
        <v>265</v>
      </c>
      <c r="E3550">
        <v>25</v>
      </c>
      <c r="F3550">
        <v>13</v>
      </c>
      <c r="G3550">
        <v>0.52</v>
      </c>
      <c r="H3550">
        <v>7</v>
      </c>
      <c r="I3550">
        <v>7</v>
      </c>
      <c r="J3550">
        <v>4</v>
      </c>
      <c r="K3550">
        <v>0</v>
      </c>
      <c r="L3550">
        <v>10.5333333333333</v>
      </c>
    </row>
    <row r="3551" spans="1:12">
      <c r="A3551" t="s">
        <v>576</v>
      </c>
      <c r="B3551" t="s">
        <v>21</v>
      </c>
      <c r="C3551" t="s">
        <v>264</v>
      </c>
      <c r="D3551" t="s">
        <v>272</v>
      </c>
      <c r="E3551">
        <v>86</v>
      </c>
      <c r="F3551">
        <v>30</v>
      </c>
      <c r="G3551">
        <v>0.348837209302326</v>
      </c>
      <c r="H3551">
        <v>15</v>
      </c>
      <c r="I3551">
        <v>14</v>
      </c>
      <c r="J3551">
        <v>11</v>
      </c>
      <c r="K3551">
        <v>4</v>
      </c>
      <c r="L3551">
        <v>36.2166666666667</v>
      </c>
    </row>
    <row r="3552" spans="1:12">
      <c r="A3552" t="s">
        <v>576</v>
      </c>
      <c r="B3552" t="s">
        <v>21</v>
      </c>
      <c r="C3552" t="s">
        <v>264</v>
      </c>
      <c r="D3552" t="s">
        <v>269</v>
      </c>
      <c r="E3552">
        <v>6</v>
      </c>
      <c r="F3552">
        <v>1</v>
      </c>
      <c r="G3552">
        <v>0.166666666666667</v>
      </c>
      <c r="H3552">
        <v>1</v>
      </c>
      <c r="I3552">
        <v>1</v>
      </c>
      <c r="J3552">
        <v>1</v>
      </c>
      <c r="K3552">
        <v>1</v>
      </c>
      <c r="L3552">
        <v>6.18333333333333</v>
      </c>
    </row>
    <row r="3553" spans="1:12">
      <c r="A3553" t="s">
        <v>576</v>
      </c>
      <c r="B3553" t="s">
        <v>21</v>
      </c>
      <c r="C3553" t="s">
        <v>264</v>
      </c>
      <c r="D3553" t="s">
        <v>280</v>
      </c>
      <c r="E3553">
        <v>86</v>
      </c>
      <c r="F3553">
        <v>39</v>
      </c>
      <c r="G3553">
        <v>0.453488372093023</v>
      </c>
      <c r="H3553">
        <v>21</v>
      </c>
      <c r="I3553">
        <v>17</v>
      </c>
      <c r="J3553">
        <v>13</v>
      </c>
      <c r="K3553">
        <v>1</v>
      </c>
      <c r="L3553">
        <v>30.6</v>
      </c>
    </row>
    <row r="3554" spans="1:12">
      <c r="A3554" t="s">
        <v>576</v>
      </c>
      <c r="B3554" t="s">
        <v>21</v>
      </c>
      <c r="C3554" t="s">
        <v>264</v>
      </c>
      <c r="D3554" t="s">
        <v>283</v>
      </c>
      <c r="E3554">
        <v>120</v>
      </c>
      <c r="F3554">
        <v>55</v>
      </c>
      <c r="G3554">
        <v>0.458333333333333</v>
      </c>
      <c r="H3554">
        <v>22</v>
      </c>
      <c r="I3554">
        <v>20</v>
      </c>
      <c r="J3554">
        <v>13</v>
      </c>
      <c r="K3554">
        <v>2</v>
      </c>
      <c r="L3554">
        <v>44.5666666666667</v>
      </c>
    </row>
    <row r="3555" spans="1:12">
      <c r="A3555" t="s">
        <v>576</v>
      </c>
      <c r="B3555" t="s">
        <v>21</v>
      </c>
      <c r="C3555" t="s">
        <v>264</v>
      </c>
      <c r="D3555" t="s">
        <v>274</v>
      </c>
      <c r="E3555">
        <v>105</v>
      </c>
      <c r="F3555">
        <v>46</v>
      </c>
      <c r="G3555">
        <v>0.438095238095238</v>
      </c>
      <c r="H3555">
        <v>24</v>
      </c>
      <c r="I3555">
        <v>16</v>
      </c>
      <c r="J3555">
        <v>9</v>
      </c>
      <c r="K3555">
        <v>2</v>
      </c>
      <c r="L3555">
        <v>40.7166666666667</v>
      </c>
    </row>
    <row r="3556" spans="1:12">
      <c r="A3556" t="s">
        <v>576</v>
      </c>
      <c r="B3556" t="s">
        <v>21</v>
      </c>
      <c r="C3556" t="s">
        <v>22</v>
      </c>
      <c r="D3556" t="s">
        <v>27</v>
      </c>
      <c r="E3556">
        <v>29</v>
      </c>
      <c r="F3556">
        <v>8</v>
      </c>
      <c r="G3556">
        <v>0.275862068965517</v>
      </c>
      <c r="H3556">
        <v>5</v>
      </c>
      <c r="I3556">
        <v>5</v>
      </c>
      <c r="J3556">
        <v>4</v>
      </c>
      <c r="K3556">
        <v>1</v>
      </c>
      <c r="L3556">
        <v>10.9666666666667</v>
      </c>
    </row>
    <row r="3557" spans="1:12">
      <c r="A3557" t="s">
        <v>576</v>
      </c>
      <c r="B3557" t="s">
        <v>21</v>
      </c>
      <c r="C3557" t="s">
        <v>22</v>
      </c>
      <c r="D3557" t="s">
        <v>33</v>
      </c>
      <c r="E3557">
        <v>50</v>
      </c>
      <c r="F3557">
        <v>25</v>
      </c>
      <c r="G3557">
        <v>0.5</v>
      </c>
      <c r="H3557">
        <v>16</v>
      </c>
      <c r="I3557">
        <v>12</v>
      </c>
      <c r="J3557">
        <v>6</v>
      </c>
      <c r="K3557">
        <v>2</v>
      </c>
      <c r="L3557">
        <v>26.6333333333333</v>
      </c>
    </row>
    <row r="3558" spans="1:12">
      <c r="A3558" t="s">
        <v>576</v>
      </c>
      <c r="B3558" t="s">
        <v>21</v>
      </c>
      <c r="C3558" t="s">
        <v>22</v>
      </c>
      <c r="D3558" t="s">
        <v>45</v>
      </c>
      <c r="E3558">
        <v>6</v>
      </c>
      <c r="F3558">
        <v>3</v>
      </c>
      <c r="G3558">
        <v>0.5</v>
      </c>
      <c r="H3558">
        <v>3</v>
      </c>
      <c r="I3558">
        <v>3</v>
      </c>
      <c r="J3558">
        <v>1</v>
      </c>
      <c r="K3558">
        <v>0</v>
      </c>
      <c r="L3558">
        <v>3.63333333333333</v>
      </c>
    </row>
    <row r="3559" spans="1:12">
      <c r="A3559" t="s">
        <v>576</v>
      </c>
      <c r="B3559" t="s">
        <v>21</v>
      </c>
      <c r="C3559" t="s">
        <v>22</v>
      </c>
      <c r="D3559" t="s">
        <v>48</v>
      </c>
      <c r="E3559">
        <v>7</v>
      </c>
      <c r="F3559">
        <v>3</v>
      </c>
      <c r="G3559">
        <v>0.428571428571428</v>
      </c>
      <c r="H3559">
        <v>3</v>
      </c>
      <c r="I3559">
        <v>1</v>
      </c>
      <c r="J3559">
        <v>1</v>
      </c>
      <c r="K3559">
        <v>0</v>
      </c>
      <c r="L3559">
        <v>3</v>
      </c>
    </row>
    <row r="3560" spans="1:12">
      <c r="A3560" t="s">
        <v>576</v>
      </c>
      <c r="B3560" t="s">
        <v>21</v>
      </c>
      <c r="C3560" t="s">
        <v>22</v>
      </c>
      <c r="D3560" t="s">
        <v>36</v>
      </c>
      <c r="E3560">
        <v>42</v>
      </c>
      <c r="F3560">
        <v>20</v>
      </c>
      <c r="G3560">
        <v>0.476190476190476</v>
      </c>
      <c r="H3560">
        <v>14</v>
      </c>
      <c r="I3560">
        <v>13</v>
      </c>
      <c r="J3560">
        <v>8</v>
      </c>
      <c r="K3560">
        <v>0</v>
      </c>
      <c r="L3560">
        <v>19.0333333333333</v>
      </c>
    </row>
    <row r="3561" spans="1:12">
      <c r="A3561" t="s">
        <v>576</v>
      </c>
      <c r="B3561" t="s">
        <v>21</v>
      </c>
      <c r="C3561" t="s">
        <v>22</v>
      </c>
      <c r="D3561" t="s">
        <v>30</v>
      </c>
      <c r="E3561">
        <v>9</v>
      </c>
      <c r="F3561">
        <v>7</v>
      </c>
      <c r="G3561">
        <v>0.777777777777778</v>
      </c>
      <c r="H3561">
        <v>5</v>
      </c>
      <c r="I3561">
        <v>4</v>
      </c>
      <c r="J3561">
        <v>4</v>
      </c>
      <c r="K3561">
        <v>2</v>
      </c>
      <c r="L3561">
        <v>16.8833333333333</v>
      </c>
    </row>
    <row r="3562" spans="1:12">
      <c r="A3562" t="s">
        <v>576</v>
      </c>
      <c r="B3562" t="s">
        <v>21</v>
      </c>
      <c r="C3562" t="s">
        <v>22</v>
      </c>
      <c r="D3562" t="s">
        <v>39</v>
      </c>
      <c r="E3562">
        <v>26</v>
      </c>
      <c r="F3562">
        <v>2</v>
      </c>
      <c r="G3562">
        <v>0.0769230769230769</v>
      </c>
      <c r="H3562">
        <v>0</v>
      </c>
      <c r="I3562">
        <v>0</v>
      </c>
      <c r="J3562">
        <v>0</v>
      </c>
      <c r="K3562">
        <v>0</v>
      </c>
      <c r="L3562">
        <v>0.383333333333333</v>
      </c>
    </row>
    <row r="3563" spans="1:12">
      <c r="A3563" t="s">
        <v>576</v>
      </c>
      <c r="B3563" t="s">
        <v>21</v>
      </c>
      <c r="C3563" t="s">
        <v>22</v>
      </c>
      <c r="D3563" t="s">
        <v>23</v>
      </c>
      <c r="E3563">
        <v>8</v>
      </c>
      <c r="F3563">
        <v>6</v>
      </c>
      <c r="G3563">
        <v>0.75</v>
      </c>
      <c r="H3563">
        <v>5</v>
      </c>
      <c r="I3563">
        <v>5</v>
      </c>
      <c r="J3563">
        <v>5</v>
      </c>
      <c r="K3563">
        <v>1</v>
      </c>
      <c r="L3563">
        <v>10.7</v>
      </c>
    </row>
    <row r="3564" spans="1:12">
      <c r="A3564" t="s">
        <v>576</v>
      </c>
      <c r="B3564" t="s">
        <v>21</v>
      </c>
      <c r="C3564" t="s">
        <v>125</v>
      </c>
      <c r="D3564" t="s">
        <v>177</v>
      </c>
      <c r="E3564">
        <v>32</v>
      </c>
      <c r="F3564">
        <v>19</v>
      </c>
      <c r="G3564">
        <v>0.59375</v>
      </c>
      <c r="H3564">
        <v>7</v>
      </c>
      <c r="I3564">
        <v>4</v>
      </c>
      <c r="J3564">
        <v>3</v>
      </c>
      <c r="K3564">
        <v>0</v>
      </c>
      <c r="L3564">
        <v>10.7833333333333</v>
      </c>
    </row>
    <row r="3565" spans="1:12">
      <c r="A3565" t="s">
        <v>576</v>
      </c>
      <c r="B3565" t="s">
        <v>21</v>
      </c>
      <c r="C3565" t="s">
        <v>125</v>
      </c>
      <c r="D3565" t="s">
        <v>183</v>
      </c>
      <c r="E3565">
        <v>4</v>
      </c>
      <c r="F3565">
        <v>2</v>
      </c>
      <c r="G3565">
        <v>0.5</v>
      </c>
      <c r="H3565">
        <v>1</v>
      </c>
      <c r="I3565">
        <v>0</v>
      </c>
      <c r="J3565">
        <v>0</v>
      </c>
      <c r="K3565">
        <v>0</v>
      </c>
      <c r="L3565">
        <v>0.65</v>
      </c>
    </row>
    <row r="3566" spans="1:12">
      <c r="A3566" t="s">
        <v>576</v>
      </c>
      <c r="B3566" t="s">
        <v>21</v>
      </c>
      <c r="C3566" t="s">
        <v>125</v>
      </c>
      <c r="D3566" t="s">
        <v>191</v>
      </c>
      <c r="E3566">
        <v>15</v>
      </c>
      <c r="F3566">
        <v>8</v>
      </c>
      <c r="G3566">
        <v>0.533333333333333</v>
      </c>
      <c r="H3566">
        <v>0</v>
      </c>
      <c r="I3566">
        <v>0</v>
      </c>
      <c r="J3566">
        <v>0</v>
      </c>
      <c r="K3566">
        <v>0</v>
      </c>
      <c r="L3566">
        <v>2.01666666666667</v>
      </c>
    </row>
    <row r="3567" spans="1:12">
      <c r="A3567" t="s">
        <v>576</v>
      </c>
      <c r="B3567" t="s">
        <v>577</v>
      </c>
      <c r="C3567" t="s">
        <v>102</v>
      </c>
      <c r="D3567" t="s">
        <v>578</v>
      </c>
      <c r="E3567">
        <v>138</v>
      </c>
      <c r="F3567">
        <v>62</v>
      </c>
      <c r="G3567">
        <v>0.449275362318841</v>
      </c>
      <c r="H3567">
        <v>29</v>
      </c>
      <c r="I3567">
        <v>20</v>
      </c>
      <c r="J3567">
        <v>16</v>
      </c>
      <c r="K3567">
        <v>3</v>
      </c>
      <c r="L3567">
        <v>54.1166666666667</v>
      </c>
    </row>
    <row r="3568" spans="1:12">
      <c r="A3568" t="s">
        <v>576</v>
      </c>
      <c r="B3568" t="s">
        <v>577</v>
      </c>
      <c r="C3568" t="s">
        <v>102</v>
      </c>
      <c r="D3568" t="s">
        <v>579</v>
      </c>
      <c r="E3568">
        <v>153</v>
      </c>
      <c r="F3568">
        <v>78</v>
      </c>
      <c r="G3568">
        <v>0.509803921568627</v>
      </c>
      <c r="H3568">
        <v>33</v>
      </c>
      <c r="I3568">
        <v>26</v>
      </c>
      <c r="J3568">
        <v>11</v>
      </c>
      <c r="K3568">
        <v>4</v>
      </c>
      <c r="L3568">
        <v>57.7166666666667</v>
      </c>
    </row>
    <row r="3569" spans="1:12">
      <c r="A3569" t="s">
        <v>576</v>
      </c>
      <c r="B3569" t="s">
        <v>577</v>
      </c>
      <c r="C3569" t="s">
        <v>102</v>
      </c>
      <c r="D3569" t="s">
        <v>580</v>
      </c>
      <c r="E3569">
        <v>3</v>
      </c>
      <c r="F3569">
        <v>3</v>
      </c>
      <c r="G3569">
        <v>1</v>
      </c>
      <c r="H3569">
        <v>3</v>
      </c>
      <c r="I3569">
        <v>3</v>
      </c>
      <c r="J3569">
        <v>2</v>
      </c>
      <c r="K3569">
        <v>1</v>
      </c>
      <c r="L3569">
        <v>6.66666666666667</v>
      </c>
    </row>
    <row r="3570" spans="1:12">
      <c r="A3570" t="s">
        <v>576</v>
      </c>
      <c r="B3570" t="s">
        <v>577</v>
      </c>
      <c r="C3570" t="s">
        <v>52</v>
      </c>
      <c r="D3570" t="s">
        <v>581</v>
      </c>
      <c r="E3570">
        <v>110</v>
      </c>
      <c r="F3570">
        <v>54</v>
      </c>
      <c r="G3570">
        <v>0.490909090909091</v>
      </c>
      <c r="H3570">
        <v>28</v>
      </c>
      <c r="I3570">
        <v>24</v>
      </c>
      <c r="J3570">
        <v>15</v>
      </c>
      <c r="K3570">
        <v>1</v>
      </c>
      <c r="L3570">
        <v>41.5</v>
      </c>
    </row>
    <row r="3571" spans="1:12">
      <c r="A3571" t="s">
        <v>576</v>
      </c>
      <c r="B3571" t="s">
        <v>577</v>
      </c>
      <c r="C3571" t="s">
        <v>52</v>
      </c>
      <c r="D3571" t="s">
        <v>582</v>
      </c>
      <c r="E3571">
        <v>5</v>
      </c>
      <c r="F3571">
        <v>3</v>
      </c>
      <c r="G3571">
        <v>0.6</v>
      </c>
      <c r="H3571">
        <v>3</v>
      </c>
      <c r="I3571">
        <v>2</v>
      </c>
      <c r="J3571">
        <v>2</v>
      </c>
      <c r="K3571">
        <v>0</v>
      </c>
      <c r="L3571">
        <v>4.96666666666667</v>
      </c>
    </row>
    <row r="3572" spans="1:12">
      <c r="A3572" t="s">
        <v>576</v>
      </c>
      <c r="B3572" t="s">
        <v>577</v>
      </c>
      <c r="C3572" t="s">
        <v>52</v>
      </c>
      <c r="D3572" t="s">
        <v>583</v>
      </c>
      <c r="E3572">
        <v>110</v>
      </c>
      <c r="F3572">
        <v>47</v>
      </c>
      <c r="G3572">
        <v>0.427272727272727</v>
      </c>
      <c r="H3572">
        <v>21</v>
      </c>
      <c r="I3572">
        <v>13</v>
      </c>
      <c r="J3572">
        <v>5</v>
      </c>
      <c r="K3572">
        <v>0</v>
      </c>
      <c r="L3572">
        <v>24.55</v>
      </c>
    </row>
    <row r="3573" spans="1:16">
      <c r="A3573" t="s">
        <v>576</v>
      </c>
      <c r="B3573" t="s">
        <v>577</v>
      </c>
      <c r="C3573" t="s">
        <v>52</v>
      </c>
      <c r="D3573" t="s">
        <v>584</v>
      </c>
      <c r="M3573">
        <v>1</v>
      </c>
      <c r="N3573">
        <v>0</v>
      </c>
      <c r="O3573">
        <v>0</v>
      </c>
      <c r="P3573">
        <v>0</v>
      </c>
    </row>
    <row r="3574" spans="1:12">
      <c r="A3574" t="s">
        <v>576</v>
      </c>
      <c r="B3574" t="s">
        <v>577</v>
      </c>
      <c r="C3574" t="s">
        <v>52</v>
      </c>
      <c r="D3574" t="s">
        <v>585</v>
      </c>
      <c r="E3574">
        <v>28</v>
      </c>
      <c r="F3574">
        <v>17</v>
      </c>
      <c r="G3574">
        <v>0.607142857142857</v>
      </c>
      <c r="H3574">
        <v>10</v>
      </c>
      <c r="I3574">
        <v>6</v>
      </c>
      <c r="J3574">
        <v>3</v>
      </c>
      <c r="K3574">
        <v>2</v>
      </c>
      <c r="L3574">
        <v>25.1666666666667</v>
      </c>
    </row>
    <row r="3575" spans="1:12">
      <c r="A3575" t="s">
        <v>576</v>
      </c>
      <c r="B3575" t="s">
        <v>577</v>
      </c>
      <c r="C3575" t="s">
        <v>52</v>
      </c>
      <c r="D3575" t="s">
        <v>586</v>
      </c>
      <c r="E3575">
        <v>177</v>
      </c>
      <c r="F3575">
        <v>78</v>
      </c>
      <c r="G3575">
        <v>0.440677966101695</v>
      </c>
      <c r="H3575">
        <v>26</v>
      </c>
      <c r="I3575">
        <v>13</v>
      </c>
      <c r="J3575">
        <v>6</v>
      </c>
      <c r="K3575">
        <v>1</v>
      </c>
      <c r="L3575">
        <v>40.8166666666667</v>
      </c>
    </row>
    <row r="3576" spans="1:12">
      <c r="A3576" t="s">
        <v>576</v>
      </c>
      <c r="B3576" t="s">
        <v>577</v>
      </c>
      <c r="C3576" t="s">
        <v>52</v>
      </c>
      <c r="D3576" t="s">
        <v>587</v>
      </c>
      <c r="E3576">
        <v>15</v>
      </c>
      <c r="F3576">
        <v>9</v>
      </c>
      <c r="G3576">
        <v>0.6</v>
      </c>
      <c r="H3576">
        <v>4</v>
      </c>
      <c r="I3576">
        <v>4</v>
      </c>
      <c r="J3576">
        <v>4</v>
      </c>
      <c r="K3576">
        <v>0</v>
      </c>
      <c r="L3576">
        <v>8.45</v>
      </c>
    </row>
    <row r="3577" spans="1:16">
      <c r="A3577" t="s">
        <v>576</v>
      </c>
      <c r="B3577" t="s">
        <v>577</v>
      </c>
      <c r="C3577" t="s">
        <v>75</v>
      </c>
      <c r="D3577" t="s">
        <v>588</v>
      </c>
      <c r="E3577">
        <v>61</v>
      </c>
      <c r="F3577">
        <v>31</v>
      </c>
      <c r="G3577">
        <v>0.508196721311475</v>
      </c>
      <c r="H3577">
        <v>11</v>
      </c>
      <c r="I3577">
        <v>10</v>
      </c>
      <c r="J3577">
        <v>5</v>
      </c>
      <c r="K3577">
        <v>1</v>
      </c>
      <c r="L3577">
        <v>20.2</v>
      </c>
      <c r="M3577">
        <v>1</v>
      </c>
      <c r="N3577">
        <v>0</v>
      </c>
      <c r="O3577">
        <v>0</v>
      </c>
      <c r="P3577">
        <v>0</v>
      </c>
    </row>
    <row r="3578" spans="1:12">
      <c r="A3578" t="s">
        <v>576</v>
      </c>
      <c r="B3578" t="s">
        <v>577</v>
      </c>
      <c r="C3578" t="s">
        <v>75</v>
      </c>
      <c r="D3578" t="s">
        <v>589</v>
      </c>
      <c r="E3578">
        <v>116</v>
      </c>
      <c r="F3578">
        <v>49</v>
      </c>
      <c r="G3578">
        <v>0.422413793103448</v>
      </c>
      <c r="H3578">
        <v>27</v>
      </c>
      <c r="I3578">
        <v>25</v>
      </c>
      <c r="J3578">
        <v>18</v>
      </c>
      <c r="K3578">
        <v>1</v>
      </c>
      <c r="L3578">
        <v>41.3833333333333</v>
      </c>
    </row>
    <row r="3579" spans="1:12">
      <c r="A3579" t="s">
        <v>576</v>
      </c>
      <c r="B3579" t="s">
        <v>577</v>
      </c>
      <c r="C3579" t="s">
        <v>75</v>
      </c>
      <c r="D3579" t="s">
        <v>590</v>
      </c>
      <c r="E3579">
        <v>187</v>
      </c>
      <c r="F3579">
        <v>78</v>
      </c>
      <c r="G3579">
        <v>0.417112299465241</v>
      </c>
      <c r="H3579">
        <v>45</v>
      </c>
      <c r="I3579">
        <v>31</v>
      </c>
      <c r="J3579">
        <v>18</v>
      </c>
      <c r="K3579">
        <v>1</v>
      </c>
      <c r="L3579">
        <v>61.2</v>
      </c>
    </row>
    <row r="3580" spans="1:12">
      <c r="A3580" t="s">
        <v>576</v>
      </c>
      <c r="B3580" t="s">
        <v>577</v>
      </c>
      <c r="C3580" t="s">
        <v>75</v>
      </c>
      <c r="D3580" t="s">
        <v>591</v>
      </c>
      <c r="E3580">
        <v>262</v>
      </c>
      <c r="F3580">
        <v>103</v>
      </c>
      <c r="G3580">
        <v>0.393129770992366</v>
      </c>
      <c r="H3580">
        <v>36</v>
      </c>
      <c r="I3580">
        <v>30</v>
      </c>
      <c r="J3580">
        <v>19</v>
      </c>
      <c r="K3580">
        <v>1</v>
      </c>
      <c r="L3580">
        <v>61.3</v>
      </c>
    </row>
    <row r="3581" spans="1:12">
      <c r="A3581" t="s">
        <v>576</v>
      </c>
      <c r="B3581" t="s">
        <v>577</v>
      </c>
      <c r="C3581" t="s">
        <v>75</v>
      </c>
      <c r="D3581" t="s">
        <v>592</v>
      </c>
      <c r="E3581">
        <v>206</v>
      </c>
      <c r="F3581">
        <v>88</v>
      </c>
      <c r="G3581">
        <v>0.427184466019418</v>
      </c>
      <c r="H3581">
        <v>18</v>
      </c>
      <c r="I3581">
        <v>14</v>
      </c>
      <c r="J3581">
        <v>10</v>
      </c>
      <c r="K3581">
        <v>4</v>
      </c>
      <c r="L3581">
        <v>45.2</v>
      </c>
    </row>
    <row r="3582" spans="1:12">
      <c r="A3582" t="s">
        <v>576</v>
      </c>
      <c r="B3582" t="s">
        <v>577</v>
      </c>
      <c r="C3582" t="s">
        <v>75</v>
      </c>
      <c r="D3582" t="s">
        <v>593</v>
      </c>
      <c r="E3582">
        <v>104</v>
      </c>
      <c r="F3582">
        <v>55</v>
      </c>
      <c r="G3582">
        <v>0.528846153846154</v>
      </c>
      <c r="H3582">
        <v>18</v>
      </c>
      <c r="I3582">
        <v>13</v>
      </c>
      <c r="J3582">
        <v>9</v>
      </c>
      <c r="K3582">
        <v>1</v>
      </c>
      <c r="L3582">
        <v>32.3333333333333</v>
      </c>
    </row>
    <row r="3583" spans="1:12">
      <c r="A3583" t="s">
        <v>576</v>
      </c>
      <c r="B3583" t="s">
        <v>577</v>
      </c>
      <c r="C3583" t="s">
        <v>75</v>
      </c>
      <c r="D3583" t="s">
        <v>594</v>
      </c>
      <c r="E3583">
        <v>74</v>
      </c>
      <c r="F3583">
        <v>48</v>
      </c>
      <c r="G3583">
        <v>0.648648648648649</v>
      </c>
      <c r="H3583">
        <v>30</v>
      </c>
      <c r="I3583">
        <v>27</v>
      </c>
      <c r="J3583">
        <v>16</v>
      </c>
      <c r="K3583">
        <v>0</v>
      </c>
      <c r="L3583">
        <v>40.3</v>
      </c>
    </row>
    <row r="3584" spans="1:12">
      <c r="A3584" t="s">
        <v>576</v>
      </c>
      <c r="B3584" t="s">
        <v>577</v>
      </c>
      <c r="C3584" t="s">
        <v>75</v>
      </c>
      <c r="D3584" t="s">
        <v>595</v>
      </c>
      <c r="E3584">
        <v>147</v>
      </c>
      <c r="F3584">
        <v>80</v>
      </c>
      <c r="G3584">
        <v>0.54421768707483</v>
      </c>
      <c r="H3584">
        <v>41</v>
      </c>
      <c r="I3584">
        <v>32</v>
      </c>
      <c r="J3584">
        <v>12</v>
      </c>
      <c r="K3584">
        <v>0</v>
      </c>
      <c r="L3584">
        <v>50.0833333333333</v>
      </c>
    </row>
    <row r="3585" spans="1:16">
      <c r="A3585" t="s">
        <v>576</v>
      </c>
      <c r="B3585" t="s">
        <v>577</v>
      </c>
      <c r="C3585" t="s">
        <v>151</v>
      </c>
      <c r="D3585" t="s">
        <v>596</v>
      </c>
      <c r="E3585">
        <v>5</v>
      </c>
      <c r="F3585">
        <v>4</v>
      </c>
      <c r="G3585">
        <v>0.8</v>
      </c>
      <c r="H3585">
        <v>3</v>
      </c>
      <c r="I3585">
        <v>3</v>
      </c>
      <c r="J3585">
        <v>2</v>
      </c>
      <c r="K3585">
        <v>1</v>
      </c>
      <c r="L3585">
        <v>8.9</v>
      </c>
      <c r="M3585">
        <v>1</v>
      </c>
      <c r="N3585">
        <v>0</v>
      </c>
      <c r="O3585">
        <v>0</v>
      </c>
      <c r="P3585">
        <v>262</v>
      </c>
    </row>
    <row r="3586" spans="1:12">
      <c r="A3586" t="s">
        <v>576</v>
      </c>
      <c r="B3586" t="s">
        <v>577</v>
      </c>
      <c r="C3586" t="s">
        <v>151</v>
      </c>
      <c r="D3586" t="s">
        <v>597</v>
      </c>
      <c r="E3586">
        <v>305</v>
      </c>
      <c r="F3586">
        <v>152</v>
      </c>
      <c r="G3586">
        <v>0.498360655737705</v>
      </c>
      <c r="H3586">
        <v>30</v>
      </c>
      <c r="I3586">
        <v>28</v>
      </c>
      <c r="J3586">
        <v>22</v>
      </c>
      <c r="K3586">
        <v>3</v>
      </c>
      <c r="L3586">
        <v>68.35</v>
      </c>
    </row>
    <row r="3587" spans="1:16">
      <c r="A3587" t="s">
        <v>576</v>
      </c>
      <c r="B3587" t="s">
        <v>577</v>
      </c>
      <c r="C3587" t="s">
        <v>224</v>
      </c>
      <c r="D3587" t="s">
        <v>598</v>
      </c>
      <c r="E3587">
        <v>1</v>
      </c>
      <c r="F3587">
        <v>1</v>
      </c>
      <c r="G3587">
        <v>1</v>
      </c>
      <c r="H3587">
        <v>1</v>
      </c>
      <c r="I3587">
        <v>1</v>
      </c>
      <c r="J3587">
        <v>1</v>
      </c>
      <c r="K3587">
        <v>0</v>
      </c>
      <c r="L3587">
        <v>1.25</v>
      </c>
      <c r="M3587">
        <v>2</v>
      </c>
      <c r="N3587">
        <v>0</v>
      </c>
      <c r="O3587">
        <v>0</v>
      </c>
      <c r="P3587">
        <v>167</v>
      </c>
    </row>
    <row r="3588" spans="1:12">
      <c r="A3588" t="s">
        <v>576</v>
      </c>
      <c r="B3588" t="s">
        <v>577</v>
      </c>
      <c r="C3588" t="s">
        <v>224</v>
      </c>
      <c r="D3588" t="s">
        <v>599</v>
      </c>
      <c r="E3588">
        <v>211</v>
      </c>
      <c r="F3588">
        <v>114</v>
      </c>
      <c r="G3588">
        <v>0.540284360189573</v>
      </c>
      <c r="H3588">
        <v>37</v>
      </c>
      <c r="I3588">
        <v>28</v>
      </c>
      <c r="J3588">
        <v>17</v>
      </c>
      <c r="K3588">
        <v>1</v>
      </c>
      <c r="L3588">
        <v>62.2333333333333</v>
      </c>
    </row>
    <row r="3589" spans="1:12">
      <c r="A3589" t="s">
        <v>576</v>
      </c>
      <c r="B3589" t="s">
        <v>577</v>
      </c>
      <c r="C3589" t="s">
        <v>224</v>
      </c>
      <c r="D3589" t="s">
        <v>600</v>
      </c>
      <c r="E3589">
        <v>177</v>
      </c>
      <c r="F3589">
        <v>70</v>
      </c>
      <c r="G3589">
        <v>0.395480225988701</v>
      </c>
      <c r="H3589">
        <v>34</v>
      </c>
      <c r="I3589">
        <v>23</v>
      </c>
      <c r="J3589">
        <v>14</v>
      </c>
      <c r="K3589">
        <v>1</v>
      </c>
      <c r="L3589">
        <v>44.6333333333333</v>
      </c>
    </row>
    <row r="3590" spans="1:12">
      <c r="A3590" t="s">
        <v>576</v>
      </c>
      <c r="B3590" t="s">
        <v>577</v>
      </c>
      <c r="C3590" t="s">
        <v>224</v>
      </c>
      <c r="D3590" t="s">
        <v>601</v>
      </c>
      <c r="E3590">
        <v>180</v>
      </c>
      <c r="F3590">
        <v>85</v>
      </c>
      <c r="G3590">
        <v>0.472222222222222</v>
      </c>
      <c r="H3590">
        <v>44</v>
      </c>
      <c r="I3590">
        <v>30</v>
      </c>
      <c r="J3590">
        <v>18</v>
      </c>
      <c r="K3590">
        <v>2</v>
      </c>
      <c r="L3590">
        <v>59.4333333333333</v>
      </c>
    </row>
    <row r="3591" spans="1:12">
      <c r="A3591" t="s">
        <v>576</v>
      </c>
      <c r="B3591" t="s">
        <v>577</v>
      </c>
      <c r="C3591" t="s">
        <v>224</v>
      </c>
      <c r="D3591" t="s">
        <v>602</v>
      </c>
      <c r="E3591">
        <v>177</v>
      </c>
      <c r="F3591">
        <v>89</v>
      </c>
      <c r="G3591">
        <v>0.502824858757062</v>
      </c>
      <c r="H3591">
        <v>30</v>
      </c>
      <c r="I3591">
        <v>25</v>
      </c>
      <c r="J3591">
        <v>6</v>
      </c>
      <c r="K3591">
        <v>0</v>
      </c>
      <c r="L3591">
        <v>41.8333333333333</v>
      </c>
    </row>
    <row r="3592" spans="1:12">
      <c r="A3592" t="s">
        <v>576</v>
      </c>
      <c r="B3592" t="s">
        <v>577</v>
      </c>
      <c r="C3592" t="s">
        <v>224</v>
      </c>
      <c r="D3592" t="s">
        <v>603</v>
      </c>
      <c r="E3592">
        <v>216</v>
      </c>
      <c r="F3592">
        <v>90</v>
      </c>
      <c r="G3592">
        <v>0.416666666666667</v>
      </c>
      <c r="H3592">
        <v>41</v>
      </c>
      <c r="I3592">
        <v>28</v>
      </c>
      <c r="J3592">
        <v>21</v>
      </c>
      <c r="K3592">
        <v>2</v>
      </c>
      <c r="L3592">
        <v>60.2166666666667</v>
      </c>
    </row>
    <row r="3593" spans="1:12">
      <c r="A3593" t="s">
        <v>576</v>
      </c>
      <c r="B3593" t="s">
        <v>577</v>
      </c>
      <c r="C3593" t="s">
        <v>224</v>
      </c>
      <c r="D3593" t="s">
        <v>604</v>
      </c>
      <c r="E3593">
        <v>234</v>
      </c>
      <c r="F3593">
        <v>101</v>
      </c>
      <c r="G3593">
        <v>0.431623931623932</v>
      </c>
      <c r="H3593">
        <v>42</v>
      </c>
      <c r="I3593">
        <v>29</v>
      </c>
      <c r="J3593">
        <v>12</v>
      </c>
      <c r="K3593">
        <v>0</v>
      </c>
      <c r="L3593">
        <v>54.3166666666667</v>
      </c>
    </row>
    <row r="3594" spans="1:12">
      <c r="A3594" t="s">
        <v>576</v>
      </c>
      <c r="B3594" t="s">
        <v>577</v>
      </c>
      <c r="C3594" t="s">
        <v>224</v>
      </c>
      <c r="D3594" t="s">
        <v>605</v>
      </c>
      <c r="E3594">
        <v>169</v>
      </c>
      <c r="F3594">
        <v>61</v>
      </c>
      <c r="G3594">
        <v>0.36094674556213</v>
      </c>
      <c r="H3594">
        <v>26</v>
      </c>
      <c r="I3594">
        <v>24</v>
      </c>
      <c r="J3594">
        <v>12</v>
      </c>
      <c r="K3594">
        <v>0</v>
      </c>
      <c r="L3594">
        <v>35.3833333333333</v>
      </c>
    </row>
    <row r="3595" spans="1:12">
      <c r="A3595" t="s">
        <v>576</v>
      </c>
      <c r="B3595" t="s">
        <v>577</v>
      </c>
      <c r="C3595" t="s">
        <v>224</v>
      </c>
      <c r="D3595" t="s">
        <v>606</v>
      </c>
      <c r="E3595">
        <v>227</v>
      </c>
      <c r="F3595">
        <v>113</v>
      </c>
      <c r="G3595">
        <v>0.497797356828194</v>
      </c>
      <c r="H3595">
        <v>28</v>
      </c>
      <c r="I3595">
        <v>22</v>
      </c>
      <c r="J3595">
        <v>17</v>
      </c>
      <c r="K3595">
        <v>2</v>
      </c>
      <c r="L3595">
        <v>63.4166666666667</v>
      </c>
    </row>
    <row r="3596" spans="1:12">
      <c r="A3596" t="s">
        <v>576</v>
      </c>
      <c r="B3596" t="s">
        <v>577</v>
      </c>
      <c r="C3596" t="s">
        <v>264</v>
      </c>
      <c r="D3596" t="s">
        <v>607</v>
      </c>
      <c r="E3596">
        <v>181</v>
      </c>
      <c r="F3596">
        <v>91</v>
      </c>
      <c r="G3596">
        <v>0.502762430939227</v>
      </c>
      <c r="H3596">
        <v>43</v>
      </c>
      <c r="I3596">
        <v>31</v>
      </c>
      <c r="J3596">
        <v>15</v>
      </c>
      <c r="K3596">
        <v>1</v>
      </c>
      <c r="L3596">
        <v>59.0666666666667</v>
      </c>
    </row>
    <row r="3597" spans="1:12">
      <c r="A3597" t="s">
        <v>576</v>
      </c>
      <c r="B3597" t="s">
        <v>577</v>
      </c>
      <c r="C3597" t="s">
        <v>264</v>
      </c>
      <c r="D3597" t="s">
        <v>608</v>
      </c>
      <c r="E3597">
        <v>155</v>
      </c>
      <c r="F3597">
        <v>76</v>
      </c>
      <c r="G3597">
        <v>0.490322580645161</v>
      </c>
      <c r="H3597">
        <v>47</v>
      </c>
      <c r="I3597">
        <v>36</v>
      </c>
      <c r="J3597">
        <v>10</v>
      </c>
      <c r="K3597">
        <v>1</v>
      </c>
      <c r="L3597">
        <v>50.2166666666667</v>
      </c>
    </row>
    <row r="3598" spans="1:12">
      <c r="A3598" t="s">
        <v>576</v>
      </c>
      <c r="B3598" t="s">
        <v>577</v>
      </c>
      <c r="C3598" t="s">
        <v>264</v>
      </c>
      <c r="D3598" t="s">
        <v>609</v>
      </c>
      <c r="E3598">
        <v>279</v>
      </c>
      <c r="F3598">
        <v>149</v>
      </c>
      <c r="G3598">
        <v>0.53405017921147</v>
      </c>
      <c r="H3598">
        <v>28</v>
      </c>
      <c r="I3598">
        <v>15</v>
      </c>
      <c r="J3598">
        <v>8</v>
      </c>
      <c r="K3598">
        <v>1</v>
      </c>
      <c r="L3598">
        <v>58.5</v>
      </c>
    </row>
    <row r="3599" spans="1:12">
      <c r="A3599" t="s">
        <v>576</v>
      </c>
      <c r="B3599" t="s">
        <v>577</v>
      </c>
      <c r="C3599" t="s">
        <v>264</v>
      </c>
      <c r="D3599" t="s">
        <v>610</v>
      </c>
      <c r="E3599">
        <v>98</v>
      </c>
      <c r="F3599">
        <v>51</v>
      </c>
      <c r="G3599">
        <v>0.520408163265306</v>
      </c>
      <c r="H3599">
        <v>29</v>
      </c>
      <c r="I3599">
        <v>25</v>
      </c>
      <c r="J3599">
        <v>14</v>
      </c>
      <c r="K3599">
        <v>1</v>
      </c>
      <c r="L3599">
        <v>40</v>
      </c>
    </row>
    <row r="3600" spans="1:12">
      <c r="A3600" t="s">
        <v>576</v>
      </c>
      <c r="B3600" t="s">
        <v>577</v>
      </c>
      <c r="C3600" t="s">
        <v>264</v>
      </c>
      <c r="D3600" t="s">
        <v>611</v>
      </c>
      <c r="E3600">
        <v>198</v>
      </c>
      <c r="F3600">
        <v>87</v>
      </c>
      <c r="G3600">
        <v>0.439393939393939</v>
      </c>
      <c r="H3600">
        <v>38</v>
      </c>
      <c r="I3600">
        <v>35</v>
      </c>
      <c r="J3600">
        <v>24</v>
      </c>
      <c r="K3600">
        <v>1</v>
      </c>
      <c r="L3600">
        <v>57.0666666666667</v>
      </c>
    </row>
    <row r="3601" spans="1:12">
      <c r="A3601" t="s">
        <v>576</v>
      </c>
      <c r="B3601" t="s">
        <v>577</v>
      </c>
      <c r="C3601" t="s">
        <v>264</v>
      </c>
      <c r="D3601" t="s">
        <v>612</v>
      </c>
      <c r="E3601">
        <v>185</v>
      </c>
      <c r="F3601">
        <v>80</v>
      </c>
      <c r="G3601">
        <v>0.432432432432433</v>
      </c>
      <c r="H3601">
        <v>45</v>
      </c>
      <c r="I3601">
        <v>36</v>
      </c>
      <c r="J3601">
        <v>21</v>
      </c>
      <c r="K3601">
        <v>2</v>
      </c>
      <c r="L3601">
        <v>72.4666666666667</v>
      </c>
    </row>
    <row r="3602" spans="1:12">
      <c r="A3602" t="s">
        <v>576</v>
      </c>
      <c r="B3602" t="s">
        <v>577</v>
      </c>
      <c r="C3602" t="s">
        <v>264</v>
      </c>
      <c r="D3602" t="s">
        <v>438</v>
      </c>
      <c r="E3602">
        <v>138</v>
      </c>
      <c r="F3602">
        <v>44</v>
      </c>
      <c r="G3602">
        <v>0.318840579710145</v>
      </c>
      <c r="H3602">
        <v>24</v>
      </c>
      <c r="I3602">
        <v>24</v>
      </c>
      <c r="J3602">
        <v>15</v>
      </c>
      <c r="K3602">
        <v>2</v>
      </c>
      <c r="L3602">
        <v>38.1666666666667</v>
      </c>
    </row>
    <row r="3603" spans="1:12">
      <c r="A3603" t="s">
        <v>576</v>
      </c>
      <c r="B3603" t="s">
        <v>577</v>
      </c>
      <c r="C3603" t="s">
        <v>264</v>
      </c>
      <c r="D3603" t="s">
        <v>613</v>
      </c>
      <c r="E3603">
        <v>216</v>
      </c>
      <c r="F3603">
        <v>97</v>
      </c>
      <c r="G3603">
        <v>0.449074074074074</v>
      </c>
      <c r="H3603">
        <v>39</v>
      </c>
      <c r="I3603">
        <v>31</v>
      </c>
      <c r="J3603">
        <v>13</v>
      </c>
      <c r="K3603">
        <v>0</v>
      </c>
      <c r="L3603">
        <v>57.2833333333333</v>
      </c>
    </row>
    <row r="3604" spans="1:12">
      <c r="A3604" t="s">
        <v>576</v>
      </c>
      <c r="B3604" t="s">
        <v>577</v>
      </c>
      <c r="C3604" t="s">
        <v>22</v>
      </c>
      <c r="D3604" t="s">
        <v>614</v>
      </c>
      <c r="E3604">
        <v>141</v>
      </c>
      <c r="F3604">
        <v>74</v>
      </c>
      <c r="G3604">
        <v>0.524822695035461</v>
      </c>
      <c r="H3604">
        <v>31</v>
      </c>
      <c r="I3604">
        <v>25</v>
      </c>
      <c r="J3604">
        <v>18</v>
      </c>
      <c r="K3604">
        <v>0</v>
      </c>
      <c r="L3604">
        <v>45.7166666666667</v>
      </c>
    </row>
    <row r="3605" spans="1:16">
      <c r="A3605" t="s">
        <v>576</v>
      </c>
      <c r="B3605" t="s">
        <v>577</v>
      </c>
      <c r="C3605" t="s">
        <v>22</v>
      </c>
      <c r="D3605" t="s">
        <v>615</v>
      </c>
      <c r="E3605">
        <v>5</v>
      </c>
      <c r="F3605">
        <v>2</v>
      </c>
      <c r="G3605">
        <v>0.4</v>
      </c>
      <c r="H3605">
        <v>2</v>
      </c>
      <c r="I3605">
        <v>2</v>
      </c>
      <c r="J3605">
        <v>2</v>
      </c>
      <c r="K3605">
        <v>1</v>
      </c>
      <c r="L3605">
        <v>6.2</v>
      </c>
      <c r="M3605">
        <v>1</v>
      </c>
      <c r="N3605">
        <v>0</v>
      </c>
      <c r="O3605">
        <v>0</v>
      </c>
      <c r="P3605">
        <v>127</v>
      </c>
    </row>
    <row r="3606" spans="1:16">
      <c r="A3606" t="s">
        <v>576</v>
      </c>
      <c r="B3606" t="s">
        <v>577</v>
      </c>
      <c r="C3606" t="s">
        <v>22</v>
      </c>
      <c r="D3606" t="s">
        <v>616</v>
      </c>
      <c r="E3606">
        <v>18</v>
      </c>
      <c r="F3606">
        <v>10</v>
      </c>
      <c r="G3606">
        <v>0.555555555555556</v>
      </c>
      <c r="H3606">
        <v>8</v>
      </c>
      <c r="I3606">
        <v>8</v>
      </c>
      <c r="J3606">
        <v>6</v>
      </c>
      <c r="K3606">
        <v>2</v>
      </c>
      <c r="L3606">
        <v>18.4666666666667</v>
      </c>
      <c r="M3606">
        <v>1</v>
      </c>
      <c r="N3606">
        <v>1</v>
      </c>
      <c r="O3606">
        <v>1</v>
      </c>
      <c r="P3606">
        <v>97</v>
      </c>
    </row>
    <row r="3607" spans="1:16">
      <c r="A3607" t="s">
        <v>576</v>
      </c>
      <c r="B3607" t="s">
        <v>577</v>
      </c>
      <c r="C3607" t="s">
        <v>22</v>
      </c>
      <c r="D3607" t="s">
        <v>617</v>
      </c>
      <c r="E3607">
        <v>80</v>
      </c>
      <c r="F3607">
        <v>41</v>
      </c>
      <c r="G3607">
        <v>0.5125</v>
      </c>
      <c r="H3607">
        <v>26</v>
      </c>
      <c r="I3607">
        <v>19</v>
      </c>
      <c r="J3607">
        <v>10</v>
      </c>
      <c r="K3607">
        <v>1</v>
      </c>
      <c r="L3607">
        <v>33.8166666666667</v>
      </c>
      <c r="M3607">
        <v>1</v>
      </c>
      <c r="N3607">
        <v>0</v>
      </c>
      <c r="O3607">
        <v>0</v>
      </c>
      <c r="P3607">
        <v>0</v>
      </c>
    </row>
    <row r="3608" spans="1:12">
      <c r="A3608" t="s">
        <v>576</v>
      </c>
      <c r="B3608" t="s">
        <v>577</v>
      </c>
      <c r="C3608" t="s">
        <v>22</v>
      </c>
      <c r="D3608" t="s">
        <v>618</v>
      </c>
      <c r="E3608">
        <v>51</v>
      </c>
      <c r="F3608">
        <v>28</v>
      </c>
      <c r="G3608">
        <v>0.549019607843137</v>
      </c>
      <c r="H3608">
        <v>12</v>
      </c>
      <c r="I3608">
        <v>12</v>
      </c>
      <c r="J3608">
        <v>9</v>
      </c>
      <c r="K3608">
        <v>0</v>
      </c>
      <c r="L3608">
        <v>21.6</v>
      </c>
    </row>
    <row r="3609" spans="1:16">
      <c r="A3609" t="s">
        <v>576</v>
      </c>
      <c r="B3609" t="s">
        <v>577</v>
      </c>
      <c r="C3609" t="s">
        <v>22</v>
      </c>
      <c r="D3609" t="s">
        <v>619</v>
      </c>
      <c r="E3609">
        <v>42</v>
      </c>
      <c r="F3609">
        <v>16</v>
      </c>
      <c r="G3609">
        <v>0.380952380952381</v>
      </c>
      <c r="H3609">
        <v>6</v>
      </c>
      <c r="I3609">
        <v>5</v>
      </c>
      <c r="J3609">
        <v>3</v>
      </c>
      <c r="K3609">
        <v>0</v>
      </c>
      <c r="L3609">
        <v>10.9</v>
      </c>
      <c r="M3609">
        <v>1</v>
      </c>
      <c r="N3609">
        <v>0</v>
      </c>
      <c r="O3609">
        <v>0</v>
      </c>
      <c r="P3609">
        <v>0</v>
      </c>
    </row>
    <row r="3610" spans="1:12">
      <c r="A3610" t="s">
        <v>576</v>
      </c>
      <c r="B3610" t="s">
        <v>577</v>
      </c>
      <c r="C3610" t="s">
        <v>22</v>
      </c>
      <c r="D3610" t="s">
        <v>620</v>
      </c>
      <c r="E3610">
        <v>10</v>
      </c>
      <c r="F3610">
        <v>3</v>
      </c>
      <c r="G3610">
        <v>0.3</v>
      </c>
      <c r="H3610">
        <v>3</v>
      </c>
      <c r="I3610">
        <v>3</v>
      </c>
      <c r="J3610">
        <v>2</v>
      </c>
      <c r="K3610">
        <v>0</v>
      </c>
      <c r="L3610">
        <v>3.81666666666667</v>
      </c>
    </row>
    <row r="3611" spans="1:16">
      <c r="A3611" t="s">
        <v>576</v>
      </c>
      <c r="B3611" t="s">
        <v>101</v>
      </c>
      <c r="C3611" t="s">
        <v>102</v>
      </c>
      <c r="D3611" t="s">
        <v>106</v>
      </c>
      <c r="M3611">
        <v>1</v>
      </c>
      <c r="N3611">
        <v>0</v>
      </c>
      <c r="O3611">
        <v>0</v>
      </c>
      <c r="P3611">
        <v>45</v>
      </c>
    </row>
    <row r="3612" spans="1:16">
      <c r="A3612" t="s">
        <v>576</v>
      </c>
      <c r="B3612" t="s">
        <v>101</v>
      </c>
      <c r="C3612" t="s">
        <v>102</v>
      </c>
      <c r="D3612" t="s">
        <v>103</v>
      </c>
      <c r="M3612">
        <v>1</v>
      </c>
      <c r="N3612">
        <v>0</v>
      </c>
      <c r="O3612">
        <v>0</v>
      </c>
      <c r="P3612">
        <v>45</v>
      </c>
    </row>
    <row r="3613" spans="1:12">
      <c r="A3613" t="s">
        <v>576</v>
      </c>
      <c r="B3613" t="s">
        <v>101</v>
      </c>
      <c r="C3613" t="s">
        <v>52</v>
      </c>
      <c r="D3613" t="s">
        <v>380</v>
      </c>
      <c r="E3613">
        <v>3</v>
      </c>
      <c r="F3613">
        <v>2</v>
      </c>
      <c r="G3613">
        <v>0.666666666666667</v>
      </c>
      <c r="H3613">
        <v>1</v>
      </c>
      <c r="I3613">
        <v>1</v>
      </c>
      <c r="J3613">
        <v>1</v>
      </c>
      <c r="K3613">
        <v>0</v>
      </c>
      <c r="L3613">
        <v>3.05</v>
      </c>
    </row>
    <row r="3614" spans="1:12">
      <c r="A3614" t="s">
        <v>576</v>
      </c>
      <c r="B3614" t="s">
        <v>101</v>
      </c>
      <c r="C3614" t="s">
        <v>52</v>
      </c>
      <c r="D3614" t="s">
        <v>383</v>
      </c>
      <c r="E3614">
        <v>3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</row>
    <row r="3615" spans="1:16">
      <c r="A3615" t="s">
        <v>576</v>
      </c>
      <c r="B3615" t="s">
        <v>101</v>
      </c>
      <c r="C3615" t="s">
        <v>52</v>
      </c>
      <c r="D3615" t="s">
        <v>374</v>
      </c>
      <c r="E3615">
        <v>5</v>
      </c>
      <c r="F3615">
        <v>3</v>
      </c>
      <c r="G3615">
        <v>0.6</v>
      </c>
      <c r="H3615">
        <v>0</v>
      </c>
      <c r="I3615">
        <v>0</v>
      </c>
      <c r="J3615">
        <v>0</v>
      </c>
      <c r="K3615">
        <v>0</v>
      </c>
      <c r="L3615">
        <v>0.816666666666667</v>
      </c>
      <c r="M3615">
        <v>1</v>
      </c>
      <c r="N3615">
        <v>0</v>
      </c>
      <c r="O3615">
        <v>0</v>
      </c>
      <c r="P3615">
        <v>44</v>
      </c>
    </row>
    <row r="3616" spans="1:12">
      <c r="A3616" t="s">
        <v>576</v>
      </c>
      <c r="B3616" t="s">
        <v>101</v>
      </c>
      <c r="C3616" t="s">
        <v>52</v>
      </c>
      <c r="D3616" t="s">
        <v>364</v>
      </c>
      <c r="E3616">
        <v>8</v>
      </c>
      <c r="F3616">
        <v>5</v>
      </c>
      <c r="G3616">
        <v>0.625</v>
      </c>
      <c r="H3616">
        <v>2</v>
      </c>
      <c r="I3616">
        <v>2</v>
      </c>
      <c r="J3616">
        <v>1</v>
      </c>
      <c r="K3616">
        <v>0</v>
      </c>
      <c r="L3616">
        <v>2.9</v>
      </c>
    </row>
    <row r="3617" spans="1:12">
      <c r="A3617" t="s">
        <v>576</v>
      </c>
      <c r="B3617" t="s">
        <v>101</v>
      </c>
      <c r="C3617" t="s">
        <v>52</v>
      </c>
      <c r="D3617" t="s">
        <v>368</v>
      </c>
      <c r="E3617">
        <v>3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</row>
    <row r="3618" spans="1:12">
      <c r="A3618" t="s">
        <v>576</v>
      </c>
      <c r="B3618" t="s">
        <v>101</v>
      </c>
      <c r="C3618" t="s">
        <v>52</v>
      </c>
      <c r="D3618" t="s">
        <v>371</v>
      </c>
      <c r="E3618">
        <v>15</v>
      </c>
      <c r="F3618">
        <v>4</v>
      </c>
      <c r="G3618">
        <v>0.266666666666667</v>
      </c>
      <c r="H3618">
        <v>3</v>
      </c>
      <c r="I3618">
        <v>0</v>
      </c>
      <c r="J3618">
        <v>0</v>
      </c>
      <c r="K3618">
        <v>0</v>
      </c>
      <c r="L3618">
        <v>2.23333333333333</v>
      </c>
    </row>
    <row r="3619" spans="1:12">
      <c r="A3619" t="s">
        <v>576</v>
      </c>
      <c r="B3619" t="s">
        <v>101</v>
      </c>
      <c r="C3619" t="s">
        <v>75</v>
      </c>
      <c r="D3619" t="s">
        <v>116</v>
      </c>
      <c r="E3619">
        <v>242</v>
      </c>
      <c r="F3619">
        <v>84</v>
      </c>
      <c r="G3619">
        <v>0.347107438016529</v>
      </c>
      <c r="H3619">
        <v>49</v>
      </c>
      <c r="I3619">
        <v>34</v>
      </c>
      <c r="J3619">
        <v>26</v>
      </c>
      <c r="K3619">
        <v>3</v>
      </c>
      <c r="L3619">
        <v>72.0666666666667</v>
      </c>
    </row>
    <row r="3620" spans="1:12">
      <c r="A3620" t="s">
        <v>576</v>
      </c>
      <c r="B3620" t="s">
        <v>101</v>
      </c>
      <c r="C3620" t="s">
        <v>75</v>
      </c>
      <c r="D3620" t="s">
        <v>122</v>
      </c>
      <c r="E3620">
        <v>197</v>
      </c>
      <c r="F3620">
        <v>93</v>
      </c>
      <c r="G3620">
        <v>0.472081218274112</v>
      </c>
      <c r="H3620">
        <v>33</v>
      </c>
      <c r="I3620">
        <v>23</v>
      </c>
      <c r="J3620">
        <v>7</v>
      </c>
      <c r="K3620">
        <v>1</v>
      </c>
      <c r="L3620">
        <v>50.9666666666667</v>
      </c>
    </row>
    <row r="3621" spans="1:12">
      <c r="A3621" t="s">
        <v>576</v>
      </c>
      <c r="B3621" t="s">
        <v>101</v>
      </c>
      <c r="C3621" t="s">
        <v>75</v>
      </c>
      <c r="D3621" t="s">
        <v>113</v>
      </c>
      <c r="E3621">
        <v>157</v>
      </c>
      <c r="F3621">
        <v>69</v>
      </c>
      <c r="G3621">
        <v>0.439490445859873</v>
      </c>
      <c r="H3621">
        <v>43</v>
      </c>
      <c r="I3621">
        <v>34</v>
      </c>
      <c r="J3621">
        <v>6</v>
      </c>
      <c r="K3621">
        <v>2</v>
      </c>
      <c r="L3621">
        <v>51.9833333333333</v>
      </c>
    </row>
    <row r="3622" spans="1:12">
      <c r="A3622" t="s">
        <v>576</v>
      </c>
      <c r="B3622" t="s">
        <v>101</v>
      </c>
      <c r="C3622" t="s">
        <v>75</v>
      </c>
      <c r="D3622" t="s">
        <v>109</v>
      </c>
      <c r="E3622">
        <v>245</v>
      </c>
      <c r="F3622">
        <v>108</v>
      </c>
      <c r="G3622">
        <v>0.440816326530612</v>
      </c>
      <c r="H3622">
        <v>41</v>
      </c>
      <c r="I3622">
        <v>34</v>
      </c>
      <c r="J3622">
        <v>15</v>
      </c>
      <c r="K3622">
        <v>1</v>
      </c>
      <c r="L3622">
        <v>58.9166666666667</v>
      </c>
    </row>
    <row r="3623" spans="1:12">
      <c r="A3623" t="s">
        <v>576</v>
      </c>
      <c r="B3623" t="s">
        <v>101</v>
      </c>
      <c r="C3623" t="s">
        <v>75</v>
      </c>
      <c r="D3623" t="s">
        <v>119</v>
      </c>
      <c r="E3623">
        <v>259</v>
      </c>
      <c r="F3623">
        <v>105</v>
      </c>
      <c r="G3623">
        <v>0.405405405405405</v>
      </c>
      <c r="H3623">
        <v>40</v>
      </c>
      <c r="I3623">
        <v>25</v>
      </c>
      <c r="J3623">
        <v>15</v>
      </c>
      <c r="K3623">
        <v>1</v>
      </c>
      <c r="L3623">
        <v>57.3833333333333</v>
      </c>
    </row>
    <row r="3624" spans="1:12">
      <c r="A3624" t="s">
        <v>576</v>
      </c>
      <c r="B3624" t="s">
        <v>101</v>
      </c>
      <c r="C3624" t="s">
        <v>151</v>
      </c>
      <c r="D3624" t="s">
        <v>331</v>
      </c>
      <c r="E3624">
        <v>259</v>
      </c>
      <c r="F3624">
        <v>114</v>
      </c>
      <c r="G3624">
        <v>0.44015444015444</v>
      </c>
      <c r="H3624">
        <v>51</v>
      </c>
      <c r="I3624">
        <v>38</v>
      </c>
      <c r="J3624">
        <v>14</v>
      </c>
      <c r="K3624">
        <v>0</v>
      </c>
      <c r="L3624">
        <v>65.3333333333333</v>
      </c>
    </row>
    <row r="3625" spans="1:12">
      <c r="A3625" t="s">
        <v>576</v>
      </c>
      <c r="B3625" t="s">
        <v>101</v>
      </c>
      <c r="C3625" t="s">
        <v>151</v>
      </c>
      <c r="D3625" t="s">
        <v>328</v>
      </c>
      <c r="E3625">
        <v>180</v>
      </c>
      <c r="F3625">
        <v>78</v>
      </c>
      <c r="G3625">
        <v>0.433333333333333</v>
      </c>
      <c r="H3625">
        <v>35</v>
      </c>
      <c r="I3625">
        <v>28</v>
      </c>
      <c r="J3625">
        <v>15</v>
      </c>
      <c r="K3625">
        <v>4</v>
      </c>
      <c r="L3625">
        <v>58.5833333333333</v>
      </c>
    </row>
    <row r="3626" spans="1:12">
      <c r="A3626" t="s">
        <v>576</v>
      </c>
      <c r="B3626" t="s">
        <v>101</v>
      </c>
      <c r="C3626" t="s">
        <v>151</v>
      </c>
      <c r="D3626" t="s">
        <v>320</v>
      </c>
      <c r="E3626">
        <v>219</v>
      </c>
      <c r="F3626">
        <v>105</v>
      </c>
      <c r="G3626">
        <v>0.479452054794521</v>
      </c>
      <c r="H3626">
        <v>37</v>
      </c>
      <c r="I3626">
        <v>27</v>
      </c>
      <c r="J3626">
        <v>16</v>
      </c>
      <c r="K3626">
        <v>1</v>
      </c>
      <c r="L3626">
        <v>60.8666666666667</v>
      </c>
    </row>
    <row r="3627" spans="1:12">
      <c r="A3627" t="s">
        <v>576</v>
      </c>
      <c r="B3627" t="s">
        <v>101</v>
      </c>
      <c r="C3627" t="s">
        <v>151</v>
      </c>
      <c r="D3627" t="s">
        <v>337</v>
      </c>
      <c r="E3627">
        <v>243</v>
      </c>
      <c r="F3627">
        <v>123</v>
      </c>
      <c r="G3627">
        <v>0.506172839506173</v>
      </c>
      <c r="H3627">
        <v>48</v>
      </c>
      <c r="I3627">
        <v>24</v>
      </c>
      <c r="J3627">
        <v>21</v>
      </c>
      <c r="K3627">
        <v>1</v>
      </c>
      <c r="L3627">
        <v>66.75</v>
      </c>
    </row>
    <row r="3628" spans="1:12">
      <c r="A3628" t="s">
        <v>576</v>
      </c>
      <c r="B3628" t="s">
        <v>101</v>
      </c>
      <c r="C3628" t="s">
        <v>151</v>
      </c>
      <c r="D3628" t="s">
        <v>323</v>
      </c>
      <c r="E3628">
        <v>79</v>
      </c>
      <c r="F3628">
        <v>34</v>
      </c>
      <c r="G3628">
        <v>0.430379746835443</v>
      </c>
      <c r="H3628">
        <v>26</v>
      </c>
      <c r="I3628">
        <v>22</v>
      </c>
      <c r="J3628">
        <v>17</v>
      </c>
      <c r="K3628">
        <v>0</v>
      </c>
      <c r="L3628">
        <v>36.4833333333333</v>
      </c>
    </row>
    <row r="3629" spans="1:12">
      <c r="A3629" t="s">
        <v>576</v>
      </c>
      <c r="B3629" t="s">
        <v>101</v>
      </c>
      <c r="C3629" t="s">
        <v>151</v>
      </c>
      <c r="D3629" t="s">
        <v>334</v>
      </c>
      <c r="E3629">
        <v>252</v>
      </c>
      <c r="F3629">
        <v>142</v>
      </c>
      <c r="G3629">
        <v>0.563492063492063</v>
      </c>
      <c r="H3629">
        <v>64</v>
      </c>
      <c r="I3629">
        <v>40</v>
      </c>
      <c r="J3629">
        <v>27</v>
      </c>
      <c r="K3629">
        <v>0</v>
      </c>
      <c r="L3629">
        <v>88.45</v>
      </c>
    </row>
    <row r="3630" spans="1:12">
      <c r="A3630" t="s">
        <v>576</v>
      </c>
      <c r="B3630" t="s">
        <v>101</v>
      </c>
      <c r="C3630" t="s">
        <v>151</v>
      </c>
      <c r="D3630" t="s">
        <v>316</v>
      </c>
      <c r="E3630">
        <v>80</v>
      </c>
      <c r="F3630">
        <v>36</v>
      </c>
      <c r="G3630">
        <v>0.45</v>
      </c>
      <c r="H3630">
        <v>19</v>
      </c>
      <c r="I3630">
        <v>15</v>
      </c>
      <c r="J3630">
        <v>10</v>
      </c>
      <c r="K3630">
        <v>2</v>
      </c>
      <c r="L3630">
        <v>37.3</v>
      </c>
    </row>
    <row r="3631" spans="1:12">
      <c r="A3631" t="s">
        <v>576</v>
      </c>
      <c r="B3631" t="s">
        <v>101</v>
      </c>
      <c r="C3631" t="s">
        <v>224</v>
      </c>
      <c r="D3631" t="s">
        <v>398</v>
      </c>
      <c r="E3631">
        <v>111</v>
      </c>
      <c r="F3631">
        <v>25</v>
      </c>
      <c r="G3631">
        <v>0.225225225225225</v>
      </c>
      <c r="H3631">
        <v>16</v>
      </c>
      <c r="I3631">
        <v>15</v>
      </c>
      <c r="J3631">
        <v>6</v>
      </c>
      <c r="K3631">
        <v>0</v>
      </c>
      <c r="L3631">
        <v>20.5</v>
      </c>
    </row>
    <row r="3632" spans="1:12">
      <c r="A3632" t="s">
        <v>576</v>
      </c>
      <c r="B3632" t="s">
        <v>101</v>
      </c>
      <c r="C3632" t="s">
        <v>224</v>
      </c>
      <c r="D3632" t="s">
        <v>386</v>
      </c>
      <c r="E3632">
        <v>173</v>
      </c>
      <c r="F3632">
        <v>72</v>
      </c>
      <c r="G3632">
        <v>0.416184971098266</v>
      </c>
      <c r="H3632">
        <v>33</v>
      </c>
      <c r="I3632">
        <v>26</v>
      </c>
      <c r="J3632">
        <v>11</v>
      </c>
      <c r="K3632">
        <v>0</v>
      </c>
      <c r="L3632">
        <v>43.25</v>
      </c>
    </row>
    <row r="3633" spans="1:12">
      <c r="A3633" t="s">
        <v>576</v>
      </c>
      <c r="B3633" t="s">
        <v>101</v>
      </c>
      <c r="C3633" t="s">
        <v>224</v>
      </c>
      <c r="D3633" t="s">
        <v>413</v>
      </c>
      <c r="E3633">
        <v>180</v>
      </c>
      <c r="F3633">
        <v>73</v>
      </c>
      <c r="G3633">
        <v>0.405555555555556</v>
      </c>
      <c r="H3633">
        <v>25</v>
      </c>
      <c r="I3633">
        <v>15</v>
      </c>
      <c r="J3633">
        <v>3</v>
      </c>
      <c r="K3633">
        <v>0</v>
      </c>
      <c r="L3633">
        <v>32.7666666666667</v>
      </c>
    </row>
    <row r="3634" spans="1:12">
      <c r="A3634" t="s">
        <v>576</v>
      </c>
      <c r="B3634" t="s">
        <v>101</v>
      </c>
      <c r="C3634" t="s">
        <v>224</v>
      </c>
      <c r="D3634" t="s">
        <v>400</v>
      </c>
      <c r="E3634">
        <v>169</v>
      </c>
      <c r="F3634">
        <v>38</v>
      </c>
      <c r="G3634">
        <v>0.224852071005917</v>
      </c>
      <c r="H3634">
        <v>23</v>
      </c>
      <c r="I3634">
        <v>20</v>
      </c>
      <c r="J3634">
        <v>4</v>
      </c>
      <c r="K3634">
        <v>1</v>
      </c>
      <c r="L3634">
        <v>27.4666666666667</v>
      </c>
    </row>
    <row r="3635" spans="1:12">
      <c r="A3635" t="s">
        <v>576</v>
      </c>
      <c r="B3635" t="s">
        <v>101</v>
      </c>
      <c r="C3635" t="s">
        <v>224</v>
      </c>
      <c r="D3635" t="s">
        <v>394</v>
      </c>
      <c r="E3635">
        <v>222</v>
      </c>
      <c r="F3635">
        <v>84</v>
      </c>
      <c r="G3635">
        <v>0.378378378378378</v>
      </c>
      <c r="H3635">
        <v>43</v>
      </c>
      <c r="I3635">
        <v>17</v>
      </c>
      <c r="J3635">
        <v>9</v>
      </c>
      <c r="K3635">
        <v>1</v>
      </c>
      <c r="L3635">
        <v>50.2</v>
      </c>
    </row>
    <row r="3636" spans="1:12">
      <c r="A3636" t="s">
        <v>576</v>
      </c>
      <c r="B3636" t="s">
        <v>101</v>
      </c>
      <c r="C3636" t="s">
        <v>224</v>
      </c>
      <c r="D3636" t="s">
        <v>403</v>
      </c>
      <c r="E3636">
        <v>127</v>
      </c>
      <c r="F3636">
        <v>55</v>
      </c>
      <c r="G3636">
        <v>0.433070866141732</v>
      </c>
      <c r="H3636">
        <v>30</v>
      </c>
      <c r="I3636">
        <v>24</v>
      </c>
      <c r="J3636">
        <v>10</v>
      </c>
      <c r="K3636">
        <v>1</v>
      </c>
      <c r="L3636">
        <v>39.5</v>
      </c>
    </row>
    <row r="3637" spans="1:12">
      <c r="A3637" t="s">
        <v>576</v>
      </c>
      <c r="B3637" t="s">
        <v>101</v>
      </c>
      <c r="C3637" t="s">
        <v>224</v>
      </c>
      <c r="D3637" t="s">
        <v>389</v>
      </c>
      <c r="E3637">
        <v>34</v>
      </c>
      <c r="F3637">
        <v>20</v>
      </c>
      <c r="G3637">
        <v>0.588235294117647</v>
      </c>
      <c r="H3637">
        <v>9</v>
      </c>
      <c r="I3637">
        <v>6</v>
      </c>
      <c r="J3637">
        <v>3</v>
      </c>
      <c r="K3637">
        <v>0</v>
      </c>
      <c r="L3637">
        <v>14.6166666666667</v>
      </c>
    </row>
    <row r="3638" spans="1:12">
      <c r="A3638" t="s">
        <v>576</v>
      </c>
      <c r="B3638" t="s">
        <v>101</v>
      </c>
      <c r="C3638" t="s">
        <v>224</v>
      </c>
      <c r="D3638" t="s">
        <v>405</v>
      </c>
      <c r="E3638">
        <v>92</v>
      </c>
      <c r="F3638">
        <v>43</v>
      </c>
      <c r="G3638">
        <v>0.467391304347826</v>
      </c>
      <c r="H3638">
        <v>31</v>
      </c>
      <c r="I3638">
        <v>20</v>
      </c>
      <c r="J3638">
        <v>12</v>
      </c>
      <c r="K3638">
        <v>0</v>
      </c>
      <c r="L3638">
        <v>31.9833333333333</v>
      </c>
    </row>
    <row r="3639" spans="1:12">
      <c r="A3639" t="s">
        <v>576</v>
      </c>
      <c r="B3639" t="s">
        <v>101</v>
      </c>
      <c r="C3639" t="s">
        <v>224</v>
      </c>
      <c r="D3639" t="s">
        <v>410</v>
      </c>
      <c r="E3639">
        <v>186</v>
      </c>
      <c r="F3639">
        <v>71</v>
      </c>
      <c r="G3639">
        <v>0.381720430107527</v>
      </c>
      <c r="H3639">
        <v>34</v>
      </c>
      <c r="I3639">
        <v>26</v>
      </c>
      <c r="J3639">
        <v>13</v>
      </c>
      <c r="K3639">
        <v>2</v>
      </c>
      <c r="L3639">
        <v>50.6</v>
      </c>
    </row>
    <row r="3640" spans="1:12">
      <c r="A3640" t="s">
        <v>576</v>
      </c>
      <c r="B3640" t="s">
        <v>101</v>
      </c>
      <c r="C3640" t="s">
        <v>224</v>
      </c>
      <c r="D3640" t="s">
        <v>391</v>
      </c>
      <c r="E3640">
        <v>249</v>
      </c>
      <c r="F3640">
        <v>120</v>
      </c>
      <c r="G3640">
        <v>0.481927710843373</v>
      </c>
      <c r="H3640">
        <v>51</v>
      </c>
      <c r="I3640">
        <v>34</v>
      </c>
      <c r="J3640">
        <v>24</v>
      </c>
      <c r="K3640">
        <v>6</v>
      </c>
      <c r="L3640">
        <v>90.35</v>
      </c>
    </row>
    <row r="3641" spans="1:12">
      <c r="A3641" t="s">
        <v>576</v>
      </c>
      <c r="B3641" t="s">
        <v>101</v>
      </c>
      <c r="C3641" t="s">
        <v>224</v>
      </c>
      <c r="D3641" t="s">
        <v>407</v>
      </c>
      <c r="E3641">
        <v>93</v>
      </c>
      <c r="F3641">
        <v>37</v>
      </c>
      <c r="G3641">
        <v>0.397849462365591</v>
      </c>
      <c r="H3641">
        <v>16</v>
      </c>
      <c r="I3641">
        <v>14</v>
      </c>
      <c r="J3641">
        <v>10</v>
      </c>
      <c r="K3641">
        <v>3</v>
      </c>
      <c r="L3641">
        <v>34.2833333333333</v>
      </c>
    </row>
    <row r="3642" spans="1:12">
      <c r="A3642" t="s">
        <v>576</v>
      </c>
      <c r="B3642" t="s">
        <v>101</v>
      </c>
      <c r="C3642" t="s">
        <v>224</v>
      </c>
      <c r="D3642" t="s">
        <v>396</v>
      </c>
      <c r="E3642">
        <v>293</v>
      </c>
      <c r="F3642">
        <v>117</v>
      </c>
      <c r="G3642">
        <v>0.399317406143345</v>
      </c>
      <c r="H3642">
        <v>47</v>
      </c>
      <c r="I3642">
        <v>35</v>
      </c>
      <c r="J3642">
        <v>19</v>
      </c>
      <c r="K3642">
        <v>0</v>
      </c>
      <c r="L3642">
        <v>65.7833333333333</v>
      </c>
    </row>
    <row r="3643" spans="1:16">
      <c r="A3643" t="s">
        <v>576</v>
      </c>
      <c r="B3643" t="s">
        <v>101</v>
      </c>
      <c r="C3643" t="s">
        <v>264</v>
      </c>
      <c r="D3643" t="s">
        <v>488</v>
      </c>
      <c r="E3643">
        <v>82</v>
      </c>
      <c r="F3643">
        <v>35</v>
      </c>
      <c r="G3643">
        <v>0.426829268292683</v>
      </c>
      <c r="H3643">
        <v>20</v>
      </c>
      <c r="I3643">
        <v>15</v>
      </c>
      <c r="J3643">
        <v>11</v>
      </c>
      <c r="K3643">
        <v>1</v>
      </c>
      <c r="L3643">
        <v>26.55</v>
      </c>
      <c r="M3643">
        <v>1</v>
      </c>
      <c r="N3643">
        <v>0</v>
      </c>
      <c r="O3643">
        <v>0</v>
      </c>
      <c r="P3643">
        <v>0</v>
      </c>
    </row>
    <row r="3644" spans="1:12">
      <c r="A3644" t="s">
        <v>576</v>
      </c>
      <c r="B3644" t="s">
        <v>101</v>
      </c>
      <c r="C3644" t="s">
        <v>264</v>
      </c>
      <c r="D3644" t="s">
        <v>485</v>
      </c>
      <c r="E3644">
        <v>132</v>
      </c>
      <c r="F3644">
        <v>58</v>
      </c>
      <c r="G3644">
        <v>0.439393939393939</v>
      </c>
      <c r="H3644">
        <v>37</v>
      </c>
      <c r="I3644">
        <v>28</v>
      </c>
      <c r="J3644">
        <v>19</v>
      </c>
      <c r="K3644">
        <v>3</v>
      </c>
      <c r="L3644">
        <v>54.05</v>
      </c>
    </row>
    <row r="3645" spans="1:12">
      <c r="A3645" t="s">
        <v>576</v>
      </c>
      <c r="B3645" t="s">
        <v>101</v>
      </c>
      <c r="C3645" t="s">
        <v>264</v>
      </c>
      <c r="D3645" t="s">
        <v>483</v>
      </c>
      <c r="E3645">
        <v>121</v>
      </c>
      <c r="F3645">
        <v>58</v>
      </c>
      <c r="G3645">
        <v>0.479338842975207</v>
      </c>
      <c r="H3645">
        <v>26</v>
      </c>
      <c r="I3645">
        <v>19</v>
      </c>
      <c r="J3645">
        <v>12</v>
      </c>
      <c r="K3645">
        <v>3</v>
      </c>
      <c r="L3645">
        <v>50.05</v>
      </c>
    </row>
    <row r="3646" spans="1:16">
      <c r="A3646" t="s">
        <v>576</v>
      </c>
      <c r="B3646" t="s">
        <v>101</v>
      </c>
      <c r="C3646" t="s">
        <v>264</v>
      </c>
      <c r="D3646" t="s">
        <v>496</v>
      </c>
      <c r="E3646">
        <v>35</v>
      </c>
      <c r="F3646">
        <v>14</v>
      </c>
      <c r="G3646">
        <v>0.4</v>
      </c>
      <c r="H3646">
        <v>5</v>
      </c>
      <c r="I3646">
        <v>5</v>
      </c>
      <c r="J3646">
        <v>4</v>
      </c>
      <c r="K3646">
        <v>0</v>
      </c>
      <c r="L3646">
        <v>8.35</v>
      </c>
      <c r="M3646">
        <v>1</v>
      </c>
      <c r="N3646">
        <v>0</v>
      </c>
      <c r="O3646">
        <v>0</v>
      </c>
      <c r="P3646">
        <v>77</v>
      </c>
    </row>
    <row r="3647" spans="1:12">
      <c r="A3647" t="s">
        <v>576</v>
      </c>
      <c r="B3647" t="s">
        <v>101</v>
      </c>
      <c r="C3647" t="s">
        <v>264</v>
      </c>
      <c r="D3647" t="s">
        <v>491</v>
      </c>
      <c r="E3647">
        <v>171</v>
      </c>
      <c r="F3647">
        <v>60</v>
      </c>
      <c r="G3647">
        <v>0.350877192982456</v>
      </c>
      <c r="H3647">
        <v>24</v>
      </c>
      <c r="I3647">
        <v>17</v>
      </c>
      <c r="J3647">
        <v>9</v>
      </c>
      <c r="K3647">
        <v>3</v>
      </c>
      <c r="L3647">
        <v>45.2666666666667</v>
      </c>
    </row>
    <row r="3648" spans="1:12">
      <c r="A3648" t="s">
        <v>576</v>
      </c>
      <c r="B3648" t="s">
        <v>101</v>
      </c>
      <c r="C3648" t="s">
        <v>264</v>
      </c>
      <c r="D3648" t="s">
        <v>476</v>
      </c>
      <c r="E3648">
        <v>151</v>
      </c>
      <c r="F3648">
        <v>77</v>
      </c>
      <c r="G3648">
        <v>0.509933774834437</v>
      </c>
      <c r="H3648">
        <v>42</v>
      </c>
      <c r="I3648">
        <v>35</v>
      </c>
      <c r="J3648">
        <v>15</v>
      </c>
      <c r="K3648">
        <v>2</v>
      </c>
      <c r="L3648">
        <v>57.7166666666667</v>
      </c>
    </row>
    <row r="3649" spans="1:12">
      <c r="A3649" t="s">
        <v>576</v>
      </c>
      <c r="B3649" t="s">
        <v>101</v>
      </c>
      <c r="C3649" t="s">
        <v>264</v>
      </c>
      <c r="D3649" t="s">
        <v>493</v>
      </c>
      <c r="E3649">
        <v>158</v>
      </c>
      <c r="F3649">
        <v>61</v>
      </c>
      <c r="G3649">
        <v>0.386075949367089</v>
      </c>
      <c r="H3649">
        <v>31</v>
      </c>
      <c r="I3649">
        <v>24</v>
      </c>
      <c r="J3649">
        <v>13</v>
      </c>
      <c r="K3649">
        <v>0</v>
      </c>
      <c r="L3649">
        <v>39.0833333333333</v>
      </c>
    </row>
    <row r="3650" spans="1:12">
      <c r="A3650" t="s">
        <v>576</v>
      </c>
      <c r="B3650" t="s">
        <v>101</v>
      </c>
      <c r="C3650" t="s">
        <v>264</v>
      </c>
      <c r="D3650" t="s">
        <v>480</v>
      </c>
      <c r="E3650">
        <v>132</v>
      </c>
      <c r="F3650">
        <v>64</v>
      </c>
      <c r="G3650">
        <v>0.484848484848485</v>
      </c>
      <c r="H3650">
        <v>24</v>
      </c>
      <c r="I3650">
        <v>18</v>
      </c>
      <c r="J3650">
        <v>12</v>
      </c>
      <c r="K3650">
        <v>1</v>
      </c>
      <c r="L3650">
        <v>39.5</v>
      </c>
    </row>
    <row r="3651" spans="1:12">
      <c r="A3651" t="s">
        <v>576</v>
      </c>
      <c r="B3651" t="s">
        <v>101</v>
      </c>
      <c r="C3651" t="s">
        <v>22</v>
      </c>
      <c r="D3651" t="s">
        <v>343</v>
      </c>
      <c r="E3651">
        <v>137</v>
      </c>
      <c r="F3651">
        <v>49</v>
      </c>
      <c r="G3651">
        <v>0.357664233576642</v>
      </c>
      <c r="H3651">
        <v>20</v>
      </c>
      <c r="I3651">
        <v>17</v>
      </c>
      <c r="J3651">
        <v>8</v>
      </c>
      <c r="K3651">
        <v>1</v>
      </c>
      <c r="L3651">
        <v>29.85</v>
      </c>
    </row>
    <row r="3652" spans="1:12">
      <c r="A3652" t="s">
        <v>576</v>
      </c>
      <c r="B3652" t="s">
        <v>101</v>
      </c>
      <c r="C3652" t="s">
        <v>22</v>
      </c>
      <c r="D3652" t="s">
        <v>358</v>
      </c>
      <c r="E3652">
        <v>41</v>
      </c>
      <c r="F3652">
        <v>27</v>
      </c>
      <c r="G3652">
        <v>0.658536585365854</v>
      </c>
      <c r="H3652">
        <v>19</v>
      </c>
      <c r="I3652">
        <v>18</v>
      </c>
      <c r="J3652">
        <v>13</v>
      </c>
      <c r="K3652">
        <v>4</v>
      </c>
      <c r="L3652">
        <v>43.25</v>
      </c>
    </row>
    <row r="3653" spans="1:12">
      <c r="A3653" t="s">
        <v>576</v>
      </c>
      <c r="B3653" t="s">
        <v>101</v>
      </c>
      <c r="C3653" t="s">
        <v>22</v>
      </c>
      <c r="D3653" t="s">
        <v>355</v>
      </c>
      <c r="E3653">
        <v>47</v>
      </c>
      <c r="F3653">
        <v>32</v>
      </c>
      <c r="G3653">
        <v>0.680851063829787</v>
      </c>
      <c r="H3653">
        <v>21</v>
      </c>
      <c r="I3653">
        <v>14</v>
      </c>
      <c r="J3653">
        <v>7</v>
      </c>
      <c r="K3653">
        <v>1</v>
      </c>
      <c r="L3653">
        <v>25.95</v>
      </c>
    </row>
    <row r="3654" spans="1:12">
      <c r="A3654" t="s">
        <v>576</v>
      </c>
      <c r="B3654" t="s">
        <v>101</v>
      </c>
      <c r="C3654" t="s">
        <v>22</v>
      </c>
      <c r="D3654" t="s">
        <v>340</v>
      </c>
      <c r="E3654">
        <v>35</v>
      </c>
      <c r="F3654">
        <v>21</v>
      </c>
      <c r="G3654">
        <v>0.6</v>
      </c>
      <c r="H3654">
        <v>13</v>
      </c>
      <c r="I3654">
        <v>11</v>
      </c>
      <c r="J3654">
        <v>8</v>
      </c>
      <c r="K3654">
        <v>1</v>
      </c>
      <c r="L3654">
        <v>22.7166666666667</v>
      </c>
    </row>
    <row r="3655" spans="1:16">
      <c r="A3655" t="s">
        <v>576</v>
      </c>
      <c r="B3655" t="s">
        <v>101</v>
      </c>
      <c r="C3655" t="s">
        <v>22</v>
      </c>
      <c r="D3655" t="s">
        <v>346</v>
      </c>
      <c r="E3655">
        <v>13</v>
      </c>
      <c r="F3655">
        <v>4</v>
      </c>
      <c r="G3655">
        <v>0.307692307692308</v>
      </c>
      <c r="H3655">
        <v>4</v>
      </c>
      <c r="I3655">
        <v>2</v>
      </c>
      <c r="J3655">
        <v>2</v>
      </c>
      <c r="K3655">
        <v>0</v>
      </c>
      <c r="L3655">
        <v>6.38333333333333</v>
      </c>
      <c r="M3655">
        <v>1</v>
      </c>
      <c r="N3655">
        <v>0</v>
      </c>
      <c r="O3655">
        <v>0</v>
      </c>
      <c r="P3655">
        <v>0</v>
      </c>
    </row>
    <row r="3656" spans="1:12">
      <c r="A3656" t="s">
        <v>576</v>
      </c>
      <c r="B3656" t="s">
        <v>101</v>
      </c>
      <c r="C3656" t="s">
        <v>22</v>
      </c>
      <c r="D3656" t="s">
        <v>361</v>
      </c>
      <c r="E3656">
        <v>63</v>
      </c>
      <c r="F3656">
        <v>35</v>
      </c>
      <c r="G3656">
        <v>0.555555555555556</v>
      </c>
      <c r="H3656">
        <v>20</v>
      </c>
      <c r="I3656">
        <v>13</v>
      </c>
      <c r="J3656">
        <v>5</v>
      </c>
      <c r="K3656">
        <v>0</v>
      </c>
      <c r="L3656">
        <v>22.4833333333333</v>
      </c>
    </row>
    <row r="3657" spans="1:16">
      <c r="A3657" t="s">
        <v>576</v>
      </c>
      <c r="B3657" t="s">
        <v>101</v>
      </c>
      <c r="C3657" t="s">
        <v>22</v>
      </c>
      <c r="D3657" t="s">
        <v>352</v>
      </c>
      <c r="E3657">
        <v>16</v>
      </c>
      <c r="F3657">
        <v>12</v>
      </c>
      <c r="G3657">
        <v>0.75</v>
      </c>
      <c r="H3657">
        <v>10</v>
      </c>
      <c r="I3657">
        <v>10</v>
      </c>
      <c r="J3657">
        <v>8</v>
      </c>
      <c r="K3657">
        <v>1</v>
      </c>
      <c r="L3657">
        <v>19.75</v>
      </c>
      <c r="M3657">
        <v>1</v>
      </c>
      <c r="N3657">
        <v>0</v>
      </c>
      <c r="O3657">
        <v>0</v>
      </c>
      <c r="P3657">
        <v>0</v>
      </c>
    </row>
    <row r="3658" spans="1:16">
      <c r="A3658" t="s">
        <v>576</v>
      </c>
      <c r="B3658" t="s">
        <v>51</v>
      </c>
      <c r="C3658" t="s">
        <v>102</v>
      </c>
      <c r="D3658" t="s">
        <v>438</v>
      </c>
      <c r="E3658">
        <v>1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1</v>
      </c>
      <c r="N3658">
        <v>0</v>
      </c>
      <c r="O3658">
        <v>0</v>
      </c>
      <c r="P3658">
        <v>66</v>
      </c>
    </row>
    <row r="3659" spans="1:16">
      <c r="A3659" t="s">
        <v>576</v>
      </c>
      <c r="B3659" t="s">
        <v>51</v>
      </c>
      <c r="C3659" t="s">
        <v>102</v>
      </c>
      <c r="D3659" t="s">
        <v>435</v>
      </c>
      <c r="E3659">
        <v>7</v>
      </c>
      <c r="F3659">
        <v>2</v>
      </c>
      <c r="G3659">
        <v>0.285714285714286</v>
      </c>
      <c r="H3659">
        <v>2</v>
      </c>
      <c r="I3659">
        <v>1</v>
      </c>
      <c r="J3659">
        <v>1</v>
      </c>
      <c r="K3659">
        <v>0</v>
      </c>
      <c r="L3659">
        <v>2.28333333333333</v>
      </c>
      <c r="M3659">
        <v>2</v>
      </c>
      <c r="N3659">
        <v>0</v>
      </c>
      <c r="O3659">
        <v>0</v>
      </c>
      <c r="P3659">
        <v>44</v>
      </c>
    </row>
    <row r="3660" spans="1:16">
      <c r="A3660" t="s">
        <v>576</v>
      </c>
      <c r="B3660" t="s">
        <v>51</v>
      </c>
      <c r="C3660" t="s">
        <v>102</v>
      </c>
      <c r="D3660" t="s">
        <v>432</v>
      </c>
      <c r="E3660">
        <v>8</v>
      </c>
      <c r="F3660">
        <v>4</v>
      </c>
      <c r="G3660">
        <v>0.5</v>
      </c>
      <c r="H3660">
        <v>3</v>
      </c>
      <c r="I3660">
        <v>3</v>
      </c>
      <c r="J3660">
        <v>3</v>
      </c>
      <c r="K3660">
        <v>1</v>
      </c>
      <c r="L3660">
        <v>9.2</v>
      </c>
      <c r="M3660">
        <v>1</v>
      </c>
      <c r="N3660">
        <v>1</v>
      </c>
      <c r="O3660">
        <v>1</v>
      </c>
      <c r="P3660">
        <v>41</v>
      </c>
    </row>
    <row r="3661" spans="1:12">
      <c r="A3661" t="s">
        <v>576</v>
      </c>
      <c r="B3661" t="s">
        <v>51</v>
      </c>
      <c r="C3661" t="s">
        <v>102</v>
      </c>
      <c r="D3661" t="s">
        <v>429</v>
      </c>
      <c r="E3661">
        <v>18</v>
      </c>
      <c r="F3661">
        <v>7</v>
      </c>
      <c r="G3661">
        <v>0.388888888888889</v>
      </c>
      <c r="H3661">
        <v>5</v>
      </c>
      <c r="I3661">
        <v>4</v>
      </c>
      <c r="J3661">
        <v>4</v>
      </c>
      <c r="K3661">
        <v>0</v>
      </c>
      <c r="L3661">
        <v>7.78333333333333</v>
      </c>
    </row>
    <row r="3662" spans="1:16">
      <c r="A3662" t="s">
        <v>576</v>
      </c>
      <c r="B3662" t="s">
        <v>51</v>
      </c>
      <c r="C3662" t="s">
        <v>102</v>
      </c>
      <c r="D3662" t="s">
        <v>426</v>
      </c>
      <c r="E3662">
        <v>2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1</v>
      </c>
      <c r="N3662">
        <v>0</v>
      </c>
      <c r="O3662">
        <v>0</v>
      </c>
      <c r="P3662">
        <v>77</v>
      </c>
    </row>
    <row r="3663" spans="1:16">
      <c r="A3663" t="s">
        <v>576</v>
      </c>
      <c r="B3663" t="s">
        <v>51</v>
      </c>
      <c r="C3663" t="s">
        <v>102</v>
      </c>
      <c r="D3663" t="s">
        <v>422</v>
      </c>
      <c r="M3663">
        <v>1</v>
      </c>
      <c r="N3663">
        <v>0</v>
      </c>
      <c r="O3663">
        <v>0</v>
      </c>
      <c r="P3663">
        <v>83</v>
      </c>
    </row>
    <row r="3664" spans="1:12">
      <c r="A3664" t="s">
        <v>576</v>
      </c>
      <c r="B3664" t="s">
        <v>51</v>
      </c>
      <c r="C3664" t="s">
        <v>52</v>
      </c>
      <c r="D3664" t="s">
        <v>63</v>
      </c>
      <c r="E3664">
        <v>1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</row>
    <row r="3665" spans="1:16">
      <c r="A3665" t="s">
        <v>576</v>
      </c>
      <c r="B3665" t="s">
        <v>51</v>
      </c>
      <c r="C3665" t="s">
        <v>52</v>
      </c>
      <c r="D3665" t="s">
        <v>60</v>
      </c>
      <c r="M3665">
        <v>1</v>
      </c>
      <c r="N3665">
        <v>0</v>
      </c>
      <c r="O3665">
        <v>0</v>
      </c>
      <c r="P3665">
        <v>83</v>
      </c>
    </row>
    <row r="3666" spans="1:16">
      <c r="A3666" t="s">
        <v>576</v>
      </c>
      <c r="B3666" t="s">
        <v>51</v>
      </c>
      <c r="C3666" t="s">
        <v>52</v>
      </c>
      <c r="D3666" t="s">
        <v>53</v>
      </c>
      <c r="M3666">
        <v>1</v>
      </c>
      <c r="N3666">
        <v>0</v>
      </c>
      <c r="O3666">
        <v>0</v>
      </c>
      <c r="P3666">
        <v>60</v>
      </c>
    </row>
    <row r="3667" spans="1:12">
      <c r="A3667" t="s">
        <v>576</v>
      </c>
      <c r="B3667" t="s">
        <v>51</v>
      </c>
      <c r="C3667" t="s">
        <v>75</v>
      </c>
      <c r="D3667" t="s">
        <v>76</v>
      </c>
      <c r="E3667">
        <v>151</v>
      </c>
      <c r="F3667">
        <v>76</v>
      </c>
      <c r="G3667">
        <v>0.503311258278146</v>
      </c>
      <c r="H3667">
        <v>24</v>
      </c>
      <c r="I3667">
        <v>14</v>
      </c>
      <c r="J3667">
        <v>8</v>
      </c>
      <c r="K3667">
        <v>2</v>
      </c>
      <c r="L3667">
        <v>49.5666666666667</v>
      </c>
    </row>
    <row r="3668" spans="1:12">
      <c r="A3668" t="s">
        <v>576</v>
      </c>
      <c r="B3668" t="s">
        <v>51</v>
      </c>
      <c r="C3668" t="s">
        <v>75</v>
      </c>
      <c r="D3668" t="s">
        <v>95</v>
      </c>
      <c r="E3668">
        <v>206</v>
      </c>
      <c r="F3668">
        <v>87</v>
      </c>
      <c r="G3668">
        <v>0.422330097087379</v>
      </c>
      <c r="H3668">
        <v>37</v>
      </c>
      <c r="I3668">
        <v>35</v>
      </c>
      <c r="J3668">
        <v>24</v>
      </c>
      <c r="K3668">
        <v>1</v>
      </c>
      <c r="L3668">
        <v>64.2333333333333</v>
      </c>
    </row>
    <row r="3669" spans="1:16">
      <c r="A3669" t="s">
        <v>576</v>
      </c>
      <c r="B3669" t="s">
        <v>51</v>
      </c>
      <c r="C3669" t="s">
        <v>75</v>
      </c>
      <c r="D3669" t="s">
        <v>80</v>
      </c>
      <c r="E3669">
        <v>125</v>
      </c>
      <c r="F3669">
        <v>49</v>
      </c>
      <c r="G3669">
        <v>0.392</v>
      </c>
      <c r="H3669">
        <v>23</v>
      </c>
      <c r="I3669">
        <v>16</v>
      </c>
      <c r="J3669">
        <v>13</v>
      </c>
      <c r="K3669">
        <v>1</v>
      </c>
      <c r="L3669">
        <v>38.7333333333333</v>
      </c>
      <c r="M3669">
        <v>1</v>
      </c>
      <c r="N3669">
        <v>0</v>
      </c>
      <c r="O3669">
        <v>0</v>
      </c>
      <c r="P3669">
        <v>37</v>
      </c>
    </row>
    <row r="3670" spans="1:12">
      <c r="A3670" t="s">
        <v>576</v>
      </c>
      <c r="B3670" t="s">
        <v>51</v>
      </c>
      <c r="C3670" t="s">
        <v>75</v>
      </c>
      <c r="D3670" t="s">
        <v>89</v>
      </c>
      <c r="E3670">
        <v>139</v>
      </c>
      <c r="F3670">
        <v>57</v>
      </c>
      <c r="G3670">
        <v>0.410071942446043</v>
      </c>
      <c r="H3670">
        <v>32</v>
      </c>
      <c r="I3670">
        <v>24</v>
      </c>
      <c r="J3670">
        <v>9</v>
      </c>
      <c r="K3670">
        <v>1</v>
      </c>
      <c r="L3670">
        <v>40.5666666666667</v>
      </c>
    </row>
    <row r="3671" spans="1:12">
      <c r="A3671" t="s">
        <v>576</v>
      </c>
      <c r="B3671" t="s">
        <v>51</v>
      </c>
      <c r="C3671" t="s">
        <v>75</v>
      </c>
      <c r="D3671" t="s">
        <v>83</v>
      </c>
      <c r="E3671">
        <v>126</v>
      </c>
      <c r="F3671">
        <v>60</v>
      </c>
      <c r="G3671">
        <v>0.476190476190476</v>
      </c>
      <c r="H3671">
        <v>13</v>
      </c>
      <c r="I3671">
        <v>11</v>
      </c>
      <c r="J3671">
        <v>3</v>
      </c>
      <c r="K3671">
        <v>0</v>
      </c>
      <c r="L3671">
        <v>24.65</v>
      </c>
    </row>
    <row r="3672" spans="1:12">
      <c r="A3672" t="s">
        <v>576</v>
      </c>
      <c r="B3672" t="s">
        <v>51</v>
      </c>
      <c r="C3672" t="s">
        <v>75</v>
      </c>
      <c r="D3672" t="s">
        <v>92</v>
      </c>
      <c r="E3672">
        <v>144</v>
      </c>
      <c r="F3672">
        <v>33</v>
      </c>
      <c r="G3672">
        <v>0.229166666666667</v>
      </c>
      <c r="H3672">
        <v>20</v>
      </c>
      <c r="I3672">
        <v>19</v>
      </c>
      <c r="J3672">
        <v>12</v>
      </c>
      <c r="K3672">
        <v>2</v>
      </c>
      <c r="L3672">
        <v>38.4833333333333</v>
      </c>
    </row>
    <row r="3673" spans="1:12">
      <c r="A3673" t="s">
        <v>576</v>
      </c>
      <c r="B3673" t="s">
        <v>51</v>
      </c>
      <c r="C3673" t="s">
        <v>75</v>
      </c>
      <c r="D3673" t="s">
        <v>98</v>
      </c>
      <c r="E3673">
        <v>212</v>
      </c>
      <c r="F3673">
        <v>111</v>
      </c>
      <c r="G3673">
        <v>0.523584905660377</v>
      </c>
      <c r="H3673">
        <v>31</v>
      </c>
      <c r="I3673">
        <v>18</v>
      </c>
      <c r="J3673">
        <v>9</v>
      </c>
      <c r="K3673">
        <v>0</v>
      </c>
      <c r="L3673">
        <v>50.0833333333333</v>
      </c>
    </row>
    <row r="3674" spans="1:12">
      <c r="A3674" t="s">
        <v>576</v>
      </c>
      <c r="B3674" t="s">
        <v>51</v>
      </c>
      <c r="C3674" t="s">
        <v>75</v>
      </c>
      <c r="D3674" t="s">
        <v>86</v>
      </c>
      <c r="E3674">
        <v>136</v>
      </c>
      <c r="F3674">
        <v>51</v>
      </c>
      <c r="G3674">
        <v>0.375</v>
      </c>
      <c r="H3674">
        <v>33</v>
      </c>
      <c r="I3674">
        <v>30</v>
      </c>
      <c r="J3674">
        <v>17</v>
      </c>
      <c r="K3674">
        <v>4</v>
      </c>
      <c r="L3674">
        <v>56.5666666666667</v>
      </c>
    </row>
    <row r="3675" spans="1:12">
      <c r="A3675" t="s">
        <v>576</v>
      </c>
      <c r="B3675" t="s">
        <v>51</v>
      </c>
      <c r="C3675" t="s">
        <v>547</v>
      </c>
      <c r="D3675" t="s">
        <v>548</v>
      </c>
      <c r="E3675">
        <v>100</v>
      </c>
      <c r="F3675">
        <v>56</v>
      </c>
      <c r="G3675">
        <v>0.56</v>
      </c>
      <c r="H3675">
        <v>27</v>
      </c>
      <c r="I3675">
        <v>20</v>
      </c>
      <c r="J3675">
        <v>10</v>
      </c>
      <c r="K3675">
        <v>0</v>
      </c>
      <c r="L3675">
        <v>37.6166666666667</v>
      </c>
    </row>
    <row r="3676" spans="1:12">
      <c r="A3676" t="s">
        <v>576</v>
      </c>
      <c r="B3676" t="s">
        <v>51</v>
      </c>
      <c r="C3676" t="s">
        <v>547</v>
      </c>
      <c r="D3676" t="s">
        <v>556</v>
      </c>
      <c r="E3676">
        <v>129</v>
      </c>
      <c r="F3676">
        <v>63</v>
      </c>
      <c r="G3676">
        <v>0.488372093023256</v>
      </c>
      <c r="H3676">
        <v>23</v>
      </c>
      <c r="I3676">
        <v>20</v>
      </c>
      <c r="J3676">
        <v>5</v>
      </c>
      <c r="K3676">
        <v>0</v>
      </c>
      <c r="L3676">
        <v>29.3166666666667</v>
      </c>
    </row>
    <row r="3677" spans="1:12">
      <c r="A3677" t="s">
        <v>576</v>
      </c>
      <c r="B3677" t="s">
        <v>51</v>
      </c>
      <c r="C3677" t="s">
        <v>547</v>
      </c>
      <c r="D3677" t="s">
        <v>569</v>
      </c>
      <c r="E3677">
        <v>70</v>
      </c>
      <c r="F3677">
        <v>38</v>
      </c>
      <c r="G3677">
        <v>0.542857142857143</v>
      </c>
      <c r="H3677">
        <v>21</v>
      </c>
      <c r="I3677">
        <v>16</v>
      </c>
      <c r="J3677">
        <v>9</v>
      </c>
      <c r="K3677">
        <v>1</v>
      </c>
      <c r="L3677">
        <v>29.1666666666667</v>
      </c>
    </row>
    <row r="3678" spans="1:12">
      <c r="A3678" t="s">
        <v>576</v>
      </c>
      <c r="B3678" t="s">
        <v>51</v>
      </c>
      <c r="C3678" t="s">
        <v>547</v>
      </c>
      <c r="D3678" t="s">
        <v>554</v>
      </c>
      <c r="E3678">
        <v>44</v>
      </c>
      <c r="F3678">
        <v>20</v>
      </c>
      <c r="G3678">
        <v>0.454545454545454</v>
      </c>
      <c r="H3678">
        <v>5</v>
      </c>
      <c r="I3678">
        <v>4</v>
      </c>
      <c r="J3678">
        <v>3</v>
      </c>
      <c r="K3678">
        <v>0</v>
      </c>
      <c r="L3678">
        <v>8.81666666666667</v>
      </c>
    </row>
    <row r="3679" spans="1:12">
      <c r="A3679" t="s">
        <v>576</v>
      </c>
      <c r="B3679" t="s">
        <v>51</v>
      </c>
      <c r="C3679" t="s">
        <v>547</v>
      </c>
      <c r="D3679" t="s">
        <v>551</v>
      </c>
      <c r="E3679">
        <v>127</v>
      </c>
      <c r="F3679">
        <v>61</v>
      </c>
      <c r="G3679">
        <v>0.480314960629921</v>
      </c>
      <c r="H3679">
        <v>32</v>
      </c>
      <c r="I3679">
        <v>25</v>
      </c>
      <c r="J3679">
        <v>16</v>
      </c>
      <c r="K3679">
        <v>2</v>
      </c>
      <c r="L3679">
        <v>45.35</v>
      </c>
    </row>
    <row r="3680" spans="1:12">
      <c r="A3680" t="s">
        <v>576</v>
      </c>
      <c r="B3680" t="s">
        <v>51</v>
      </c>
      <c r="C3680" t="s">
        <v>547</v>
      </c>
      <c r="D3680" t="s">
        <v>567</v>
      </c>
      <c r="E3680">
        <v>90</v>
      </c>
      <c r="F3680">
        <v>39</v>
      </c>
      <c r="G3680">
        <v>0.433333333333333</v>
      </c>
      <c r="H3680">
        <v>15</v>
      </c>
      <c r="I3680">
        <v>9</v>
      </c>
      <c r="J3680">
        <v>6</v>
      </c>
      <c r="K3680">
        <v>1</v>
      </c>
      <c r="L3680">
        <v>25.2333333333333</v>
      </c>
    </row>
    <row r="3681" spans="1:12">
      <c r="A3681" t="s">
        <v>576</v>
      </c>
      <c r="B3681" t="s">
        <v>51</v>
      </c>
      <c r="C3681" t="s">
        <v>547</v>
      </c>
      <c r="D3681" t="s">
        <v>561</v>
      </c>
      <c r="E3681">
        <v>120</v>
      </c>
      <c r="F3681">
        <v>55</v>
      </c>
      <c r="G3681">
        <v>0.458333333333333</v>
      </c>
      <c r="H3681">
        <v>23</v>
      </c>
      <c r="I3681">
        <v>19</v>
      </c>
      <c r="J3681">
        <v>9</v>
      </c>
      <c r="K3681">
        <v>0</v>
      </c>
      <c r="L3681">
        <v>32.4166666666667</v>
      </c>
    </row>
    <row r="3682" spans="1:12">
      <c r="A3682" t="s">
        <v>576</v>
      </c>
      <c r="B3682" t="s">
        <v>51</v>
      </c>
      <c r="C3682" t="s">
        <v>547</v>
      </c>
      <c r="D3682" t="s">
        <v>563</v>
      </c>
      <c r="E3682">
        <v>138</v>
      </c>
      <c r="F3682">
        <v>68</v>
      </c>
      <c r="G3682">
        <v>0.492753623188406</v>
      </c>
      <c r="H3682">
        <v>29</v>
      </c>
      <c r="I3682">
        <v>23</v>
      </c>
      <c r="J3682">
        <v>11</v>
      </c>
      <c r="K3682">
        <v>2</v>
      </c>
      <c r="L3682">
        <v>44.35</v>
      </c>
    </row>
    <row r="3683" spans="1:12">
      <c r="A3683" t="s">
        <v>576</v>
      </c>
      <c r="B3683" t="s">
        <v>51</v>
      </c>
      <c r="C3683" t="s">
        <v>151</v>
      </c>
      <c r="D3683" t="s">
        <v>155</v>
      </c>
      <c r="E3683">
        <v>119</v>
      </c>
      <c r="F3683">
        <v>64</v>
      </c>
      <c r="G3683">
        <v>0.53781512605042</v>
      </c>
      <c r="H3683">
        <v>24</v>
      </c>
      <c r="I3683">
        <v>19</v>
      </c>
      <c r="J3683">
        <v>9</v>
      </c>
      <c r="K3683">
        <v>0</v>
      </c>
      <c r="L3683">
        <v>35.8666666666667</v>
      </c>
    </row>
    <row r="3684" spans="1:12">
      <c r="A3684" t="s">
        <v>576</v>
      </c>
      <c r="B3684" t="s">
        <v>51</v>
      </c>
      <c r="C3684" t="s">
        <v>151</v>
      </c>
      <c r="D3684" t="s">
        <v>175</v>
      </c>
      <c r="E3684">
        <v>186</v>
      </c>
      <c r="F3684">
        <v>95</v>
      </c>
      <c r="G3684">
        <v>0.510752688172043</v>
      </c>
      <c r="H3684">
        <v>24</v>
      </c>
      <c r="I3684">
        <v>11</v>
      </c>
      <c r="J3684">
        <v>4</v>
      </c>
      <c r="K3684">
        <v>1</v>
      </c>
      <c r="L3684">
        <v>42.5833333333333</v>
      </c>
    </row>
    <row r="3685" spans="1:12">
      <c r="A3685" t="s">
        <v>576</v>
      </c>
      <c r="B3685" t="s">
        <v>51</v>
      </c>
      <c r="C3685" t="s">
        <v>151</v>
      </c>
      <c r="D3685" t="s">
        <v>161</v>
      </c>
      <c r="E3685">
        <v>306</v>
      </c>
      <c r="F3685">
        <v>130</v>
      </c>
      <c r="G3685">
        <v>0.424836601307189</v>
      </c>
      <c r="H3685">
        <v>40</v>
      </c>
      <c r="I3685">
        <v>24</v>
      </c>
      <c r="J3685">
        <v>15</v>
      </c>
      <c r="K3685">
        <v>2</v>
      </c>
      <c r="L3685">
        <v>65.8333333333333</v>
      </c>
    </row>
    <row r="3686" spans="1:12">
      <c r="A3686" t="s">
        <v>576</v>
      </c>
      <c r="B3686" t="s">
        <v>51</v>
      </c>
      <c r="C3686" t="s">
        <v>151</v>
      </c>
      <c r="D3686" t="s">
        <v>166</v>
      </c>
      <c r="E3686">
        <v>172</v>
      </c>
      <c r="F3686">
        <v>86</v>
      </c>
      <c r="G3686">
        <v>0.5</v>
      </c>
      <c r="H3686">
        <v>26</v>
      </c>
      <c r="I3686">
        <v>16</v>
      </c>
      <c r="J3686">
        <v>11</v>
      </c>
      <c r="K3686">
        <v>0</v>
      </c>
      <c r="L3686">
        <v>42.5</v>
      </c>
    </row>
    <row r="3687" spans="1:12">
      <c r="A3687" t="s">
        <v>576</v>
      </c>
      <c r="B3687" t="s">
        <v>51</v>
      </c>
      <c r="C3687" t="s">
        <v>151</v>
      </c>
      <c r="D3687" t="s">
        <v>172</v>
      </c>
      <c r="E3687">
        <v>135</v>
      </c>
      <c r="F3687">
        <v>62</v>
      </c>
      <c r="G3687">
        <v>0.459259259259259</v>
      </c>
      <c r="H3687">
        <v>32</v>
      </c>
      <c r="I3687">
        <v>22</v>
      </c>
      <c r="J3687">
        <v>13</v>
      </c>
      <c r="K3687">
        <v>2</v>
      </c>
      <c r="L3687">
        <v>68.5333333333333</v>
      </c>
    </row>
    <row r="3688" spans="1:12">
      <c r="A3688" t="s">
        <v>576</v>
      </c>
      <c r="B3688" t="s">
        <v>51</v>
      </c>
      <c r="C3688" t="s">
        <v>151</v>
      </c>
      <c r="D3688" t="s">
        <v>169</v>
      </c>
      <c r="E3688">
        <v>164</v>
      </c>
      <c r="F3688">
        <v>104</v>
      </c>
      <c r="G3688">
        <v>0.634146341463415</v>
      </c>
      <c r="H3688">
        <v>48</v>
      </c>
      <c r="I3688">
        <v>31</v>
      </c>
      <c r="J3688">
        <v>22</v>
      </c>
      <c r="K3688">
        <v>2</v>
      </c>
      <c r="L3688">
        <v>75.85</v>
      </c>
    </row>
    <row r="3689" spans="1:12">
      <c r="A3689" t="s">
        <v>576</v>
      </c>
      <c r="B3689" t="s">
        <v>51</v>
      </c>
      <c r="C3689" t="s">
        <v>151</v>
      </c>
      <c r="D3689" t="s">
        <v>163</v>
      </c>
      <c r="E3689">
        <v>109</v>
      </c>
      <c r="F3689">
        <v>46</v>
      </c>
      <c r="G3689">
        <v>0.422018348623853</v>
      </c>
      <c r="H3689">
        <v>25</v>
      </c>
      <c r="I3689">
        <v>20</v>
      </c>
      <c r="J3689">
        <v>11</v>
      </c>
      <c r="K3689">
        <v>2</v>
      </c>
      <c r="L3689">
        <v>35.5166666666667</v>
      </c>
    </row>
    <row r="3690" spans="1:16">
      <c r="A3690" t="s">
        <v>576</v>
      </c>
      <c r="B3690" t="s">
        <v>51</v>
      </c>
      <c r="C3690" t="s">
        <v>151</v>
      </c>
      <c r="D3690" t="s">
        <v>158</v>
      </c>
      <c r="E3690">
        <v>55</v>
      </c>
      <c r="F3690">
        <v>22</v>
      </c>
      <c r="G3690">
        <v>0.4</v>
      </c>
      <c r="H3690">
        <v>11</v>
      </c>
      <c r="I3690">
        <v>10</v>
      </c>
      <c r="J3690">
        <v>4</v>
      </c>
      <c r="K3690">
        <v>1</v>
      </c>
      <c r="L3690">
        <v>19.7</v>
      </c>
      <c r="M3690">
        <v>1</v>
      </c>
      <c r="N3690">
        <v>1</v>
      </c>
      <c r="O3690">
        <v>1</v>
      </c>
      <c r="P3690">
        <v>22</v>
      </c>
    </row>
    <row r="3691" spans="1:16">
      <c r="A3691" t="s">
        <v>576</v>
      </c>
      <c r="B3691" t="s">
        <v>51</v>
      </c>
      <c r="C3691" t="s">
        <v>151</v>
      </c>
      <c r="D3691" t="s">
        <v>152</v>
      </c>
      <c r="E3691">
        <v>57</v>
      </c>
      <c r="F3691">
        <v>28</v>
      </c>
      <c r="G3691">
        <v>0.491228070175439</v>
      </c>
      <c r="H3691">
        <v>9</v>
      </c>
      <c r="I3691">
        <v>5</v>
      </c>
      <c r="J3691">
        <v>5</v>
      </c>
      <c r="K3691">
        <v>0</v>
      </c>
      <c r="L3691">
        <v>13.4166666666667</v>
      </c>
      <c r="M3691">
        <v>2</v>
      </c>
      <c r="N3691">
        <v>0</v>
      </c>
      <c r="O3691">
        <v>0</v>
      </c>
      <c r="P3691">
        <v>87</v>
      </c>
    </row>
    <row r="3692" spans="1:12">
      <c r="A3692" t="s">
        <v>576</v>
      </c>
      <c r="B3692" t="s">
        <v>51</v>
      </c>
      <c r="C3692" t="s">
        <v>224</v>
      </c>
      <c r="D3692" t="s">
        <v>235</v>
      </c>
      <c r="E3692">
        <v>259</v>
      </c>
      <c r="F3692">
        <v>105</v>
      </c>
      <c r="G3692">
        <v>0.405405405405405</v>
      </c>
      <c r="H3692">
        <v>32</v>
      </c>
      <c r="I3692">
        <v>22</v>
      </c>
      <c r="J3692">
        <v>12</v>
      </c>
      <c r="K3692">
        <v>0</v>
      </c>
      <c r="L3692">
        <v>50.0333333333333</v>
      </c>
    </row>
    <row r="3693" spans="1:12">
      <c r="A3693" t="s">
        <v>576</v>
      </c>
      <c r="B3693" t="s">
        <v>51</v>
      </c>
      <c r="C3693" t="s">
        <v>224</v>
      </c>
      <c r="D3693" t="s">
        <v>245</v>
      </c>
      <c r="E3693">
        <v>121</v>
      </c>
      <c r="F3693">
        <v>51</v>
      </c>
      <c r="G3693">
        <v>0.421487603305785</v>
      </c>
      <c r="H3693">
        <v>18</v>
      </c>
      <c r="I3693">
        <v>14</v>
      </c>
      <c r="J3693">
        <v>7</v>
      </c>
      <c r="K3693">
        <v>3</v>
      </c>
      <c r="L3693">
        <v>39.1</v>
      </c>
    </row>
    <row r="3694" spans="1:16">
      <c r="A3694" t="s">
        <v>576</v>
      </c>
      <c r="B3694" t="s">
        <v>51</v>
      </c>
      <c r="C3694" t="s">
        <v>224</v>
      </c>
      <c r="D3694" t="s">
        <v>231</v>
      </c>
      <c r="E3694">
        <v>113</v>
      </c>
      <c r="F3694">
        <v>60</v>
      </c>
      <c r="G3694">
        <v>0.530973451327434</v>
      </c>
      <c r="H3694">
        <v>30</v>
      </c>
      <c r="I3694">
        <v>21</v>
      </c>
      <c r="J3694">
        <v>14</v>
      </c>
      <c r="K3694">
        <v>2</v>
      </c>
      <c r="L3694">
        <v>43.75</v>
      </c>
      <c r="M3694">
        <v>1</v>
      </c>
      <c r="N3694">
        <v>0</v>
      </c>
      <c r="O3694">
        <v>0</v>
      </c>
      <c r="P3694">
        <v>161</v>
      </c>
    </row>
    <row r="3695" spans="1:12">
      <c r="A3695" t="s">
        <v>576</v>
      </c>
      <c r="B3695" t="s">
        <v>51</v>
      </c>
      <c r="C3695" t="s">
        <v>224</v>
      </c>
      <c r="D3695" t="s">
        <v>237</v>
      </c>
      <c r="E3695">
        <v>256</v>
      </c>
      <c r="F3695">
        <v>128</v>
      </c>
      <c r="G3695">
        <v>0.5</v>
      </c>
      <c r="H3695">
        <v>46</v>
      </c>
      <c r="I3695">
        <v>33</v>
      </c>
      <c r="J3695">
        <v>17</v>
      </c>
      <c r="K3695">
        <v>0</v>
      </c>
      <c r="L3695">
        <v>64.35</v>
      </c>
    </row>
    <row r="3696" spans="1:12">
      <c r="A3696" t="s">
        <v>576</v>
      </c>
      <c r="B3696" t="s">
        <v>51</v>
      </c>
      <c r="C3696" t="s">
        <v>224</v>
      </c>
      <c r="D3696" t="s">
        <v>242</v>
      </c>
      <c r="E3696">
        <v>197</v>
      </c>
      <c r="F3696">
        <v>103</v>
      </c>
      <c r="G3696">
        <v>0.522842639593909</v>
      </c>
      <c r="H3696">
        <v>38</v>
      </c>
      <c r="I3696">
        <v>31</v>
      </c>
      <c r="J3696">
        <v>17</v>
      </c>
      <c r="K3696">
        <v>1</v>
      </c>
      <c r="L3696">
        <v>60.7333333333333</v>
      </c>
    </row>
    <row r="3697" spans="1:12">
      <c r="A3697" t="s">
        <v>576</v>
      </c>
      <c r="B3697" t="s">
        <v>51</v>
      </c>
      <c r="C3697" t="s">
        <v>224</v>
      </c>
      <c r="D3697" t="s">
        <v>228</v>
      </c>
      <c r="E3697">
        <v>150</v>
      </c>
      <c r="F3697">
        <v>63</v>
      </c>
      <c r="G3697">
        <v>0.42</v>
      </c>
      <c r="H3697">
        <v>32</v>
      </c>
      <c r="I3697">
        <v>26</v>
      </c>
      <c r="J3697">
        <v>12</v>
      </c>
      <c r="K3697">
        <v>0</v>
      </c>
      <c r="L3697">
        <v>39.5</v>
      </c>
    </row>
    <row r="3698" spans="1:12">
      <c r="A3698" t="s">
        <v>576</v>
      </c>
      <c r="B3698" t="s">
        <v>51</v>
      </c>
      <c r="C3698" t="s">
        <v>224</v>
      </c>
      <c r="D3698" t="s">
        <v>239</v>
      </c>
      <c r="E3698">
        <v>174</v>
      </c>
      <c r="F3698">
        <v>88</v>
      </c>
      <c r="G3698">
        <v>0.505747126436782</v>
      </c>
      <c r="H3698">
        <v>44</v>
      </c>
      <c r="I3698">
        <v>36</v>
      </c>
      <c r="J3698">
        <v>23</v>
      </c>
      <c r="K3698">
        <v>1</v>
      </c>
      <c r="L3698">
        <v>62.6166666666667</v>
      </c>
    </row>
    <row r="3699" spans="1:12">
      <c r="A3699" t="s">
        <v>576</v>
      </c>
      <c r="B3699" t="s">
        <v>51</v>
      </c>
      <c r="C3699" t="s">
        <v>224</v>
      </c>
      <c r="D3699" t="s">
        <v>225</v>
      </c>
      <c r="E3699">
        <v>68</v>
      </c>
      <c r="F3699">
        <v>38</v>
      </c>
      <c r="G3699">
        <v>0.558823529411765</v>
      </c>
      <c r="H3699">
        <v>12</v>
      </c>
      <c r="I3699">
        <v>7</v>
      </c>
      <c r="J3699">
        <v>4</v>
      </c>
      <c r="K3699">
        <v>3</v>
      </c>
      <c r="L3699">
        <v>27.9666666666667</v>
      </c>
    </row>
    <row r="3700" spans="1:12">
      <c r="A3700" t="s">
        <v>576</v>
      </c>
      <c r="B3700" t="s">
        <v>51</v>
      </c>
      <c r="C3700" t="s">
        <v>264</v>
      </c>
      <c r="D3700" t="s">
        <v>448</v>
      </c>
      <c r="E3700">
        <v>184</v>
      </c>
      <c r="F3700">
        <v>82</v>
      </c>
      <c r="G3700">
        <v>0.445652173913044</v>
      </c>
      <c r="H3700">
        <v>37</v>
      </c>
      <c r="I3700">
        <v>28</v>
      </c>
      <c r="J3700">
        <v>18</v>
      </c>
      <c r="K3700">
        <v>1</v>
      </c>
      <c r="L3700">
        <v>58.5666666666667</v>
      </c>
    </row>
    <row r="3701" spans="1:12">
      <c r="A3701" t="s">
        <v>576</v>
      </c>
      <c r="B3701" t="s">
        <v>51</v>
      </c>
      <c r="C3701" t="s">
        <v>264</v>
      </c>
      <c r="D3701" t="s">
        <v>451</v>
      </c>
      <c r="E3701">
        <v>188</v>
      </c>
      <c r="F3701">
        <v>74</v>
      </c>
      <c r="G3701">
        <v>0.393617021276596</v>
      </c>
      <c r="H3701">
        <v>34</v>
      </c>
      <c r="I3701">
        <v>25</v>
      </c>
      <c r="J3701">
        <v>11</v>
      </c>
      <c r="K3701">
        <v>0</v>
      </c>
      <c r="L3701">
        <v>42.0333333333333</v>
      </c>
    </row>
    <row r="3702" spans="1:12">
      <c r="A3702" t="s">
        <v>576</v>
      </c>
      <c r="B3702" t="s">
        <v>51</v>
      </c>
      <c r="C3702" t="s">
        <v>264</v>
      </c>
      <c r="D3702" t="s">
        <v>466</v>
      </c>
      <c r="E3702">
        <v>200</v>
      </c>
      <c r="F3702">
        <v>80</v>
      </c>
      <c r="G3702">
        <v>0.4</v>
      </c>
      <c r="H3702">
        <v>20</v>
      </c>
      <c r="I3702">
        <v>17</v>
      </c>
      <c r="J3702">
        <v>5</v>
      </c>
      <c r="K3702">
        <v>0</v>
      </c>
      <c r="L3702">
        <v>32.3166666666667</v>
      </c>
    </row>
    <row r="3703" spans="1:12">
      <c r="A3703" t="s">
        <v>576</v>
      </c>
      <c r="B3703" t="s">
        <v>51</v>
      </c>
      <c r="C3703" t="s">
        <v>264</v>
      </c>
      <c r="D3703" t="s">
        <v>473</v>
      </c>
      <c r="E3703">
        <v>126</v>
      </c>
      <c r="F3703">
        <v>58</v>
      </c>
      <c r="G3703">
        <v>0.46031746031746</v>
      </c>
      <c r="H3703">
        <v>33</v>
      </c>
      <c r="I3703">
        <v>28</v>
      </c>
      <c r="J3703">
        <v>18</v>
      </c>
      <c r="K3703">
        <v>0</v>
      </c>
      <c r="L3703">
        <v>46.1833333333333</v>
      </c>
    </row>
    <row r="3704" spans="1:12">
      <c r="A3704" t="s">
        <v>576</v>
      </c>
      <c r="B3704" t="s">
        <v>51</v>
      </c>
      <c r="C3704" t="s">
        <v>264</v>
      </c>
      <c r="D3704" t="s">
        <v>457</v>
      </c>
      <c r="E3704">
        <v>164</v>
      </c>
      <c r="F3704">
        <v>72</v>
      </c>
      <c r="G3704">
        <v>0.439024390243902</v>
      </c>
      <c r="H3704">
        <v>28</v>
      </c>
      <c r="I3704">
        <v>17</v>
      </c>
      <c r="J3704">
        <v>10</v>
      </c>
      <c r="K3704">
        <v>0</v>
      </c>
      <c r="L3704">
        <v>38.0666666666667</v>
      </c>
    </row>
    <row r="3705" spans="1:12">
      <c r="A3705" t="s">
        <v>576</v>
      </c>
      <c r="B3705" t="s">
        <v>51</v>
      </c>
      <c r="C3705" t="s">
        <v>264</v>
      </c>
      <c r="D3705" t="s">
        <v>441</v>
      </c>
      <c r="E3705">
        <v>126</v>
      </c>
      <c r="F3705">
        <v>52</v>
      </c>
      <c r="G3705">
        <v>0.412698412698413</v>
      </c>
      <c r="H3705">
        <v>23</v>
      </c>
      <c r="I3705">
        <v>12</v>
      </c>
      <c r="J3705">
        <v>11</v>
      </c>
      <c r="K3705">
        <v>3</v>
      </c>
      <c r="L3705">
        <v>37.4</v>
      </c>
    </row>
    <row r="3706" spans="1:12">
      <c r="A3706" t="s">
        <v>576</v>
      </c>
      <c r="B3706" t="s">
        <v>51</v>
      </c>
      <c r="C3706" t="s">
        <v>264</v>
      </c>
      <c r="D3706" t="s">
        <v>471</v>
      </c>
      <c r="E3706">
        <v>34</v>
      </c>
      <c r="F3706">
        <v>13</v>
      </c>
      <c r="G3706">
        <v>0.382352941176471</v>
      </c>
      <c r="H3706">
        <v>8</v>
      </c>
      <c r="I3706">
        <v>7</v>
      </c>
      <c r="J3706">
        <v>5</v>
      </c>
      <c r="K3706">
        <v>0</v>
      </c>
      <c r="L3706">
        <v>11.0166666666667</v>
      </c>
    </row>
    <row r="3707" spans="1:12">
      <c r="A3707" t="s">
        <v>576</v>
      </c>
      <c r="B3707" t="s">
        <v>51</v>
      </c>
      <c r="C3707" t="s">
        <v>264</v>
      </c>
      <c r="D3707" t="s">
        <v>445</v>
      </c>
      <c r="E3707">
        <v>186</v>
      </c>
      <c r="F3707">
        <v>93</v>
      </c>
      <c r="G3707">
        <v>0.5</v>
      </c>
      <c r="H3707">
        <v>30</v>
      </c>
      <c r="I3707">
        <v>20</v>
      </c>
      <c r="J3707">
        <v>8</v>
      </c>
      <c r="K3707">
        <v>3</v>
      </c>
      <c r="L3707">
        <v>52.4833333333333</v>
      </c>
    </row>
    <row r="3708" spans="1:12">
      <c r="A3708" t="s">
        <v>576</v>
      </c>
      <c r="B3708" t="s">
        <v>51</v>
      </c>
      <c r="C3708" t="s">
        <v>264</v>
      </c>
      <c r="D3708" t="s">
        <v>454</v>
      </c>
      <c r="E3708">
        <v>149</v>
      </c>
      <c r="F3708">
        <v>70</v>
      </c>
      <c r="G3708">
        <v>0.469798657718121</v>
      </c>
      <c r="H3708">
        <v>33</v>
      </c>
      <c r="I3708">
        <v>26</v>
      </c>
      <c r="J3708">
        <v>8</v>
      </c>
      <c r="K3708">
        <v>0</v>
      </c>
      <c r="L3708">
        <v>40.2833333333333</v>
      </c>
    </row>
    <row r="3709" spans="1:12">
      <c r="A3709" t="s">
        <v>576</v>
      </c>
      <c r="B3709" t="s">
        <v>51</v>
      </c>
      <c r="C3709" t="s">
        <v>22</v>
      </c>
      <c r="D3709" t="s">
        <v>310</v>
      </c>
      <c r="E3709">
        <v>214</v>
      </c>
      <c r="F3709">
        <v>79</v>
      </c>
      <c r="G3709">
        <v>0.369158878504673</v>
      </c>
      <c r="H3709">
        <v>40</v>
      </c>
      <c r="I3709">
        <v>28</v>
      </c>
      <c r="J3709">
        <v>21</v>
      </c>
      <c r="K3709">
        <v>2</v>
      </c>
      <c r="L3709">
        <v>59.9166666666667</v>
      </c>
    </row>
    <row r="3710" spans="1:12">
      <c r="A3710" t="s">
        <v>576</v>
      </c>
      <c r="B3710" t="s">
        <v>51</v>
      </c>
      <c r="C3710" t="s">
        <v>22</v>
      </c>
      <c r="D3710" t="s">
        <v>302</v>
      </c>
      <c r="E3710">
        <v>42</v>
      </c>
      <c r="F3710">
        <v>22</v>
      </c>
      <c r="G3710">
        <v>0.523809523809524</v>
      </c>
      <c r="H3710">
        <v>12</v>
      </c>
      <c r="I3710">
        <v>10</v>
      </c>
      <c r="J3710">
        <v>7</v>
      </c>
      <c r="K3710">
        <v>0</v>
      </c>
      <c r="L3710">
        <v>16.8666666666667</v>
      </c>
    </row>
    <row r="3711" spans="1:12">
      <c r="A3711" t="s">
        <v>576</v>
      </c>
      <c r="B3711" t="s">
        <v>51</v>
      </c>
      <c r="C3711" t="s">
        <v>22</v>
      </c>
      <c r="D3711" t="s">
        <v>307</v>
      </c>
      <c r="E3711">
        <v>35</v>
      </c>
      <c r="F3711">
        <v>13</v>
      </c>
      <c r="G3711">
        <v>0.371428571428571</v>
      </c>
      <c r="H3711">
        <v>6</v>
      </c>
      <c r="I3711">
        <v>4</v>
      </c>
      <c r="J3711">
        <v>1</v>
      </c>
      <c r="K3711">
        <v>0</v>
      </c>
      <c r="L3711">
        <v>6.58333333333333</v>
      </c>
    </row>
    <row r="3712" spans="1:12">
      <c r="A3712" t="s">
        <v>576</v>
      </c>
      <c r="B3712" t="s">
        <v>51</v>
      </c>
      <c r="C3712" t="s">
        <v>22</v>
      </c>
      <c r="D3712" t="s">
        <v>299</v>
      </c>
      <c r="E3712">
        <v>13</v>
      </c>
      <c r="F3712">
        <v>5</v>
      </c>
      <c r="G3712">
        <v>0.384615384615385</v>
      </c>
      <c r="H3712">
        <v>4</v>
      </c>
      <c r="I3712">
        <v>4</v>
      </c>
      <c r="J3712">
        <v>4</v>
      </c>
      <c r="K3712">
        <v>0</v>
      </c>
      <c r="L3712">
        <v>8.58333333333333</v>
      </c>
    </row>
    <row r="3713" spans="1:12">
      <c r="A3713" t="s">
        <v>576</v>
      </c>
      <c r="B3713" t="s">
        <v>51</v>
      </c>
      <c r="C3713" t="s">
        <v>22</v>
      </c>
      <c r="D3713" t="s">
        <v>293</v>
      </c>
      <c r="E3713">
        <v>26</v>
      </c>
      <c r="F3713">
        <v>8</v>
      </c>
      <c r="G3713">
        <v>0.307692307692308</v>
      </c>
      <c r="H3713">
        <v>5</v>
      </c>
      <c r="I3713">
        <v>3</v>
      </c>
      <c r="J3713">
        <v>3</v>
      </c>
      <c r="K3713">
        <v>1</v>
      </c>
      <c r="L3713">
        <v>10.5666666666667</v>
      </c>
    </row>
    <row r="3714" spans="1:12">
      <c r="A3714" t="s">
        <v>576</v>
      </c>
      <c r="B3714" t="s">
        <v>51</v>
      </c>
      <c r="C3714" t="s">
        <v>22</v>
      </c>
      <c r="D3714" t="s">
        <v>296</v>
      </c>
      <c r="E3714">
        <v>16</v>
      </c>
      <c r="F3714">
        <v>5</v>
      </c>
      <c r="G3714">
        <v>0.3125</v>
      </c>
      <c r="H3714">
        <v>4</v>
      </c>
      <c r="I3714">
        <v>4</v>
      </c>
      <c r="J3714">
        <v>1</v>
      </c>
      <c r="K3714">
        <v>0</v>
      </c>
      <c r="L3714">
        <v>4.26666666666667</v>
      </c>
    </row>
    <row r="3715" spans="1:12">
      <c r="A3715" t="s">
        <v>576</v>
      </c>
      <c r="B3715" t="s">
        <v>51</v>
      </c>
      <c r="C3715" t="s">
        <v>22</v>
      </c>
      <c r="D3715" t="s">
        <v>305</v>
      </c>
      <c r="E3715">
        <v>14</v>
      </c>
      <c r="F3715">
        <v>3</v>
      </c>
      <c r="G3715">
        <v>0.214285714285714</v>
      </c>
      <c r="H3715">
        <v>3</v>
      </c>
      <c r="I3715">
        <v>3</v>
      </c>
      <c r="J3715">
        <v>1</v>
      </c>
      <c r="K3715">
        <v>0</v>
      </c>
      <c r="L3715">
        <v>3.93333333333333</v>
      </c>
    </row>
    <row r="3716" spans="1:12">
      <c r="A3716" t="s">
        <v>576</v>
      </c>
      <c r="B3716" t="s">
        <v>51</v>
      </c>
      <c r="C3716" t="s">
        <v>22</v>
      </c>
      <c r="D3716" t="s">
        <v>313</v>
      </c>
      <c r="E3716">
        <v>10</v>
      </c>
      <c r="F3716">
        <v>3</v>
      </c>
      <c r="G3716">
        <v>0.3</v>
      </c>
      <c r="H3716">
        <v>2</v>
      </c>
      <c r="I3716">
        <v>1</v>
      </c>
      <c r="J3716">
        <v>0</v>
      </c>
      <c r="K3716">
        <v>0</v>
      </c>
      <c r="L3716">
        <v>1.46666666666667</v>
      </c>
    </row>
    <row r="3717" spans="1:16">
      <c r="A3717" t="s">
        <v>576</v>
      </c>
      <c r="B3717" t="s">
        <v>621</v>
      </c>
      <c r="C3717" t="s">
        <v>52</v>
      </c>
      <c r="D3717" t="s">
        <v>622</v>
      </c>
      <c r="E3717">
        <v>48</v>
      </c>
      <c r="F3717">
        <v>18</v>
      </c>
      <c r="G3717">
        <v>0.375</v>
      </c>
      <c r="H3717">
        <v>3</v>
      </c>
      <c r="I3717">
        <v>2</v>
      </c>
      <c r="J3717">
        <v>0</v>
      </c>
      <c r="K3717">
        <v>0</v>
      </c>
      <c r="L3717">
        <v>5.6</v>
      </c>
      <c r="M3717">
        <v>1</v>
      </c>
      <c r="N3717">
        <v>0</v>
      </c>
      <c r="O3717">
        <v>0</v>
      </c>
      <c r="P3717">
        <v>73</v>
      </c>
    </row>
    <row r="3718" spans="1:16">
      <c r="A3718" t="s">
        <v>576</v>
      </c>
      <c r="B3718" t="s">
        <v>621</v>
      </c>
      <c r="C3718" t="s">
        <v>52</v>
      </c>
      <c r="D3718" t="s">
        <v>623</v>
      </c>
      <c r="E3718">
        <v>52</v>
      </c>
      <c r="F3718">
        <v>23</v>
      </c>
      <c r="G3718">
        <v>0.442307692307692</v>
      </c>
      <c r="H3718">
        <v>12</v>
      </c>
      <c r="I3718">
        <v>7</v>
      </c>
      <c r="J3718">
        <v>2</v>
      </c>
      <c r="K3718">
        <v>0</v>
      </c>
      <c r="L3718">
        <v>12.7833333333333</v>
      </c>
      <c r="M3718">
        <v>1</v>
      </c>
      <c r="N3718">
        <v>0</v>
      </c>
      <c r="O3718">
        <v>0</v>
      </c>
      <c r="P3718">
        <v>79</v>
      </c>
    </row>
    <row r="3719" spans="1:16">
      <c r="A3719" t="s">
        <v>576</v>
      </c>
      <c r="B3719" t="s">
        <v>621</v>
      </c>
      <c r="C3719" t="s">
        <v>52</v>
      </c>
      <c r="D3719" t="s">
        <v>624</v>
      </c>
      <c r="E3719">
        <v>12</v>
      </c>
      <c r="F3719">
        <v>8</v>
      </c>
      <c r="G3719">
        <v>0.666666666666667</v>
      </c>
      <c r="H3719">
        <v>4</v>
      </c>
      <c r="I3719">
        <v>3</v>
      </c>
      <c r="J3719">
        <v>3</v>
      </c>
      <c r="K3719">
        <v>1</v>
      </c>
      <c r="L3719">
        <v>6.9</v>
      </c>
      <c r="M3719">
        <v>2</v>
      </c>
      <c r="N3719">
        <v>0</v>
      </c>
      <c r="O3719">
        <v>0</v>
      </c>
      <c r="P3719">
        <v>37</v>
      </c>
    </row>
    <row r="3720" spans="1:16">
      <c r="A3720" t="s">
        <v>576</v>
      </c>
      <c r="B3720" t="s">
        <v>621</v>
      </c>
      <c r="C3720" t="s">
        <v>52</v>
      </c>
      <c r="D3720" t="s">
        <v>625</v>
      </c>
      <c r="E3720">
        <v>8</v>
      </c>
      <c r="F3720">
        <v>7</v>
      </c>
      <c r="G3720">
        <v>0.875</v>
      </c>
      <c r="H3720">
        <v>5</v>
      </c>
      <c r="I3720">
        <v>5</v>
      </c>
      <c r="J3720">
        <v>4</v>
      </c>
      <c r="K3720">
        <v>0</v>
      </c>
      <c r="L3720">
        <v>7.63333333333333</v>
      </c>
      <c r="M3720">
        <v>1</v>
      </c>
      <c r="N3720">
        <v>1</v>
      </c>
      <c r="O3720">
        <v>1</v>
      </c>
      <c r="P3720">
        <v>88</v>
      </c>
    </row>
    <row r="3721" spans="1:12">
      <c r="A3721" t="s">
        <v>576</v>
      </c>
      <c r="B3721" t="s">
        <v>621</v>
      </c>
      <c r="C3721" t="s">
        <v>264</v>
      </c>
      <c r="D3721" t="s">
        <v>626</v>
      </c>
      <c r="E3721">
        <v>176</v>
      </c>
      <c r="F3721">
        <v>75</v>
      </c>
      <c r="G3721">
        <v>0.426136363636364</v>
      </c>
      <c r="H3721">
        <v>37</v>
      </c>
      <c r="I3721">
        <v>27</v>
      </c>
      <c r="J3721">
        <v>20</v>
      </c>
      <c r="K3721">
        <v>1</v>
      </c>
      <c r="L3721">
        <v>57.2166666666667</v>
      </c>
    </row>
    <row r="3722" spans="1:12">
      <c r="A3722" t="s">
        <v>576</v>
      </c>
      <c r="B3722" t="s">
        <v>621</v>
      </c>
      <c r="C3722" t="s">
        <v>264</v>
      </c>
      <c r="D3722" t="s">
        <v>627</v>
      </c>
      <c r="E3722">
        <v>122</v>
      </c>
      <c r="F3722">
        <v>64</v>
      </c>
      <c r="G3722">
        <v>0.524590163934426</v>
      </c>
      <c r="H3722">
        <v>27</v>
      </c>
      <c r="I3722">
        <v>18</v>
      </c>
      <c r="J3722">
        <v>12</v>
      </c>
      <c r="K3722">
        <v>2</v>
      </c>
      <c r="L3722">
        <v>41.1333333333333</v>
      </c>
    </row>
    <row r="3723" spans="1:16">
      <c r="A3723" t="s">
        <v>576</v>
      </c>
      <c r="B3723" t="s">
        <v>621</v>
      </c>
      <c r="C3723" t="s">
        <v>264</v>
      </c>
      <c r="D3723" t="s">
        <v>628</v>
      </c>
      <c r="E3723">
        <v>115</v>
      </c>
      <c r="F3723">
        <v>50</v>
      </c>
      <c r="G3723">
        <v>0.434782608695652</v>
      </c>
      <c r="H3723">
        <v>30</v>
      </c>
      <c r="I3723">
        <v>22</v>
      </c>
      <c r="J3723">
        <v>13</v>
      </c>
      <c r="K3723">
        <v>0</v>
      </c>
      <c r="L3723">
        <v>36.5166666666667</v>
      </c>
      <c r="M3723">
        <v>1</v>
      </c>
      <c r="N3723">
        <v>0</v>
      </c>
      <c r="O3723">
        <v>0</v>
      </c>
      <c r="P3723">
        <v>0</v>
      </c>
    </row>
    <row r="3724" spans="1:16">
      <c r="A3724" t="s">
        <v>576</v>
      </c>
      <c r="B3724" t="s">
        <v>621</v>
      </c>
      <c r="C3724" t="s">
        <v>264</v>
      </c>
      <c r="D3724" t="s">
        <v>629</v>
      </c>
      <c r="E3724">
        <v>153</v>
      </c>
      <c r="F3724">
        <v>57</v>
      </c>
      <c r="G3724">
        <v>0.372549019607843</v>
      </c>
      <c r="H3724">
        <v>19</v>
      </c>
      <c r="I3724">
        <v>14</v>
      </c>
      <c r="J3724">
        <v>11</v>
      </c>
      <c r="K3724">
        <v>1</v>
      </c>
      <c r="L3724">
        <v>30.5833333333333</v>
      </c>
      <c r="M3724">
        <v>1</v>
      </c>
      <c r="N3724">
        <v>1</v>
      </c>
      <c r="O3724">
        <v>1</v>
      </c>
      <c r="P3724">
        <v>151</v>
      </c>
    </row>
    <row r="3725" spans="1:12">
      <c r="A3725" t="s">
        <v>576</v>
      </c>
      <c r="B3725" t="s">
        <v>621</v>
      </c>
      <c r="C3725" t="s">
        <v>264</v>
      </c>
      <c r="D3725" t="s">
        <v>630</v>
      </c>
      <c r="E3725">
        <v>141</v>
      </c>
      <c r="F3725">
        <v>54</v>
      </c>
      <c r="G3725">
        <v>0.382978723404255</v>
      </c>
      <c r="H3725">
        <v>25</v>
      </c>
      <c r="I3725">
        <v>18</v>
      </c>
      <c r="J3725">
        <v>10</v>
      </c>
      <c r="K3725">
        <v>2</v>
      </c>
      <c r="L3725">
        <v>50.6833333333333</v>
      </c>
    </row>
    <row r="3726" spans="1:12">
      <c r="A3726" t="s">
        <v>576</v>
      </c>
      <c r="B3726" t="s">
        <v>621</v>
      </c>
      <c r="C3726" t="s">
        <v>264</v>
      </c>
      <c r="D3726" t="s">
        <v>631</v>
      </c>
      <c r="E3726">
        <v>184</v>
      </c>
      <c r="F3726">
        <v>108</v>
      </c>
      <c r="G3726">
        <v>0.58695652173913</v>
      </c>
      <c r="H3726">
        <v>30</v>
      </c>
      <c r="I3726">
        <v>24</v>
      </c>
      <c r="J3726">
        <v>7</v>
      </c>
      <c r="K3726">
        <v>0</v>
      </c>
      <c r="L3726">
        <v>47.9</v>
      </c>
    </row>
    <row r="3727" spans="1:12">
      <c r="A3727" t="s">
        <v>576</v>
      </c>
      <c r="B3727" t="s">
        <v>621</v>
      </c>
      <c r="C3727" t="s">
        <v>264</v>
      </c>
      <c r="D3727" t="s">
        <v>632</v>
      </c>
      <c r="E3727">
        <v>121</v>
      </c>
      <c r="F3727">
        <v>53</v>
      </c>
      <c r="G3727">
        <v>0.43801652892562</v>
      </c>
      <c r="H3727">
        <v>25</v>
      </c>
      <c r="I3727">
        <v>20</v>
      </c>
      <c r="J3727">
        <v>16</v>
      </c>
      <c r="K3727">
        <v>1</v>
      </c>
      <c r="L3727">
        <v>38.2666666666667</v>
      </c>
    </row>
    <row r="3728" spans="1:12">
      <c r="A3728" t="s">
        <v>576</v>
      </c>
      <c r="B3728" t="s">
        <v>621</v>
      </c>
      <c r="C3728" t="s">
        <v>22</v>
      </c>
      <c r="D3728" t="s">
        <v>633</v>
      </c>
      <c r="E3728">
        <v>106</v>
      </c>
      <c r="F3728">
        <v>48</v>
      </c>
      <c r="G3728">
        <v>0.452830188679245</v>
      </c>
      <c r="H3728">
        <v>20</v>
      </c>
      <c r="I3728">
        <v>14</v>
      </c>
      <c r="J3728">
        <v>3</v>
      </c>
      <c r="K3728">
        <v>0</v>
      </c>
      <c r="L3728">
        <v>24.75</v>
      </c>
    </row>
    <row r="3729" spans="1:12">
      <c r="A3729" t="s">
        <v>576</v>
      </c>
      <c r="B3729" t="s">
        <v>621</v>
      </c>
      <c r="C3729" t="s">
        <v>22</v>
      </c>
      <c r="D3729" t="s">
        <v>634</v>
      </c>
      <c r="E3729">
        <v>42</v>
      </c>
      <c r="F3729">
        <v>24</v>
      </c>
      <c r="G3729">
        <v>0.571428571428571</v>
      </c>
      <c r="H3729">
        <v>18</v>
      </c>
      <c r="I3729">
        <v>15</v>
      </c>
      <c r="J3729">
        <v>11</v>
      </c>
      <c r="K3729">
        <v>1</v>
      </c>
      <c r="L3729">
        <v>24.5166666666667</v>
      </c>
    </row>
    <row r="3730" spans="1:12">
      <c r="A3730" t="s">
        <v>576</v>
      </c>
      <c r="B3730" t="s">
        <v>621</v>
      </c>
      <c r="C3730" t="s">
        <v>22</v>
      </c>
      <c r="D3730" t="s">
        <v>635</v>
      </c>
      <c r="E3730">
        <v>1</v>
      </c>
      <c r="F3730">
        <v>1</v>
      </c>
      <c r="G3730">
        <v>1</v>
      </c>
      <c r="H3730">
        <v>1</v>
      </c>
      <c r="I3730">
        <v>1</v>
      </c>
      <c r="J3730">
        <v>1</v>
      </c>
      <c r="K3730">
        <v>0</v>
      </c>
      <c r="L3730">
        <v>1.65</v>
      </c>
    </row>
    <row r="3731" spans="1:12">
      <c r="A3731" t="s">
        <v>576</v>
      </c>
      <c r="B3731" t="s">
        <v>636</v>
      </c>
      <c r="C3731" t="s">
        <v>102</v>
      </c>
      <c r="D3731" t="s">
        <v>637</v>
      </c>
      <c r="E3731">
        <v>1</v>
      </c>
      <c r="F3731">
        <v>1</v>
      </c>
      <c r="G3731">
        <v>1</v>
      </c>
      <c r="H3731">
        <v>0</v>
      </c>
      <c r="I3731">
        <v>0</v>
      </c>
      <c r="J3731">
        <v>0</v>
      </c>
      <c r="K3731">
        <v>0</v>
      </c>
      <c r="L3731">
        <v>0.0666666666666667</v>
      </c>
    </row>
    <row r="3732" spans="1:12">
      <c r="A3732" t="s">
        <v>576</v>
      </c>
      <c r="B3732" t="s">
        <v>636</v>
      </c>
      <c r="C3732" t="s">
        <v>52</v>
      </c>
      <c r="D3732" t="s">
        <v>638</v>
      </c>
      <c r="E3732">
        <v>78</v>
      </c>
      <c r="F3732">
        <v>42</v>
      </c>
      <c r="G3732">
        <v>0.538461538461538</v>
      </c>
      <c r="H3732">
        <v>20</v>
      </c>
      <c r="I3732">
        <v>15</v>
      </c>
      <c r="J3732">
        <v>12</v>
      </c>
      <c r="K3732">
        <v>1</v>
      </c>
      <c r="L3732">
        <v>34.3166666666667</v>
      </c>
    </row>
    <row r="3733" spans="1:16">
      <c r="A3733" t="s">
        <v>576</v>
      </c>
      <c r="B3733" t="s">
        <v>636</v>
      </c>
      <c r="C3733" t="s">
        <v>52</v>
      </c>
      <c r="D3733" t="s">
        <v>639</v>
      </c>
      <c r="M3733">
        <v>1</v>
      </c>
      <c r="N3733">
        <v>0</v>
      </c>
      <c r="O3733">
        <v>0</v>
      </c>
      <c r="P3733">
        <v>62</v>
      </c>
    </row>
    <row r="3734" spans="1:16">
      <c r="A3734" t="s">
        <v>576</v>
      </c>
      <c r="B3734" t="s">
        <v>636</v>
      </c>
      <c r="C3734" t="s">
        <v>52</v>
      </c>
      <c r="D3734" t="s">
        <v>640</v>
      </c>
      <c r="E3734">
        <v>1</v>
      </c>
      <c r="F3734">
        <v>1</v>
      </c>
      <c r="G3734">
        <v>1</v>
      </c>
      <c r="H3734">
        <v>0</v>
      </c>
      <c r="I3734">
        <v>0</v>
      </c>
      <c r="J3734">
        <v>0</v>
      </c>
      <c r="K3734">
        <v>0</v>
      </c>
      <c r="L3734">
        <v>0.183333333333333</v>
      </c>
      <c r="M3734">
        <v>2</v>
      </c>
      <c r="N3734">
        <v>0</v>
      </c>
      <c r="O3734">
        <v>0</v>
      </c>
      <c r="P3734">
        <v>60</v>
      </c>
    </row>
    <row r="3735" spans="1:12">
      <c r="A3735" t="s">
        <v>576</v>
      </c>
      <c r="B3735" t="s">
        <v>636</v>
      </c>
      <c r="C3735" t="s">
        <v>52</v>
      </c>
      <c r="D3735" t="s">
        <v>641</v>
      </c>
      <c r="E3735">
        <v>18</v>
      </c>
      <c r="F3735">
        <v>7</v>
      </c>
      <c r="G3735">
        <v>0.388888888888889</v>
      </c>
      <c r="H3735">
        <v>2</v>
      </c>
      <c r="I3735">
        <v>2</v>
      </c>
      <c r="J3735">
        <v>2</v>
      </c>
      <c r="K3735">
        <v>0</v>
      </c>
      <c r="L3735">
        <v>5.25</v>
      </c>
    </row>
    <row r="3736" spans="1:12">
      <c r="A3736" t="s">
        <v>576</v>
      </c>
      <c r="B3736" t="s">
        <v>636</v>
      </c>
      <c r="C3736" t="s">
        <v>52</v>
      </c>
      <c r="D3736" t="s">
        <v>642</v>
      </c>
      <c r="E3736">
        <v>42</v>
      </c>
      <c r="F3736">
        <v>14</v>
      </c>
      <c r="G3736">
        <v>0.333333333333333</v>
      </c>
      <c r="H3736">
        <v>4</v>
      </c>
      <c r="I3736">
        <v>4</v>
      </c>
      <c r="J3736">
        <v>3</v>
      </c>
      <c r="K3736">
        <v>0</v>
      </c>
      <c r="L3736">
        <v>6.4</v>
      </c>
    </row>
    <row r="3737" spans="1:12">
      <c r="A3737" t="s">
        <v>576</v>
      </c>
      <c r="B3737" t="s">
        <v>636</v>
      </c>
      <c r="C3737" t="s">
        <v>151</v>
      </c>
      <c r="D3737" t="s">
        <v>643</v>
      </c>
      <c r="E3737">
        <v>129</v>
      </c>
      <c r="F3737">
        <v>62</v>
      </c>
      <c r="G3737">
        <v>0.48062015503876</v>
      </c>
      <c r="H3737">
        <v>25</v>
      </c>
      <c r="I3737">
        <v>15</v>
      </c>
      <c r="J3737">
        <v>10</v>
      </c>
      <c r="K3737">
        <v>2</v>
      </c>
      <c r="L3737">
        <v>41.1666666666667</v>
      </c>
    </row>
    <row r="3738" spans="1:16">
      <c r="A3738" t="s">
        <v>576</v>
      </c>
      <c r="B3738" t="s">
        <v>636</v>
      </c>
      <c r="C3738" t="s">
        <v>151</v>
      </c>
      <c r="D3738" t="s">
        <v>644</v>
      </c>
      <c r="M3738">
        <v>2</v>
      </c>
      <c r="N3738">
        <v>1</v>
      </c>
      <c r="O3738">
        <v>0.5</v>
      </c>
      <c r="P3738">
        <v>71</v>
      </c>
    </row>
    <row r="3739" spans="1:12">
      <c r="A3739" t="s">
        <v>576</v>
      </c>
      <c r="B3739" t="s">
        <v>636</v>
      </c>
      <c r="C3739" t="s">
        <v>151</v>
      </c>
      <c r="D3739" t="s">
        <v>645</v>
      </c>
      <c r="E3739">
        <v>179</v>
      </c>
      <c r="F3739">
        <v>84</v>
      </c>
      <c r="G3739">
        <v>0.46927374301676</v>
      </c>
      <c r="H3739">
        <v>30</v>
      </c>
      <c r="I3739">
        <v>17</v>
      </c>
      <c r="J3739">
        <v>8</v>
      </c>
      <c r="K3739">
        <v>0</v>
      </c>
      <c r="L3739">
        <v>41.2833333333333</v>
      </c>
    </row>
    <row r="3740" spans="1:16">
      <c r="A3740" t="s">
        <v>576</v>
      </c>
      <c r="B3740" t="s">
        <v>636</v>
      </c>
      <c r="C3740" t="s">
        <v>151</v>
      </c>
      <c r="D3740" t="s">
        <v>646</v>
      </c>
      <c r="E3740">
        <v>42</v>
      </c>
      <c r="F3740">
        <v>21</v>
      </c>
      <c r="G3740">
        <v>0.5</v>
      </c>
      <c r="H3740">
        <v>12</v>
      </c>
      <c r="I3740">
        <v>11</v>
      </c>
      <c r="J3740">
        <v>8</v>
      </c>
      <c r="K3740">
        <v>0</v>
      </c>
      <c r="L3740">
        <v>16.6666666666667</v>
      </c>
      <c r="M3740">
        <v>1</v>
      </c>
      <c r="N3740">
        <v>0</v>
      </c>
      <c r="O3740">
        <v>0</v>
      </c>
      <c r="P3740">
        <v>0</v>
      </c>
    </row>
    <row r="3741" spans="1:12">
      <c r="A3741" t="s">
        <v>576</v>
      </c>
      <c r="B3741" t="s">
        <v>636</v>
      </c>
      <c r="C3741" t="s">
        <v>151</v>
      </c>
      <c r="D3741" t="s">
        <v>647</v>
      </c>
      <c r="E3741">
        <v>78</v>
      </c>
      <c r="F3741">
        <v>32</v>
      </c>
      <c r="G3741">
        <v>0.41025641025641</v>
      </c>
      <c r="H3741">
        <v>17</v>
      </c>
      <c r="I3741">
        <v>13</v>
      </c>
      <c r="J3741">
        <v>5</v>
      </c>
      <c r="K3741">
        <v>2</v>
      </c>
      <c r="L3741">
        <v>27.1833333333333</v>
      </c>
    </row>
    <row r="3742" spans="1:12">
      <c r="A3742" t="s">
        <v>576</v>
      </c>
      <c r="B3742" t="s">
        <v>636</v>
      </c>
      <c r="C3742" t="s">
        <v>151</v>
      </c>
      <c r="D3742" t="s">
        <v>648</v>
      </c>
      <c r="E3742">
        <v>167</v>
      </c>
      <c r="F3742">
        <v>66</v>
      </c>
      <c r="G3742">
        <v>0.395209580838323</v>
      </c>
      <c r="H3742">
        <v>23</v>
      </c>
      <c r="I3742">
        <v>20</v>
      </c>
      <c r="J3742">
        <v>8</v>
      </c>
      <c r="K3742">
        <v>1</v>
      </c>
      <c r="L3742">
        <v>38.5833333333333</v>
      </c>
    </row>
    <row r="3743" spans="1:12">
      <c r="A3743" t="s">
        <v>576</v>
      </c>
      <c r="B3743" t="s">
        <v>636</v>
      </c>
      <c r="C3743" t="s">
        <v>151</v>
      </c>
      <c r="D3743" t="s">
        <v>649</v>
      </c>
      <c r="E3743">
        <v>60</v>
      </c>
      <c r="F3743">
        <v>20</v>
      </c>
      <c r="G3743">
        <v>0.333333333333333</v>
      </c>
      <c r="H3743">
        <v>8</v>
      </c>
      <c r="I3743">
        <v>8</v>
      </c>
      <c r="J3743">
        <v>5</v>
      </c>
      <c r="K3743">
        <v>0</v>
      </c>
      <c r="L3743">
        <v>12.3166666666667</v>
      </c>
    </row>
    <row r="3744" spans="1:12">
      <c r="A3744" t="s">
        <v>576</v>
      </c>
      <c r="B3744" t="s">
        <v>636</v>
      </c>
      <c r="C3744" t="s">
        <v>151</v>
      </c>
      <c r="D3744" t="s">
        <v>650</v>
      </c>
      <c r="E3744">
        <v>202</v>
      </c>
      <c r="F3744">
        <v>106</v>
      </c>
      <c r="G3744">
        <v>0.524752475247525</v>
      </c>
      <c r="H3744">
        <v>42</v>
      </c>
      <c r="I3744">
        <v>33</v>
      </c>
      <c r="J3744">
        <v>8</v>
      </c>
      <c r="K3744">
        <v>0</v>
      </c>
      <c r="L3744">
        <v>55.5</v>
      </c>
    </row>
    <row r="3745" spans="1:12">
      <c r="A3745" t="s">
        <v>576</v>
      </c>
      <c r="B3745" t="s">
        <v>636</v>
      </c>
      <c r="C3745" t="s">
        <v>224</v>
      </c>
      <c r="D3745" t="s">
        <v>651</v>
      </c>
      <c r="E3745">
        <v>237</v>
      </c>
      <c r="F3745">
        <v>123</v>
      </c>
      <c r="G3745">
        <v>0.518987341772152</v>
      </c>
      <c r="H3745">
        <v>42</v>
      </c>
      <c r="I3745">
        <v>34</v>
      </c>
      <c r="J3745">
        <v>17</v>
      </c>
      <c r="K3745">
        <v>0</v>
      </c>
      <c r="L3745">
        <v>62.4833333333333</v>
      </c>
    </row>
    <row r="3746" spans="1:16">
      <c r="A3746" t="s">
        <v>576</v>
      </c>
      <c r="B3746" t="s">
        <v>636</v>
      </c>
      <c r="C3746" t="s">
        <v>224</v>
      </c>
      <c r="D3746" t="s">
        <v>652</v>
      </c>
      <c r="E3746">
        <v>64</v>
      </c>
      <c r="F3746">
        <v>29</v>
      </c>
      <c r="G3746">
        <v>0.453125</v>
      </c>
      <c r="H3746">
        <v>9</v>
      </c>
      <c r="I3746">
        <v>5</v>
      </c>
      <c r="J3746">
        <v>2</v>
      </c>
      <c r="K3746">
        <v>0</v>
      </c>
      <c r="L3746">
        <v>12</v>
      </c>
      <c r="M3746">
        <v>1</v>
      </c>
      <c r="N3746">
        <v>0</v>
      </c>
      <c r="O3746">
        <v>0</v>
      </c>
      <c r="P3746">
        <v>36</v>
      </c>
    </row>
    <row r="3747" spans="1:16">
      <c r="A3747" t="s">
        <v>576</v>
      </c>
      <c r="B3747" t="s">
        <v>636</v>
      </c>
      <c r="C3747" t="s">
        <v>224</v>
      </c>
      <c r="D3747" t="s">
        <v>653</v>
      </c>
      <c r="E3747">
        <v>97</v>
      </c>
      <c r="F3747">
        <v>52</v>
      </c>
      <c r="G3747">
        <v>0.536082474226804</v>
      </c>
      <c r="H3747">
        <v>23</v>
      </c>
      <c r="I3747">
        <v>17</v>
      </c>
      <c r="J3747">
        <v>7</v>
      </c>
      <c r="K3747">
        <v>0</v>
      </c>
      <c r="L3747">
        <v>28.55</v>
      </c>
      <c r="M3747">
        <v>1</v>
      </c>
      <c r="N3747">
        <v>0</v>
      </c>
      <c r="O3747">
        <v>0</v>
      </c>
      <c r="P3747">
        <v>37</v>
      </c>
    </row>
    <row r="3748" spans="1:16">
      <c r="A3748" t="s">
        <v>576</v>
      </c>
      <c r="B3748" t="s">
        <v>636</v>
      </c>
      <c r="C3748" t="s">
        <v>224</v>
      </c>
      <c r="D3748" t="s">
        <v>654</v>
      </c>
      <c r="E3748">
        <v>45</v>
      </c>
      <c r="F3748">
        <v>20</v>
      </c>
      <c r="G3748">
        <v>0.444444444444444</v>
      </c>
      <c r="H3748">
        <v>6</v>
      </c>
      <c r="I3748">
        <v>3</v>
      </c>
      <c r="J3748">
        <v>0</v>
      </c>
      <c r="K3748">
        <v>0</v>
      </c>
      <c r="L3748">
        <v>7.7</v>
      </c>
      <c r="M3748">
        <v>2</v>
      </c>
      <c r="N3748">
        <v>0</v>
      </c>
      <c r="O3748">
        <v>0</v>
      </c>
      <c r="P3748">
        <v>58</v>
      </c>
    </row>
    <row r="3749" spans="1:12">
      <c r="A3749" t="s">
        <v>576</v>
      </c>
      <c r="B3749" t="s">
        <v>636</v>
      </c>
      <c r="C3749" t="s">
        <v>224</v>
      </c>
      <c r="D3749" t="s">
        <v>655</v>
      </c>
      <c r="E3749">
        <v>95</v>
      </c>
      <c r="F3749">
        <v>45</v>
      </c>
      <c r="G3749">
        <v>0.473684210526316</v>
      </c>
      <c r="H3749">
        <v>12</v>
      </c>
      <c r="I3749">
        <v>6</v>
      </c>
      <c r="J3749">
        <v>5</v>
      </c>
      <c r="K3749">
        <v>0</v>
      </c>
      <c r="L3749">
        <v>19</v>
      </c>
    </row>
    <row r="3750" spans="1:12">
      <c r="A3750" t="s">
        <v>576</v>
      </c>
      <c r="B3750" t="s">
        <v>636</v>
      </c>
      <c r="C3750" t="s">
        <v>224</v>
      </c>
      <c r="D3750" t="s">
        <v>656</v>
      </c>
      <c r="E3750">
        <v>281</v>
      </c>
      <c r="F3750">
        <v>142</v>
      </c>
      <c r="G3750">
        <v>0.505338078291815</v>
      </c>
      <c r="H3750">
        <v>42</v>
      </c>
      <c r="I3750">
        <v>31</v>
      </c>
      <c r="J3750">
        <v>12</v>
      </c>
      <c r="K3750">
        <v>0</v>
      </c>
      <c r="L3750">
        <v>61.1666666666667</v>
      </c>
    </row>
    <row r="3751" spans="1:12">
      <c r="A3751" t="s">
        <v>576</v>
      </c>
      <c r="B3751" t="s">
        <v>636</v>
      </c>
      <c r="C3751" t="s">
        <v>224</v>
      </c>
      <c r="D3751" t="s">
        <v>657</v>
      </c>
      <c r="E3751">
        <v>259</v>
      </c>
      <c r="F3751">
        <v>111</v>
      </c>
      <c r="G3751">
        <v>0.428571428571428</v>
      </c>
      <c r="H3751">
        <v>25</v>
      </c>
      <c r="I3751">
        <v>20</v>
      </c>
      <c r="J3751">
        <v>5</v>
      </c>
      <c r="K3751">
        <v>0</v>
      </c>
      <c r="L3751">
        <v>44.8833333333333</v>
      </c>
    </row>
    <row r="3752" spans="1:16">
      <c r="A3752" t="s">
        <v>576</v>
      </c>
      <c r="B3752" t="s">
        <v>636</v>
      </c>
      <c r="C3752" t="s">
        <v>224</v>
      </c>
      <c r="D3752" t="s">
        <v>658</v>
      </c>
      <c r="E3752">
        <v>49</v>
      </c>
      <c r="F3752">
        <v>24</v>
      </c>
      <c r="G3752">
        <v>0.489795918367347</v>
      </c>
      <c r="H3752">
        <v>6</v>
      </c>
      <c r="I3752">
        <v>6</v>
      </c>
      <c r="J3752">
        <v>2</v>
      </c>
      <c r="K3752">
        <v>0</v>
      </c>
      <c r="L3752">
        <v>9.08333333333333</v>
      </c>
      <c r="M3752">
        <v>2</v>
      </c>
      <c r="N3752">
        <v>0</v>
      </c>
      <c r="O3752">
        <v>0</v>
      </c>
      <c r="P3752">
        <v>95</v>
      </c>
    </row>
    <row r="3753" spans="1:12">
      <c r="A3753" t="s">
        <v>576</v>
      </c>
      <c r="B3753" t="s">
        <v>636</v>
      </c>
      <c r="C3753" t="s">
        <v>224</v>
      </c>
      <c r="D3753" t="s">
        <v>659</v>
      </c>
      <c r="E3753">
        <v>105</v>
      </c>
      <c r="F3753">
        <v>42</v>
      </c>
      <c r="G3753">
        <v>0.4</v>
      </c>
      <c r="H3753">
        <v>18</v>
      </c>
      <c r="I3753">
        <v>14</v>
      </c>
      <c r="J3753">
        <v>7</v>
      </c>
      <c r="K3753">
        <v>1</v>
      </c>
      <c r="L3753">
        <v>27.0166666666667</v>
      </c>
    </row>
    <row r="3754" spans="1:16">
      <c r="A3754" t="s">
        <v>576</v>
      </c>
      <c r="B3754" t="s">
        <v>636</v>
      </c>
      <c r="C3754" t="s">
        <v>264</v>
      </c>
      <c r="D3754" t="s">
        <v>660</v>
      </c>
      <c r="E3754">
        <v>46</v>
      </c>
      <c r="F3754">
        <v>20</v>
      </c>
      <c r="G3754">
        <v>0.434782608695652</v>
      </c>
      <c r="H3754">
        <v>4</v>
      </c>
      <c r="I3754">
        <v>3</v>
      </c>
      <c r="J3754">
        <v>0</v>
      </c>
      <c r="K3754">
        <v>0</v>
      </c>
      <c r="L3754">
        <v>6.6</v>
      </c>
      <c r="M3754">
        <v>1</v>
      </c>
      <c r="N3754">
        <v>1</v>
      </c>
      <c r="O3754">
        <v>1</v>
      </c>
      <c r="P3754">
        <v>58</v>
      </c>
    </row>
    <row r="3755" spans="1:12">
      <c r="A3755" t="s">
        <v>576</v>
      </c>
      <c r="B3755" t="s">
        <v>636</v>
      </c>
      <c r="C3755" t="s">
        <v>264</v>
      </c>
      <c r="D3755" t="s">
        <v>661</v>
      </c>
      <c r="E3755">
        <v>82</v>
      </c>
      <c r="F3755">
        <v>44</v>
      </c>
      <c r="G3755">
        <v>0.536585365853659</v>
      </c>
      <c r="H3755">
        <v>10</v>
      </c>
      <c r="I3755">
        <v>6</v>
      </c>
      <c r="J3755">
        <v>4</v>
      </c>
      <c r="K3755">
        <v>1</v>
      </c>
      <c r="L3755">
        <v>21.7666666666667</v>
      </c>
    </row>
    <row r="3756" spans="1:16">
      <c r="A3756" t="s">
        <v>576</v>
      </c>
      <c r="B3756" t="s">
        <v>636</v>
      </c>
      <c r="C3756" t="s">
        <v>264</v>
      </c>
      <c r="D3756" t="s">
        <v>662</v>
      </c>
      <c r="E3756">
        <v>158</v>
      </c>
      <c r="F3756">
        <v>75</v>
      </c>
      <c r="G3756">
        <v>0.474683544303797</v>
      </c>
      <c r="H3756">
        <v>26</v>
      </c>
      <c r="I3756">
        <v>17</v>
      </c>
      <c r="J3756">
        <v>12</v>
      </c>
      <c r="K3756">
        <v>0</v>
      </c>
      <c r="L3756">
        <v>41.45</v>
      </c>
      <c r="M3756">
        <v>1</v>
      </c>
      <c r="N3756">
        <v>0</v>
      </c>
      <c r="O3756">
        <v>0</v>
      </c>
      <c r="P3756">
        <v>58</v>
      </c>
    </row>
    <row r="3757" spans="1:12">
      <c r="A3757" t="s">
        <v>576</v>
      </c>
      <c r="B3757" t="s">
        <v>636</v>
      </c>
      <c r="C3757" t="s">
        <v>264</v>
      </c>
      <c r="D3757" t="s">
        <v>663</v>
      </c>
      <c r="E3757">
        <v>81</v>
      </c>
      <c r="F3757">
        <v>41</v>
      </c>
      <c r="G3757">
        <v>0.506172839506173</v>
      </c>
      <c r="H3757">
        <v>18</v>
      </c>
      <c r="I3757">
        <v>16</v>
      </c>
      <c r="J3757">
        <v>10</v>
      </c>
      <c r="K3757">
        <v>2</v>
      </c>
      <c r="L3757">
        <v>34.4666666666667</v>
      </c>
    </row>
    <row r="3758" spans="1:12">
      <c r="A3758" t="s">
        <v>576</v>
      </c>
      <c r="B3758" t="s">
        <v>636</v>
      </c>
      <c r="C3758" t="s">
        <v>264</v>
      </c>
      <c r="D3758" t="s">
        <v>664</v>
      </c>
      <c r="E3758">
        <v>217</v>
      </c>
      <c r="F3758">
        <v>112</v>
      </c>
      <c r="G3758">
        <v>0.516129032258065</v>
      </c>
      <c r="H3758">
        <v>41</v>
      </c>
      <c r="I3758">
        <v>26</v>
      </c>
      <c r="J3758">
        <v>7</v>
      </c>
      <c r="K3758">
        <v>0</v>
      </c>
      <c r="L3758">
        <v>53.6</v>
      </c>
    </row>
    <row r="3759" spans="1:12">
      <c r="A3759" t="s">
        <v>576</v>
      </c>
      <c r="B3759" t="s">
        <v>636</v>
      </c>
      <c r="C3759" t="s">
        <v>264</v>
      </c>
      <c r="D3759" t="s">
        <v>665</v>
      </c>
      <c r="E3759">
        <v>196</v>
      </c>
      <c r="F3759">
        <v>92</v>
      </c>
      <c r="G3759">
        <v>0.469387755102041</v>
      </c>
      <c r="H3759">
        <v>26</v>
      </c>
      <c r="I3759">
        <v>21</v>
      </c>
      <c r="J3759">
        <v>16</v>
      </c>
      <c r="K3759">
        <v>2</v>
      </c>
      <c r="L3759">
        <v>52.4333333333333</v>
      </c>
    </row>
    <row r="3760" spans="1:12">
      <c r="A3760" t="s">
        <v>576</v>
      </c>
      <c r="B3760" t="s">
        <v>636</v>
      </c>
      <c r="C3760" t="s">
        <v>22</v>
      </c>
      <c r="D3760" t="s">
        <v>666</v>
      </c>
      <c r="E3760">
        <v>3</v>
      </c>
      <c r="F3760">
        <v>2</v>
      </c>
      <c r="G3760">
        <v>0.666666666666667</v>
      </c>
      <c r="H3760">
        <v>2</v>
      </c>
      <c r="I3760">
        <v>1</v>
      </c>
      <c r="J3760">
        <v>1</v>
      </c>
      <c r="K3760">
        <v>0</v>
      </c>
      <c r="L3760">
        <v>1.75</v>
      </c>
    </row>
    <row r="3761" spans="1:12">
      <c r="A3761" t="s">
        <v>576</v>
      </c>
      <c r="B3761" t="s">
        <v>636</v>
      </c>
      <c r="C3761" t="s">
        <v>22</v>
      </c>
      <c r="D3761" t="s">
        <v>667</v>
      </c>
      <c r="E3761">
        <v>2</v>
      </c>
      <c r="F3761">
        <v>2</v>
      </c>
      <c r="G3761">
        <v>1</v>
      </c>
      <c r="H3761">
        <v>0</v>
      </c>
      <c r="I3761">
        <v>0</v>
      </c>
      <c r="J3761">
        <v>0</v>
      </c>
      <c r="K3761">
        <v>0</v>
      </c>
      <c r="L3761">
        <v>0.616666666666667</v>
      </c>
    </row>
    <row r="3762" spans="1:16">
      <c r="A3762" t="s">
        <v>576</v>
      </c>
      <c r="B3762" t="s">
        <v>636</v>
      </c>
      <c r="C3762" t="s">
        <v>22</v>
      </c>
      <c r="D3762" t="s">
        <v>668</v>
      </c>
      <c r="E3762">
        <v>3</v>
      </c>
      <c r="F3762">
        <v>1</v>
      </c>
      <c r="G3762">
        <v>0.333333333333333</v>
      </c>
      <c r="H3762">
        <v>1</v>
      </c>
      <c r="I3762">
        <v>1</v>
      </c>
      <c r="J3762">
        <v>0</v>
      </c>
      <c r="K3762">
        <v>0</v>
      </c>
      <c r="L3762">
        <v>0.883333333333333</v>
      </c>
      <c r="M3762">
        <v>1</v>
      </c>
      <c r="N3762">
        <v>0</v>
      </c>
      <c r="O3762">
        <v>0</v>
      </c>
      <c r="P3762">
        <v>0</v>
      </c>
    </row>
    <row r="3763" spans="1:16">
      <c r="A3763" t="s">
        <v>576</v>
      </c>
      <c r="B3763" t="s">
        <v>636</v>
      </c>
      <c r="C3763" t="s">
        <v>22</v>
      </c>
      <c r="D3763" t="s">
        <v>669</v>
      </c>
      <c r="E3763">
        <v>21</v>
      </c>
      <c r="F3763">
        <v>8</v>
      </c>
      <c r="G3763">
        <v>0.380952380952381</v>
      </c>
      <c r="H3763">
        <v>8</v>
      </c>
      <c r="I3763">
        <v>7</v>
      </c>
      <c r="J3763">
        <v>5</v>
      </c>
      <c r="K3763">
        <v>1</v>
      </c>
      <c r="L3763">
        <v>12.4833333333333</v>
      </c>
      <c r="M3763">
        <v>1</v>
      </c>
      <c r="N3763">
        <v>1</v>
      </c>
      <c r="O3763">
        <v>1</v>
      </c>
      <c r="P3763">
        <v>48</v>
      </c>
    </row>
    <row r="3764" spans="1:12">
      <c r="A3764" t="s">
        <v>576</v>
      </c>
      <c r="B3764" t="s">
        <v>636</v>
      </c>
      <c r="C3764" t="s">
        <v>22</v>
      </c>
      <c r="D3764" t="s">
        <v>670</v>
      </c>
      <c r="E3764">
        <v>10</v>
      </c>
      <c r="F3764">
        <v>5</v>
      </c>
      <c r="G3764">
        <v>0.5</v>
      </c>
      <c r="H3764">
        <v>2</v>
      </c>
      <c r="I3764">
        <v>2</v>
      </c>
      <c r="J3764">
        <v>1</v>
      </c>
      <c r="K3764">
        <v>0</v>
      </c>
      <c r="L3764">
        <v>3.23333333333333</v>
      </c>
    </row>
    <row r="3765" spans="1:16">
      <c r="A3765" t="s">
        <v>576</v>
      </c>
      <c r="B3765" t="s">
        <v>636</v>
      </c>
      <c r="C3765" t="s">
        <v>22</v>
      </c>
      <c r="D3765" t="s">
        <v>671</v>
      </c>
      <c r="E3765">
        <v>7</v>
      </c>
      <c r="F3765">
        <v>7</v>
      </c>
      <c r="G3765">
        <v>1</v>
      </c>
      <c r="H3765">
        <v>6</v>
      </c>
      <c r="I3765">
        <v>6</v>
      </c>
      <c r="J3765">
        <v>6</v>
      </c>
      <c r="K3765">
        <v>0</v>
      </c>
      <c r="L3765">
        <v>9.6</v>
      </c>
      <c r="M3765">
        <v>1</v>
      </c>
      <c r="N3765">
        <v>0</v>
      </c>
      <c r="O3765">
        <v>0</v>
      </c>
      <c r="P3765">
        <v>0</v>
      </c>
    </row>
    <row r="3766" spans="1:16">
      <c r="A3766" t="s">
        <v>576</v>
      </c>
      <c r="B3766" t="s">
        <v>672</v>
      </c>
      <c r="C3766" t="s">
        <v>52</v>
      </c>
      <c r="D3766" t="s">
        <v>673</v>
      </c>
      <c r="M3766">
        <v>1</v>
      </c>
      <c r="N3766">
        <v>0</v>
      </c>
      <c r="O3766">
        <v>0</v>
      </c>
      <c r="P3766">
        <v>0</v>
      </c>
    </row>
    <row r="3767" spans="1:16">
      <c r="A3767" t="s">
        <v>576</v>
      </c>
      <c r="B3767" t="s">
        <v>672</v>
      </c>
      <c r="C3767" t="s">
        <v>52</v>
      </c>
      <c r="D3767" t="s">
        <v>674</v>
      </c>
      <c r="E3767">
        <v>1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2</v>
      </c>
      <c r="N3767">
        <v>0</v>
      </c>
      <c r="O3767">
        <v>0</v>
      </c>
      <c r="P3767">
        <v>42</v>
      </c>
    </row>
    <row r="3768" spans="1:16">
      <c r="A3768" t="s">
        <v>576</v>
      </c>
      <c r="B3768" t="s">
        <v>672</v>
      </c>
      <c r="C3768" t="s">
        <v>52</v>
      </c>
      <c r="D3768" t="s">
        <v>675</v>
      </c>
      <c r="M3768">
        <v>2</v>
      </c>
      <c r="N3768">
        <v>1</v>
      </c>
      <c r="O3768">
        <v>0.5</v>
      </c>
      <c r="P3768">
        <v>235</v>
      </c>
    </row>
    <row r="3769" spans="1:12">
      <c r="A3769" t="s">
        <v>576</v>
      </c>
      <c r="B3769" t="s">
        <v>672</v>
      </c>
      <c r="C3769" t="s">
        <v>75</v>
      </c>
      <c r="D3769" t="s">
        <v>676</v>
      </c>
      <c r="E3769">
        <v>113</v>
      </c>
      <c r="F3769">
        <v>42</v>
      </c>
      <c r="G3769">
        <v>0.371681415929204</v>
      </c>
      <c r="H3769">
        <v>19</v>
      </c>
      <c r="I3769">
        <v>16</v>
      </c>
      <c r="J3769">
        <v>9</v>
      </c>
      <c r="K3769">
        <v>0</v>
      </c>
      <c r="L3769">
        <v>25.6833333333333</v>
      </c>
    </row>
    <row r="3770" spans="1:16">
      <c r="A3770" t="s">
        <v>576</v>
      </c>
      <c r="B3770" t="s">
        <v>672</v>
      </c>
      <c r="C3770" t="s">
        <v>75</v>
      </c>
      <c r="D3770" t="s">
        <v>677</v>
      </c>
      <c r="E3770">
        <v>61</v>
      </c>
      <c r="F3770">
        <v>34</v>
      </c>
      <c r="G3770">
        <v>0.557377049180328</v>
      </c>
      <c r="H3770">
        <v>13</v>
      </c>
      <c r="I3770">
        <v>9</v>
      </c>
      <c r="J3770">
        <v>8</v>
      </c>
      <c r="K3770">
        <v>0</v>
      </c>
      <c r="L3770">
        <v>22.35</v>
      </c>
      <c r="M3770">
        <v>1</v>
      </c>
      <c r="N3770">
        <v>1</v>
      </c>
      <c r="O3770">
        <v>1</v>
      </c>
      <c r="P3770">
        <v>190</v>
      </c>
    </row>
    <row r="3771" spans="1:12">
      <c r="A3771" t="s">
        <v>576</v>
      </c>
      <c r="B3771" t="s">
        <v>672</v>
      </c>
      <c r="C3771" t="s">
        <v>75</v>
      </c>
      <c r="D3771" t="s">
        <v>678</v>
      </c>
      <c r="E3771">
        <v>46</v>
      </c>
      <c r="F3771">
        <v>22</v>
      </c>
      <c r="G3771">
        <v>0.478260869565217</v>
      </c>
      <c r="H3771">
        <v>8</v>
      </c>
      <c r="I3771">
        <v>7</v>
      </c>
      <c r="J3771">
        <v>5</v>
      </c>
      <c r="K3771">
        <v>0</v>
      </c>
      <c r="L3771">
        <v>11.9833333333333</v>
      </c>
    </row>
    <row r="3772" spans="1:12">
      <c r="A3772" t="s">
        <v>576</v>
      </c>
      <c r="B3772" t="s">
        <v>672</v>
      </c>
      <c r="C3772" t="s">
        <v>75</v>
      </c>
      <c r="D3772" t="s">
        <v>305</v>
      </c>
      <c r="E3772">
        <v>120</v>
      </c>
      <c r="F3772">
        <v>52</v>
      </c>
      <c r="G3772">
        <v>0.433333333333333</v>
      </c>
      <c r="H3772">
        <v>25</v>
      </c>
      <c r="I3772">
        <v>23</v>
      </c>
      <c r="J3772">
        <v>12</v>
      </c>
      <c r="K3772">
        <v>1</v>
      </c>
      <c r="L3772">
        <v>34.9666666666667</v>
      </c>
    </row>
    <row r="3773" spans="1:12">
      <c r="A3773" t="s">
        <v>576</v>
      </c>
      <c r="B3773" t="s">
        <v>672</v>
      </c>
      <c r="C3773" t="s">
        <v>75</v>
      </c>
      <c r="D3773" t="s">
        <v>679</v>
      </c>
      <c r="E3773">
        <v>139</v>
      </c>
      <c r="F3773">
        <v>51</v>
      </c>
      <c r="G3773">
        <v>0.366906474820144</v>
      </c>
      <c r="H3773">
        <v>21</v>
      </c>
      <c r="I3773">
        <v>17</v>
      </c>
      <c r="J3773">
        <v>11</v>
      </c>
      <c r="K3773">
        <v>1</v>
      </c>
      <c r="L3773">
        <v>35.4166666666667</v>
      </c>
    </row>
    <row r="3774" spans="1:12">
      <c r="A3774" t="s">
        <v>576</v>
      </c>
      <c r="B3774" t="s">
        <v>672</v>
      </c>
      <c r="C3774" t="s">
        <v>75</v>
      </c>
      <c r="D3774" t="s">
        <v>680</v>
      </c>
      <c r="E3774">
        <v>153</v>
      </c>
      <c r="F3774">
        <v>74</v>
      </c>
      <c r="G3774">
        <v>0.483660130718954</v>
      </c>
      <c r="H3774">
        <v>32</v>
      </c>
      <c r="I3774">
        <v>25</v>
      </c>
      <c r="J3774">
        <v>16</v>
      </c>
      <c r="K3774">
        <v>2</v>
      </c>
      <c r="L3774">
        <v>50.9333333333333</v>
      </c>
    </row>
    <row r="3775" spans="1:12">
      <c r="A3775" t="s">
        <v>576</v>
      </c>
      <c r="B3775" t="s">
        <v>672</v>
      </c>
      <c r="C3775" t="s">
        <v>75</v>
      </c>
      <c r="D3775" t="s">
        <v>681</v>
      </c>
      <c r="E3775">
        <v>47</v>
      </c>
      <c r="F3775">
        <v>21</v>
      </c>
      <c r="G3775">
        <v>0.446808510638298</v>
      </c>
      <c r="H3775">
        <v>11</v>
      </c>
      <c r="I3775">
        <v>9</v>
      </c>
      <c r="J3775">
        <v>7</v>
      </c>
      <c r="K3775">
        <v>3</v>
      </c>
      <c r="L3775">
        <v>42.3</v>
      </c>
    </row>
    <row r="3776" spans="1:12">
      <c r="A3776" t="s">
        <v>576</v>
      </c>
      <c r="B3776" t="s">
        <v>672</v>
      </c>
      <c r="C3776" t="s">
        <v>75</v>
      </c>
      <c r="D3776" t="s">
        <v>682</v>
      </c>
      <c r="E3776">
        <v>162</v>
      </c>
      <c r="F3776">
        <v>61</v>
      </c>
      <c r="G3776">
        <v>0.376543209876543</v>
      </c>
      <c r="H3776">
        <v>32</v>
      </c>
      <c r="I3776">
        <v>24</v>
      </c>
      <c r="J3776">
        <v>17</v>
      </c>
      <c r="K3776">
        <v>0</v>
      </c>
      <c r="L3776">
        <v>42.9833333333333</v>
      </c>
    </row>
    <row r="3777" spans="1:12">
      <c r="A3777" t="s">
        <v>576</v>
      </c>
      <c r="B3777" t="s">
        <v>672</v>
      </c>
      <c r="C3777" t="s">
        <v>75</v>
      </c>
      <c r="D3777" t="s">
        <v>683</v>
      </c>
      <c r="E3777">
        <v>83</v>
      </c>
      <c r="F3777">
        <v>36</v>
      </c>
      <c r="G3777">
        <v>0.433734939759036</v>
      </c>
      <c r="H3777">
        <v>17</v>
      </c>
      <c r="I3777">
        <v>14</v>
      </c>
      <c r="J3777">
        <v>7</v>
      </c>
      <c r="K3777">
        <v>1</v>
      </c>
      <c r="L3777">
        <v>28.35</v>
      </c>
    </row>
    <row r="3778" spans="1:12">
      <c r="A3778" t="s">
        <v>576</v>
      </c>
      <c r="B3778" t="s">
        <v>672</v>
      </c>
      <c r="C3778" t="s">
        <v>151</v>
      </c>
      <c r="D3778" t="s">
        <v>684</v>
      </c>
      <c r="E3778">
        <v>149</v>
      </c>
      <c r="F3778">
        <v>64</v>
      </c>
      <c r="G3778">
        <v>0.429530201342282</v>
      </c>
      <c r="H3778">
        <v>38</v>
      </c>
      <c r="I3778">
        <v>31</v>
      </c>
      <c r="J3778">
        <v>25</v>
      </c>
      <c r="K3778">
        <v>0</v>
      </c>
      <c r="L3778">
        <v>50.9333333333333</v>
      </c>
    </row>
    <row r="3779" spans="1:12">
      <c r="A3779" t="s">
        <v>576</v>
      </c>
      <c r="B3779" t="s">
        <v>672</v>
      </c>
      <c r="C3779" t="s">
        <v>151</v>
      </c>
      <c r="D3779" t="s">
        <v>685</v>
      </c>
      <c r="E3779">
        <v>200</v>
      </c>
      <c r="F3779">
        <v>87</v>
      </c>
      <c r="G3779">
        <v>0.435</v>
      </c>
      <c r="H3779">
        <v>36</v>
      </c>
      <c r="I3779">
        <v>24</v>
      </c>
      <c r="J3779">
        <v>9</v>
      </c>
      <c r="K3779">
        <v>0</v>
      </c>
      <c r="L3779">
        <v>45.2333333333333</v>
      </c>
    </row>
    <row r="3780" spans="1:12">
      <c r="A3780" t="s">
        <v>576</v>
      </c>
      <c r="B3780" t="s">
        <v>672</v>
      </c>
      <c r="C3780" t="s">
        <v>151</v>
      </c>
      <c r="D3780" t="s">
        <v>686</v>
      </c>
      <c r="E3780">
        <v>202</v>
      </c>
      <c r="F3780">
        <v>88</v>
      </c>
      <c r="G3780">
        <v>0.435643564356436</v>
      </c>
      <c r="H3780">
        <v>32</v>
      </c>
      <c r="I3780">
        <v>24</v>
      </c>
      <c r="J3780">
        <v>8</v>
      </c>
      <c r="K3780">
        <v>0</v>
      </c>
      <c r="L3780">
        <v>47.3</v>
      </c>
    </row>
    <row r="3781" spans="1:12">
      <c r="A3781" t="s">
        <v>576</v>
      </c>
      <c r="B3781" t="s">
        <v>672</v>
      </c>
      <c r="C3781" t="s">
        <v>151</v>
      </c>
      <c r="D3781" t="s">
        <v>687</v>
      </c>
      <c r="E3781">
        <v>232</v>
      </c>
      <c r="F3781">
        <v>105</v>
      </c>
      <c r="G3781">
        <v>0.452586206896552</v>
      </c>
      <c r="H3781">
        <v>35</v>
      </c>
      <c r="I3781">
        <v>24</v>
      </c>
      <c r="J3781">
        <v>9</v>
      </c>
      <c r="K3781">
        <v>0</v>
      </c>
      <c r="L3781">
        <v>47.8166666666667</v>
      </c>
    </row>
    <row r="3782" spans="1:12">
      <c r="A3782" t="s">
        <v>576</v>
      </c>
      <c r="B3782" t="s">
        <v>672</v>
      </c>
      <c r="C3782" t="s">
        <v>224</v>
      </c>
      <c r="D3782" t="s">
        <v>688</v>
      </c>
      <c r="E3782">
        <v>193</v>
      </c>
      <c r="F3782">
        <v>91</v>
      </c>
      <c r="G3782">
        <v>0.471502590673575</v>
      </c>
      <c r="H3782">
        <v>50</v>
      </c>
      <c r="I3782">
        <v>31</v>
      </c>
      <c r="J3782">
        <v>17</v>
      </c>
      <c r="K3782">
        <v>2</v>
      </c>
      <c r="L3782">
        <v>64.4666666666667</v>
      </c>
    </row>
    <row r="3783" spans="1:12">
      <c r="A3783" t="s">
        <v>576</v>
      </c>
      <c r="B3783" t="s">
        <v>672</v>
      </c>
      <c r="C3783" t="s">
        <v>224</v>
      </c>
      <c r="D3783" t="s">
        <v>689</v>
      </c>
      <c r="E3783">
        <v>90</v>
      </c>
      <c r="F3783">
        <v>16</v>
      </c>
      <c r="G3783">
        <v>0.177777777777778</v>
      </c>
      <c r="H3783">
        <v>8</v>
      </c>
      <c r="I3783">
        <v>8</v>
      </c>
      <c r="J3783">
        <v>4</v>
      </c>
      <c r="K3783">
        <v>0</v>
      </c>
      <c r="L3783">
        <v>11.2</v>
      </c>
    </row>
    <row r="3784" spans="1:12">
      <c r="A3784" t="s">
        <v>576</v>
      </c>
      <c r="B3784" t="s">
        <v>672</v>
      </c>
      <c r="C3784" t="s">
        <v>224</v>
      </c>
      <c r="D3784" t="s">
        <v>690</v>
      </c>
      <c r="E3784">
        <v>48</v>
      </c>
      <c r="F3784">
        <v>18</v>
      </c>
      <c r="G3784">
        <v>0.375</v>
      </c>
      <c r="H3784">
        <v>9</v>
      </c>
      <c r="I3784">
        <v>7</v>
      </c>
      <c r="J3784">
        <v>3</v>
      </c>
      <c r="K3784">
        <v>0</v>
      </c>
      <c r="L3784">
        <v>11.8833333333333</v>
      </c>
    </row>
    <row r="3785" spans="1:12">
      <c r="A3785" t="s">
        <v>576</v>
      </c>
      <c r="B3785" t="s">
        <v>672</v>
      </c>
      <c r="C3785" t="s">
        <v>224</v>
      </c>
      <c r="D3785" t="s">
        <v>691</v>
      </c>
      <c r="E3785">
        <v>96</v>
      </c>
      <c r="F3785">
        <v>45</v>
      </c>
      <c r="G3785">
        <v>0.46875</v>
      </c>
      <c r="H3785">
        <v>14</v>
      </c>
      <c r="I3785">
        <v>12</v>
      </c>
      <c r="J3785">
        <v>4</v>
      </c>
      <c r="K3785">
        <v>0</v>
      </c>
      <c r="L3785">
        <v>20.3666666666667</v>
      </c>
    </row>
    <row r="3786" spans="1:12">
      <c r="A3786" t="s">
        <v>576</v>
      </c>
      <c r="B3786" t="s">
        <v>672</v>
      </c>
      <c r="C3786" t="s">
        <v>224</v>
      </c>
      <c r="D3786" t="s">
        <v>692</v>
      </c>
      <c r="E3786">
        <v>290</v>
      </c>
      <c r="F3786">
        <v>106</v>
      </c>
      <c r="G3786">
        <v>0.36551724137931</v>
      </c>
      <c r="H3786">
        <v>42</v>
      </c>
      <c r="I3786">
        <v>34</v>
      </c>
      <c r="J3786">
        <v>9</v>
      </c>
      <c r="K3786">
        <v>0</v>
      </c>
      <c r="L3786">
        <v>58.7833333333333</v>
      </c>
    </row>
    <row r="3787" spans="1:12">
      <c r="A3787" t="s">
        <v>576</v>
      </c>
      <c r="B3787" t="s">
        <v>672</v>
      </c>
      <c r="C3787" t="s">
        <v>224</v>
      </c>
      <c r="D3787" t="s">
        <v>693</v>
      </c>
      <c r="E3787">
        <v>275</v>
      </c>
      <c r="F3787">
        <v>98</v>
      </c>
      <c r="G3787">
        <v>0.356363636363636</v>
      </c>
      <c r="H3787">
        <v>38</v>
      </c>
      <c r="I3787">
        <v>26</v>
      </c>
      <c r="J3787">
        <v>11</v>
      </c>
      <c r="K3787">
        <v>1</v>
      </c>
      <c r="L3787">
        <v>52.1833333333333</v>
      </c>
    </row>
    <row r="3788" spans="1:12">
      <c r="A3788" t="s">
        <v>576</v>
      </c>
      <c r="B3788" t="s">
        <v>672</v>
      </c>
      <c r="C3788" t="s">
        <v>224</v>
      </c>
      <c r="D3788" t="s">
        <v>694</v>
      </c>
      <c r="E3788">
        <v>118</v>
      </c>
      <c r="F3788">
        <v>47</v>
      </c>
      <c r="G3788">
        <v>0.398305084745763</v>
      </c>
      <c r="H3788">
        <v>22</v>
      </c>
      <c r="I3788">
        <v>17</v>
      </c>
      <c r="J3788">
        <v>8</v>
      </c>
      <c r="K3788">
        <v>1</v>
      </c>
      <c r="L3788">
        <v>31.3</v>
      </c>
    </row>
    <row r="3789" spans="1:12">
      <c r="A3789" t="s">
        <v>576</v>
      </c>
      <c r="B3789" t="s">
        <v>672</v>
      </c>
      <c r="C3789" t="s">
        <v>224</v>
      </c>
      <c r="D3789" t="s">
        <v>695</v>
      </c>
      <c r="E3789">
        <v>52</v>
      </c>
      <c r="F3789">
        <v>25</v>
      </c>
      <c r="G3789">
        <v>0.480769230769231</v>
      </c>
      <c r="H3789">
        <v>17</v>
      </c>
      <c r="I3789">
        <v>11</v>
      </c>
      <c r="J3789">
        <v>4</v>
      </c>
      <c r="K3789">
        <v>0</v>
      </c>
      <c r="L3789">
        <v>15.9166666666667</v>
      </c>
    </row>
    <row r="3790" spans="1:12">
      <c r="A3790" t="s">
        <v>576</v>
      </c>
      <c r="B3790" t="s">
        <v>672</v>
      </c>
      <c r="C3790" t="s">
        <v>224</v>
      </c>
      <c r="D3790" t="s">
        <v>696</v>
      </c>
      <c r="E3790">
        <v>58</v>
      </c>
      <c r="F3790">
        <v>12</v>
      </c>
      <c r="G3790">
        <v>0.206896551724138</v>
      </c>
      <c r="H3790">
        <v>10</v>
      </c>
      <c r="I3790">
        <v>9</v>
      </c>
      <c r="J3790">
        <v>4</v>
      </c>
      <c r="K3790">
        <v>0</v>
      </c>
      <c r="L3790">
        <v>10.6666666666667</v>
      </c>
    </row>
    <row r="3791" spans="1:12">
      <c r="A3791" t="s">
        <v>576</v>
      </c>
      <c r="B3791" t="s">
        <v>672</v>
      </c>
      <c r="C3791" t="s">
        <v>264</v>
      </c>
      <c r="D3791" t="s">
        <v>697</v>
      </c>
      <c r="E3791">
        <v>76</v>
      </c>
      <c r="F3791">
        <v>25</v>
      </c>
      <c r="G3791">
        <v>0.328947368421053</v>
      </c>
      <c r="H3791">
        <v>9</v>
      </c>
      <c r="I3791">
        <v>6</v>
      </c>
      <c r="J3791">
        <v>5</v>
      </c>
      <c r="K3791">
        <v>0</v>
      </c>
      <c r="L3791">
        <v>14.3833333333333</v>
      </c>
    </row>
    <row r="3792" spans="1:12">
      <c r="A3792" t="s">
        <v>576</v>
      </c>
      <c r="B3792" t="s">
        <v>672</v>
      </c>
      <c r="C3792" t="s">
        <v>264</v>
      </c>
      <c r="D3792" t="s">
        <v>698</v>
      </c>
      <c r="E3792">
        <v>68</v>
      </c>
      <c r="F3792">
        <v>24</v>
      </c>
      <c r="G3792">
        <v>0.352941176470588</v>
      </c>
      <c r="H3792">
        <v>19</v>
      </c>
      <c r="I3792">
        <v>16</v>
      </c>
      <c r="J3792">
        <v>9</v>
      </c>
      <c r="K3792">
        <v>2</v>
      </c>
      <c r="L3792">
        <v>34.9333333333333</v>
      </c>
    </row>
    <row r="3793" spans="1:12">
      <c r="A3793" t="s">
        <v>576</v>
      </c>
      <c r="B3793" t="s">
        <v>672</v>
      </c>
      <c r="C3793" t="s">
        <v>264</v>
      </c>
      <c r="D3793" t="s">
        <v>699</v>
      </c>
      <c r="E3793">
        <v>108</v>
      </c>
      <c r="F3793">
        <v>41</v>
      </c>
      <c r="G3793">
        <v>0.37962962962963</v>
      </c>
      <c r="H3793">
        <v>18</v>
      </c>
      <c r="I3793">
        <v>11</v>
      </c>
      <c r="J3793">
        <v>6</v>
      </c>
      <c r="K3793">
        <v>1</v>
      </c>
      <c r="L3793">
        <v>25.65</v>
      </c>
    </row>
    <row r="3794" spans="1:12">
      <c r="A3794" t="s">
        <v>576</v>
      </c>
      <c r="B3794" t="s">
        <v>672</v>
      </c>
      <c r="C3794" t="s">
        <v>264</v>
      </c>
      <c r="D3794" t="s">
        <v>700</v>
      </c>
      <c r="E3794">
        <v>108</v>
      </c>
      <c r="F3794">
        <v>46</v>
      </c>
      <c r="G3794">
        <v>0.425925925925926</v>
      </c>
      <c r="H3794">
        <v>18</v>
      </c>
      <c r="I3794">
        <v>11</v>
      </c>
      <c r="J3794">
        <v>9</v>
      </c>
      <c r="K3794">
        <v>0</v>
      </c>
      <c r="L3794">
        <v>27.6333333333333</v>
      </c>
    </row>
    <row r="3795" spans="1:12">
      <c r="A3795" t="s">
        <v>576</v>
      </c>
      <c r="B3795" t="s">
        <v>672</v>
      </c>
      <c r="C3795" t="s">
        <v>264</v>
      </c>
      <c r="D3795" t="s">
        <v>701</v>
      </c>
      <c r="E3795">
        <v>96</v>
      </c>
      <c r="F3795">
        <v>39</v>
      </c>
      <c r="G3795">
        <v>0.40625</v>
      </c>
      <c r="H3795">
        <v>14</v>
      </c>
      <c r="I3795">
        <v>9</v>
      </c>
      <c r="J3795">
        <v>4</v>
      </c>
      <c r="K3795">
        <v>2</v>
      </c>
      <c r="L3795">
        <v>28.1333333333333</v>
      </c>
    </row>
    <row r="3796" spans="1:12">
      <c r="A3796" t="s">
        <v>576</v>
      </c>
      <c r="B3796" t="s">
        <v>672</v>
      </c>
      <c r="C3796" t="s">
        <v>264</v>
      </c>
      <c r="D3796" t="s">
        <v>702</v>
      </c>
      <c r="E3796">
        <v>205</v>
      </c>
      <c r="F3796">
        <v>93</v>
      </c>
      <c r="G3796">
        <v>0.453658536585366</v>
      </c>
      <c r="H3796">
        <v>41</v>
      </c>
      <c r="I3796">
        <v>24</v>
      </c>
      <c r="J3796">
        <v>13</v>
      </c>
      <c r="K3796">
        <v>0</v>
      </c>
      <c r="L3796">
        <v>51.7</v>
      </c>
    </row>
    <row r="3797" spans="1:12">
      <c r="A3797" t="s">
        <v>576</v>
      </c>
      <c r="B3797" t="s">
        <v>672</v>
      </c>
      <c r="C3797" t="s">
        <v>264</v>
      </c>
      <c r="D3797" t="s">
        <v>703</v>
      </c>
      <c r="E3797">
        <v>141</v>
      </c>
      <c r="F3797">
        <v>59</v>
      </c>
      <c r="G3797">
        <v>0.418439716312057</v>
      </c>
      <c r="H3797">
        <v>29</v>
      </c>
      <c r="I3797">
        <v>18</v>
      </c>
      <c r="J3797">
        <v>10</v>
      </c>
      <c r="K3797">
        <v>0</v>
      </c>
      <c r="L3797">
        <v>35.7333333333333</v>
      </c>
    </row>
    <row r="3798" spans="1:12">
      <c r="A3798" t="s">
        <v>576</v>
      </c>
      <c r="B3798" t="s">
        <v>672</v>
      </c>
      <c r="C3798" t="s">
        <v>264</v>
      </c>
      <c r="D3798" t="s">
        <v>704</v>
      </c>
      <c r="E3798">
        <v>143</v>
      </c>
      <c r="F3798">
        <v>50</v>
      </c>
      <c r="G3798">
        <v>0.34965034965035</v>
      </c>
      <c r="H3798">
        <v>17</v>
      </c>
      <c r="I3798">
        <v>15</v>
      </c>
      <c r="J3798">
        <v>8</v>
      </c>
      <c r="K3798">
        <v>0</v>
      </c>
      <c r="L3798">
        <v>24.6333333333333</v>
      </c>
    </row>
    <row r="3799" spans="1:12">
      <c r="A3799" t="s">
        <v>576</v>
      </c>
      <c r="B3799" t="s">
        <v>672</v>
      </c>
      <c r="C3799" t="s">
        <v>264</v>
      </c>
      <c r="D3799" t="s">
        <v>705</v>
      </c>
      <c r="E3799">
        <v>84</v>
      </c>
      <c r="F3799">
        <v>37</v>
      </c>
      <c r="G3799">
        <v>0.440476190476191</v>
      </c>
      <c r="H3799">
        <v>15</v>
      </c>
      <c r="I3799">
        <v>9</v>
      </c>
      <c r="J3799">
        <v>6</v>
      </c>
      <c r="K3799">
        <v>0</v>
      </c>
      <c r="L3799">
        <v>19.8833333333333</v>
      </c>
    </row>
    <row r="3800" spans="1:12">
      <c r="A3800" t="s">
        <v>576</v>
      </c>
      <c r="B3800" t="s">
        <v>672</v>
      </c>
      <c r="C3800" t="s">
        <v>264</v>
      </c>
      <c r="D3800" t="s">
        <v>706</v>
      </c>
      <c r="E3800">
        <v>131</v>
      </c>
      <c r="F3800">
        <v>46</v>
      </c>
      <c r="G3800">
        <v>0.351145038167939</v>
      </c>
      <c r="H3800">
        <v>13</v>
      </c>
      <c r="I3800">
        <v>9</v>
      </c>
      <c r="J3800">
        <v>4</v>
      </c>
      <c r="K3800">
        <v>0</v>
      </c>
      <c r="L3800">
        <v>20.1333333333333</v>
      </c>
    </row>
    <row r="3801" spans="1:12">
      <c r="A3801" t="s">
        <v>576</v>
      </c>
      <c r="B3801" t="s">
        <v>672</v>
      </c>
      <c r="C3801" t="s">
        <v>22</v>
      </c>
      <c r="D3801" t="s">
        <v>707</v>
      </c>
      <c r="E3801">
        <v>7</v>
      </c>
      <c r="F3801">
        <v>2</v>
      </c>
      <c r="G3801">
        <v>0.285714285714286</v>
      </c>
      <c r="H3801">
        <v>2</v>
      </c>
      <c r="I3801">
        <v>2</v>
      </c>
      <c r="J3801">
        <v>1</v>
      </c>
      <c r="K3801">
        <v>0</v>
      </c>
      <c r="L3801">
        <v>1.98333333333333</v>
      </c>
    </row>
    <row r="3802" spans="1:12">
      <c r="A3802" t="s">
        <v>576</v>
      </c>
      <c r="B3802" t="s">
        <v>672</v>
      </c>
      <c r="C3802" t="s">
        <v>22</v>
      </c>
      <c r="D3802" t="s">
        <v>708</v>
      </c>
      <c r="E3802">
        <v>8</v>
      </c>
      <c r="F3802">
        <v>5</v>
      </c>
      <c r="G3802">
        <v>0.625</v>
      </c>
      <c r="H3802">
        <v>5</v>
      </c>
      <c r="I3802">
        <v>5</v>
      </c>
      <c r="J3802">
        <v>5</v>
      </c>
      <c r="K3802">
        <v>3</v>
      </c>
      <c r="L3802">
        <v>14.6166666666667</v>
      </c>
    </row>
    <row r="3803" spans="1:12">
      <c r="A3803" t="s">
        <v>576</v>
      </c>
      <c r="B3803" t="s">
        <v>672</v>
      </c>
      <c r="C3803" t="s">
        <v>22</v>
      </c>
      <c r="D3803" t="s">
        <v>709</v>
      </c>
      <c r="E3803">
        <v>30</v>
      </c>
      <c r="F3803">
        <v>7</v>
      </c>
      <c r="G3803">
        <v>0.233333333333333</v>
      </c>
      <c r="H3803">
        <v>6</v>
      </c>
      <c r="I3803">
        <v>5</v>
      </c>
      <c r="J3803">
        <v>4</v>
      </c>
      <c r="K3803">
        <v>1</v>
      </c>
      <c r="L3803">
        <v>9.35</v>
      </c>
    </row>
    <row r="3804" spans="1:12">
      <c r="A3804" t="s">
        <v>576</v>
      </c>
      <c r="B3804" t="s">
        <v>672</v>
      </c>
      <c r="C3804" t="s">
        <v>22</v>
      </c>
      <c r="D3804" t="s">
        <v>710</v>
      </c>
      <c r="E3804">
        <v>49</v>
      </c>
      <c r="F3804">
        <v>30</v>
      </c>
      <c r="G3804">
        <v>0.612244897959184</v>
      </c>
      <c r="H3804">
        <v>17</v>
      </c>
      <c r="I3804">
        <v>14</v>
      </c>
      <c r="J3804">
        <v>8</v>
      </c>
      <c r="K3804">
        <v>2</v>
      </c>
      <c r="L3804">
        <v>33.7</v>
      </c>
    </row>
    <row r="3805" spans="1:12">
      <c r="A3805" t="s">
        <v>576</v>
      </c>
      <c r="B3805" t="s">
        <v>672</v>
      </c>
      <c r="C3805" t="s">
        <v>22</v>
      </c>
      <c r="D3805" t="s">
        <v>711</v>
      </c>
      <c r="E3805">
        <v>16</v>
      </c>
      <c r="F3805">
        <v>10</v>
      </c>
      <c r="G3805">
        <v>0.625</v>
      </c>
      <c r="H3805">
        <v>5</v>
      </c>
      <c r="I3805">
        <v>5</v>
      </c>
      <c r="J3805">
        <v>4</v>
      </c>
      <c r="K3805">
        <v>1</v>
      </c>
      <c r="L3805">
        <v>21.0166666666667</v>
      </c>
    </row>
    <row r="3806" spans="1:12">
      <c r="A3806" t="s">
        <v>576</v>
      </c>
      <c r="B3806" t="s">
        <v>672</v>
      </c>
      <c r="C3806" t="s">
        <v>22</v>
      </c>
      <c r="D3806" t="s">
        <v>712</v>
      </c>
      <c r="E3806">
        <v>27</v>
      </c>
      <c r="F3806">
        <v>8</v>
      </c>
      <c r="G3806">
        <v>0.296296296296296</v>
      </c>
      <c r="H3806">
        <v>4</v>
      </c>
      <c r="I3806">
        <v>4</v>
      </c>
      <c r="J3806">
        <v>3</v>
      </c>
      <c r="K3806">
        <v>2</v>
      </c>
      <c r="L3806">
        <v>21.3333333333333</v>
      </c>
    </row>
    <row r="3807" spans="1:12">
      <c r="A3807" t="s">
        <v>576</v>
      </c>
      <c r="B3807" t="s">
        <v>672</v>
      </c>
      <c r="C3807" t="s">
        <v>22</v>
      </c>
      <c r="D3807" t="s">
        <v>713</v>
      </c>
      <c r="E3807">
        <v>20</v>
      </c>
      <c r="F3807">
        <v>10</v>
      </c>
      <c r="G3807">
        <v>0.5</v>
      </c>
      <c r="H3807">
        <v>6</v>
      </c>
      <c r="I3807">
        <v>6</v>
      </c>
      <c r="J3807">
        <v>5</v>
      </c>
      <c r="K3807">
        <v>0</v>
      </c>
      <c r="L3807">
        <v>10.9333333333333</v>
      </c>
    </row>
    <row r="3808" spans="1:12">
      <c r="A3808" t="s">
        <v>576</v>
      </c>
      <c r="B3808" t="s">
        <v>672</v>
      </c>
      <c r="C3808" t="s">
        <v>22</v>
      </c>
      <c r="D3808" t="s">
        <v>714</v>
      </c>
      <c r="E3808">
        <v>13</v>
      </c>
      <c r="F3808">
        <v>5</v>
      </c>
      <c r="G3808">
        <v>0.384615384615385</v>
      </c>
      <c r="H3808">
        <v>4</v>
      </c>
      <c r="I3808">
        <v>3</v>
      </c>
      <c r="J3808">
        <v>3</v>
      </c>
      <c r="K3808">
        <v>1</v>
      </c>
      <c r="L3808">
        <v>8.36666666666667</v>
      </c>
    </row>
    <row r="3809" spans="1:16">
      <c r="A3809" t="s">
        <v>576</v>
      </c>
      <c r="B3809" t="s">
        <v>715</v>
      </c>
      <c r="C3809" t="s">
        <v>102</v>
      </c>
      <c r="D3809" t="s">
        <v>716</v>
      </c>
      <c r="M3809">
        <v>1</v>
      </c>
      <c r="N3809">
        <v>0</v>
      </c>
      <c r="O3809">
        <v>0</v>
      </c>
      <c r="P3809">
        <v>4</v>
      </c>
    </row>
    <row r="3810" spans="1:12">
      <c r="A3810" t="s">
        <v>576</v>
      </c>
      <c r="B3810" t="s">
        <v>715</v>
      </c>
      <c r="C3810" t="s">
        <v>102</v>
      </c>
      <c r="D3810" t="s">
        <v>717</v>
      </c>
      <c r="E3810">
        <v>74</v>
      </c>
      <c r="F3810">
        <v>40</v>
      </c>
      <c r="G3810">
        <v>0.540540540540541</v>
      </c>
      <c r="H3810">
        <v>31</v>
      </c>
      <c r="I3810">
        <v>10</v>
      </c>
      <c r="J3810">
        <v>6</v>
      </c>
      <c r="K3810">
        <v>0</v>
      </c>
      <c r="L3810">
        <v>29.15</v>
      </c>
    </row>
    <row r="3811" spans="1:12">
      <c r="A3811" t="s">
        <v>576</v>
      </c>
      <c r="B3811" t="s">
        <v>715</v>
      </c>
      <c r="C3811" t="s">
        <v>102</v>
      </c>
      <c r="D3811" t="s">
        <v>718</v>
      </c>
      <c r="E3811">
        <v>79</v>
      </c>
      <c r="F3811">
        <v>21</v>
      </c>
      <c r="G3811">
        <v>0.265822784810127</v>
      </c>
      <c r="H3811">
        <v>12</v>
      </c>
      <c r="I3811">
        <v>3</v>
      </c>
      <c r="J3811">
        <v>1</v>
      </c>
      <c r="K3811">
        <v>0</v>
      </c>
      <c r="L3811">
        <v>10.8333333333333</v>
      </c>
    </row>
    <row r="3812" spans="1:12">
      <c r="A3812" t="s">
        <v>576</v>
      </c>
      <c r="B3812" t="s">
        <v>715</v>
      </c>
      <c r="C3812" t="s">
        <v>102</v>
      </c>
      <c r="D3812" t="s">
        <v>719</v>
      </c>
      <c r="E3812">
        <v>58</v>
      </c>
      <c r="F3812">
        <v>25</v>
      </c>
      <c r="G3812">
        <v>0.431034482758621</v>
      </c>
      <c r="H3812">
        <v>11</v>
      </c>
      <c r="I3812">
        <v>4</v>
      </c>
      <c r="J3812">
        <v>0</v>
      </c>
      <c r="K3812">
        <v>0</v>
      </c>
      <c r="L3812">
        <v>10</v>
      </c>
    </row>
    <row r="3813" spans="1:12">
      <c r="A3813" t="s">
        <v>576</v>
      </c>
      <c r="B3813" t="s">
        <v>715</v>
      </c>
      <c r="C3813" t="s">
        <v>52</v>
      </c>
      <c r="D3813" t="s">
        <v>720</v>
      </c>
      <c r="E3813">
        <v>14</v>
      </c>
      <c r="F3813">
        <v>3</v>
      </c>
      <c r="G3813">
        <v>0.214285714285714</v>
      </c>
      <c r="H3813">
        <v>1</v>
      </c>
      <c r="I3813">
        <v>1</v>
      </c>
      <c r="J3813">
        <v>1</v>
      </c>
      <c r="K3813">
        <v>0</v>
      </c>
      <c r="L3813">
        <v>1.96666666666667</v>
      </c>
    </row>
    <row r="3814" spans="1:16">
      <c r="A3814" t="s">
        <v>576</v>
      </c>
      <c r="B3814" t="s">
        <v>715</v>
      </c>
      <c r="C3814" t="s">
        <v>52</v>
      </c>
      <c r="D3814" t="s">
        <v>721</v>
      </c>
      <c r="E3814">
        <v>4</v>
      </c>
      <c r="F3814">
        <v>2</v>
      </c>
      <c r="G3814">
        <v>0.5</v>
      </c>
      <c r="H3814">
        <v>0</v>
      </c>
      <c r="I3814">
        <v>0</v>
      </c>
      <c r="J3814">
        <v>0</v>
      </c>
      <c r="K3814">
        <v>0</v>
      </c>
      <c r="L3814">
        <v>0.716666666666667</v>
      </c>
      <c r="M3814">
        <v>1</v>
      </c>
      <c r="N3814">
        <v>0</v>
      </c>
      <c r="O3814">
        <v>0</v>
      </c>
      <c r="P3814">
        <v>0</v>
      </c>
    </row>
    <row r="3815" spans="1:12">
      <c r="A3815" t="s">
        <v>576</v>
      </c>
      <c r="B3815" t="s">
        <v>715</v>
      </c>
      <c r="C3815" t="s">
        <v>52</v>
      </c>
      <c r="D3815" t="s">
        <v>722</v>
      </c>
      <c r="E3815">
        <v>3</v>
      </c>
      <c r="F3815">
        <v>3</v>
      </c>
      <c r="G3815">
        <v>1</v>
      </c>
      <c r="H3815">
        <v>2</v>
      </c>
      <c r="I3815">
        <v>1</v>
      </c>
      <c r="J3815">
        <v>1</v>
      </c>
      <c r="K3815">
        <v>0</v>
      </c>
      <c r="L3815">
        <v>2.33333333333333</v>
      </c>
    </row>
    <row r="3816" spans="1:12">
      <c r="A3816" t="s">
        <v>576</v>
      </c>
      <c r="B3816" t="s">
        <v>715</v>
      </c>
      <c r="C3816" t="s">
        <v>75</v>
      </c>
      <c r="D3816" t="s">
        <v>723</v>
      </c>
      <c r="E3816">
        <v>96</v>
      </c>
      <c r="F3816">
        <v>35</v>
      </c>
      <c r="G3816">
        <v>0.364583333333333</v>
      </c>
      <c r="H3816">
        <v>17</v>
      </c>
      <c r="I3816">
        <v>10</v>
      </c>
      <c r="J3816">
        <v>8</v>
      </c>
      <c r="K3816">
        <v>2</v>
      </c>
      <c r="L3816">
        <v>26.1666666666667</v>
      </c>
    </row>
    <row r="3817" spans="1:12">
      <c r="A3817" t="s">
        <v>576</v>
      </c>
      <c r="B3817" t="s">
        <v>715</v>
      </c>
      <c r="C3817" t="s">
        <v>75</v>
      </c>
      <c r="D3817" t="s">
        <v>724</v>
      </c>
      <c r="E3817">
        <v>116</v>
      </c>
      <c r="F3817">
        <v>12</v>
      </c>
      <c r="G3817">
        <v>0.103448275862069</v>
      </c>
      <c r="H3817">
        <v>10</v>
      </c>
      <c r="I3817">
        <v>10</v>
      </c>
      <c r="J3817">
        <v>7</v>
      </c>
      <c r="K3817">
        <v>3</v>
      </c>
      <c r="L3817">
        <v>28.8166666666667</v>
      </c>
    </row>
    <row r="3818" spans="1:12">
      <c r="A3818" t="s">
        <v>576</v>
      </c>
      <c r="B3818" t="s">
        <v>715</v>
      </c>
      <c r="C3818" t="s">
        <v>75</v>
      </c>
      <c r="D3818" t="s">
        <v>725</v>
      </c>
      <c r="E3818">
        <v>164</v>
      </c>
      <c r="F3818">
        <v>68</v>
      </c>
      <c r="G3818">
        <v>0.414634146341463</v>
      </c>
      <c r="H3818">
        <v>40</v>
      </c>
      <c r="I3818">
        <v>33</v>
      </c>
      <c r="J3818">
        <v>16</v>
      </c>
      <c r="K3818">
        <v>0</v>
      </c>
      <c r="L3818">
        <v>47.7166666666667</v>
      </c>
    </row>
    <row r="3819" spans="1:12">
      <c r="A3819" t="s">
        <v>576</v>
      </c>
      <c r="B3819" t="s">
        <v>715</v>
      </c>
      <c r="C3819" t="s">
        <v>75</v>
      </c>
      <c r="D3819" t="s">
        <v>726</v>
      </c>
      <c r="E3819">
        <v>146</v>
      </c>
      <c r="F3819">
        <v>68</v>
      </c>
      <c r="G3819">
        <v>0.465753424657534</v>
      </c>
      <c r="H3819">
        <v>33</v>
      </c>
      <c r="I3819">
        <v>30</v>
      </c>
      <c r="J3819">
        <v>15</v>
      </c>
      <c r="K3819">
        <v>1</v>
      </c>
      <c r="L3819">
        <v>48.8833333333333</v>
      </c>
    </row>
    <row r="3820" spans="1:12">
      <c r="A3820" t="s">
        <v>576</v>
      </c>
      <c r="B3820" t="s">
        <v>715</v>
      </c>
      <c r="C3820" t="s">
        <v>75</v>
      </c>
      <c r="D3820" t="s">
        <v>727</v>
      </c>
      <c r="E3820">
        <v>147</v>
      </c>
      <c r="F3820">
        <v>59</v>
      </c>
      <c r="G3820">
        <v>0.401360544217687</v>
      </c>
      <c r="H3820">
        <v>14</v>
      </c>
      <c r="I3820">
        <v>11</v>
      </c>
      <c r="J3820">
        <v>5</v>
      </c>
      <c r="K3820">
        <v>0</v>
      </c>
      <c r="L3820">
        <v>24.4333333333333</v>
      </c>
    </row>
    <row r="3821" spans="1:12">
      <c r="A3821" t="s">
        <v>576</v>
      </c>
      <c r="B3821" t="s">
        <v>715</v>
      </c>
      <c r="C3821" t="s">
        <v>75</v>
      </c>
      <c r="D3821" t="s">
        <v>728</v>
      </c>
      <c r="E3821">
        <v>91</v>
      </c>
      <c r="F3821">
        <v>40</v>
      </c>
      <c r="G3821">
        <v>0.43956043956044</v>
      </c>
      <c r="H3821">
        <v>21</v>
      </c>
      <c r="I3821">
        <v>16</v>
      </c>
      <c r="J3821">
        <v>5</v>
      </c>
      <c r="K3821">
        <v>0</v>
      </c>
      <c r="L3821">
        <v>24.7666666666667</v>
      </c>
    </row>
    <row r="3822" spans="1:12">
      <c r="A3822" t="s">
        <v>576</v>
      </c>
      <c r="B3822" t="s">
        <v>715</v>
      </c>
      <c r="C3822" t="s">
        <v>151</v>
      </c>
      <c r="D3822" t="s">
        <v>729</v>
      </c>
      <c r="E3822">
        <v>173</v>
      </c>
      <c r="F3822">
        <v>85</v>
      </c>
      <c r="G3822">
        <v>0.491329479768786</v>
      </c>
      <c r="H3822">
        <v>39</v>
      </c>
      <c r="I3822">
        <v>26</v>
      </c>
      <c r="J3822">
        <v>14</v>
      </c>
      <c r="K3822">
        <v>0</v>
      </c>
      <c r="L3822">
        <v>50.1333333333333</v>
      </c>
    </row>
    <row r="3823" spans="1:12">
      <c r="A3823" t="s">
        <v>576</v>
      </c>
      <c r="B3823" t="s">
        <v>715</v>
      </c>
      <c r="C3823" t="s">
        <v>151</v>
      </c>
      <c r="D3823" t="s">
        <v>730</v>
      </c>
      <c r="E3823">
        <v>145</v>
      </c>
      <c r="F3823">
        <v>66</v>
      </c>
      <c r="G3823">
        <v>0.455172413793104</v>
      </c>
      <c r="H3823">
        <v>42</v>
      </c>
      <c r="I3823">
        <v>31</v>
      </c>
      <c r="J3823">
        <v>11</v>
      </c>
      <c r="K3823">
        <v>0</v>
      </c>
      <c r="L3823">
        <v>45.8</v>
      </c>
    </row>
    <row r="3824" spans="1:12">
      <c r="A3824" t="s">
        <v>576</v>
      </c>
      <c r="B3824" t="s">
        <v>715</v>
      </c>
      <c r="C3824" t="s">
        <v>151</v>
      </c>
      <c r="D3824" t="s">
        <v>731</v>
      </c>
      <c r="E3824">
        <v>102</v>
      </c>
      <c r="F3824">
        <v>43</v>
      </c>
      <c r="G3824">
        <v>0.42156862745098</v>
      </c>
      <c r="H3824">
        <v>27</v>
      </c>
      <c r="I3824">
        <v>24</v>
      </c>
      <c r="J3824">
        <v>5</v>
      </c>
      <c r="K3824">
        <v>0</v>
      </c>
      <c r="L3824">
        <v>27.9</v>
      </c>
    </row>
    <row r="3825" spans="1:12">
      <c r="A3825" t="s">
        <v>576</v>
      </c>
      <c r="B3825" t="s">
        <v>715</v>
      </c>
      <c r="C3825" t="s">
        <v>151</v>
      </c>
      <c r="D3825" t="s">
        <v>732</v>
      </c>
      <c r="E3825">
        <v>42</v>
      </c>
      <c r="F3825">
        <v>14</v>
      </c>
      <c r="G3825">
        <v>0.333333333333333</v>
      </c>
      <c r="H3825">
        <v>6</v>
      </c>
      <c r="I3825">
        <v>5</v>
      </c>
      <c r="J3825">
        <v>4</v>
      </c>
      <c r="K3825">
        <v>0</v>
      </c>
      <c r="L3825">
        <v>9.6</v>
      </c>
    </row>
    <row r="3826" spans="1:12">
      <c r="A3826" t="s">
        <v>576</v>
      </c>
      <c r="B3826" t="s">
        <v>715</v>
      </c>
      <c r="C3826" t="s">
        <v>151</v>
      </c>
      <c r="D3826" t="s">
        <v>733</v>
      </c>
      <c r="E3826">
        <v>134</v>
      </c>
      <c r="F3826">
        <v>62</v>
      </c>
      <c r="G3826">
        <v>0.462686567164179</v>
      </c>
      <c r="H3826">
        <v>38</v>
      </c>
      <c r="I3826">
        <v>33</v>
      </c>
      <c r="J3826">
        <v>24</v>
      </c>
      <c r="K3826">
        <v>0</v>
      </c>
      <c r="L3826">
        <v>52.7333333333333</v>
      </c>
    </row>
    <row r="3827" spans="1:12">
      <c r="A3827" t="s">
        <v>576</v>
      </c>
      <c r="B3827" t="s">
        <v>715</v>
      </c>
      <c r="C3827" t="s">
        <v>151</v>
      </c>
      <c r="D3827" t="s">
        <v>734</v>
      </c>
      <c r="E3827">
        <v>2</v>
      </c>
      <c r="F3827">
        <v>2</v>
      </c>
      <c r="G3827">
        <v>1</v>
      </c>
      <c r="H3827">
        <v>2</v>
      </c>
      <c r="I3827">
        <v>2</v>
      </c>
      <c r="J3827">
        <v>1</v>
      </c>
      <c r="K3827">
        <v>1</v>
      </c>
      <c r="L3827">
        <v>4.75</v>
      </c>
    </row>
    <row r="3828" spans="1:12">
      <c r="A3828" t="s">
        <v>576</v>
      </c>
      <c r="B3828" t="s">
        <v>715</v>
      </c>
      <c r="C3828" t="s">
        <v>151</v>
      </c>
      <c r="D3828" t="s">
        <v>735</v>
      </c>
      <c r="E3828">
        <v>114</v>
      </c>
      <c r="F3828">
        <v>24</v>
      </c>
      <c r="G3828">
        <v>0.210526315789474</v>
      </c>
      <c r="H3828">
        <v>13</v>
      </c>
      <c r="I3828">
        <v>11</v>
      </c>
      <c r="J3828">
        <v>4</v>
      </c>
      <c r="K3828">
        <v>0</v>
      </c>
      <c r="L3828">
        <v>14.65</v>
      </c>
    </row>
    <row r="3829" spans="1:12">
      <c r="A3829" t="s">
        <v>576</v>
      </c>
      <c r="B3829" t="s">
        <v>715</v>
      </c>
      <c r="C3829" t="s">
        <v>224</v>
      </c>
      <c r="D3829" t="s">
        <v>736</v>
      </c>
      <c r="E3829">
        <v>62</v>
      </c>
      <c r="F3829">
        <v>24</v>
      </c>
      <c r="G3829">
        <v>0.387096774193548</v>
      </c>
      <c r="H3829">
        <v>10</v>
      </c>
      <c r="I3829">
        <v>7</v>
      </c>
      <c r="J3829">
        <v>5</v>
      </c>
      <c r="K3829">
        <v>0</v>
      </c>
      <c r="L3829">
        <v>15.1666666666667</v>
      </c>
    </row>
    <row r="3830" spans="1:12">
      <c r="A3830" t="s">
        <v>576</v>
      </c>
      <c r="B3830" t="s">
        <v>715</v>
      </c>
      <c r="C3830" t="s">
        <v>224</v>
      </c>
      <c r="D3830" t="s">
        <v>737</v>
      </c>
      <c r="E3830">
        <v>159</v>
      </c>
      <c r="F3830">
        <v>50</v>
      </c>
      <c r="G3830">
        <v>0.314465408805031</v>
      </c>
      <c r="H3830">
        <v>28</v>
      </c>
      <c r="I3830">
        <v>18</v>
      </c>
      <c r="J3830">
        <v>8</v>
      </c>
      <c r="K3830">
        <v>0</v>
      </c>
      <c r="L3830">
        <v>31.9666666666667</v>
      </c>
    </row>
    <row r="3831" spans="1:12">
      <c r="A3831" t="s">
        <v>576</v>
      </c>
      <c r="B3831" t="s">
        <v>715</v>
      </c>
      <c r="C3831" t="s">
        <v>224</v>
      </c>
      <c r="D3831" t="s">
        <v>738</v>
      </c>
      <c r="E3831">
        <v>122</v>
      </c>
      <c r="F3831">
        <v>57</v>
      </c>
      <c r="G3831">
        <v>0.467213114754098</v>
      </c>
      <c r="H3831">
        <v>38</v>
      </c>
      <c r="I3831">
        <v>30</v>
      </c>
      <c r="J3831">
        <v>20</v>
      </c>
      <c r="K3831">
        <v>0</v>
      </c>
      <c r="L3831">
        <v>45.6</v>
      </c>
    </row>
    <row r="3832" spans="1:12">
      <c r="A3832" t="s">
        <v>576</v>
      </c>
      <c r="B3832" t="s">
        <v>715</v>
      </c>
      <c r="C3832" t="s">
        <v>264</v>
      </c>
      <c r="D3832" t="s">
        <v>739</v>
      </c>
      <c r="E3832">
        <v>100</v>
      </c>
      <c r="F3832">
        <v>37</v>
      </c>
      <c r="G3832">
        <v>0.37</v>
      </c>
      <c r="H3832">
        <v>19</v>
      </c>
      <c r="I3832">
        <v>12</v>
      </c>
      <c r="J3832">
        <v>6</v>
      </c>
      <c r="K3832">
        <v>0</v>
      </c>
      <c r="L3832">
        <v>23.3</v>
      </c>
    </row>
    <row r="3833" spans="1:12">
      <c r="A3833" t="s">
        <v>576</v>
      </c>
      <c r="B3833" t="s">
        <v>715</v>
      </c>
      <c r="C3833" t="s">
        <v>264</v>
      </c>
      <c r="D3833" t="s">
        <v>740</v>
      </c>
      <c r="E3833">
        <v>144</v>
      </c>
      <c r="F3833">
        <v>65</v>
      </c>
      <c r="G3833">
        <v>0.451388888888889</v>
      </c>
      <c r="H3833">
        <v>29</v>
      </c>
      <c r="I3833">
        <v>28</v>
      </c>
      <c r="J3833">
        <v>17</v>
      </c>
      <c r="K3833">
        <v>2</v>
      </c>
      <c r="L3833">
        <v>44.5</v>
      </c>
    </row>
    <row r="3834" spans="1:12">
      <c r="A3834" t="s">
        <v>576</v>
      </c>
      <c r="B3834" t="s">
        <v>715</v>
      </c>
      <c r="C3834" t="s">
        <v>264</v>
      </c>
      <c r="D3834" t="s">
        <v>741</v>
      </c>
      <c r="E3834">
        <v>122</v>
      </c>
      <c r="F3834">
        <v>57</v>
      </c>
      <c r="G3834">
        <v>0.467213114754098</v>
      </c>
      <c r="H3834">
        <v>29</v>
      </c>
      <c r="I3834">
        <v>26</v>
      </c>
      <c r="J3834">
        <v>21</v>
      </c>
      <c r="K3834">
        <v>2</v>
      </c>
      <c r="L3834">
        <v>46.2833333333333</v>
      </c>
    </row>
    <row r="3835" spans="1:12">
      <c r="A3835" t="s">
        <v>576</v>
      </c>
      <c r="B3835" t="s">
        <v>715</v>
      </c>
      <c r="C3835" t="s">
        <v>264</v>
      </c>
      <c r="D3835" t="s">
        <v>742</v>
      </c>
      <c r="E3835">
        <v>75</v>
      </c>
      <c r="F3835">
        <v>37</v>
      </c>
      <c r="G3835">
        <v>0.493333333333333</v>
      </c>
      <c r="H3835">
        <v>28</v>
      </c>
      <c r="I3835">
        <v>25</v>
      </c>
      <c r="J3835">
        <v>18</v>
      </c>
      <c r="K3835">
        <v>2</v>
      </c>
      <c r="L3835">
        <v>44.4166666666667</v>
      </c>
    </row>
    <row r="3836" spans="1:12">
      <c r="A3836" t="s">
        <v>576</v>
      </c>
      <c r="B3836" t="s">
        <v>715</v>
      </c>
      <c r="C3836" t="s">
        <v>264</v>
      </c>
      <c r="D3836" t="s">
        <v>743</v>
      </c>
      <c r="E3836">
        <v>144</v>
      </c>
      <c r="F3836">
        <v>51</v>
      </c>
      <c r="G3836">
        <v>0.354166666666667</v>
      </c>
      <c r="H3836">
        <v>29</v>
      </c>
      <c r="I3836">
        <v>25</v>
      </c>
      <c r="J3836">
        <v>14</v>
      </c>
      <c r="K3836">
        <v>1</v>
      </c>
      <c r="L3836">
        <v>40.8166666666667</v>
      </c>
    </row>
    <row r="3837" spans="1:12">
      <c r="A3837" t="s">
        <v>576</v>
      </c>
      <c r="B3837" t="s">
        <v>715</v>
      </c>
      <c r="C3837" t="s">
        <v>264</v>
      </c>
      <c r="D3837" t="s">
        <v>744</v>
      </c>
      <c r="E3837">
        <v>113</v>
      </c>
      <c r="F3837">
        <v>59</v>
      </c>
      <c r="G3837">
        <v>0.52212389380531</v>
      </c>
      <c r="H3837">
        <v>33</v>
      </c>
      <c r="I3837">
        <v>25</v>
      </c>
      <c r="J3837">
        <v>17</v>
      </c>
      <c r="K3837">
        <v>1</v>
      </c>
      <c r="L3837">
        <v>45.3833333333333</v>
      </c>
    </row>
    <row r="3838" spans="1:12">
      <c r="A3838" t="s">
        <v>576</v>
      </c>
      <c r="B3838" t="s">
        <v>715</v>
      </c>
      <c r="C3838" t="s">
        <v>264</v>
      </c>
      <c r="D3838" t="s">
        <v>745</v>
      </c>
      <c r="E3838">
        <v>96</v>
      </c>
      <c r="F3838">
        <v>44</v>
      </c>
      <c r="G3838">
        <v>0.458333333333333</v>
      </c>
      <c r="H3838">
        <v>15</v>
      </c>
      <c r="I3838">
        <v>11</v>
      </c>
      <c r="J3838">
        <v>7</v>
      </c>
      <c r="K3838">
        <v>2</v>
      </c>
      <c r="L3838">
        <v>28.8166666666667</v>
      </c>
    </row>
    <row r="3839" spans="1:12">
      <c r="A3839" t="s">
        <v>576</v>
      </c>
      <c r="B3839" t="s">
        <v>715</v>
      </c>
      <c r="C3839" t="s">
        <v>264</v>
      </c>
      <c r="D3839" t="s">
        <v>746</v>
      </c>
      <c r="E3839">
        <v>145</v>
      </c>
      <c r="F3839">
        <v>60</v>
      </c>
      <c r="G3839">
        <v>0.413793103448276</v>
      </c>
      <c r="H3839">
        <v>26</v>
      </c>
      <c r="I3839">
        <v>17</v>
      </c>
      <c r="J3839">
        <v>8</v>
      </c>
      <c r="K3839">
        <v>0</v>
      </c>
      <c r="L3839">
        <v>34.5833333333333</v>
      </c>
    </row>
    <row r="3840" spans="1:12">
      <c r="A3840" t="s">
        <v>576</v>
      </c>
      <c r="B3840" t="s">
        <v>715</v>
      </c>
      <c r="C3840" t="s">
        <v>22</v>
      </c>
      <c r="D3840" t="s">
        <v>747</v>
      </c>
      <c r="E3840">
        <v>64</v>
      </c>
      <c r="F3840">
        <v>14</v>
      </c>
      <c r="G3840">
        <v>0.21875</v>
      </c>
      <c r="H3840">
        <v>7</v>
      </c>
      <c r="I3840">
        <v>6</v>
      </c>
      <c r="J3840">
        <v>1</v>
      </c>
      <c r="K3840">
        <v>0</v>
      </c>
      <c r="L3840">
        <v>8.26666666666667</v>
      </c>
    </row>
    <row r="3841" spans="1:12">
      <c r="A3841" t="s">
        <v>576</v>
      </c>
      <c r="B3841" t="s">
        <v>715</v>
      </c>
      <c r="C3841" t="s">
        <v>22</v>
      </c>
      <c r="D3841" t="s">
        <v>748</v>
      </c>
      <c r="E3841">
        <v>34</v>
      </c>
      <c r="F3841">
        <v>11</v>
      </c>
      <c r="G3841">
        <v>0.323529411764706</v>
      </c>
      <c r="H3841">
        <v>6</v>
      </c>
      <c r="I3841">
        <v>4</v>
      </c>
      <c r="J3841">
        <v>4</v>
      </c>
      <c r="K3841">
        <v>0</v>
      </c>
      <c r="L3841">
        <v>7.6</v>
      </c>
    </row>
    <row r="3842" spans="1:12">
      <c r="A3842" t="s">
        <v>576</v>
      </c>
      <c r="B3842" t="s">
        <v>715</v>
      </c>
      <c r="C3842" t="s">
        <v>22</v>
      </c>
      <c r="D3842" t="s">
        <v>749</v>
      </c>
      <c r="E3842">
        <v>40</v>
      </c>
      <c r="F3842">
        <v>17</v>
      </c>
      <c r="G3842">
        <v>0.425</v>
      </c>
      <c r="H3842">
        <v>9</v>
      </c>
      <c r="I3842">
        <v>8</v>
      </c>
      <c r="J3842">
        <v>5</v>
      </c>
      <c r="K3842">
        <v>0</v>
      </c>
      <c r="L3842">
        <v>13.6166666666667</v>
      </c>
    </row>
    <row r="3843" spans="1:12">
      <c r="A3843" t="s">
        <v>576</v>
      </c>
      <c r="B3843" t="s">
        <v>715</v>
      </c>
      <c r="C3843" t="s">
        <v>22</v>
      </c>
      <c r="D3843" t="s">
        <v>750</v>
      </c>
      <c r="E3843">
        <v>40</v>
      </c>
      <c r="F3843">
        <v>17</v>
      </c>
      <c r="G3843">
        <v>0.425</v>
      </c>
      <c r="H3843">
        <v>9</v>
      </c>
      <c r="I3843">
        <v>8</v>
      </c>
      <c r="J3843">
        <v>7</v>
      </c>
      <c r="K3843">
        <v>1</v>
      </c>
      <c r="L3843">
        <v>17.7333333333333</v>
      </c>
    </row>
    <row r="3844" spans="1:12">
      <c r="A3844" t="s">
        <v>576</v>
      </c>
      <c r="B3844" t="s">
        <v>715</v>
      </c>
      <c r="C3844" t="s">
        <v>22</v>
      </c>
      <c r="D3844" t="s">
        <v>751</v>
      </c>
      <c r="E3844">
        <v>82</v>
      </c>
      <c r="F3844">
        <v>30</v>
      </c>
      <c r="G3844">
        <v>0.365853658536585</v>
      </c>
      <c r="H3844">
        <v>17</v>
      </c>
      <c r="I3844">
        <v>11</v>
      </c>
      <c r="J3844">
        <v>9</v>
      </c>
      <c r="K3844">
        <v>0</v>
      </c>
      <c r="L3844">
        <v>20.6</v>
      </c>
    </row>
    <row r="3845" spans="1:12">
      <c r="A3845" t="s">
        <v>576</v>
      </c>
      <c r="B3845" t="s">
        <v>715</v>
      </c>
      <c r="C3845" t="s">
        <v>22</v>
      </c>
      <c r="D3845" t="s">
        <v>753</v>
      </c>
      <c r="E3845">
        <v>90</v>
      </c>
      <c r="F3845">
        <v>32</v>
      </c>
      <c r="G3845">
        <v>0.355555555555556</v>
      </c>
      <c r="H3845">
        <v>15</v>
      </c>
      <c r="I3845">
        <v>12</v>
      </c>
      <c r="J3845">
        <v>5</v>
      </c>
      <c r="K3845">
        <v>0</v>
      </c>
      <c r="L3845">
        <v>20.8166666666667</v>
      </c>
    </row>
    <row r="3846" spans="1:12">
      <c r="A3846" t="s">
        <v>576</v>
      </c>
      <c r="B3846" t="s">
        <v>715</v>
      </c>
      <c r="C3846" t="s">
        <v>22</v>
      </c>
      <c r="D3846" t="s">
        <v>752</v>
      </c>
      <c r="E3846">
        <v>75</v>
      </c>
      <c r="F3846">
        <v>32</v>
      </c>
      <c r="G3846">
        <v>0.426666666666667</v>
      </c>
      <c r="H3846">
        <v>14</v>
      </c>
      <c r="I3846">
        <v>13</v>
      </c>
      <c r="J3846">
        <v>2</v>
      </c>
      <c r="K3846">
        <v>0</v>
      </c>
      <c r="L3846">
        <v>18.9166666666667</v>
      </c>
    </row>
    <row r="3847" spans="1:16">
      <c r="A3847" t="s">
        <v>576</v>
      </c>
      <c r="B3847" t="s">
        <v>754</v>
      </c>
      <c r="C3847" t="s">
        <v>755</v>
      </c>
      <c r="D3847" t="s">
        <v>756</v>
      </c>
      <c r="E3847">
        <v>4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1</v>
      </c>
      <c r="N3847">
        <v>0</v>
      </c>
      <c r="O3847">
        <v>0</v>
      </c>
      <c r="P3847">
        <v>153</v>
      </c>
    </row>
    <row r="3848" spans="1:12">
      <c r="A3848" t="s">
        <v>576</v>
      </c>
      <c r="B3848" t="s">
        <v>754</v>
      </c>
      <c r="C3848" t="s">
        <v>755</v>
      </c>
      <c r="D3848" t="s">
        <v>757</v>
      </c>
      <c r="E3848">
        <v>57</v>
      </c>
      <c r="F3848">
        <v>20</v>
      </c>
      <c r="G3848">
        <v>0.350877192982456</v>
      </c>
      <c r="H3848">
        <v>8</v>
      </c>
      <c r="I3848">
        <v>6</v>
      </c>
      <c r="J3848">
        <v>3</v>
      </c>
      <c r="K3848">
        <v>1</v>
      </c>
      <c r="L3848">
        <v>13.2333333333333</v>
      </c>
    </row>
    <row r="3849" spans="1:12">
      <c r="A3849" t="s">
        <v>576</v>
      </c>
      <c r="B3849" t="s">
        <v>754</v>
      </c>
      <c r="C3849" t="s">
        <v>755</v>
      </c>
      <c r="D3849" t="s">
        <v>758</v>
      </c>
      <c r="E3849">
        <v>1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</row>
    <row r="3850" spans="1:12">
      <c r="A3850" t="s">
        <v>576</v>
      </c>
      <c r="B3850" t="s">
        <v>754</v>
      </c>
      <c r="C3850" t="s">
        <v>755</v>
      </c>
      <c r="D3850" t="s">
        <v>759</v>
      </c>
      <c r="E3850">
        <v>22</v>
      </c>
      <c r="F3850">
        <v>7</v>
      </c>
      <c r="G3850">
        <v>0.318181818181818</v>
      </c>
      <c r="H3850">
        <v>1</v>
      </c>
      <c r="I3850">
        <v>1</v>
      </c>
      <c r="J3850">
        <v>1</v>
      </c>
      <c r="K3850">
        <v>0</v>
      </c>
      <c r="L3850">
        <v>2.76666666666667</v>
      </c>
    </row>
    <row r="3851" spans="1:12">
      <c r="A3851" t="s">
        <v>576</v>
      </c>
      <c r="B3851" t="s">
        <v>754</v>
      </c>
      <c r="C3851" t="s">
        <v>755</v>
      </c>
      <c r="D3851" t="s">
        <v>760</v>
      </c>
      <c r="E3851">
        <v>170</v>
      </c>
      <c r="F3851">
        <v>27</v>
      </c>
      <c r="G3851">
        <v>0.158823529411765</v>
      </c>
      <c r="H3851">
        <v>11</v>
      </c>
      <c r="I3851">
        <v>9</v>
      </c>
      <c r="J3851">
        <v>6</v>
      </c>
      <c r="K3851">
        <v>0</v>
      </c>
      <c r="L3851">
        <v>16.3166666666667</v>
      </c>
    </row>
    <row r="3852" spans="1:12">
      <c r="A3852" t="s">
        <v>576</v>
      </c>
      <c r="B3852" t="s">
        <v>754</v>
      </c>
      <c r="C3852" t="s">
        <v>755</v>
      </c>
      <c r="D3852" t="s">
        <v>761</v>
      </c>
      <c r="E3852">
        <v>2</v>
      </c>
      <c r="F3852">
        <v>1</v>
      </c>
      <c r="G3852">
        <v>0.5</v>
      </c>
      <c r="H3852">
        <v>1</v>
      </c>
      <c r="I3852">
        <v>1</v>
      </c>
      <c r="J3852">
        <v>1</v>
      </c>
      <c r="K3852">
        <v>0</v>
      </c>
      <c r="L3852">
        <v>1.2</v>
      </c>
    </row>
    <row r="3853" spans="1:16">
      <c r="A3853" t="s">
        <v>576</v>
      </c>
      <c r="B3853" t="s">
        <v>754</v>
      </c>
      <c r="C3853" t="s">
        <v>755</v>
      </c>
      <c r="D3853" t="s">
        <v>762</v>
      </c>
      <c r="E3853">
        <v>3</v>
      </c>
      <c r="F3853">
        <v>1</v>
      </c>
      <c r="G3853">
        <v>0.333333333333333</v>
      </c>
      <c r="H3853">
        <v>0</v>
      </c>
      <c r="I3853">
        <v>0</v>
      </c>
      <c r="J3853">
        <v>0</v>
      </c>
      <c r="K3853">
        <v>0</v>
      </c>
      <c r="L3853">
        <v>0.383333333333333</v>
      </c>
      <c r="M3853">
        <v>1</v>
      </c>
      <c r="N3853">
        <v>0</v>
      </c>
      <c r="O3853">
        <v>0</v>
      </c>
      <c r="P3853">
        <v>123</v>
      </c>
    </row>
    <row r="3854" spans="1:12">
      <c r="A3854" t="s">
        <v>576</v>
      </c>
      <c r="B3854" t="s">
        <v>754</v>
      </c>
      <c r="C3854" t="s">
        <v>102</v>
      </c>
      <c r="D3854" t="s">
        <v>763</v>
      </c>
      <c r="E3854">
        <v>3</v>
      </c>
      <c r="F3854">
        <v>1</v>
      </c>
      <c r="G3854">
        <v>0.333333333333333</v>
      </c>
      <c r="H3854">
        <v>0</v>
      </c>
      <c r="I3854">
        <v>0</v>
      </c>
      <c r="J3854">
        <v>0</v>
      </c>
      <c r="K3854">
        <v>0</v>
      </c>
      <c r="L3854">
        <v>0.233333333333333</v>
      </c>
    </row>
    <row r="3855" spans="1:16">
      <c r="A3855" t="s">
        <v>576</v>
      </c>
      <c r="B3855" t="s">
        <v>754</v>
      </c>
      <c r="C3855" t="s">
        <v>102</v>
      </c>
      <c r="D3855" t="s">
        <v>764</v>
      </c>
      <c r="E3855">
        <v>8</v>
      </c>
      <c r="F3855">
        <v>1</v>
      </c>
      <c r="G3855">
        <v>0.125</v>
      </c>
      <c r="H3855">
        <v>0</v>
      </c>
      <c r="I3855">
        <v>0</v>
      </c>
      <c r="J3855">
        <v>0</v>
      </c>
      <c r="K3855">
        <v>0</v>
      </c>
      <c r="L3855">
        <v>0.4</v>
      </c>
      <c r="M3855">
        <v>1</v>
      </c>
      <c r="N3855">
        <v>0</v>
      </c>
      <c r="O3855">
        <v>0</v>
      </c>
      <c r="P3855">
        <v>0</v>
      </c>
    </row>
    <row r="3856" spans="1:16">
      <c r="A3856" t="s">
        <v>576</v>
      </c>
      <c r="B3856" t="s">
        <v>754</v>
      </c>
      <c r="C3856" t="s">
        <v>102</v>
      </c>
      <c r="D3856" t="s">
        <v>765</v>
      </c>
      <c r="E3856">
        <v>2</v>
      </c>
      <c r="F3856">
        <v>2</v>
      </c>
      <c r="G3856">
        <v>1</v>
      </c>
      <c r="H3856">
        <v>1</v>
      </c>
      <c r="I3856">
        <v>1</v>
      </c>
      <c r="J3856">
        <v>1</v>
      </c>
      <c r="K3856">
        <v>0</v>
      </c>
      <c r="L3856">
        <v>2.03333333333333</v>
      </c>
      <c r="M3856">
        <v>1</v>
      </c>
      <c r="N3856">
        <v>0</v>
      </c>
      <c r="O3856">
        <v>0</v>
      </c>
      <c r="P3856">
        <v>31</v>
      </c>
    </row>
    <row r="3857" spans="1:12">
      <c r="A3857" t="s">
        <v>576</v>
      </c>
      <c r="B3857" t="s">
        <v>754</v>
      </c>
      <c r="C3857" t="s">
        <v>102</v>
      </c>
      <c r="D3857" t="s">
        <v>766</v>
      </c>
      <c r="E3857">
        <v>49</v>
      </c>
      <c r="F3857">
        <v>18</v>
      </c>
      <c r="G3857">
        <v>0.36734693877551</v>
      </c>
      <c r="H3857">
        <v>11</v>
      </c>
      <c r="I3857">
        <v>6</v>
      </c>
      <c r="J3857">
        <v>2</v>
      </c>
      <c r="K3857">
        <v>0</v>
      </c>
      <c r="L3857">
        <v>11.5166666666667</v>
      </c>
    </row>
    <row r="3858" spans="1:12">
      <c r="A3858" t="s">
        <v>576</v>
      </c>
      <c r="B3858" t="s">
        <v>754</v>
      </c>
      <c r="C3858" t="s">
        <v>102</v>
      </c>
      <c r="D3858" t="s">
        <v>767</v>
      </c>
      <c r="E3858">
        <v>7</v>
      </c>
      <c r="F3858">
        <v>3</v>
      </c>
      <c r="G3858">
        <v>0.428571428571428</v>
      </c>
      <c r="H3858">
        <v>3</v>
      </c>
      <c r="I3858">
        <v>3</v>
      </c>
      <c r="J3858">
        <v>1</v>
      </c>
      <c r="K3858">
        <v>0</v>
      </c>
      <c r="L3858">
        <v>3.98333333333333</v>
      </c>
    </row>
    <row r="3859" spans="1:16">
      <c r="A3859" t="s">
        <v>576</v>
      </c>
      <c r="B3859" t="s">
        <v>754</v>
      </c>
      <c r="C3859" t="s">
        <v>768</v>
      </c>
      <c r="D3859" t="s">
        <v>769</v>
      </c>
      <c r="E3859">
        <v>41</v>
      </c>
      <c r="F3859">
        <v>20</v>
      </c>
      <c r="G3859">
        <v>0.48780487804878</v>
      </c>
      <c r="H3859">
        <v>0</v>
      </c>
      <c r="I3859">
        <v>0</v>
      </c>
      <c r="J3859">
        <v>0</v>
      </c>
      <c r="K3859">
        <v>0</v>
      </c>
      <c r="L3859">
        <v>4.98333333333333</v>
      </c>
      <c r="M3859">
        <v>1</v>
      </c>
      <c r="N3859">
        <v>0</v>
      </c>
      <c r="O3859">
        <v>0</v>
      </c>
      <c r="P3859">
        <v>50</v>
      </c>
    </row>
    <row r="3860" spans="1:16">
      <c r="A3860" t="s">
        <v>576</v>
      </c>
      <c r="B3860" t="s">
        <v>754</v>
      </c>
      <c r="C3860" t="s">
        <v>768</v>
      </c>
      <c r="D3860" t="s">
        <v>770</v>
      </c>
      <c r="E3860">
        <v>1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1</v>
      </c>
      <c r="N3860">
        <v>0</v>
      </c>
      <c r="O3860">
        <v>0</v>
      </c>
      <c r="P3860">
        <v>109</v>
      </c>
    </row>
    <row r="3861" spans="1:12">
      <c r="A3861" t="s">
        <v>576</v>
      </c>
      <c r="B3861" t="s">
        <v>754</v>
      </c>
      <c r="C3861" t="s">
        <v>768</v>
      </c>
      <c r="D3861" t="s">
        <v>771</v>
      </c>
      <c r="E3861">
        <v>18</v>
      </c>
      <c r="F3861">
        <v>5</v>
      </c>
      <c r="G3861">
        <v>0.277777777777778</v>
      </c>
      <c r="H3861">
        <v>0</v>
      </c>
      <c r="I3861">
        <v>0</v>
      </c>
      <c r="J3861">
        <v>0</v>
      </c>
      <c r="K3861">
        <v>0</v>
      </c>
      <c r="L3861">
        <v>1.35</v>
      </c>
    </row>
    <row r="3862" spans="1:16">
      <c r="A3862" t="s">
        <v>576</v>
      </c>
      <c r="B3862" t="s">
        <v>754</v>
      </c>
      <c r="C3862" t="s">
        <v>768</v>
      </c>
      <c r="D3862" t="s">
        <v>772</v>
      </c>
      <c r="E3862">
        <v>10</v>
      </c>
      <c r="F3862">
        <v>5</v>
      </c>
      <c r="G3862">
        <v>0.5</v>
      </c>
      <c r="H3862">
        <v>4</v>
      </c>
      <c r="I3862">
        <v>1</v>
      </c>
      <c r="J3862">
        <v>1</v>
      </c>
      <c r="K3862">
        <v>1</v>
      </c>
      <c r="L3862">
        <v>5.61666666666667</v>
      </c>
      <c r="M3862">
        <v>3</v>
      </c>
      <c r="N3862">
        <v>0</v>
      </c>
      <c r="O3862">
        <v>0</v>
      </c>
      <c r="P3862">
        <v>72</v>
      </c>
    </row>
    <row r="3863" spans="1:16">
      <c r="A3863" t="s">
        <v>576</v>
      </c>
      <c r="B3863" t="s">
        <v>754</v>
      </c>
      <c r="C3863" t="s">
        <v>52</v>
      </c>
      <c r="D3863" t="s">
        <v>773</v>
      </c>
      <c r="M3863">
        <v>1</v>
      </c>
      <c r="N3863">
        <v>1</v>
      </c>
      <c r="O3863">
        <v>1</v>
      </c>
      <c r="P3863">
        <v>174</v>
      </c>
    </row>
    <row r="3864" spans="1:16">
      <c r="A3864" t="s">
        <v>576</v>
      </c>
      <c r="B3864" t="s">
        <v>754</v>
      </c>
      <c r="C3864" t="s">
        <v>52</v>
      </c>
      <c r="D3864" t="s">
        <v>774</v>
      </c>
      <c r="M3864">
        <v>1</v>
      </c>
      <c r="N3864">
        <v>0</v>
      </c>
      <c r="O3864">
        <v>0</v>
      </c>
      <c r="P3864">
        <v>0</v>
      </c>
    </row>
    <row r="3865" spans="1:12">
      <c r="A3865" t="s">
        <v>576</v>
      </c>
      <c r="B3865" t="s">
        <v>754</v>
      </c>
      <c r="C3865" t="s">
        <v>52</v>
      </c>
      <c r="D3865" t="s">
        <v>775</v>
      </c>
      <c r="E3865">
        <v>35</v>
      </c>
      <c r="F3865">
        <v>9</v>
      </c>
      <c r="G3865">
        <v>0.257142857142857</v>
      </c>
      <c r="H3865">
        <v>3</v>
      </c>
      <c r="I3865">
        <v>2</v>
      </c>
      <c r="J3865">
        <v>1</v>
      </c>
      <c r="K3865">
        <v>0</v>
      </c>
      <c r="L3865">
        <v>4.11666666666667</v>
      </c>
    </row>
    <row r="3866" spans="1:16">
      <c r="A3866" t="s">
        <v>576</v>
      </c>
      <c r="B3866" t="s">
        <v>754</v>
      </c>
      <c r="C3866" t="s">
        <v>52</v>
      </c>
      <c r="D3866" t="s">
        <v>776</v>
      </c>
      <c r="E3866">
        <v>25</v>
      </c>
      <c r="F3866">
        <v>2</v>
      </c>
      <c r="G3866">
        <v>0.08</v>
      </c>
      <c r="H3866">
        <v>2</v>
      </c>
      <c r="I3866">
        <v>1</v>
      </c>
      <c r="J3866">
        <v>1</v>
      </c>
      <c r="K3866">
        <v>0</v>
      </c>
      <c r="L3866">
        <v>2.33333333333333</v>
      </c>
      <c r="M3866">
        <v>1</v>
      </c>
      <c r="N3866">
        <v>0</v>
      </c>
      <c r="O3866">
        <v>0</v>
      </c>
      <c r="P3866">
        <v>0</v>
      </c>
    </row>
    <row r="3867" spans="1:12">
      <c r="A3867" t="s">
        <v>576</v>
      </c>
      <c r="B3867" t="s">
        <v>754</v>
      </c>
      <c r="C3867" t="s">
        <v>52</v>
      </c>
      <c r="D3867" t="s">
        <v>777</v>
      </c>
      <c r="E3867">
        <v>29</v>
      </c>
      <c r="F3867">
        <v>8</v>
      </c>
      <c r="G3867">
        <v>0.275862068965517</v>
      </c>
      <c r="H3867">
        <v>4</v>
      </c>
      <c r="I3867">
        <v>3</v>
      </c>
      <c r="J3867">
        <v>1</v>
      </c>
      <c r="K3867">
        <v>0</v>
      </c>
      <c r="L3867">
        <v>4.75</v>
      </c>
    </row>
    <row r="3868" spans="1:12">
      <c r="A3868" t="s">
        <v>576</v>
      </c>
      <c r="B3868" t="s">
        <v>754</v>
      </c>
      <c r="C3868" t="s">
        <v>75</v>
      </c>
      <c r="D3868" t="s">
        <v>778</v>
      </c>
      <c r="E3868">
        <v>272</v>
      </c>
      <c r="F3868">
        <v>93</v>
      </c>
      <c r="G3868">
        <v>0.341911764705882</v>
      </c>
      <c r="H3868">
        <v>46</v>
      </c>
      <c r="I3868">
        <v>34</v>
      </c>
      <c r="J3868">
        <v>22</v>
      </c>
      <c r="K3868">
        <v>2</v>
      </c>
      <c r="L3868">
        <v>73.15</v>
      </c>
    </row>
    <row r="3869" spans="1:12">
      <c r="A3869" t="s">
        <v>576</v>
      </c>
      <c r="B3869" t="s">
        <v>754</v>
      </c>
      <c r="C3869" t="s">
        <v>75</v>
      </c>
      <c r="D3869" t="s">
        <v>779</v>
      </c>
      <c r="E3869">
        <v>188</v>
      </c>
      <c r="F3869">
        <v>80</v>
      </c>
      <c r="G3869">
        <v>0.425531914893617</v>
      </c>
      <c r="H3869">
        <v>34</v>
      </c>
      <c r="I3869">
        <v>30</v>
      </c>
      <c r="J3869">
        <v>16</v>
      </c>
      <c r="K3869">
        <v>2</v>
      </c>
      <c r="L3869">
        <v>55.4333333333333</v>
      </c>
    </row>
    <row r="3870" spans="1:12">
      <c r="A3870" t="s">
        <v>576</v>
      </c>
      <c r="B3870" t="s">
        <v>754</v>
      </c>
      <c r="C3870" t="s">
        <v>75</v>
      </c>
      <c r="D3870" t="s">
        <v>780</v>
      </c>
      <c r="E3870">
        <v>152</v>
      </c>
      <c r="F3870">
        <v>49</v>
      </c>
      <c r="G3870">
        <v>0.322368421052632</v>
      </c>
      <c r="H3870">
        <v>17</v>
      </c>
      <c r="I3870">
        <v>13</v>
      </c>
      <c r="J3870">
        <v>9</v>
      </c>
      <c r="K3870">
        <v>1</v>
      </c>
      <c r="L3870">
        <v>33.0166666666667</v>
      </c>
    </row>
    <row r="3871" spans="1:12">
      <c r="A3871" t="s">
        <v>576</v>
      </c>
      <c r="B3871" t="s">
        <v>754</v>
      </c>
      <c r="C3871" t="s">
        <v>75</v>
      </c>
      <c r="D3871" t="s">
        <v>781</v>
      </c>
      <c r="E3871">
        <v>204</v>
      </c>
      <c r="F3871">
        <v>75</v>
      </c>
      <c r="G3871">
        <v>0.367647058823529</v>
      </c>
      <c r="H3871">
        <v>34</v>
      </c>
      <c r="I3871">
        <v>27</v>
      </c>
      <c r="J3871">
        <v>16</v>
      </c>
      <c r="K3871">
        <v>1</v>
      </c>
      <c r="L3871">
        <v>51.3166666666667</v>
      </c>
    </row>
    <row r="3872" spans="1:12">
      <c r="A3872" t="s">
        <v>576</v>
      </c>
      <c r="B3872" t="s">
        <v>754</v>
      </c>
      <c r="C3872" t="s">
        <v>75</v>
      </c>
      <c r="D3872" t="s">
        <v>782</v>
      </c>
      <c r="E3872">
        <v>41</v>
      </c>
      <c r="F3872">
        <v>14</v>
      </c>
      <c r="G3872">
        <v>0.341463414634146</v>
      </c>
      <c r="H3872">
        <v>7</v>
      </c>
      <c r="I3872">
        <v>5</v>
      </c>
      <c r="J3872">
        <v>4</v>
      </c>
      <c r="K3872">
        <v>1</v>
      </c>
      <c r="L3872">
        <v>11.8</v>
      </c>
    </row>
    <row r="3873" spans="1:12">
      <c r="A3873" t="s">
        <v>576</v>
      </c>
      <c r="B3873" t="s">
        <v>754</v>
      </c>
      <c r="C3873" t="s">
        <v>547</v>
      </c>
      <c r="D3873" t="s">
        <v>783</v>
      </c>
      <c r="E3873">
        <v>60</v>
      </c>
      <c r="F3873">
        <v>37</v>
      </c>
      <c r="G3873">
        <v>0.616666666666667</v>
      </c>
      <c r="H3873">
        <v>17</v>
      </c>
      <c r="I3873">
        <v>11</v>
      </c>
      <c r="J3873">
        <v>9</v>
      </c>
      <c r="K3873">
        <v>2</v>
      </c>
      <c r="L3873">
        <v>32.3666666666667</v>
      </c>
    </row>
    <row r="3874" spans="1:12">
      <c r="A3874" t="s">
        <v>576</v>
      </c>
      <c r="B3874" t="s">
        <v>754</v>
      </c>
      <c r="C3874" t="s">
        <v>547</v>
      </c>
      <c r="D3874" t="s">
        <v>784</v>
      </c>
      <c r="E3874">
        <v>64</v>
      </c>
      <c r="F3874">
        <v>28</v>
      </c>
      <c r="G3874">
        <v>0.4375</v>
      </c>
      <c r="H3874">
        <v>11</v>
      </c>
      <c r="I3874">
        <v>4</v>
      </c>
      <c r="J3874">
        <v>3</v>
      </c>
      <c r="K3874">
        <v>0</v>
      </c>
      <c r="L3874">
        <v>13.2666666666667</v>
      </c>
    </row>
    <row r="3875" spans="1:12">
      <c r="A3875" t="s">
        <v>576</v>
      </c>
      <c r="B3875" t="s">
        <v>754</v>
      </c>
      <c r="C3875" t="s">
        <v>547</v>
      </c>
      <c r="D3875" t="s">
        <v>785</v>
      </c>
      <c r="E3875">
        <v>176</v>
      </c>
      <c r="F3875">
        <v>66</v>
      </c>
      <c r="G3875">
        <v>0.375</v>
      </c>
      <c r="H3875">
        <v>27</v>
      </c>
      <c r="I3875">
        <v>18</v>
      </c>
      <c r="J3875">
        <v>16</v>
      </c>
      <c r="K3875">
        <v>2</v>
      </c>
      <c r="L3875">
        <v>46.1666666666667</v>
      </c>
    </row>
    <row r="3876" spans="1:12">
      <c r="A3876" t="s">
        <v>576</v>
      </c>
      <c r="B3876" t="s">
        <v>754</v>
      </c>
      <c r="C3876" t="s">
        <v>547</v>
      </c>
      <c r="D3876" t="s">
        <v>786</v>
      </c>
      <c r="E3876">
        <v>87</v>
      </c>
      <c r="F3876">
        <v>38</v>
      </c>
      <c r="G3876">
        <v>0.436781609195402</v>
      </c>
      <c r="H3876">
        <v>16</v>
      </c>
      <c r="I3876">
        <v>12</v>
      </c>
      <c r="J3876">
        <v>8</v>
      </c>
      <c r="K3876">
        <v>1</v>
      </c>
      <c r="L3876">
        <v>25.8833333333333</v>
      </c>
    </row>
    <row r="3877" spans="1:12">
      <c r="A3877" t="s">
        <v>576</v>
      </c>
      <c r="B3877" t="s">
        <v>754</v>
      </c>
      <c r="C3877" t="s">
        <v>547</v>
      </c>
      <c r="D3877" t="s">
        <v>787</v>
      </c>
      <c r="E3877">
        <v>81</v>
      </c>
      <c r="F3877">
        <v>34</v>
      </c>
      <c r="G3877">
        <v>0.419753086419753</v>
      </c>
      <c r="H3877">
        <v>15</v>
      </c>
      <c r="I3877">
        <v>9</v>
      </c>
      <c r="J3877">
        <v>6</v>
      </c>
      <c r="K3877">
        <v>1</v>
      </c>
      <c r="L3877">
        <v>25.1666666666667</v>
      </c>
    </row>
    <row r="3878" spans="1:12">
      <c r="A3878" t="s">
        <v>576</v>
      </c>
      <c r="B3878" t="s">
        <v>754</v>
      </c>
      <c r="C3878" t="s">
        <v>547</v>
      </c>
      <c r="D3878" t="s">
        <v>788</v>
      </c>
      <c r="E3878">
        <v>107</v>
      </c>
      <c r="F3878">
        <v>50</v>
      </c>
      <c r="G3878">
        <v>0.467289719626168</v>
      </c>
      <c r="H3878">
        <v>16</v>
      </c>
      <c r="I3878">
        <v>13</v>
      </c>
      <c r="J3878">
        <v>5</v>
      </c>
      <c r="K3878">
        <v>1</v>
      </c>
      <c r="L3878">
        <v>35.6166666666667</v>
      </c>
    </row>
    <row r="3879" spans="1:12">
      <c r="A3879" t="s">
        <v>576</v>
      </c>
      <c r="B3879" t="s">
        <v>754</v>
      </c>
      <c r="C3879" t="s">
        <v>151</v>
      </c>
      <c r="D3879" t="s">
        <v>789</v>
      </c>
      <c r="E3879">
        <v>112</v>
      </c>
      <c r="F3879">
        <v>37</v>
      </c>
      <c r="G3879">
        <v>0.330357142857143</v>
      </c>
      <c r="H3879">
        <v>24</v>
      </c>
      <c r="I3879">
        <v>21</v>
      </c>
      <c r="J3879">
        <v>18</v>
      </c>
      <c r="K3879">
        <v>3</v>
      </c>
      <c r="L3879">
        <v>43</v>
      </c>
    </row>
    <row r="3880" spans="1:12">
      <c r="A3880" t="s">
        <v>576</v>
      </c>
      <c r="B3880" t="s">
        <v>754</v>
      </c>
      <c r="C3880" t="s">
        <v>151</v>
      </c>
      <c r="D3880" t="s">
        <v>790</v>
      </c>
      <c r="E3880">
        <v>109</v>
      </c>
      <c r="F3880">
        <v>51</v>
      </c>
      <c r="G3880">
        <v>0.467889908256881</v>
      </c>
      <c r="H3880">
        <v>20</v>
      </c>
      <c r="I3880">
        <v>12</v>
      </c>
      <c r="J3880">
        <v>7</v>
      </c>
      <c r="K3880">
        <v>1</v>
      </c>
      <c r="L3880">
        <v>29.75</v>
      </c>
    </row>
    <row r="3881" spans="1:12">
      <c r="A3881" t="s">
        <v>576</v>
      </c>
      <c r="B3881" t="s">
        <v>754</v>
      </c>
      <c r="C3881" t="s">
        <v>151</v>
      </c>
      <c r="D3881" t="s">
        <v>791</v>
      </c>
      <c r="E3881">
        <v>188</v>
      </c>
      <c r="F3881">
        <v>70</v>
      </c>
      <c r="G3881">
        <v>0.372340425531915</v>
      </c>
      <c r="H3881">
        <v>34</v>
      </c>
      <c r="I3881">
        <v>27</v>
      </c>
      <c r="J3881">
        <v>22</v>
      </c>
      <c r="K3881">
        <v>3</v>
      </c>
      <c r="L3881">
        <v>63.7166666666667</v>
      </c>
    </row>
    <row r="3882" spans="1:12">
      <c r="A3882" t="s">
        <v>576</v>
      </c>
      <c r="B3882" t="s">
        <v>754</v>
      </c>
      <c r="C3882" t="s">
        <v>151</v>
      </c>
      <c r="D3882" t="s">
        <v>792</v>
      </c>
      <c r="E3882">
        <v>169</v>
      </c>
      <c r="F3882">
        <v>62</v>
      </c>
      <c r="G3882">
        <v>0.366863905325444</v>
      </c>
      <c r="H3882">
        <v>4</v>
      </c>
      <c r="I3882">
        <v>3</v>
      </c>
      <c r="J3882">
        <v>2</v>
      </c>
      <c r="K3882">
        <v>0</v>
      </c>
      <c r="L3882">
        <v>16.1</v>
      </c>
    </row>
    <row r="3883" spans="1:12">
      <c r="A3883" t="s">
        <v>576</v>
      </c>
      <c r="B3883" t="s">
        <v>754</v>
      </c>
      <c r="C3883" t="s">
        <v>151</v>
      </c>
      <c r="D3883" t="s">
        <v>793</v>
      </c>
      <c r="E3883">
        <v>150</v>
      </c>
      <c r="F3883">
        <v>50</v>
      </c>
      <c r="G3883">
        <v>0.333333333333333</v>
      </c>
      <c r="H3883">
        <v>21</v>
      </c>
      <c r="I3883">
        <v>17</v>
      </c>
      <c r="J3883">
        <v>7</v>
      </c>
      <c r="K3883">
        <v>1</v>
      </c>
      <c r="L3883">
        <v>33.2333333333333</v>
      </c>
    </row>
    <row r="3884" spans="1:12">
      <c r="A3884" t="s">
        <v>576</v>
      </c>
      <c r="B3884" t="s">
        <v>754</v>
      </c>
      <c r="C3884" t="s">
        <v>151</v>
      </c>
      <c r="D3884" t="s">
        <v>794</v>
      </c>
      <c r="E3884">
        <v>193</v>
      </c>
      <c r="F3884">
        <v>56</v>
      </c>
      <c r="G3884">
        <v>0.290155440414508</v>
      </c>
      <c r="H3884">
        <v>35</v>
      </c>
      <c r="I3884">
        <v>26</v>
      </c>
      <c r="J3884">
        <v>22</v>
      </c>
      <c r="K3884">
        <v>5</v>
      </c>
      <c r="L3884">
        <v>67.5333333333333</v>
      </c>
    </row>
    <row r="3885" spans="1:12">
      <c r="A3885" t="s">
        <v>576</v>
      </c>
      <c r="B3885" t="s">
        <v>754</v>
      </c>
      <c r="C3885" t="s">
        <v>151</v>
      </c>
      <c r="D3885" t="s">
        <v>795</v>
      </c>
      <c r="E3885">
        <v>177</v>
      </c>
      <c r="F3885">
        <v>71</v>
      </c>
      <c r="G3885">
        <v>0.401129943502825</v>
      </c>
      <c r="H3885">
        <v>38</v>
      </c>
      <c r="I3885">
        <v>27</v>
      </c>
      <c r="J3885">
        <v>16</v>
      </c>
      <c r="K3885">
        <v>1</v>
      </c>
      <c r="L3885">
        <v>53.2666666666667</v>
      </c>
    </row>
    <row r="3886" spans="1:12">
      <c r="A3886" t="s">
        <v>576</v>
      </c>
      <c r="B3886" t="s">
        <v>754</v>
      </c>
      <c r="C3886" t="s">
        <v>151</v>
      </c>
      <c r="D3886" t="s">
        <v>796</v>
      </c>
      <c r="E3886">
        <v>160</v>
      </c>
      <c r="F3886">
        <v>75</v>
      </c>
      <c r="G3886">
        <v>0.46875</v>
      </c>
      <c r="H3886">
        <v>35</v>
      </c>
      <c r="I3886">
        <v>21</v>
      </c>
      <c r="J3886">
        <v>12</v>
      </c>
      <c r="K3886">
        <v>1</v>
      </c>
      <c r="L3886">
        <v>49.0666666666667</v>
      </c>
    </row>
    <row r="3887" spans="1:12">
      <c r="A3887" t="s">
        <v>576</v>
      </c>
      <c r="B3887" t="s">
        <v>754</v>
      </c>
      <c r="C3887" t="s">
        <v>151</v>
      </c>
      <c r="D3887" t="s">
        <v>797</v>
      </c>
      <c r="E3887">
        <v>247</v>
      </c>
      <c r="F3887">
        <v>129</v>
      </c>
      <c r="G3887">
        <v>0.522267206477733</v>
      </c>
      <c r="H3887">
        <v>40</v>
      </c>
      <c r="I3887">
        <v>23</v>
      </c>
      <c r="J3887">
        <v>14</v>
      </c>
      <c r="K3887">
        <v>3</v>
      </c>
      <c r="L3887">
        <v>73.2</v>
      </c>
    </row>
    <row r="3888" spans="1:12">
      <c r="A3888" t="s">
        <v>576</v>
      </c>
      <c r="B3888" t="s">
        <v>754</v>
      </c>
      <c r="C3888" t="s">
        <v>798</v>
      </c>
      <c r="D3888" t="s">
        <v>799</v>
      </c>
      <c r="E3888">
        <v>103</v>
      </c>
      <c r="F3888">
        <v>40</v>
      </c>
      <c r="G3888">
        <v>0.388349514563107</v>
      </c>
      <c r="H3888">
        <v>29</v>
      </c>
      <c r="I3888">
        <v>23</v>
      </c>
      <c r="J3888">
        <v>15</v>
      </c>
      <c r="K3888">
        <v>1</v>
      </c>
      <c r="L3888">
        <v>39.6666666666667</v>
      </c>
    </row>
    <row r="3889" spans="1:12">
      <c r="A3889" t="s">
        <v>576</v>
      </c>
      <c r="B3889" t="s">
        <v>754</v>
      </c>
      <c r="C3889" t="s">
        <v>798</v>
      </c>
      <c r="D3889" t="s">
        <v>800</v>
      </c>
      <c r="E3889">
        <v>166</v>
      </c>
      <c r="F3889">
        <v>74</v>
      </c>
      <c r="G3889">
        <v>0.44578313253012</v>
      </c>
      <c r="H3889">
        <v>39</v>
      </c>
      <c r="I3889">
        <v>27</v>
      </c>
      <c r="J3889">
        <v>10</v>
      </c>
      <c r="K3889">
        <v>1</v>
      </c>
      <c r="L3889">
        <v>49.1333333333333</v>
      </c>
    </row>
    <row r="3890" spans="1:12">
      <c r="A3890" t="s">
        <v>576</v>
      </c>
      <c r="B3890" t="s">
        <v>754</v>
      </c>
      <c r="C3890" t="s">
        <v>798</v>
      </c>
      <c r="D3890" t="s">
        <v>801</v>
      </c>
      <c r="E3890">
        <v>249</v>
      </c>
      <c r="F3890">
        <v>127</v>
      </c>
      <c r="G3890">
        <v>0.51004016064257</v>
      </c>
      <c r="H3890">
        <v>41</v>
      </c>
      <c r="I3890">
        <v>24</v>
      </c>
      <c r="J3890">
        <v>9</v>
      </c>
      <c r="K3890">
        <v>1</v>
      </c>
      <c r="L3890">
        <v>62.15</v>
      </c>
    </row>
    <row r="3891" spans="1:12">
      <c r="A3891" t="s">
        <v>576</v>
      </c>
      <c r="B3891" t="s">
        <v>754</v>
      </c>
      <c r="C3891" t="s">
        <v>798</v>
      </c>
      <c r="D3891" t="s">
        <v>802</v>
      </c>
      <c r="E3891">
        <v>103</v>
      </c>
      <c r="F3891">
        <v>48</v>
      </c>
      <c r="G3891">
        <v>0.466019417475728</v>
      </c>
      <c r="H3891">
        <v>27</v>
      </c>
      <c r="I3891">
        <v>24</v>
      </c>
      <c r="J3891">
        <v>18</v>
      </c>
      <c r="K3891">
        <v>8</v>
      </c>
      <c r="L3891">
        <v>59.4833333333333</v>
      </c>
    </row>
    <row r="3892" spans="1:12">
      <c r="A3892" t="s">
        <v>576</v>
      </c>
      <c r="B3892" t="s">
        <v>754</v>
      </c>
      <c r="C3892" t="s">
        <v>798</v>
      </c>
      <c r="D3892" t="s">
        <v>803</v>
      </c>
      <c r="E3892">
        <v>77</v>
      </c>
      <c r="F3892">
        <v>31</v>
      </c>
      <c r="G3892">
        <v>0.402597402597403</v>
      </c>
      <c r="H3892">
        <v>15</v>
      </c>
      <c r="I3892">
        <v>13</v>
      </c>
      <c r="J3892">
        <v>9</v>
      </c>
      <c r="K3892">
        <v>3</v>
      </c>
      <c r="L3892">
        <v>32.45</v>
      </c>
    </row>
    <row r="3893" spans="1:12">
      <c r="A3893" t="s">
        <v>576</v>
      </c>
      <c r="B3893" t="s">
        <v>754</v>
      </c>
      <c r="C3893" t="s">
        <v>798</v>
      </c>
      <c r="D3893" t="s">
        <v>804</v>
      </c>
      <c r="E3893">
        <v>229</v>
      </c>
      <c r="F3893">
        <v>86</v>
      </c>
      <c r="G3893">
        <v>0.375545851528384</v>
      </c>
      <c r="H3893">
        <v>26</v>
      </c>
      <c r="I3893">
        <v>15</v>
      </c>
      <c r="J3893">
        <v>3</v>
      </c>
      <c r="K3893">
        <v>0</v>
      </c>
      <c r="L3893">
        <v>38.3166666666667</v>
      </c>
    </row>
    <row r="3894" spans="1:12">
      <c r="A3894" t="s">
        <v>576</v>
      </c>
      <c r="B3894" t="s">
        <v>754</v>
      </c>
      <c r="C3894" t="s">
        <v>798</v>
      </c>
      <c r="D3894" t="s">
        <v>805</v>
      </c>
      <c r="E3894">
        <v>138</v>
      </c>
      <c r="F3894">
        <v>60</v>
      </c>
      <c r="G3894">
        <v>0.434782608695652</v>
      </c>
      <c r="H3894">
        <v>21</v>
      </c>
      <c r="I3894">
        <v>18</v>
      </c>
      <c r="J3894">
        <v>11</v>
      </c>
      <c r="K3894">
        <v>2</v>
      </c>
      <c r="L3894">
        <v>46.65</v>
      </c>
    </row>
    <row r="3895" spans="1:12">
      <c r="A3895" t="s">
        <v>576</v>
      </c>
      <c r="B3895" t="s">
        <v>754</v>
      </c>
      <c r="C3895" t="s">
        <v>798</v>
      </c>
      <c r="D3895" t="s">
        <v>806</v>
      </c>
      <c r="E3895">
        <v>152</v>
      </c>
      <c r="F3895">
        <v>58</v>
      </c>
      <c r="G3895">
        <v>0.381578947368421</v>
      </c>
      <c r="H3895">
        <v>35</v>
      </c>
      <c r="I3895">
        <v>32</v>
      </c>
      <c r="J3895">
        <v>20</v>
      </c>
      <c r="K3895">
        <v>0</v>
      </c>
      <c r="L3895">
        <v>47.7166666666667</v>
      </c>
    </row>
    <row r="3896" spans="1:12">
      <c r="A3896" t="s">
        <v>576</v>
      </c>
      <c r="B3896" t="s">
        <v>754</v>
      </c>
      <c r="C3896" t="s">
        <v>798</v>
      </c>
      <c r="D3896" t="s">
        <v>807</v>
      </c>
      <c r="E3896">
        <v>145</v>
      </c>
      <c r="F3896">
        <v>54</v>
      </c>
      <c r="G3896">
        <v>0.372413793103448</v>
      </c>
      <c r="H3896">
        <v>35</v>
      </c>
      <c r="I3896">
        <v>29</v>
      </c>
      <c r="J3896">
        <v>14</v>
      </c>
      <c r="K3896">
        <v>1</v>
      </c>
      <c r="L3896">
        <v>43</v>
      </c>
    </row>
    <row r="3897" spans="1:12">
      <c r="A3897" t="s">
        <v>576</v>
      </c>
      <c r="B3897" t="s">
        <v>754</v>
      </c>
      <c r="C3897" t="s">
        <v>798</v>
      </c>
      <c r="D3897" t="s">
        <v>808</v>
      </c>
      <c r="E3897">
        <v>186</v>
      </c>
      <c r="F3897">
        <v>74</v>
      </c>
      <c r="G3897">
        <v>0.397849462365591</v>
      </c>
      <c r="H3897">
        <v>32</v>
      </c>
      <c r="I3897">
        <v>25</v>
      </c>
      <c r="J3897">
        <v>15</v>
      </c>
      <c r="K3897">
        <v>2</v>
      </c>
      <c r="L3897">
        <v>69.3</v>
      </c>
    </row>
    <row r="3898" spans="1:16">
      <c r="A3898" t="s">
        <v>576</v>
      </c>
      <c r="B3898" t="s">
        <v>754</v>
      </c>
      <c r="C3898" t="s">
        <v>264</v>
      </c>
      <c r="D3898" t="s">
        <v>809</v>
      </c>
      <c r="E3898">
        <v>47</v>
      </c>
      <c r="F3898">
        <v>21</v>
      </c>
      <c r="G3898">
        <v>0.446808510638298</v>
      </c>
      <c r="H3898">
        <v>10</v>
      </c>
      <c r="I3898">
        <v>7</v>
      </c>
      <c r="J3898">
        <v>5</v>
      </c>
      <c r="K3898">
        <v>2</v>
      </c>
      <c r="L3898">
        <v>24.9166666666667</v>
      </c>
      <c r="M3898">
        <v>1</v>
      </c>
      <c r="N3898">
        <v>0</v>
      </c>
      <c r="O3898">
        <v>0</v>
      </c>
      <c r="P3898">
        <v>0</v>
      </c>
    </row>
    <row r="3899" spans="1:12">
      <c r="A3899" t="s">
        <v>576</v>
      </c>
      <c r="B3899" t="s">
        <v>754</v>
      </c>
      <c r="C3899" t="s">
        <v>264</v>
      </c>
      <c r="D3899" t="s">
        <v>810</v>
      </c>
      <c r="E3899">
        <v>64</v>
      </c>
      <c r="F3899">
        <v>33</v>
      </c>
      <c r="G3899">
        <v>0.515625</v>
      </c>
      <c r="H3899">
        <v>25</v>
      </c>
      <c r="I3899">
        <v>23</v>
      </c>
      <c r="J3899">
        <v>16</v>
      </c>
      <c r="K3899">
        <v>0</v>
      </c>
      <c r="L3899">
        <v>33.1</v>
      </c>
    </row>
    <row r="3900" spans="1:12">
      <c r="A3900" t="s">
        <v>576</v>
      </c>
      <c r="B3900" t="s">
        <v>754</v>
      </c>
      <c r="C3900" t="s">
        <v>264</v>
      </c>
      <c r="D3900" t="s">
        <v>811</v>
      </c>
      <c r="E3900">
        <v>120</v>
      </c>
      <c r="F3900">
        <v>55</v>
      </c>
      <c r="G3900">
        <v>0.458333333333333</v>
      </c>
      <c r="H3900">
        <v>33</v>
      </c>
      <c r="I3900">
        <v>32</v>
      </c>
      <c r="J3900">
        <v>12</v>
      </c>
      <c r="K3900">
        <v>1</v>
      </c>
      <c r="L3900">
        <v>41.4166666666667</v>
      </c>
    </row>
    <row r="3901" spans="1:12">
      <c r="A3901" t="s">
        <v>576</v>
      </c>
      <c r="B3901" t="s">
        <v>754</v>
      </c>
      <c r="C3901" t="s">
        <v>264</v>
      </c>
      <c r="D3901" t="s">
        <v>812</v>
      </c>
      <c r="E3901">
        <v>63</v>
      </c>
      <c r="F3901">
        <v>31</v>
      </c>
      <c r="G3901">
        <v>0.492063492063492</v>
      </c>
      <c r="H3901">
        <v>21</v>
      </c>
      <c r="I3901">
        <v>18</v>
      </c>
      <c r="J3901">
        <v>14</v>
      </c>
      <c r="K3901">
        <v>1</v>
      </c>
      <c r="L3901">
        <v>35.6833333333333</v>
      </c>
    </row>
    <row r="3902" spans="1:12">
      <c r="A3902" t="s">
        <v>576</v>
      </c>
      <c r="B3902" t="s">
        <v>754</v>
      </c>
      <c r="C3902" t="s">
        <v>264</v>
      </c>
      <c r="D3902" t="s">
        <v>813</v>
      </c>
      <c r="E3902">
        <v>61</v>
      </c>
      <c r="F3902">
        <v>23</v>
      </c>
      <c r="G3902">
        <v>0.377049180327869</v>
      </c>
      <c r="H3902">
        <v>13</v>
      </c>
      <c r="I3902">
        <v>12</v>
      </c>
      <c r="J3902">
        <v>8</v>
      </c>
      <c r="K3902">
        <v>3</v>
      </c>
      <c r="L3902">
        <v>42.6666666666667</v>
      </c>
    </row>
    <row r="3903" spans="1:12">
      <c r="A3903" t="s">
        <v>576</v>
      </c>
      <c r="B3903" t="s">
        <v>754</v>
      </c>
      <c r="C3903" t="s">
        <v>264</v>
      </c>
      <c r="D3903" t="s">
        <v>814</v>
      </c>
      <c r="E3903">
        <v>95</v>
      </c>
      <c r="F3903">
        <v>40</v>
      </c>
      <c r="G3903">
        <v>0.421052631578947</v>
      </c>
      <c r="H3903">
        <v>11</v>
      </c>
      <c r="I3903">
        <v>6</v>
      </c>
      <c r="J3903">
        <v>3</v>
      </c>
      <c r="K3903">
        <v>2</v>
      </c>
      <c r="L3903">
        <v>28.65</v>
      </c>
    </row>
    <row r="3904" spans="1:12">
      <c r="A3904" t="s">
        <v>576</v>
      </c>
      <c r="B3904" t="s">
        <v>754</v>
      </c>
      <c r="C3904" t="s">
        <v>264</v>
      </c>
      <c r="D3904" t="s">
        <v>815</v>
      </c>
      <c r="E3904">
        <v>281</v>
      </c>
      <c r="F3904">
        <v>119</v>
      </c>
      <c r="G3904">
        <v>0.423487544483986</v>
      </c>
      <c r="H3904">
        <v>44</v>
      </c>
      <c r="I3904">
        <v>26</v>
      </c>
      <c r="J3904">
        <v>12</v>
      </c>
      <c r="K3904">
        <v>0</v>
      </c>
      <c r="L3904">
        <v>62.3666666666667</v>
      </c>
    </row>
    <row r="3905" spans="1:12">
      <c r="A3905" t="s">
        <v>576</v>
      </c>
      <c r="B3905" t="s">
        <v>754</v>
      </c>
      <c r="C3905" t="s">
        <v>22</v>
      </c>
      <c r="D3905" t="s">
        <v>816</v>
      </c>
      <c r="E3905">
        <v>7</v>
      </c>
      <c r="F3905">
        <v>4</v>
      </c>
      <c r="G3905">
        <v>0.571428571428571</v>
      </c>
      <c r="H3905">
        <v>4</v>
      </c>
      <c r="I3905">
        <v>3</v>
      </c>
      <c r="J3905">
        <v>2</v>
      </c>
      <c r="K3905">
        <v>0</v>
      </c>
      <c r="L3905">
        <v>3.71666666666667</v>
      </c>
    </row>
    <row r="3906" spans="1:12">
      <c r="A3906" t="s">
        <v>576</v>
      </c>
      <c r="B3906" t="s">
        <v>754</v>
      </c>
      <c r="C3906" t="s">
        <v>22</v>
      </c>
      <c r="D3906" t="s">
        <v>817</v>
      </c>
      <c r="E3906">
        <v>4</v>
      </c>
      <c r="F3906">
        <v>1</v>
      </c>
      <c r="G3906">
        <v>0.25</v>
      </c>
      <c r="H3906">
        <v>1</v>
      </c>
      <c r="I3906">
        <v>1</v>
      </c>
      <c r="J3906">
        <v>0</v>
      </c>
      <c r="K3906">
        <v>0</v>
      </c>
      <c r="L3906">
        <v>0.866666666666667</v>
      </c>
    </row>
    <row r="3907" spans="1:12">
      <c r="A3907" t="s">
        <v>576</v>
      </c>
      <c r="B3907" t="s">
        <v>754</v>
      </c>
      <c r="C3907" t="s">
        <v>22</v>
      </c>
      <c r="D3907" t="s">
        <v>818</v>
      </c>
      <c r="E3907">
        <v>4</v>
      </c>
      <c r="F3907">
        <v>2</v>
      </c>
      <c r="G3907">
        <v>0.5</v>
      </c>
      <c r="H3907">
        <v>1</v>
      </c>
      <c r="I3907">
        <v>1</v>
      </c>
      <c r="J3907">
        <v>0</v>
      </c>
      <c r="K3907">
        <v>0</v>
      </c>
      <c r="L3907">
        <v>1.1</v>
      </c>
    </row>
    <row r="3908" spans="1:12">
      <c r="A3908" t="s">
        <v>576</v>
      </c>
      <c r="B3908" t="s">
        <v>754</v>
      </c>
      <c r="C3908" t="s">
        <v>22</v>
      </c>
      <c r="D3908" t="s">
        <v>819</v>
      </c>
      <c r="E3908">
        <v>21</v>
      </c>
      <c r="F3908">
        <v>9</v>
      </c>
      <c r="G3908">
        <v>0.428571428571428</v>
      </c>
      <c r="H3908">
        <v>7</v>
      </c>
      <c r="I3908">
        <v>5</v>
      </c>
      <c r="J3908">
        <v>5</v>
      </c>
      <c r="K3908">
        <v>2</v>
      </c>
      <c r="L3908">
        <v>15.2833333333333</v>
      </c>
    </row>
    <row r="3909" spans="1:12">
      <c r="A3909" t="s">
        <v>576</v>
      </c>
      <c r="B3909" t="s">
        <v>754</v>
      </c>
      <c r="C3909" t="s">
        <v>22</v>
      </c>
      <c r="D3909" t="s">
        <v>821</v>
      </c>
      <c r="E3909">
        <v>17</v>
      </c>
      <c r="F3909">
        <v>8</v>
      </c>
      <c r="G3909">
        <v>0.470588235294118</v>
      </c>
      <c r="H3909">
        <v>6</v>
      </c>
      <c r="I3909">
        <v>6</v>
      </c>
      <c r="J3909">
        <v>6</v>
      </c>
      <c r="K3909">
        <v>1</v>
      </c>
      <c r="L3909">
        <v>13.8833333333333</v>
      </c>
    </row>
    <row r="3910" spans="1:12">
      <c r="A3910" t="s">
        <v>576</v>
      </c>
      <c r="B3910" t="s">
        <v>754</v>
      </c>
      <c r="C3910" t="s">
        <v>22</v>
      </c>
      <c r="D3910" t="s">
        <v>822</v>
      </c>
      <c r="E3910">
        <v>18</v>
      </c>
      <c r="F3910">
        <v>7</v>
      </c>
      <c r="G3910">
        <v>0.388888888888889</v>
      </c>
      <c r="H3910">
        <v>4</v>
      </c>
      <c r="I3910">
        <v>4</v>
      </c>
      <c r="J3910">
        <v>1</v>
      </c>
      <c r="K3910">
        <v>0</v>
      </c>
      <c r="L3910">
        <v>4.65</v>
      </c>
    </row>
    <row r="3911" spans="1:12">
      <c r="A3911" t="s">
        <v>576</v>
      </c>
      <c r="B3911" t="s">
        <v>754</v>
      </c>
      <c r="C3911" t="s">
        <v>22</v>
      </c>
      <c r="D3911" t="s">
        <v>823</v>
      </c>
      <c r="E3911">
        <v>33</v>
      </c>
      <c r="F3911">
        <v>9</v>
      </c>
      <c r="G3911">
        <v>0.272727272727273</v>
      </c>
      <c r="H3911">
        <v>4</v>
      </c>
      <c r="I3911">
        <v>4</v>
      </c>
      <c r="J3911">
        <v>3</v>
      </c>
      <c r="K3911">
        <v>0</v>
      </c>
      <c r="L3911">
        <v>5.51666666666667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人员数据源</vt:lpstr>
      <vt:lpstr>路飞话务数据源</vt:lpstr>
      <vt:lpstr>路飞意向数据源</vt:lpstr>
      <vt:lpstr>各城市数据源</vt:lpstr>
      <vt:lpstr>杭州发布</vt:lpstr>
      <vt:lpstr>青岛发布</vt:lpstr>
      <vt:lpstr>济南发布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jinhe-qd</dc:creator>
  <cp:lastModifiedBy>傲雪剑豪</cp:lastModifiedBy>
  <dcterms:created xsi:type="dcterms:W3CDTF">2015-06-05T18:19:00Z</dcterms:created>
  <dcterms:modified xsi:type="dcterms:W3CDTF">2024-09-03T09:15:10Z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029850CA7DD94155918FCA79A297C634_13</vt:lpwstr>
  </property>
  <property fmtid="{D5CDD505-2E9C-101B-9397-08002B2CF9AE}" pid="3" name="KSOProductBuildVer">
    <vt:lpwstr>2052-12.1.0.17827</vt:lpwstr>
  </property>
</Properties>
</file>